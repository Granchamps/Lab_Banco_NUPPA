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mpz\Downloads\"/>
    </mc:Choice>
  </mc:AlternateContent>
  <xr:revisionPtr revIDLastSave="0" documentId="13_ncr:1_{E93C8973-D857-4140-90D6-25696F37539C}" xr6:coauthVersionLast="47" xr6:coauthVersionMax="47" xr10:uidLastSave="{00000000-0000-0000-0000-000000000000}"/>
  <bookViews>
    <workbookView xWindow="-108" yWindow="-108" windowWidth="20376" windowHeight="12216" tabRatio="500" activeTab="1" xr2:uid="{00000000-000D-0000-FFFF-FFFF00000000}"/>
  </bookViews>
  <sheets>
    <sheet name="Boletins Nuppa Site" sheetId="1" r:id="rId1"/>
    <sheet name="COTACAO" sheetId="10" r:id="rId2"/>
    <sheet name="completo" sheetId="2" r:id="rId3"/>
    <sheet name="GRUPO_ALIMENTAR" sheetId="3" r:id="rId4"/>
    <sheet name="CATEGORIA" sheetId="4" r:id="rId5"/>
    <sheet name="PRODUTO" sheetId="5" r:id="rId6"/>
    <sheet name="UNIDADE_MEDIDA" sheetId="6" r:id="rId7"/>
    <sheet name="TIPO_APRESENTACAO" sheetId="7" r:id="rId8"/>
    <sheet name="BOLETIM" sheetId="8" r:id="rId9"/>
    <sheet name="PRODUTO_APRESENTACAO" sheetId="9" r:id="rId10"/>
  </sheets>
  <definedNames>
    <definedName name="_xlnm._FilterDatabase" localSheetId="0" hidden="1">'Boletins Nuppa Site'!$A$1:$J$1430</definedName>
    <definedName name="_xlnm._FilterDatabase" localSheetId="1" hidden="1">COTACAO!$A$1:$H$1430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2" i="9"/>
  <c r="D3" i="10"/>
  <c r="E3" i="10"/>
  <c r="F3" i="10"/>
  <c r="G3" i="10"/>
  <c r="H3" i="10"/>
  <c r="D4" i="10"/>
  <c r="E4" i="10"/>
  <c r="F4" i="10"/>
  <c r="J4" i="10" s="1"/>
  <c r="G4" i="10"/>
  <c r="H4" i="10"/>
  <c r="D5" i="10"/>
  <c r="E5" i="10"/>
  <c r="F5" i="10"/>
  <c r="G5" i="10"/>
  <c r="H5" i="10"/>
  <c r="D6" i="10"/>
  <c r="J6" i="10" s="1"/>
  <c r="E6" i="10"/>
  <c r="F6" i="10"/>
  <c r="G6" i="10"/>
  <c r="H6" i="10"/>
  <c r="D7" i="10"/>
  <c r="E7" i="10"/>
  <c r="F7" i="10"/>
  <c r="G7" i="10"/>
  <c r="J7" i="10" s="1"/>
  <c r="H7" i="10"/>
  <c r="D8" i="10"/>
  <c r="E8" i="10"/>
  <c r="F8" i="10"/>
  <c r="G8" i="10"/>
  <c r="H8" i="10"/>
  <c r="D9" i="10"/>
  <c r="E9" i="10"/>
  <c r="J9" i="10" s="1"/>
  <c r="F9" i="10"/>
  <c r="G9" i="10"/>
  <c r="H9" i="10"/>
  <c r="D10" i="10"/>
  <c r="E10" i="10"/>
  <c r="F10" i="10"/>
  <c r="G10" i="10"/>
  <c r="H10" i="10"/>
  <c r="J10" i="10" s="1"/>
  <c r="D11" i="10"/>
  <c r="E11" i="10"/>
  <c r="F11" i="10"/>
  <c r="G11" i="10"/>
  <c r="H11" i="10"/>
  <c r="D12" i="10"/>
  <c r="E12" i="10"/>
  <c r="F12" i="10"/>
  <c r="J12" i="10" s="1"/>
  <c r="G12" i="10"/>
  <c r="H12" i="10"/>
  <c r="D13" i="10"/>
  <c r="E13" i="10"/>
  <c r="F13" i="10"/>
  <c r="G13" i="10"/>
  <c r="H13" i="10"/>
  <c r="D14" i="10"/>
  <c r="J14" i="10" s="1"/>
  <c r="E14" i="10"/>
  <c r="F14" i="10"/>
  <c r="G14" i="10"/>
  <c r="H14" i="10"/>
  <c r="D15" i="10"/>
  <c r="E15" i="10"/>
  <c r="F15" i="10"/>
  <c r="G15" i="10"/>
  <c r="J15" i="10" s="1"/>
  <c r="H15" i="10"/>
  <c r="D16" i="10"/>
  <c r="E16" i="10"/>
  <c r="F16" i="10"/>
  <c r="G16" i="10"/>
  <c r="H16" i="10"/>
  <c r="D17" i="10"/>
  <c r="E17" i="10"/>
  <c r="J17" i="10" s="1"/>
  <c r="F17" i="10"/>
  <c r="G17" i="10"/>
  <c r="H17" i="10"/>
  <c r="D18" i="10"/>
  <c r="E18" i="10"/>
  <c r="F18" i="10"/>
  <c r="G18" i="10"/>
  <c r="H18" i="10"/>
  <c r="J18" i="10" s="1"/>
  <c r="D19" i="10"/>
  <c r="E19" i="10"/>
  <c r="F19" i="10"/>
  <c r="G19" i="10"/>
  <c r="H19" i="10"/>
  <c r="D20" i="10"/>
  <c r="E20" i="10"/>
  <c r="F20" i="10"/>
  <c r="J20" i="10" s="1"/>
  <c r="G20" i="10"/>
  <c r="H20" i="10"/>
  <c r="D21" i="10"/>
  <c r="E21" i="10"/>
  <c r="F21" i="10"/>
  <c r="G21" i="10"/>
  <c r="H21" i="10"/>
  <c r="D22" i="10"/>
  <c r="J22" i="10" s="1"/>
  <c r="E22" i="10"/>
  <c r="F22" i="10"/>
  <c r="G22" i="10"/>
  <c r="H22" i="10"/>
  <c r="D23" i="10"/>
  <c r="E23" i="10"/>
  <c r="F23" i="10"/>
  <c r="G23" i="10"/>
  <c r="J23" i="10" s="1"/>
  <c r="H23" i="10"/>
  <c r="D24" i="10"/>
  <c r="E24" i="10"/>
  <c r="F24" i="10"/>
  <c r="G24" i="10"/>
  <c r="H24" i="10"/>
  <c r="D25" i="10"/>
  <c r="E25" i="10"/>
  <c r="J25" i="10" s="1"/>
  <c r="F25" i="10"/>
  <c r="G25" i="10"/>
  <c r="H25" i="10"/>
  <c r="D26" i="10"/>
  <c r="E26" i="10"/>
  <c r="F26" i="10"/>
  <c r="G26" i="10"/>
  <c r="H26" i="10"/>
  <c r="J26" i="10" s="1"/>
  <c r="D27" i="10"/>
  <c r="E27" i="10"/>
  <c r="F27" i="10"/>
  <c r="G27" i="10"/>
  <c r="H27" i="10"/>
  <c r="D28" i="10"/>
  <c r="E28" i="10"/>
  <c r="F28" i="10"/>
  <c r="J28" i="10" s="1"/>
  <c r="G28" i="10"/>
  <c r="H28" i="10"/>
  <c r="D29" i="10"/>
  <c r="E29" i="10"/>
  <c r="F29" i="10"/>
  <c r="G29" i="10"/>
  <c r="H29" i="10"/>
  <c r="D30" i="10"/>
  <c r="J30" i="10" s="1"/>
  <c r="E30" i="10"/>
  <c r="F30" i="10"/>
  <c r="G30" i="10"/>
  <c r="H30" i="10"/>
  <c r="D31" i="10"/>
  <c r="E31" i="10"/>
  <c r="F31" i="10"/>
  <c r="G31" i="10"/>
  <c r="J31" i="10" s="1"/>
  <c r="H31" i="10"/>
  <c r="D32" i="10"/>
  <c r="E32" i="10"/>
  <c r="F32" i="10"/>
  <c r="G32" i="10"/>
  <c r="H32" i="10"/>
  <c r="D33" i="10"/>
  <c r="E33" i="10"/>
  <c r="J33" i="10" s="1"/>
  <c r="F33" i="10"/>
  <c r="G33" i="10"/>
  <c r="H33" i="10"/>
  <c r="D34" i="10"/>
  <c r="E34" i="10"/>
  <c r="F34" i="10"/>
  <c r="G34" i="10"/>
  <c r="H34" i="10"/>
  <c r="J34" i="10" s="1"/>
  <c r="D35" i="10"/>
  <c r="E35" i="10"/>
  <c r="F35" i="10"/>
  <c r="G35" i="10"/>
  <c r="H35" i="10"/>
  <c r="D36" i="10"/>
  <c r="E36" i="10"/>
  <c r="F36" i="10"/>
  <c r="J36" i="10" s="1"/>
  <c r="G36" i="10"/>
  <c r="H36" i="10"/>
  <c r="D37" i="10"/>
  <c r="E37" i="10"/>
  <c r="F37" i="10"/>
  <c r="G37" i="10"/>
  <c r="H37" i="10"/>
  <c r="D38" i="10"/>
  <c r="J38" i="10" s="1"/>
  <c r="E38" i="10"/>
  <c r="F38" i="10"/>
  <c r="G38" i="10"/>
  <c r="H38" i="10"/>
  <c r="D39" i="10"/>
  <c r="E39" i="10"/>
  <c r="F39" i="10"/>
  <c r="G39" i="10"/>
  <c r="J39" i="10" s="1"/>
  <c r="H39" i="10"/>
  <c r="D40" i="10"/>
  <c r="E40" i="10"/>
  <c r="F40" i="10"/>
  <c r="G40" i="10"/>
  <c r="H40" i="10"/>
  <c r="D41" i="10"/>
  <c r="E41" i="10"/>
  <c r="J41" i="10" s="1"/>
  <c r="F41" i="10"/>
  <c r="G41" i="10"/>
  <c r="H41" i="10"/>
  <c r="D42" i="10"/>
  <c r="E42" i="10"/>
  <c r="F42" i="10"/>
  <c r="G42" i="10"/>
  <c r="H42" i="10"/>
  <c r="J42" i="10" s="1"/>
  <c r="D43" i="10"/>
  <c r="E43" i="10"/>
  <c r="F43" i="10"/>
  <c r="G43" i="10"/>
  <c r="H43" i="10"/>
  <c r="D44" i="10"/>
  <c r="E44" i="10"/>
  <c r="F44" i="10"/>
  <c r="J44" i="10" s="1"/>
  <c r="G44" i="10"/>
  <c r="H44" i="10"/>
  <c r="D45" i="10"/>
  <c r="E45" i="10"/>
  <c r="F45" i="10"/>
  <c r="G45" i="10"/>
  <c r="H45" i="10"/>
  <c r="D46" i="10"/>
  <c r="J46" i="10" s="1"/>
  <c r="E46" i="10"/>
  <c r="F46" i="10"/>
  <c r="G46" i="10"/>
  <c r="H46" i="10"/>
  <c r="D47" i="10"/>
  <c r="E47" i="10"/>
  <c r="F47" i="10"/>
  <c r="G47" i="10"/>
  <c r="J47" i="10" s="1"/>
  <c r="H47" i="10"/>
  <c r="D48" i="10"/>
  <c r="E48" i="10"/>
  <c r="F48" i="10"/>
  <c r="G48" i="10"/>
  <c r="H48" i="10"/>
  <c r="D49" i="10"/>
  <c r="E49" i="10"/>
  <c r="J49" i="10" s="1"/>
  <c r="F49" i="10"/>
  <c r="G49" i="10"/>
  <c r="H49" i="10"/>
  <c r="D50" i="10"/>
  <c r="E50" i="10"/>
  <c r="F50" i="10"/>
  <c r="G50" i="10"/>
  <c r="H50" i="10"/>
  <c r="J50" i="10" s="1"/>
  <c r="D51" i="10"/>
  <c r="E51" i="10"/>
  <c r="F51" i="10"/>
  <c r="G51" i="10"/>
  <c r="H51" i="10"/>
  <c r="D52" i="10"/>
  <c r="E52" i="10"/>
  <c r="F52" i="10"/>
  <c r="J52" i="10" s="1"/>
  <c r="G52" i="10"/>
  <c r="H52" i="10"/>
  <c r="D53" i="10"/>
  <c r="E53" i="10"/>
  <c r="F53" i="10"/>
  <c r="G53" i="10"/>
  <c r="H53" i="10"/>
  <c r="D54" i="10"/>
  <c r="J54" i="10" s="1"/>
  <c r="E54" i="10"/>
  <c r="F54" i="10"/>
  <c r="G54" i="10"/>
  <c r="H54" i="10"/>
  <c r="D55" i="10"/>
  <c r="E55" i="10"/>
  <c r="F55" i="10"/>
  <c r="G55" i="10"/>
  <c r="J55" i="10" s="1"/>
  <c r="H55" i="10"/>
  <c r="D56" i="10"/>
  <c r="E56" i="10"/>
  <c r="F56" i="10"/>
  <c r="G56" i="10"/>
  <c r="H56" i="10"/>
  <c r="D57" i="10"/>
  <c r="E57" i="10"/>
  <c r="J57" i="10" s="1"/>
  <c r="F57" i="10"/>
  <c r="G57" i="10"/>
  <c r="H57" i="10"/>
  <c r="D58" i="10"/>
  <c r="E58" i="10"/>
  <c r="F58" i="10"/>
  <c r="G58" i="10"/>
  <c r="H58" i="10"/>
  <c r="J58" i="10" s="1"/>
  <c r="D59" i="10"/>
  <c r="E59" i="10"/>
  <c r="F59" i="10"/>
  <c r="G59" i="10"/>
  <c r="H59" i="10"/>
  <c r="D60" i="10"/>
  <c r="E60" i="10"/>
  <c r="F60" i="10"/>
  <c r="J60" i="10" s="1"/>
  <c r="G60" i="10"/>
  <c r="H60" i="10"/>
  <c r="D61" i="10"/>
  <c r="E61" i="10"/>
  <c r="F61" i="10"/>
  <c r="G61" i="10"/>
  <c r="H61" i="10"/>
  <c r="D62" i="10"/>
  <c r="J62" i="10" s="1"/>
  <c r="E62" i="10"/>
  <c r="F62" i="10"/>
  <c r="G62" i="10"/>
  <c r="H62" i="10"/>
  <c r="D63" i="10"/>
  <c r="E63" i="10"/>
  <c r="F63" i="10"/>
  <c r="G63" i="10"/>
  <c r="J63" i="10" s="1"/>
  <c r="H63" i="10"/>
  <c r="D64" i="10"/>
  <c r="E64" i="10"/>
  <c r="F64" i="10"/>
  <c r="G64" i="10"/>
  <c r="H64" i="10"/>
  <c r="D65" i="10"/>
  <c r="E65" i="10"/>
  <c r="J65" i="10" s="1"/>
  <c r="F65" i="10"/>
  <c r="G65" i="10"/>
  <c r="H65" i="10"/>
  <c r="D66" i="10"/>
  <c r="E66" i="10"/>
  <c r="F66" i="10"/>
  <c r="G66" i="10"/>
  <c r="H66" i="10"/>
  <c r="J66" i="10" s="1"/>
  <c r="D67" i="10"/>
  <c r="E67" i="10"/>
  <c r="F67" i="10"/>
  <c r="G67" i="10"/>
  <c r="H67" i="10"/>
  <c r="D68" i="10"/>
  <c r="E68" i="10"/>
  <c r="F68" i="10"/>
  <c r="J68" i="10" s="1"/>
  <c r="G68" i="10"/>
  <c r="H68" i="10"/>
  <c r="D69" i="10"/>
  <c r="E69" i="10"/>
  <c r="F69" i="10"/>
  <c r="G69" i="10"/>
  <c r="H69" i="10"/>
  <c r="D70" i="10"/>
  <c r="J70" i="10" s="1"/>
  <c r="E70" i="10"/>
  <c r="F70" i="10"/>
  <c r="G70" i="10"/>
  <c r="H70" i="10"/>
  <c r="D71" i="10"/>
  <c r="E71" i="10"/>
  <c r="F71" i="10"/>
  <c r="G71" i="10"/>
  <c r="J71" i="10" s="1"/>
  <c r="H71" i="10"/>
  <c r="D72" i="10"/>
  <c r="E72" i="10"/>
  <c r="F72" i="10"/>
  <c r="G72" i="10"/>
  <c r="H72" i="10"/>
  <c r="D73" i="10"/>
  <c r="E73" i="10"/>
  <c r="J73" i="10" s="1"/>
  <c r="F73" i="10"/>
  <c r="G73" i="10"/>
  <c r="H73" i="10"/>
  <c r="D74" i="10"/>
  <c r="E74" i="10"/>
  <c r="F74" i="10"/>
  <c r="G74" i="10"/>
  <c r="H74" i="10"/>
  <c r="J74" i="10" s="1"/>
  <c r="D75" i="10"/>
  <c r="E75" i="10"/>
  <c r="F75" i="10"/>
  <c r="G75" i="10"/>
  <c r="H75" i="10"/>
  <c r="D76" i="10"/>
  <c r="E76" i="10"/>
  <c r="F76" i="10"/>
  <c r="J76" i="10" s="1"/>
  <c r="G76" i="10"/>
  <c r="H76" i="10"/>
  <c r="D77" i="10"/>
  <c r="E77" i="10"/>
  <c r="F77" i="10"/>
  <c r="G77" i="10"/>
  <c r="H77" i="10"/>
  <c r="D78" i="10"/>
  <c r="J78" i="10" s="1"/>
  <c r="E78" i="10"/>
  <c r="F78" i="10"/>
  <c r="G78" i="10"/>
  <c r="H78" i="10"/>
  <c r="D79" i="10"/>
  <c r="E79" i="10"/>
  <c r="F79" i="10"/>
  <c r="G79" i="10"/>
  <c r="J79" i="10" s="1"/>
  <c r="H79" i="10"/>
  <c r="D80" i="10"/>
  <c r="E80" i="10"/>
  <c r="F80" i="10"/>
  <c r="G80" i="10"/>
  <c r="H80" i="10"/>
  <c r="D81" i="10"/>
  <c r="E81" i="10"/>
  <c r="J81" i="10" s="1"/>
  <c r="F81" i="10"/>
  <c r="G81" i="10"/>
  <c r="H81" i="10"/>
  <c r="D82" i="10"/>
  <c r="E82" i="10"/>
  <c r="F82" i="10"/>
  <c r="G82" i="10"/>
  <c r="H82" i="10"/>
  <c r="J82" i="10" s="1"/>
  <c r="D83" i="10"/>
  <c r="E83" i="10"/>
  <c r="F83" i="10"/>
  <c r="G83" i="10"/>
  <c r="H83" i="10"/>
  <c r="D84" i="10"/>
  <c r="E84" i="10"/>
  <c r="F84" i="10"/>
  <c r="J84" i="10" s="1"/>
  <c r="G84" i="10"/>
  <c r="H84" i="10"/>
  <c r="D85" i="10"/>
  <c r="E85" i="10"/>
  <c r="F85" i="10"/>
  <c r="G85" i="10"/>
  <c r="H85" i="10"/>
  <c r="D86" i="10"/>
  <c r="J86" i="10" s="1"/>
  <c r="E86" i="10"/>
  <c r="F86" i="10"/>
  <c r="G86" i="10"/>
  <c r="H86" i="10"/>
  <c r="D87" i="10"/>
  <c r="E87" i="10"/>
  <c r="F87" i="10"/>
  <c r="G87" i="10"/>
  <c r="J87" i="10" s="1"/>
  <c r="H87" i="10"/>
  <c r="D88" i="10"/>
  <c r="E88" i="10"/>
  <c r="F88" i="10"/>
  <c r="G88" i="10"/>
  <c r="H88" i="10"/>
  <c r="D89" i="10"/>
  <c r="E89" i="10"/>
  <c r="J89" i="10" s="1"/>
  <c r="F89" i="10"/>
  <c r="G89" i="10"/>
  <c r="H89" i="10"/>
  <c r="D90" i="10"/>
  <c r="E90" i="10"/>
  <c r="F90" i="10"/>
  <c r="G90" i="10"/>
  <c r="H90" i="10"/>
  <c r="J90" i="10" s="1"/>
  <c r="D91" i="10"/>
  <c r="E91" i="10"/>
  <c r="F91" i="10"/>
  <c r="G91" i="10"/>
  <c r="H91" i="10"/>
  <c r="D92" i="10"/>
  <c r="E92" i="10"/>
  <c r="F92" i="10"/>
  <c r="J92" i="10" s="1"/>
  <c r="G92" i="10"/>
  <c r="H92" i="10"/>
  <c r="D93" i="10"/>
  <c r="E93" i="10"/>
  <c r="F93" i="10"/>
  <c r="G93" i="10"/>
  <c r="H93" i="10"/>
  <c r="D94" i="10"/>
  <c r="J94" i="10" s="1"/>
  <c r="E94" i="10"/>
  <c r="F94" i="10"/>
  <c r="G94" i="10"/>
  <c r="H94" i="10"/>
  <c r="D95" i="10"/>
  <c r="E95" i="10"/>
  <c r="F95" i="10"/>
  <c r="G95" i="10"/>
  <c r="J95" i="10" s="1"/>
  <c r="H95" i="10"/>
  <c r="D96" i="10"/>
  <c r="E96" i="10"/>
  <c r="F96" i="10"/>
  <c r="G96" i="10"/>
  <c r="H96" i="10"/>
  <c r="D97" i="10"/>
  <c r="E97" i="10"/>
  <c r="J97" i="10" s="1"/>
  <c r="F97" i="10"/>
  <c r="G97" i="10"/>
  <c r="H97" i="10"/>
  <c r="D98" i="10"/>
  <c r="E98" i="10"/>
  <c r="F98" i="10"/>
  <c r="G98" i="10"/>
  <c r="H98" i="10"/>
  <c r="J98" i="10" s="1"/>
  <c r="D99" i="10"/>
  <c r="E99" i="10"/>
  <c r="F99" i="10"/>
  <c r="G99" i="10"/>
  <c r="H99" i="10"/>
  <c r="D100" i="10"/>
  <c r="E100" i="10"/>
  <c r="F100" i="10"/>
  <c r="J100" i="10" s="1"/>
  <c r="G100" i="10"/>
  <c r="H100" i="10"/>
  <c r="D101" i="10"/>
  <c r="E101" i="10"/>
  <c r="F101" i="10"/>
  <c r="G101" i="10"/>
  <c r="H101" i="10"/>
  <c r="D102" i="10"/>
  <c r="J102" i="10" s="1"/>
  <c r="E102" i="10"/>
  <c r="F102" i="10"/>
  <c r="G102" i="10"/>
  <c r="H102" i="10"/>
  <c r="D103" i="10"/>
  <c r="E103" i="10"/>
  <c r="F103" i="10"/>
  <c r="G103" i="10"/>
  <c r="J103" i="10" s="1"/>
  <c r="H103" i="10"/>
  <c r="D104" i="10"/>
  <c r="E104" i="10"/>
  <c r="F104" i="10"/>
  <c r="G104" i="10"/>
  <c r="H104" i="10"/>
  <c r="D105" i="10"/>
  <c r="E105" i="10"/>
  <c r="J105" i="10" s="1"/>
  <c r="F105" i="10"/>
  <c r="G105" i="10"/>
  <c r="H105" i="10"/>
  <c r="D106" i="10"/>
  <c r="E106" i="10"/>
  <c r="F106" i="10"/>
  <c r="G106" i="10"/>
  <c r="H106" i="10"/>
  <c r="J106" i="10" s="1"/>
  <c r="D107" i="10"/>
  <c r="E107" i="10"/>
  <c r="F107" i="10"/>
  <c r="G107" i="10"/>
  <c r="H107" i="10"/>
  <c r="D108" i="10"/>
  <c r="E108" i="10"/>
  <c r="F108" i="10"/>
  <c r="J108" i="10" s="1"/>
  <c r="G108" i="10"/>
  <c r="H108" i="10"/>
  <c r="D109" i="10"/>
  <c r="E109" i="10"/>
  <c r="F109" i="10"/>
  <c r="G109" i="10"/>
  <c r="H109" i="10"/>
  <c r="D110" i="10"/>
  <c r="J110" i="10" s="1"/>
  <c r="E110" i="10"/>
  <c r="F110" i="10"/>
  <c r="G110" i="10"/>
  <c r="H110" i="10"/>
  <c r="D111" i="10"/>
  <c r="E111" i="10"/>
  <c r="F111" i="10"/>
  <c r="G111" i="10"/>
  <c r="J111" i="10" s="1"/>
  <c r="H111" i="10"/>
  <c r="D112" i="10"/>
  <c r="E112" i="10"/>
  <c r="F112" i="10"/>
  <c r="G112" i="10"/>
  <c r="H112" i="10"/>
  <c r="D113" i="10"/>
  <c r="E113" i="10"/>
  <c r="J113" i="10" s="1"/>
  <c r="F113" i="10"/>
  <c r="G113" i="10"/>
  <c r="H113" i="10"/>
  <c r="D114" i="10"/>
  <c r="E114" i="10"/>
  <c r="F114" i="10"/>
  <c r="G114" i="10"/>
  <c r="H114" i="10"/>
  <c r="J114" i="10" s="1"/>
  <c r="D115" i="10"/>
  <c r="E115" i="10"/>
  <c r="F115" i="10"/>
  <c r="G115" i="10"/>
  <c r="H115" i="10"/>
  <c r="D116" i="10"/>
  <c r="E116" i="10"/>
  <c r="F116" i="10"/>
  <c r="J116" i="10" s="1"/>
  <c r="G116" i="10"/>
  <c r="H116" i="10"/>
  <c r="D117" i="10"/>
  <c r="E117" i="10"/>
  <c r="F117" i="10"/>
  <c r="G117" i="10"/>
  <c r="H117" i="10"/>
  <c r="D118" i="10"/>
  <c r="J118" i="10" s="1"/>
  <c r="E118" i="10"/>
  <c r="F118" i="10"/>
  <c r="G118" i="10"/>
  <c r="H118" i="10"/>
  <c r="D119" i="10"/>
  <c r="E119" i="10"/>
  <c r="F119" i="10"/>
  <c r="G119" i="10"/>
  <c r="J119" i="10" s="1"/>
  <c r="H119" i="10"/>
  <c r="D120" i="10"/>
  <c r="E120" i="10"/>
  <c r="F120" i="10"/>
  <c r="G120" i="10"/>
  <c r="H120" i="10"/>
  <c r="D121" i="10"/>
  <c r="E121" i="10"/>
  <c r="J121" i="10" s="1"/>
  <c r="F121" i="10"/>
  <c r="G121" i="10"/>
  <c r="H121" i="10"/>
  <c r="D122" i="10"/>
  <c r="E122" i="10"/>
  <c r="F122" i="10"/>
  <c r="G122" i="10"/>
  <c r="H122" i="10"/>
  <c r="J122" i="10" s="1"/>
  <c r="D123" i="10"/>
  <c r="E123" i="10"/>
  <c r="F123" i="10"/>
  <c r="G123" i="10"/>
  <c r="H123" i="10"/>
  <c r="D124" i="10"/>
  <c r="E124" i="10"/>
  <c r="F124" i="10"/>
  <c r="J124" i="10" s="1"/>
  <c r="G124" i="10"/>
  <c r="H124" i="10"/>
  <c r="D125" i="10"/>
  <c r="E125" i="10"/>
  <c r="F125" i="10"/>
  <c r="G125" i="10"/>
  <c r="H125" i="10"/>
  <c r="D126" i="10"/>
  <c r="J126" i="10" s="1"/>
  <c r="E126" i="10"/>
  <c r="F126" i="10"/>
  <c r="G126" i="10"/>
  <c r="H126" i="10"/>
  <c r="D127" i="10"/>
  <c r="E127" i="10"/>
  <c r="F127" i="10"/>
  <c r="G127" i="10"/>
  <c r="J127" i="10" s="1"/>
  <c r="H127" i="10"/>
  <c r="D128" i="10"/>
  <c r="E128" i="10"/>
  <c r="F128" i="10"/>
  <c r="G128" i="10"/>
  <c r="H128" i="10"/>
  <c r="D129" i="10"/>
  <c r="E129" i="10"/>
  <c r="J129" i="10" s="1"/>
  <c r="F129" i="10"/>
  <c r="G129" i="10"/>
  <c r="H129" i="10"/>
  <c r="D130" i="10"/>
  <c r="E130" i="10"/>
  <c r="F130" i="10"/>
  <c r="G130" i="10"/>
  <c r="H130" i="10"/>
  <c r="J130" i="10" s="1"/>
  <c r="D131" i="10"/>
  <c r="E131" i="10"/>
  <c r="F131" i="10"/>
  <c r="G131" i="10"/>
  <c r="H131" i="10"/>
  <c r="D132" i="10"/>
  <c r="E132" i="10"/>
  <c r="F132" i="10"/>
  <c r="J132" i="10" s="1"/>
  <c r="G132" i="10"/>
  <c r="H132" i="10"/>
  <c r="D133" i="10"/>
  <c r="E133" i="10"/>
  <c r="F133" i="10"/>
  <c r="G133" i="10"/>
  <c r="H133" i="10"/>
  <c r="D134" i="10"/>
  <c r="J134" i="10" s="1"/>
  <c r="E134" i="10"/>
  <c r="F134" i="10"/>
  <c r="G134" i="10"/>
  <c r="H134" i="10"/>
  <c r="D135" i="10"/>
  <c r="E135" i="10"/>
  <c r="F135" i="10"/>
  <c r="G135" i="10"/>
  <c r="J135" i="10" s="1"/>
  <c r="H135" i="10"/>
  <c r="D136" i="10"/>
  <c r="E136" i="10"/>
  <c r="F136" i="10"/>
  <c r="G136" i="10"/>
  <c r="H136" i="10"/>
  <c r="D137" i="10"/>
  <c r="E137" i="10"/>
  <c r="J137" i="10" s="1"/>
  <c r="F137" i="10"/>
  <c r="G137" i="10"/>
  <c r="H137" i="10"/>
  <c r="D138" i="10"/>
  <c r="E138" i="10"/>
  <c r="F138" i="10"/>
  <c r="G138" i="10"/>
  <c r="H138" i="10"/>
  <c r="J138" i="10" s="1"/>
  <c r="D139" i="10"/>
  <c r="E139" i="10"/>
  <c r="F139" i="10"/>
  <c r="G139" i="10"/>
  <c r="H139" i="10"/>
  <c r="D140" i="10"/>
  <c r="E140" i="10"/>
  <c r="F140" i="10"/>
  <c r="J140" i="10" s="1"/>
  <c r="G140" i="10"/>
  <c r="H140" i="10"/>
  <c r="D141" i="10"/>
  <c r="E141" i="10"/>
  <c r="F141" i="10"/>
  <c r="G141" i="10"/>
  <c r="H141" i="10"/>
  <c r="D142" i="10"/>
  <c r="J142" i="10" s="1"/>
  <c r="E142" i="10"/>
  <c r="F142" i="10"/>
  <c r="G142" i="10"/>
  <c r="H142" i="10"/>
  <c r="D143" i="10"/>
  <c r="E143" i="10"/>
  <c r="F143" i="10"/>
  <c r="G143" i="10"/>
  <c r="J143" i="10" s="1"/>
  <c r="H143" i="10"/>
  <c r="D144" i="10"/>
  <c r="E144" i="10"/>
  <c r="F144" i="10"/>
  <c r="G144" i="10"/>
  <c r="H144" i="10"/>
  <c r="D145" i="10"/>
  <c r="E145" i="10"/>
  <c r="J145" i="10" s="1"/>
  <c r="F145" i="10"/>
  <c r="G145" i="10"/>
  <c r="H145" i="10"/>
  <c r="D146" i="10"/>
  <c r="E146" i="10"/>
  <c r="F146" i="10"/>
  <c r="G146" i="10"/>
  <c r="H146" i="10"/>
  <c r="J146" i="10" s="1"/>
  <c r="D147" i="10"/>
  <c r="E147" i="10"/>
  <c r="F147" i="10"/>
  <c r="G147" i="10"/>
  <c r="H147" i="10"/>
  <c r="D148" i="10"/>
  <c r="E148" i="10"/>
  <c r="F148" i="10"/>
  <c r="J148" i="10" s="1"/>
  <c r="G148" i="10"/>
  <c r="H148" i="10"/>
  <c r="D149" i="10"/>
  <c r="E149" i="10"/>
  <c r="F149" i="10"/>
  <c r="G149" i="10"/>
  <c r="H149" i="10"/>
  <c r="D150" i="10"/>
  <c r="J150" i="10" s="1"/>
  <c r="E150" i="10"/>
  <c r="F150" i="10"/>
  <c r="G150" i="10"/>
  <c r="H150" i="10"/>
  <c r="D151" i="10"/>
  <c r="E151" i="10"/>
  <c r="F151" i="10"/>
  <c r="G151" i="10"/>
  <c r="J151" i="10" s="1"/>
  <c r="H151" i="10"/>
  <c r="D152" i="10"/>
  <c r="E152" i="10"/>
  <c r="F152" i="10"/>
  <c r="G152" i="10"/>
  <c r="H152" i="10"/>
  <c r="D153" i="10"/>
  <c r="E153" i="10"/>
  <c r="J153" i="10" s="1"/>
  <c r="F153" i="10"/>
  <c r="G153" i="10"/>
  <c r="H153" i="10"/>
  <c r="D154" i="10"/>
  <c r="E154" i="10"/>
  <c r="F154" i="10"/>
  <c r="G154" i="10"/>
  <c r="H154" i="10"/>
  <c r="J154" i="10" s="1"/>
  <c r="D155" i="10"/>
  <c r="E155" i="10"/>
  <c r="F155" i="10"/>
  <c r="G155" i="10"/>
  <c r="H155" i="10"/>
  <c r="D156" i="10"/>
  <c r="E156" i="10"/>
  <c r="F156" i="10"/>
  <c r="J156" i="10" s="1"/>
  <c r="G156" i="10"/>
  <c r="H156" i="10"/>
  <c r="D157" i="10"/>
  <c r="E157" i="10"/>
  <c r="F157" i="10"/>
  <c r="G157" i="10"/>
  <c r="H157" i="10"/>
  <c r="D158" i="10"/>
  <c r="J158" i="10" s="1"/>
  <c r="E158" i="10"/>
  <c r="F158" i="10"/>
  <c r="G158" i="10"/>
  <c r="H158" i="10"/>
  <c r="D159" i="10"/>
  <c r="E159" i="10"/>
  <c r="F159" i="10"/>
  <c r="G159" i="10"/>
  <c r="J159" i="10" s="1"/>
  <c r="H159" i="10"/>
  <c r="D160" i="10"/>
  <c r="E160" i="10"/>
  <c r="F160" i="10"/>
  <c r="G160" i="10"/>
  <c r="H160" i="10"/>
  <c r="D161" i="10"/>
  <c r="E161" i="10"/>
  <c r="J161" i="10" s="1"/>
  <c r="F161" i="10"/>
  <c r="G161" i="10"/>
  <c r="H161" i="10"/>
  <c r="D162" i="10"/>
  <c r="E162" i="10"/>
  <c r="F162" i="10"/>
  <c r="G162" i="10"/>
  <c r="H162" i="10"/>
  <c r="J162" i="10" s="1"/>
  <c r="D163" i="10"/>
  <c r="E163" i="10"/>
  <c r="F163" i="10"/>
  <c r="G163" i="10"/>
  <c r="H163" i="10"/>
  <c r="D164" i="10"/>
  <c r="E164" i="10"/>
  <c r="F164" i="10"/>
  <c r="J164" i="10" s="1"/>
  <c r="G164" i="10"/>
  <c r="H164" i="10"/>
  <c r="D165" i="10"/>
  <c r="E165" i="10"/>
  <c r="F165" i="10"/>
  <c r="G165" i="10"/>
  <c r="H165" i="10"/>
  <c r="D166" i="10"/>
  <c r="J166" i="10" s="1"/>
  <c r="E166" i="10"/>
  <c r="F166" i="10"/>
  <c r="G166" i="10"/>
  <c r="H166" i="10"/>
  <c r="D167" i="10"/>
  <c r="E167" i="10"/>
  <c r="F167" i="10"/>
  <c r="G167" i="10"/>
  <c r="J167" i="10" s="1"/>
  <c r="H167" i="10"/>
  <c r="D168" i="10"/>
  <c r="E168" i="10"/>
  <c r="F168" i="10"/>
  <c r="G168" i="10"/>
  <c r="H168" i="10"/>
  <c r="D169" i="10"/>
  <c r="E169" i="10"/>
  <c r="J169" i="10" s="1"/>
  <c r="F169" i="10"/>
  <c r="G169" i="10"/>
  <c r="H169" i="10"/>
  <c r="D170" i="10"/>
  <c r="E170" i="10"/>
  <c r="F170" i="10"/>
  <c r="G170" i="10"/>
  <c r="H170" i="10"/>
  <c r="J170" i="10" s="1"/>
  <c r="D171" i="10"/>
  <c r="E171" i="10"/>
  <c r="F171" i="10"/>
  <c r="G171" i="10"/>
  <c r="H171" i="10"/>
  <c r="D172" i="10"/>
  <c r="E172" i="10"/>
  <c r="F172" i="10"/>
  <c r="J172" i="10" s="1"/>
  <c r="G172" i="10"/>
  <c r="H172" i="10"/>
  <c r="D173" i="10"/>
  <c r="E173" i="10"/>
  <c r="F173" i="10"/>
  <c r="G173" i="10"/>
  <c r="H173" i="10"/>
  <c r="D174" i="10"/>
  <c r="J174" i="10" s="1"/>
  <c r="E174" i="10"/>
  <c r="F174" i="10"/>
  <c r="G174" i="10"/>
  <c r="H174" i="10"/>
  <c r="D175" i="10"/>
  <c r="E175" i="10"/>
  <c r="F175" i="10"/>
  <c r="G175" i="10"/>
  <c r="J175" i="10" s="1"/>
  <c r="H175" i="10"/>
  <c r="D176" i="10"/>
  <c r="E176" i="10"/>
  <c r="F176" i="10"/>
  <c r="G176" i="10"/>
  <c r="H176" i="10"/>
  <c r="D177" i="10"/>
  <c r="E177" i="10"/>
  <c r="J177" i="10" s="1"/>
  <c r="F177" i="10"/>
  <c r="G177" i="10"/>
  <c r="H177" i="10"/>
  <c r="D178" i="10"/>
  <c r="E178" i="10"/>
  <c r="F178" i="10"/>
  <c r="G178" i="10"/>
  <c r="H178" i="10"/>
  <c r="J178" i="10" s="1"/>
  <c r="D179" i="10"/>
  <c r="E179" i="10"/>
  <c r="F179" i="10"/>
  <c r="G179" i="10"/>
  <c r="H179" i="10"/>
  <c r="D180" i="10"/>
  <c r="E180" i="10"/>
  <c r="F180" i="10"/>
  <c r="J180" i="10" s="1"/>
  <c r="G180" i="10"/>
  <c r="H180" i="10"/>
  <c r="D181" i="10"/>
  <c r="E181" i="10"/>
  <c r="F181" i="10"/>
  <c r="G181" i="10"/>
  <c r="H181" i="10"/>
  <c r="D182" i="10"/>
  <c r="J182" i="10" s="1"/>
  <c r="E182" i="10"/>
  <c r="F182" i="10"/>
  <c r="G182" i="10"/>
  <c r="H182" i="10"/>
  <c r="D183" i="10"/>
  <c r="E183" i="10"/>
  <c r="F183" i="10"/>
  <c r="G183" i="10"/>
  <c r="J183" i="10" s="1"/>
  <c r="H183" i="10"/>
  <c r="D184" i="10"/>
  <c r="E184" i="10"/>
  <c r="F184" i="10"/>
  <c r="G184" i="10"/>
  <c r="H184" i="10"/>
  <c r="D185" i="10"/>
  <c r="E185" i="10"/>
  <c r="J185" i="10" s="1"/>
  <c r="F185" i="10"/>
  <c r="G185" i="10"/>
  <c r="H185" i="10"/>
  <c r="D186" i="10"/>
  <c r="E186" i="10"/>
  <c r="F186" i="10"/>
  <c r="G186" i="10"/>
  <c r="H186" i="10"/>
  <c r="J186" i="10" s="1"/>
  <c r="D187" i="10"/>
  <c r="E187" i="10"/>
  <c r="F187" i="10"/>
  <c r="G187" i="10"/>
  <c r="H187" i="10"/>
  <c r="D188" i="10"/>
  <c r="E188" i="10"/>
  <c r="F188" i="10"/>
  <c r="J188" i="10" s="1"/>
  <c r="G188" i="10"/>
  <c r="H188" i="10"/>
  <c r="D189" i="10"/>
  <c r="E189" i="10"/>
  <c r="F189" i="10"/>
  <c r="G189" i="10"/>
  <c r="H189" i="10"/>
  <c r="D190" i="10"/>
  <c r="J190" i="10" s="1"/>
  <c r="E190" i="10"/>
  <c r="F190" i="10"/>
  <c r="G190" i="10"/>
  <c r="H190" i="10"/>
  <c r="D191" i="10"/>
  <c r="E191" i="10"/>
  <c r="F191" i="10"/>
  <c r="G191" i="10"/>
  <c r="J191" i="10" s="1"/>
  <c r="H191" i="10"/>
  <c r="D192" i="10"/>
  <c r="E192" i="10"/>
  <c r="F192" i="10"/>
  <c r="G192" i="10"/>
  <c r="H192" i="10"/>
  <c r="D193" i="10"/>
  <c r="E193" i="10"/>
  <c r="J193" i="10" s="1"/>
  <c r="F193" i="10"/>
  <c r="G193" i="10"/>
  <c r="H193" i="10"/>
  <c r="D194" i="10"/>
  <c r="E194" i="10"/>
  <c r="F194" i="10"/>
  <c r="G194" i="10"/>
  <c r="H194" i="10"/>
  <c r="J194" i="10" s="1"/>
  <c r="D195" i="10"/>
  <c r="E195" i="10"/>
  <c r="F195" i="10"/>
  <c r="G195" i="10"/>
  <c r="H195" i="10"/>
  <c r="D196" i="10"/>
  <c r="E196" i="10"/>
  <c r="F196" i="10"/>
  <c r="J196" i="10" s="1"/>
  <c r="G196" i="10"/>
  <c r="H196" i="10"/>
  <c r="D197" i="10"/>
  <c r="E197" i="10"/>
  <c r="F197" i="10"/>
  <c r="G197" i="10"/>
  <c r="H197" i="10"/>
  <c r="D198" i="10"/>
  <c r="J198" i="10" s="1"/>
  <c r="E198" i="10"/>
  <c r="F198" i="10"/>
  <c r="G198" i="10"/>
  <c r="H198" i="10"/>
  <c r="D199" i="10"/>
  <c r="E199" i="10"/>
  <c r="F199" i="10"/>
  <c r="G199" i="10"/>
  <c r="J199" i="10" s="1"/>
  <c r="H199" i="10"/>
  <c r="D200" i="10"/>
  <c r="E200" i="10"/>
  <c r="F200" i="10"/>
  <c r="G200" i="10"/>
  <c r="H200" i="10"/>
  <c r="D201" i="10"/>
  <c r="E201" i="10"/>
  <c r="J201" i="10" s="1"/>
  <c r="F201" i="10"/>
  <c r="G201" i="10"/>
  <c r="H201" i="10"/>
  <c r="D202" i="10"/>
  <c r="E202" i="10"/>
  <c r="F202" i="10"/>
  <c r="G202" i="10"/>
  <c r="H202" i="10"/>
  <c r="J202" i="10" s="1"/>
  <c r="D203" i="10"/>
  <c r="E203" i="10"/>
  <c r="F203" i="10"/>
  <c r="G203" i="10"/>
  <c r="H203" i="10"/>
  <c r="D204" i="10"/>
  <c r="E204" i="10"/>
  <c r="F204" i="10"/>
  <c r="J204" i="10" s="1"/>
  <c r="G204" i="10"/>
  <c r="H204" i="10"/>
  <c r="D205" i="10"/>
  <c r="E205" i="10"/>
  <c r="F205" i="10"/>
  <c r="G205" i="10"/>
  <c r="H205" i="10"/>
  <c r="D206" i="10"/>
  <c r="J206" i="10" s="1"/>
  <c r="E206" i="10"/>
  <c r="F206" i="10"/>
  <c r="G206" i="10"/>
  <c r="H206" i="10"/>
  <c r="D207" i="10"/>
  <c r="E207" i="10"/>
  <c r="F207" i="10"/>
  <c r="G207" i="10"/>
  <c r="J207" i="10" s="1"/>
  <c r="H207" i="10"/>
  <c r="D208" i="10"/>
  <c r="E208" i="10"/>
  <c r="F208" i="10"/>
  <c r="G208" i="10"/>
  <c r="H208" i="10"/>
  <c r="D209" i="10"/>
  <c r="E209" i="10"/>
  <c r="J209" i="10" s="1"/>
  <c r="F209" i="10"/>
  <c r="G209" i="10"/>
  <c r="H209" i="10"/>
  <c r="D210" i="10"/>
  <c r="E210" i="10"/>
  <c r="F210" i="10"/>
  <c r="G210" i="10"/>
  <c r="H210" i="10"/>
  <c r="J210" i="10" s="1"/>
  <c r="D211" i="10"/>
  <c r="E211" i="10"/>
  <c r="F211" i="10"/>
  <c r="G211" i="10"/>
  <c r="H211" i="10"/>
  <c r="D212" i="10"/>
  <c r="E212" i="10"/>
  <c r="F212" i="10"/>
  <c r="J212" i="10" s="1"/>
  <c r="G212" i="10"/>
  <c r="H212" i="10"/>
  <c r="D213" i="10"/>
  <c r="E213" i="10"/>
  <c r="F213" i="10"/>
  <c r="G213" i="10"/>
  <c r="H213" i="10"/>
  <c r="D214" i="10"/>
  <c r="J214" i="10" s="1"/>
  <c r="E214" i="10"/>
  <c r="F214" i="10"/>
  <c r="G214" i="10"/>
  <c r="H214" i="10"/>
  <c r="D215" i="10"/>
  <c r="E215" i="10"/>
  <c r="F215" i="10"/>
  <c r="G215" i="10"/>
  <c r="J215" i="10" s="1"/>
  <c r="H215" i="10"/>
  <c r="D216" i="10"/>
  <c r="E216" i="10"/>
  <c r="F216" i="10"/>
  <c r="G216" i="10"/>
  <c r="H216" i="10"/>
  <c r="D217" i="10"/>
  <c r="E217" i="10"/>
  <c r="J217" i="10" s="1"/>
  <c r="F217" i="10"/>
  <c r="G217" i="10"/>
  <c r="H217" i="10"/>
  <c r="D218" i="10"/>
  <c r="E218" i="10"/>
  <c r="F218" i="10"/>
  <c r="G218" i="10"/>
  <c r="H218" i="10"/>
  <c r="J218" i="10" s="1"/>
  <c r="D219" i="10"/>
  <c r="E219" i="10"/>
  <c r="F219" i="10"/>
  <c r="G219" i="10"/>
  <c r="H219" i="10"/>
  <c r="D220" i="10"/>
  <c r="E220" i="10"/>
  <c r="F220" i="10"/>
  <c r="J220" i="10" s="1"/>
  <c r="G220" i="10"/>
  <c r="H220" i="10"/>
  <c r="D221" i="10"/>
  <c r="E221" i="10"/>
  <c r="F221" i="10"/>
  <c r="G221" i="10"/>
  <c r="H221" i="10"/>
  <c r="D222" i="10"/>
  <c r="J222" i="10" s="1"/>
  <c r="E222" i="10"/>
  <c r="F222" i="10"/>
  <c r="G222" i="10"/>
  <c r="H222" i="10"/>
  <c r="D223" i="10"/>
  <c r="E223" i="10"/>
  <c r="F223" i="10"/>
  <c r="G223" i="10"/>
  <c r="J223" i="10" s="1"/>
  <c r="H223" i="10"/>
  <c r="D224" i="10"/>
  <c r="E224" i="10"/>
  <c r="F224" i="10"/>
  <c r="G224" i="10"/>
  <c r="H224" i="10"/>
  <c r="D225" i="10"/>
  <c r="E225" i="10"/>
  <c r="J225" i="10" s="1"/>
  <c r="F225" i="10"/>
  <c r="G225" i="10"/>
  <c r="H225" i="10"/>
  <c r="D226" i="10"/>
  <c r="E226" i="10"/>
  <c r="F226" i="10"/>
  <c r="G226" i="10"/>
  <c r="H226" i="10"/>
  <c r="J226" i="10" s="1"/>
  <c r="D227" i="10"/>
  <c r="E227" i="10"/>
  <c r="F227" i="10"/>
  <c r="G227" i="10"/>
  <c r="H227" i="10"/>
  <c r="D228" i="10"/>
  <c r="E228" i="10"/>
  <c r="F228" i="10"/>
  <c r="J228" i="10" s="1"/>
  <c r="G228" i="10"/>
  <c r="H228" i="10"/>
  <c r="D229" i="10"/>
  <c r="E229" i="10"/>
  <c r="F229" i="10"/>
  <c r="G229" i="10"/>
  <c r="H229" i="10"/>
  <c r="D230" i="10"/>
  <c r="J230" i="10" s="1"/>
  <c r="E230" i="10"/>
  <c r="F230" i="10"/>
  <c r="G230" i="10"/>
  <c r="H230" i="10"/>
  <c r="D231" i="10"/>
  <c r="E231" i="10"/>
  <c r="F231" i="10"/>
  <c r="G231" i="10"/>
  <c r="J231" i="10" s="1"/>
  <c r="H231" i="10"/>
  <c r="D232" i="10"/>
  <c r="E232" i="10"/>
  <c r="F232" i="10"/>
  <c r="G232" i="10"/>
  <c r="H232" i="10"/>
  <c r="D233" i="10"/>
  <c r="E233" i="10"/>
  <c r="J233" i="10" s="1"/>
  <c r="F233" i="10"/>
  <c r="G233" i="10"/>
  <c r="H233" i="10"/>
  <c r="D234" i="10"/>
  <c r="E234" i="10"/>
  <c r="F234" i="10"/>
  <c r="G234" i="10"/>
  <c r="H234" i="10"/>
  <c r="J234" i="10" s="1"/>
  <c r="D235" i="10"/>
  <c r="E235" i="10"/>
  <c r="F235" i="10"/>
  <c r="G235" i="10"/>
  <c r="H235" i="10"/>
  <c r="D236" i="10"/>
  <c r="E236" i="10"/>
  <c r="F236" i="10"/>
  <c r="J236" i="10" s="1"/>
  <c r="G236" i="10"/>
  <c r="H236" i="10"/>
  <c r="D237" i="10"/>
  <c r="E237" i="10"/>
  <c r="F237" i="10"/>
  <c r="G237" i="10"/>
  <c r="H237" i="10"/>
  <c r="D238" i="10"/>
  <c r="J238" i="10" s="1"/>
  <c r="E238" i="10"/>
  <c r="F238" i="10"/>
  <c r="G238" i="10"/>
  <c r="H238" i="10"/>
  <c r="D239" i="10"/>
  <c r="E239" i="10"/>
  <c r="F239" i="10"/>
  <c r="G239" i="10"/>
  <c r="J239" i="10" s="1"/>
  <c r="H239" i="10"/>
  <c r="D240" i="10"/>
  <c r="E240" i="10"/>
  <c r="F240" i="10"/>
  <c r="G240" i="10"/>
  <c r="H240" i="10"/>
  <c r="D241" i="10"/>
  <c r="E241" i="10"/>
  <c r="J241" i="10" s="1"/>
  <c r="F241" i="10"/>
  <c r="G241" i="10"/>
  <c r="H241" i="10"/>
  <c r="D242" i="10"/>
  <c r="E242" i="10"/>
  <c r="F242" i="10"/>
  <c r="G242" i="10"/>
  <c r="H242" i="10"/>
  <c r="J242" i="10" s="1"/>
  <c r="D243" i="10"/>
  <c r="E243" i="10"/>
  <c r="F243" i="10"/>
  <c r="G243" i="10"/>
  <c r="H243" i="10"/>
  <c r="D244" i="10"/>
  <c r="E244" i="10"/>
  <c r="F244" i="10"/>
  <c r="J244" i="10" s="1"/>
  <c r="G244" i="10"/>
  <c r="H244" i="10"/>
  <c r="D245" i="10"/>
  <c r="E245" i="10"/>
  <c r="F245" i="10"/>
  <c r="G245" i="10"/>
  <c r="H245" i="10"/>
  <c r="D246" i="10"/>
  <c r="J246" i="10" s="1"/>
  <c r="E246" i="10"/>
  <c r="F246" i="10"/>
  <c r="G246" i="10"/>
  <c r="H246" i="10"/>
  <c r="D247" i="10"/>
  <c r="E247" i="10"/>
  <c r="F247" i="10"/>
  <c r="G247" i="10"/>
  <c r="J247" i="10" s="1"/>
  <c r="H247" i="10"/>
  <c r="D248" i="10"/>
  <c r="E248" i="10"/>
  <c r="F248" i="10"/>
  <c r="G248" i="10"/>
  <c r="H248" i="10"/>
  <c r="D249" i="10"/>
  <c r="E249" i="10"/>
  <c r="J249" i="10" s="1"/>
  <c r="F249" i="10"/>
  <c r="G249" i="10"/>
  <c r="H249" i="10"/>
  <c r="D250" i="10"/>
  <c r="E250" i="10"/>
  <c r="F250" i="10"/>
  <c r="G250" i="10"/>
  <c r="H250" i="10"/>
  <c r="J250" i="10" s="1"/>
  <c r="D251" i="10"/>
  <c r="E251" i="10"/>
  <c r="F251" i="10"/>
  <c r="G251" i="10"/>
  <c r="H251" i="10"/>
  <c r="D252" i="10"/>
  <c r="E252" i="10"/>
  <c r="F252" i="10"/>
  <c r="J252" i="10" s="1"/>
  <c r="G252" i="10"/>
  <c r="H252" i="10"/>
  <c r="D253" i="10"/>
  <c r="E253" i="10"/>
  <c r="F253" i="10"/>
  <c r="G253" i="10"/>
  <c r="H253" i="10"/>
  <c r="D254" i="10"/>
  <c r="J254" i="10" s="1"/>
  <c r="E254" i="10"/>
  <c r="F254" i="10"/>
  <c r="G254" i="10"/>
  <c r="H254" i="10"/>
  <c r="D255" i="10"/>
  <c r="E255" i="10"/>
  <c r="F255" i="10"/>
  <c r="G255" i="10"/>
  <c r="J255" i="10" s="1"/>
  <c r="H255" i="10"/>
  <c r="D256" i="10"/>
  <c r="E256" i="10"/>
  <c r="F256" i="10"/>
  <c r="G256" i="10"/>
  <c r="H256" i="10"/>
  <c r="D257" i="10"/>
  <c r="E257" i="10"/>
  <c r="J257" i="10" s="1"/>
  <c r="F257" i="10"/>
  <c r="G257" i="10"/>
  <c r="H257" i="10"/>
  <c r="D258" i="10"/>
  <c r="E258" i="10"/>
  <c r="F258" i="10"/>
  <c r="G258" i="10"/>
  <c r="H258" i="10"/>
  <c r="J258" i="10" s="1"/>
  <c r="D259" i="10"/>
  <c r="E259" i="10"/>
  <c r="F259" i="10"/>
  <c r="G259" i="10"/>
  <c r="H259" i="10"/>
  <c r="D260" i="10"/>
  <c r="E260" i="10"/>
  <c r="F260" i="10"/>
  <c r="J260" i="10" s="1"/>
  <c r="G260" i="10"/>
  <c r="H260" i="10"/>
  <c r="D261" i="10"/>
  <c r="E261" i="10"/>
  <c r="F261" i="10"/>
  <c r="G261" i="10"/>
  <c r="H261" i="10"/>
  <c r="D262" i="10"/>
  <c r="J262" i="10" s="1"/>
  <c r="E262" i="10"/>
  <c r="F262" i="10"/>
  <c r="G262" i="10"/>
  <c r="H262" i="10"/>
  <c r="D263" i="10"/>
  <c r="E263" i="10"/>
  <c r="F263" i="10"/>
  <c r="G263" i="10"/>
  <c r="J263" i="10" s="1"/>
  <c r="H263" i="10"/>
  <c r="D264" i="10"/>
  <c r="E264" i="10"/>
  <c r="F264" i="10"/>
  <c r="G264" i="10"/>
  <c r="H264" i="10"/>
  <c r="D265" i="10"/>
  <c r="E265" i="10"/>
  <c r="J265" i="10" s="1"/>
  <c r="F265" i="10"/>
  <c r="G265" i="10"/>
  <c r="H265" i="10"/>
  <c r="D266" i="10"/>
  <c r="E266" i="10"/>
  <c r="F266" i="10"/>
  <c r="G266" i="10"/>
  <c r="H266" i="10"/>
  <c r="J266" i="10" s="1"/>
  <c r="D267" i="10"/>
  <c r="E267" i="10"/>
  <c r="F267" i="10"/>
  <c r="G267" i="10"/>
  <c r="H267" i="10"/>
  <c r="D268" i="10"/>
  <c r="E268" i="10"/>
  <c r="F268" i="10"/>
  <c r="J268" i="10" s="1"/>
  <c r="G268" i="10"/>
  <c r="H268" i="10"/>
  <c r="D269" i="10"/>
  <c r="E269" i="10"/>
  <c r="F269" i="10"/>
  <c r="G269" i="10"/>
  <c r="H269" i="10"/>
  <c r="D270" i="10"/>
  <c r="J270" i="10" s="1"/>
  <c r="E270" i="10"/>
  <c r="F270" i="10"/>
  <c r="G270" i="10"/>
  <c r="H270" i="10"/>
  <c r="D271" i="10"/>
  <c r="E271" i="10"/>
  <c r="F271" i="10"/>
  <c r="G271" i="10"/>
  <c r="J271" i="10" s="1"/>
  <c r="H271" i="10"/>
  <c r="D272" i="10"/>
  <c r="E272" i="10"/>
  <c r="F272" i="10"/>
  <c r="G272" i="10"/>
  <c r="H272" i="10"/>
  <c r="D273" i="10"/>
  <c r="E273" i="10"/>
  <c r="J273" i="10" s="1"/>
  <c r="F273" i="10"/>
  <c r="G273" i="10"/>
  <c r="H273" i="10"/>
  <c r="D274" i="10"/>
  <c r="E274" i="10"/>
  <c r="F274" i="10"/>
  <c r="G274" i="10"/>
  <c r="H274" i="10"/>
  <c r="J274" i="10" s="1"/>
  <c r="D275" i="10"/>
  <c r="E275" i="10"/>
  <c r="F275" i="10"/>
  <c r="G275" i="10"/>
  <c r="H275" i="10"/>
  <c r="D276" i="10"/>
  <c r="E276" i="10"/>
  <c r="F276" i="10"/>
  <c r="J276" i="10" s="1"/>
  <c r="G276" i="10"/>
  <c r="H276" i="10"/>
  <c r="D277" i="10"/>
  <c r="E277" i="10"/>
  <c r="F277" i="10"/>
  <c r="G277" i="10"/>
  <c r="H277" i="10"/>
  <c r="D278" i="10"/>
  <c r="J278" i="10" s="1"/>
  <c r="E278" i="10"/>
  <c r="F278" i="10"/>
  <c r="G278" i="10"/>
  <c r="H278" i="10"/>
  <c r="D279" i="10"/>
  <c r="E279" i="10"/>
  <c r="F279" i="10"/>
  <c r="G279" i="10"/>
  <c r="J279" i="10" s="1"/>
  <c r="H279" i="10"/>
  <c r="D280" i="10"/>
  <c r="E280" i="10"/>
  <c r="F280" i="10"/>
  <c r="G280" i="10"/>
  <c r="H280" i="10"/>
  <c r="D281" i="10"/>
  <c r="E281" i="10"/>
  <c r="J281" i="10" s="1"/>
  <c r="F281" i="10"/>
  <c r="G281" i="10"/>
  <c r="H281" i="10"/>
  <c r="D282" i="10"/>
  <c r="E282" i="10"/>
  <c r="F282" i="10"/>
  <c r="G282" i="10"/>
  <c r="H282" i="10"/>
  <c r="J282" i="10" s="1"/>
  <c r="D283" i="10"/>
  <c r="E283" i="10"/>
  <c r="F283" i="10"/>
  <c r="G283" i="10"/>
  <c r="H283" i="10"/>
  <c r="D284" i="10"/>
  <c r="E284" i="10"/>
  <c r="F284" i="10"/>
  <c r="J284" i="10" s="1"/>
  <c r="G284" i="10"/>
  <c r="H284" i="10"/>
  <c r="D285" i="10"/>
  <c r="E285" i="10"/>
  <c r="F285" i="10"/>
  <c r="G285" i="10"/>
  <c r="H285" i="10"/>
  <c r="D286" i="10"/>
  <c r="J286" i="10" s="1"/>
  <c r="E286" i="10"/>
  <c r="F286" i="10"/>
  <c r="G286" i="10"/>
  <c r="H286" i="10"/>
  <c r="D287" i="10"/>
  <c r="E287" i="10"/>
  <c r="F287" i="10"/>
  <c r="G287" i="10"/>
  <c r="J287" i="10" s="1"/>
  <c r="H287" i="10"/>
  <c r="D288" i="10"/>
  <c r="E288" i="10"/>
  <c r="F288" i="10"/>
  <c r="G288" i="10"/>
  <c r="H288" i="10"/>
  <c r="D289" i="10"/>
  <c r="E289" i="10"/>
  <c r="J289" i="10" s="1"/>
  <c r="F289" i="10"/>
  <c r="G289" i="10"/>
  <c r="H289" i="10"/>
  <c r="D290" i="10"/>
  <c r="E290" i="10"/>
  <c r="F290" i="10"/>
  <c r="G290" i="10"/>
  <c r="H290" i="10"/>
  <c r="J290" i="10" s="1"/>
  <c r="D291" i="10"/>
  <c r="E291" i="10"/>
  <c r="F291" i="10"/>
  <c r="G291" i="10"/>
  <c r="H291" i="10"/>
  <c r="D292" i="10"/>
  <c r="E292" i="10"/>
  <c r="F292" i="10"/>
  <c r="J292" i="10" s="1"/>
  <c r="G292" i="10"/>
  <c r="H292" i="10"/>
  <c r="D293" i="10"/>
  <c r="E293" i="10"/>
  <c r="F293" i="10"/>
  <c r="G293" i="10"/>
  <c r="H293" i="10"/>
  <c r="D294" i="10"/>
  <c r="J294" i="10" s="1"/>
  <c r="E294" i="10"/>
  <c r="F294" i="10"/>
  <c r="G294" i="10"/>
  <c r="H294" i="10"/>
  <c r="D295" i="10"/>
  <c r="E295" i="10"/>
  <c r="F295" i="10"/>
  <c r="G295" i="10"/>
  <c r="J295" i="10" s="1"/>
  <c r="H295" i="10"/>
  <c r="D296" i="10"/>
  <c r="E296" i="10"/>
  <c r="F296" i="10"/>
  <c r="G296" i="10"/>
  <c r="H296" i="10"/>
  <c r="D297" i="10"/>
  <c r="E297" i="10"/>
  <c r="J297" i="10" s="1"/>
  <c r="F297" i="10"/>
  <c r="G297" i="10"/>
  <c r="H297" i="10"/>
  <c r="D298" i="10"/>
  <c r="E298" i="10"/>
  <c r="F298" i="10"/>
  <c r="G298" i="10"/>
  <c r="H298" i="10"/>
  <c r="J298" i="10" s="1"/>
  <c r="D299" i="10"/>
  <c r="E299" i="10"/>
  <c r="F299" i="10"/>
  <c r="G299" i="10"/>
  <c r="H299" i="10"/>
  <c r="D300" i="10"/>
  <c r="E300" i="10"/>
  <c r="F300" i="10"/>
  <c r="J300" i="10" s="1"/>
  <c r="G300" i="10"/>
  <c r="H300" i="10"/>
  <c r="D301" i="10"/>
  <c r="E301" i="10"/>
  <c r="F301" i="10"/>
  <c r="G301" i="10"/>
  <c r="H301" i="10"/>
  <c r="D302" i="10"/>
  <c r="J302" i="10" s="1"/>
  <c r="E302" i="10"/>
  <c r="F302" i="10"/>
  <c r="G302" i="10"/>
  <c r="H302" i="10"/>
  <c r="D303" i="10"/>
  <c r="E303" i="10"/>
  <c r="F303" i="10"/>
  <c r="G303" i="10"/>
  <c r="J303" i="10" s="1"/>
  <c r="H303" i="10"/>
  <c r="D304" i="10"/>
  <c r="E304" i="10"/>
  <c r="F304" i="10"/>
  <c r="G304" i="10"/>
  <c r="H304" i="10"/>
  <c r="D305" i="10"/>
  <c r="E305" i="10"/>
  <c r="J305" i="10" s="1"/>
  <c r="F305" i="10"/>
  <c r="G305" i="10"/>
  <c r="H305" i="10"/>
  <c r="D306" i="10"/>
  <c r="E306" i="10"/>
  <c r="F306" i="10"/>
  <c r="G306" i="10"/>
  <c r="H306" i="10"/>
  <c r="J306" i="10" s="1"/>
  <c r="D307" i="10"/>
  <c r="E307" i="10"/>
  <c r="F307" i="10"/>
  <c r="G307" i="10"/>
  <c r="H307" i="10"/>
  <c r="D308" i="10"/>
  <c r="E308" i="10"/>
  <c r="F308" i="10"/>
  <c r="J308" i="10" s="1"/>
  <c r="G308" i="10"/>
  <c r="H308" i="10"/>
  <c r="D309" i="10"/>
  <c r="E309" i="10"/>
  <c r="F309" i="10"/>
  <c r="G309" i="10"/>
  <c r="H309" i="10"/>
  <c r="D310" i="10"/>
  <c r="J310" i="10" s="1"/>
  <c r="E310" i="10"/>
  <c r="F310" i="10"/>
  <c r="G310" i="10"/>
  <c r="H310" i="10"/>
  <c r="D311" i="10"/>
  <c r="E311" i="10"/>
  <c r="F311" i="10"/>
  <c r="G311" i="10"/>
  <c r="J311" i="10" s="1"/>
  <c r="H311" i="10"/>
  <c r="D312" i="10"/>
  <c r="E312" i="10"/>
  <c r="F312" i="10"/>
  <c r="G312" i="10"/>
  <c r="H312" i="10"/>
  <c r="D313" i="10"/>
  <c r="E313" i="10"/>
  <c r="J313" i="10" s="1"/>
  <c r="F313" i="10"/>
  <c r="G313" i="10"/>
  <c r="H313" i="10"/>
  <c r="D314" i="10"/>
  <c r="E314" i="10"/>
  <c r="F314" i="10"/>
  <c r="G314" i="10"/>
  <c r="H314" i="10"/>
  <c r="J314" i="10" s="1"/>
  <c r="D315" i="10"/>
  <c r="E315" i="10"/>
  <c r="F315" i="10"/>
  <c r="G315" i="10"/>
  <c r="H315" i="10"/>
  <c r="D316" i="10"/>
  <c r="E316" i="10"/>
  <c r="F316" i="10"/>
  <c r="J316" i="10" s="1"/>
  <c r="G316" i="10"/>
  <c r="H316" i="10"/>
  <c r="D317" i="10"/>
  <c r="E317" i="10"/>
  <c r="F317" i="10"/>
  <c r="G317" i="10"/>
  <c r="H317" i="10"/>
  <c r="D318" i="10"/>
  <c r="J318" i="10" s="1"/>
  <c r="E318" i="10"/>
  <c r="F318" i="10"/>
  <c r="G318" i="10"/>
  <c r="H318" i="10"/>
  <c r="D319" i="10"/>
  <c r="E319" i="10"/>
  <c r="F319" i="10"/>
  <c r="G319" i="10"/>
  <c r="J319" i="10" s="1"/>
  <c r="H319" i="10"/>
  <c r="D320" i="10"/>
  <c r="E320" i="10"/>
  <c r="F320" i="10"/>
  <c r="G320" i="10"/>
  <c r="H320" i="10"/>
  <c r="D321" i="10"/>
  <c r="E321" i="10"/>
  <c r="J321" i="10" s="1"/>
  <c r="F321" i="10"/>
  <c r="G321" i="10"/>
  <c r="H321" i="10"/>
  <c r="D322" i="10"/>
  <c r="E322" i="10"/>
  <c r="F322" i="10"/>
  <c r="G322" i="10"/>
  <c r="H322" i="10"/>
  <c r="J322" i="10" s="1"/>
  <c r="D323" i="10"/>
  <c r="E323" i="10"/>
  <c r="F323" i="10"/>
  <c r="G323" i="10"/>
  <c r="H323" i="10"/>
  <c r="D324" i="10"/>
  <c r="E324" i="10"/>
  <c r="F324" i="10"/>
  <c r="J324" i="10" s="1"/>
  <c r="G324" i="10"/>
  <c r="H324" i="10"/>
  <c r="D325" i="10"/>
  <c r="E325" i="10"/>
  <c r="F325" i="10"/>
  <c r="G325" i="10"/>
  <c r="H325" i="10"/>
  <c r="D326" i="10"/>
  <c r="J326" i="10" s="1"/>
  <c r="E326" i="10"/>
  <c r="F326" i="10"/>
  <c r="G326" i="10"/>
  <c r="H326" i="10"/>
  <c r="D327" i="10"/>
  <c r="E327" i="10"/>
  <c r="F327" i="10"/>
  <c r="G327" i="10"/>
  <c r="J327" i="10" s="1"/>
  <c r="H327" i="10"/>
  <c r="D328" i="10"/>
  <c r="E328" i="10"/>
  <c r="F328" i="10"/>
  <c r="G328" i="10"/>
  <c r="H328" i="10"/>
  <c r="D329" i="10"/>
  <c r="E329" i="10"/>
  <c r="J329" i="10" s="1"/>
  <c r="F329" i="10"/>
  <c r="G329" i="10"/>
  <c r="H329" i="10"/>
  <c r="D330" i="10"/>
  <c r="E330" i="10"/>
  <c r="F330" i="10"/>
  <c r="G330" i="10"/>
  <c r="H330" i="10"/>
  <c r="J330" i="10" s="1"/>
  <c r="D331" i="10"/>
  <c r="E331" i="10"/>
  <c r="F331" i="10"/>
  <c r="G331" i="10"/>
  <c r="H331" i="10"/>
  <c r="D332" i="10"/>
  <c r="E332" i="10"/>
  <c r="F332" i="10"/>
  <c r="J332" i="10" s="1"/>
  <c r="G332" i="10"/>
  <c r="H332" i="10"/>
  <c r="D333" i="10"/>
  <c r="E333" i="10"/>
  <c r="F333" i="10"/>
  <c r="G333" i="10"/>
  <c r="H333" i="10"/>
  <c r="D334" i="10"/>
  <c r="J334" i="10" s="1"/>
  <c r="E334" i="10"/>
  <c r="F334" i="10"/>
  <c r="G334" i="10"/>
  <c r="H334" i="10"/>
  <c r="D335" i="10"/>
  <c r="E335" i="10"/>
  <c r="F335" i="10"/>
  <c r="G335" i="10"/>
  <c r="J335" i="10" s="1"/>
  <c r="H335" i="10"/>
  <c r="D336" i="10"/>
  <c r="E336" i="10"/>
  <c r="F336" i="10"/>
  <c r="G336" i="10"/>
  <c r="H336" i="10"/>
  <c r="D337" i="10"/>
  <c r="E337" i="10"/>
  <c r="J337" i="10" s="1"/>
  <c r="F337" i="10"/>
  <c r="G337" i="10"/>
  <c r="H337" i="10"/>
  <c r="D338" i="10"/>
  <c r="E338" i="10"/>
  <c r="F338" i="10"/>
  <c r="G338" i="10"/>
  <c r="H338" i="10"/>
  <c r="J338" i="10" s="1"/>
  <c r="D339" i="10"/>
  <c r="E339" i="10"/>
  <c r="F339" i="10"/>
  <c r="G339" i="10"/>
  <c r="H339" i="10"/>
  <c r="D340" i="10"/>
  <c r="E340" i="10"/>
  <c r="F340" i="10"/>
  <c r="J340" i="10" s="1"/>
  <c r="G340" i="10"/>
  <c r="H340" i="10"/>
  <c r="D341" i="10"/>
  <c r="E341" i="10"/>
  <c r="F341" i="10"/>
  <c r="G341" i="10"/>
  <c r="H341" i="10"/>
  <c r="D342" i="10"/>
  <c r="J342" i="10" s="1"/>
  <c r="E342" i="10"/>
  <c r="F342" i="10"/>
  <c r="G342" i="10"/>
  <c r="H342" i="10"/>
  <c r="D343" i="10"/>
  <c r="E343" i="10"/>
  <c r="F343" i="10"/>
  <c r="G343" i="10"/>
  <c r="J343" i="10" s="1"/>
  <c r="H343" i="10"/>
  <c r="D344" i="10"/>
  <c r="E344" i="10"/>
  <c r="F344" i="10"/>
  <c r="G344" i="10"/>
  <c r="H344" i="10"/>
  <c r="D345" i="10"/>
  <c r="E345" i="10"/>
  <c r="J345" i="10" s="1"/>
  <c r="F345" i="10"/>
  <c r="G345" i="10"/>
  <c r="H345" i="10"/>
  <c r="D346" i="10"/>
  <c r="E346" i="10"/>
  <c r="F346" i="10"/>
  <c r="G346" i="10"/>
  <c r="H346" i="10"/>
  <c r="J346" i="10" s="1"/>
  <c r="D347" i="10"/>
  <c r="E347" i="10"/>
  <c r="F347" i="10"/>
  <c r="G347" i="10"/>
  <c r="H347" i="10"/>
  <c r="D348" i="10"/>
  <c r="E348" i="10"/>
  <c r="F348" i="10"/>
  <c r="J348" i="10" s="1"/>
  <c r="G348" i="10"/>
  <c r="H348" i="10"/>
  <c r="D349" i="10"/>
  <c r="E349" i="10"/>
  <c r="F349" i="10"/>
  <c r="G349" i="10"/>
  <c r="H349" i="10"/>
  <c r="D350" i="10"/>
  <c r="J350" i="10" s="1"/>
  <c r="E350" i="10"/>
  <c r="F350" i="10"/>
  <c r="G350" i="10"/>
  <c r="H350" i="10"/>
  <c r="D351" i="10"/>
  <c r="E351" i="10"/>
  <c r="F351" i="10"/>
  <c r="G351" i="10"/>
  <c r="J351" i="10" s="1"/>
  <c r="H351" i="10"/>
  <c r="D352" i="10"/>
  <c r="E352" i="10"/>
  <c r="F352" i="10"/>
  <c r="G352" i="10"/>
  <c r="H352" i="10"/>
  <c r="D353" i="10"/>
  <c r="E353" i="10"/>
  <c r="J353" i="10" s="1"/>
  <c r="F353" i="10"/>
  <c r="G353" i="10"/>
  <c r="H353" i="10"/>
  <c r="D354" i="10"/>
  <c r="E354" i="10"/>
  <c r="F354" i="10"/>
  <c r="G354" i="10"/>
  <c r="H354" i="10"/>
  <c r="J354" i="10" s="1"/>
  <c r="D355" i="10"/>
  <c r="E355" i="10"/>
  <c r="F355" i="10"/>
  <c r="G355" i="10"/>
  <c r="H355" i="10"/>
  <c r="D356" i="10"/>
  <c r="E356" i="10"/>
  <c r="F356" i="10"/>
  <c r="J356" i="10" s="1"/>
  <c r="G356" i="10"/>
  <c r="H356" i="10"/>
  <c r="D357" i="10"/>
  <c r="E357" i="10"/>
  <c r="F357" i="10"/>
  <c r="G357" i="10"/>
  <c r="H357" i="10"/>
  <c r="D358" i="10"/>
  <c r="J358" i="10" s="1"/>
  <c r="E358" i="10"/>
  <c r="F358" i="10"/>
  <c r="G358" i="10"/>
  <c r="H358" i="10"/>
  <c r="D359" i="10"/>
  <c r="E359" i="10"/>
  <c r="F359" i="10"/>
  <c r="G359" i="10"/>
  <c r="J359" i="10" s="1"/>
  <c r="H359" i="10"/>
  <c r="D360" i="10"/>
  <c r="E360" i="10"/>
  <c r="F360" i="10"/>
  <c r="G360" i="10"/>
  <c r="H360" i="10"/>
  <c r="D361" i="10"/>
  <c r="E361" i="10"/>
  <c r="J361" i="10" s="1"/>
  <c r="F361" i="10"/>
  <c r="G361" i="10"/>
  <c r="H361" i="10"/>
  <c r="D362" i="10"/>
  <c r="E362" i="10"/>
  <c r="F362" i="10"/>
  <c r="G362" i="10"/>
  <c r="H362" i="10"/>
  <c r="J362" i="10" s="1"/>
  <c r="D363" i="10"/>
  <c r="E363" i="10"/>
  <c r="F363" i="10"/>
  <c r="G363" i="10"/>
  <c r="H363" i="10"/>
  <c r="D364" i="10"/>
  <c r="E364" i="10"/>
  <c r="F364" i="10"/>
  <c r="J364" i="10" s="1"/>
  <c r="G364" i="10"/>
  <c r="H364" i="10"/>
  <c r="D365" i="10"/>
  <c r="E365" i="10"/>
  <c r="F365" i="10"/>
  <c r="G365" i="10"/>
  <c r="H365" i="10"/>
  <c r="D366" i="10"/>
  <c r="J366" i="10" s="1"/>
  <c r="E366" i="10"/>
  <c r="F366" i="10"/>
  <c r="G366" i="10"/>
  <c r="H366" i="10"/>
  <c r="D367" i="10"/>
  <c r="E367" i="10"/>
  <c r="F367" i="10"/>
  <c r="G367" i="10"/>
  <c r="J367" i="10" s="1"/>
  <c r="H367" i="10"/>
  <c r="D368" i="10"/>
  <c r="E368" i="10"/>
  <c r="F368" i="10"/>
  <c r="G368" i="10"/>
  <c r="H368" i="10"/>
  <c r="D369" i="10"/>
  <c r="E369" i="10"/>
  <c r="J369" i="10" s="1"/>
  <c r="F369" i="10"/>
  <c r="G369" i="10"/>
  <c r="H369" i="10"/>
  <c r="D370" i="10"/>
  <c r="E370" i="10"/>
  <c r="F370" i="10"/>
  <c r="G370" i="10"/>
  <c r="H370" i="10"/>
  <c r="J370" i="10" s="1"/>
  <c r="D371" i="10"/>
  <c r="E371" i="10"/>
  <c r="F371" i="10"/>
  <c r="G371" i="10"/>
  <c r="H371" i="10"/>
  <c r="D372" i="10"/>
  <c r="E372" i="10"/>
  <c r="F372" i="10"/>
  <c r="J372" i="10" s="1"/>
  <c r="G372" i="10"/>
  <c r="H372" i="10"/>
  <c r="D373" i="10"/>
  <c r="E373" i="10"/>
  <c r="F373" i="10"/>
  <c r="G373" i="10"/>
  <c r="H373" i="10"/>
  <c r="D374" i="10"/>
  <c r="J374" i="10" s="1"/>
  <c r="E374" i="10"/>
  <c r="F374" i="10"/>
  <c r="G374" i="10"/>
  <c r="H374" i="10"/>
  <c r="D375" i="10"/>
  <c r="E375" i="10"/>
  <c r="F375" i="10"/>
  <c r="G375" i="10"/>
  <c r="J375" i="10" s="1"/>
  <c r="H375" i="10"/>
  <c r="D376" i="10"/>
  <c r="E376" i="10"/>
  <c r="F376" i="10"/>
  <c r="G376" i="10"/>
  <c r="H376" i="10"/>
  <c r="D377" i="10"/>
  <c r="E377" i="10"/>
  <c r="J377" i="10" s="1"/>
  <c r="F377" i="10"/>
  <c r="G377" i="10"/>
  <c r="H377" i="10"/>
  <c r="D378" i="10"/>
  <c r="E378" i="10"/>
  <c r="F378" i="10"/>
  <c r="G378" i="10"/>
  <c r="H378" i="10"/>
  <c r="J378" i="10" s="1"/>
  <c r="D379" i="10"/>
  <c r="E379" i="10"/>
  <c r="F379" i="10"/>
  <c r="G379" i="10"/>
  <c r="H379" i="10"/>
  <c r="D380" i="10"/>
  <c r="E380" i="10"/>
  <c r="F380" i="10"/>
  <c r="J380" i="10" s="1"/>
  <c r="G380" i="10"/>
  <c r="H380" i="10"/>
  <c r="D381" i="10"/>
  <c r="E381" i="10"/>
  <c r="F381" i="10"/>
  <c r="G381" i="10"/>
  <c r="H381" i="10"/>
  <c r="D382" i="10"/>
  <c r="J382" i="10" s="1"/>
  <c r="E382" i="10"/>
  <c r="F382" i="10"/>
  <c r="G382" i="10"/>
  <c r="H382" i="10"/>
  <c r="D383" i="10"/>
  <c r="E383" i="10"/>
  <c r="F383" i="10"/>
  <c r="G383" i="10"/>
  <c r="J383" i="10" s="1"/>
  <c r="H383" i="10"/>
  <c r="D384" i="10"/>
  <c r="E384" i="10"/>
  <c r="F384" i="10"/>
  <c r="G384" i="10"/>
  <c r="H384" i="10"/>
  <c r="D385" i="10"/>
  <c r="E385" i="10"/>
  <c r="J385" i="10" s="1"/>
  <c r="F385" i="10"/>
  <c r="G385" i="10"/>
  <c r="H385" i="10"/>
  <c r="D386" i="10"/>
  <c r="E386" i="10"/>
  <c r="F386" i="10"/>
  <c r="G386" i="10"/>
  <c r="H386" i="10"/>
  <c r="J386" i="10" s="1"/>
  <c r="D387" i="10"/>
  <c r="E387" i="10"/>
  <c r="F387" i="10"/>
  <c r="G387" i="10"/>
  <c r="H387" i="10"/>
  <c r="D388" i="10"/>
  <c r="E388" i="10"/>
  <c r="F388" i="10"/>
  <c r="J388" i="10" s="1"/>
  <c r="G388" i="10"/>
  <c r="H388" i="10"/>
  <c r="D389" i="10"/>
  <c r="E389" i="10"/>
  <c r="F389" i="10"/>
  <c r="G389" i="10"/>
  <c r="H389" i="10"/>
  <c r="D390" i="10"/>
  <c r="J390" i="10" s="1"/>
  <c r="E390" i="10"/>
  <c r="F390" i="10"/>
  <c r="G390" i="10"/>
  <c r="H390" i="10"/>
  <c r="D391" i="10"/>
  <c r="E391" i="10"/>
  <c r="F391" i="10"/>
  <c r="G391" i="10"/>
  <c r="J391" i="10" s="1"/>
  <c r="H391" i="10"/>
  <c r="D392" i="10"/>
  <c r="E392" i="10"/>
  <c r="F392" i="10"/>
  <c r="G392" i="10"/>
  <c r="H392" i="10"/>
  <c r="D393" i="10"/>
  <c r="E393" i="10"/>
  <c r="J393" i="10" s="1"/>
  <c r="F393" i="10"/>
  <c r="G393" i="10"/>
  <c r="H393" i="10"/>
  <c r="D394" i="10"/>
  <c r="E394" i="10"/>
  <c r="F394" i="10"/>
  <c r="G394" i="10"/>
  <c r="H394" i="10"/>
  <c r="J394" i="10" s="1"/>
  <c r="D395" i="10"/>
  <c r="E395" i="10"/>
  <c r="F395" i="10"/>
  <c r="G395" i="10"/>
  <c r="H395" i="10"/>
  <c r="D396" i="10"/>
  <c r="E396" i="10"/>
  <c r="F396" i="10"/>
  <c r="J396" i="10" s="1"/>
  <c r="G396" i="10"/>
  <c r="H396" i="10"/>
  <c r="D397" i="10"/>
  <c r="E397" i="10"/>
  <c r="F397" i="10"/>
  <c r="G397" i="10"/>
  <c r="H397" i="10"/>
  <c r="D398" i="10"/>
  <c r="J398" i="10" s="1"/>
  <c r="E398" i="10"/>
  <c r="F398" i="10"/>
  <c r="G398" i="10"/>
  <c r="H398" i="10"/>
  <c r="D399" i="10"/>
  <c r="E399" i="10"/>
  <c r="F399" i="10"/>
  <c r="G399" i="10"/>
  <c r="J399" i="10" s="1"/>
  <c r="H399" i="10"/>
  <c r="D400" i="10"/>
  <c r="E400" i="10"/>
  <c r="F400" i="10"/>
  <c r="G400" i="10"/>
  <c r="H400" i="10"/>
  <c r="D401" i="10"/>
  <c r="E401" i="10"/>
  <c r="J401" i="10" s="1"/>
  <c r="F401" i="10"/>
  <c r="G401" i="10"/>
  <c r="H401" i="10"/>
  <c r="D402" i="10"/>
  <c r="E402" i="10"/>
  <c r="F402" i="10"/>
  <c r="G402" i="10"/>
  <c r="H402" i="10"/>
  <c r="J402" i="10" s="1"/>
  <c r="D403" i="10"/>
  <c r="E403" i="10"/>
  <c r="F403" i="10"/>
  <c r="G403" i="10"/>
  <c r="H403" i="10"/>
  <c r="D404" i="10"/>
  <c r="E404" i="10"/>
  <c r="F404" i="10"/>
  <c r="J404" i="10" s="1"/>
  <c r="G404" i="10"/>
  <c r="H404" i="10"/>
  <c r="D405" i="10"/>
  <c r="E405" i="10"/>
  <c r="F405" i="10"/>
  <c r="G405" i="10"/>
  <c r="H405" i="10"/>
  <c r="D406" i="10"/>
  <c r="J406" i="10" s="1"/>
  <c r="E406" i="10"/>
  <c r="F406" i="10"/>
  <c r="G406" i="10"/>
  <c r="H406" i="10"/>
  <c r="D407" i="10"/>
  <c r="E407" i="10"/>
  <c r="F407" i="10"/>
  <c r="G407" i="10"/>
  <c r="J407" i="10" s="1"/>
  <c r="H407" i="10"/>
  <c r="D408" i="10"/>
  <c r="E408" i="10"/>
  <c r="F408" i="10"/>
  <c r="G408" i="10"/>
  <c r="H408" i="10"/>
  <c r="D409" i="10"/>
  <c r="E409" i="10"/>
  <c r="J409" i="10" s="1"/>
  <c r="F409" i="10"/>
  <c r="G409" i="10"/>
  <c r="H409" i="10"/>
  <c r="D410" i="10"/>
  <c r="E410" i="10"/>
  <c r="F410" i="10"/>
  <c r="G410" i="10"/>
  <c r="H410" i="10"/>
  <c r="J410" i="10" s="1"/>
  <c r="D411" i="10"/>
  <c r="E411" i="10"/>
  <c r="F411" i="10"/>
  <c r="G411" i="10"/>
  <c r="H411" i="10"/>
  <c r="D412" i="10"/>
  <c r="E412" i="10"/>
  <c r="F412" i="10"/>
  <c r="J412" i="10" s="1"/>
  <c r="G412" i="10"/>
  <c r="H412" i="10"/>
  <c r="D413" i="10"/>
  <c r="E413" i="10"/>
  <c r="F413" i="10"/>
  <c r="G413" i="10"/>
  <c r="H413" i="10"/>
  <c r="D414" i="10"/>
  <c r="J414" i="10" s="1"/>
  <c r="E414" i="10"/>
  <c r="F414" i="10"/>
  <c r="G414" i="10"/>
  <c r="H414" i="10"/>
  <c r="D415" i="10"/>
  <c r="E415" i="10"/>
  <c r="F415" i="10"/>
  <c r="G415" i="10"/>
  <c r="J415" i="10" s="1"/>
  <c r="H415" i="10"/>
  <c r="D416" i="10"/>
  <c r="E416" i="10"/>
  <c r="F416" i="10"/>
  <c r="G416" i="10"/>
  <c r="H416" i="10"/>
  <c r="D417" i="10"/>
  <c r="E417" i="10"/>
  <c r="J417" i="10" s="1"/>
  <c r="F417" i="10"/>
  <c r="G417" i="10"/>
  <c r="H417" i="10"/>
  <c r="D418" i="10"/>
  <c r="E418" i="10"/>
  <c r="F418" i="10"/>
  <c r="G418" i="10"/>
  <c r="H418" i="10"/>
  <c r="J418" i="10" s="1"/>
  <c r="D419" i="10"/>
  <c r="E419" i="10"/>
  <c r="F419" i="10"/>
  <c r="G419" i="10"/>
  <c r="H419" i="10"/>
  <c r="D420" i="10"/>
  <c r="E420" i="10"/>
  <c r="F420" i="10"/>
  <c r="J420" i="10" s="1"/>
  <c r="G420" i="10"/>
  <c r="H420" i="10"/>
  <c r="D421" i="10"/>
  <c r="E421" i="10"/>
  <c r="F421" i="10"/>
  <c r="G421" i="10"/>
  <c r="H421" i="10"/>
  <c r="D422" i="10"/>
  <c r="J422" i="10" s="1"/>
  <c r="E422" i="10"/>
  <c r="F422" i="10"/>
  <c r="G422" i="10"/>
  <c r="H422" i="10"/>
  <c r="D423" i="10"/>
  <c r="E423" i="10"/>
  <c r="F423" i="10"/>
  <c r="G423" i="10"/>
  <c r="J423" i="10" s="1"/>
  <c r="H423" i="10"/>
  <c r="D424" i="10"/>
  <c r="E424" i="10"/>
  <c r="F424" i="10"/>
  <c r="G424" i="10"/>
  <c r="H424" i="10"/>
  <c r="D425" i="10"/>
  <c r="E425" i="10"/>
  <c r="J425" i="10" s="1"/>
  <c r="F425" i="10"/>
  <c r="G425" i="10"/>
  <c r="H425" i="10"/>
  <c r="D426" i="10"/>
  <c r="E426" i="10"/>
  <c r="F426" i="10"/>
  <c r="G426" i="10"/>
  <c r="H426" i="10"/>
  <c r="J426" i="10" s="1"/>
  <c r="D427" i="10"/>
  <c r="E427" i="10"/>
  <c r="F427" i="10"/>
  <c r="G427" i="10"/>
  <c r="H427" i="10"/>
  <c r="D428" i="10"/>
  <c r="E428" i="10"/>
  <c r="F428" i="10"/>
  <c r="J428" i="10" s="1"/>
  <c r="G428" i="10"/>
  <c r="H428" i="10"/>
  <c r="D429" i="10"/>
  <c r="E429" i="10"/>
  <c r="F429" i="10"/>
  <c r="G429" i="10"/>
  <c r="H429" i="10"/>
  <c r="D430" i="10"/>
  <c r="J430" i="10" s="1"/>
  <c r="E430" i="10"/>
  <c r="F430" i="10"/>
  <c r="G430" i="10"/>
  <c r="H430" i="10"/>
  <c r="D431" i="10"/>
  <c r="E431" i="10"/>
  <c r="F431" i="10"/>
  <c r="G431" i="10"/>
  <c r="J431" i="10" s="1"/>
  <c r="H431" i="10"/>
  <c r="D432" i="10"/>
  <c r="E432" i="10"/>
  <c r="F432" i="10"/>
  <c r="G432" i="10"/>
  <c r="H432" i="10"/>
  <c r="D433" i="10"/>
  <c r="E433" i="10"/>
  <c r="J433" i="10" s="1"/>
  <c r="F433" i="10"/>
  <c r="G433" i="10"/>
  <c r="H433" i="10"/>
  <c r="D434" i="10"/>
  <c r="E434" i="10"/>
  <c r="F434" i="10"/>
  <c r="G434" i="10"/>
  <c r="H434" i="10"/>
  <c r="J434" i="10" s="1"/>
  <c r="D435" i="10"/>
  <c r="E435" i="10"/>
  <c r="F435" i="10"/>
  <c r="G435" i="10"/>
  <c r="H435" i="10"/>
  <c r="D436" i="10"/>
  <c r="E436" i="10"/>
  <c r="F436" i="10"/>
  <c r="J436" i="10" s="1"/>
  <c r="G436" i="10"/>
  <c r="H436" i="10"/>
  <c r="D437" i="10"/>
  <c r="E437" i="10"/>
  <c r="F437" i="10"/>
  <c r="G437" i="10"/>
  <c r="H437" i="10"/>
  <c r="D438" i="10"/>
  <c r="J438" i="10" s="1"/>
  <c r="E438" i="10"/>
  <c r="F438" i="10"/>
  <c r="G438" i="10"/>
  <c r="H438" i="10"/>
  <c r="D439" i="10"/>
  <c r="E439" i="10"/>
  <c r="F439" i="10"/>
  <c r="G439" i="10"/>
  <c r="J439" i="10" s="1"/>
  <c r="H439" i="10"/>
  <c r="D440" i="10"/>
  <c r="E440" i="10"/>
  <c r="F440" i="10"/>
  <c r="G440" i="10"/>
  <c r="H440" i="10"/>
  <c r="D441" i="10"/>
  <c r="E441" i="10"/>
  <c r="J441" i="10" s="1"/>
  <c r="F441" i="10"/>
  <c r="G441" i="10"/>
  <c r="H441" i="10"/>
  <c r="D442" i="10"/>
  <c r="E442" i="10"/>
  <c r="F442" i="10"/>
  <c r="G442" i="10"/>
  <c r="H442" i="10"/>
  <c r="J442" i="10" s="1"/>
  <c r="D443" i="10"/>
  <c r="E443" i="10"/>
  <c r="F443" i="10"/>
  <c r="G443" i="10"/>
  <c r="H443" i="10"/>
  <c r="D444" i="10"/>
  <c r="E444" i="10"/>
  <c r="F444" i="10"/>
  <c r="J444" i="10" s="1"/>
  <c r="G444" i="10"/>
  <c r="H444" i="10"/>
  <c r="D445" i="10"/>
  <c r="E445" i="10"/>
  <c r="F445" i="10"/>
  <c r="G445" i="10"/>
  <c r="H445" i="10"/>
  <c r="D446" i="10"/>
  <c r="J446" i="10" s="1"/>
  <c r="E446" i="10"/>
  <c r="F446" i="10"/>
  <c r="G446" i="10"/>
  <c r="H446" i="10"/>
  <c r="D447" i="10"/>
  <c r="E447" i="10"/>
  <c r="F447" i="10"/>
  <c r="G447" i="10"/>
  <c r="J447" i="10" s="1"/>
  <c r="H447" i="10"/>
  <c r="D448" i="10"/>
  <c r="E448" i="10"/>
  <c r="F448" i="10"/>
  <c r="G448" i="10"/>
  <c r="H448" i="10"/>
  <c r="D449" i="10"/>
  <c r="E449" i="10"/>
  <c r="J449" i="10" s="1"/>
  <c r="F449" i="10"/>
  <c r="G449" i="10"/>
  <c r="H449" i="10"/>
  <c r="D450" i="10"/>
  <c r="E450" i="10"/>
  <c r="F450" i="10"/>
  <c r="G450" i="10"/>
  <c r="H450" i="10"/>
  <c r="J450" i="10" s="1"/>
  <c r="D451" i="10"/>
  <c r="E451" i="10"/>
  <c r="F451" i="10"/>
  <c r="G451" i="10"/>
  <c r="H451" i="10"/>
  <c r="D452" i="10"/>
  <c r="E452" i="10"/>
  <c r="F452" i="10"/>
  <c r="J452" i="10" s="1"/>
  <c r="G452" i="10"/>
  <c r="H452" i="10"/>
  <c r="D453" i="10"/>
  <c r="E453" i="10"/>
  <c r="F453" i="10"/>
  <c r="G453" i="10"/>
  <c r="H453" i="10"/>
  <c r="D454" i="10"/>
  <c r="J454" i="10" s="1"/>
  <c r="E454" i="10"/>
  <c r="F454" i="10"/>
  <c r="G454" i="10"/>
  <c r="H454" i="10"/>
  <c r="D455" i="10"/>
  <c r="E455" i="10"/>
  <c r="F455" i="10"/>
  <c r="G455" i="10"/>
  <c r="J455" i="10" s="1"/>
  <c r="H455" i="10"/>
  <c r="D456" i="10"/>
  <c r="E456" i="10"/>
  <c r="F456" i="10"/>
  <c r="G456" i="10"/>
  <c r="H456" i="10"/>
  <c r="D457" i="10"/>
  <c r="E457" i="10"/>
  <c r="J457" i="10" s="1"/>
  <c r="F457" i="10"/>
  <c r="G457" i="10"/>
  <c r="H457" i="10"/>
  <c r="D458" i="10"/>
  <c r="E458" i="10"/>
  <c r="F458" i="10"/>
  <c r="G458" i="10"/>
  <c r="H458" i="10"/>
  <c r="J458" i="10" s="1"/>
  <c r="D459" i="10"/>
  <c r="E459" i="10"/>
  <c r="F459" i="10"/>
  <c r="G459" i="10"/>
  <c r="H459" i="10"/>
  <c r="D460" i="10"/>
  <c r="E460" i="10"/>
  <c r="F460" i="10"/>
  <c r="J460" i="10" s="1"/>
  <c r="G460" i="10"/>
  <c r="H460" i="10"/>
  <c r="D461" i="10"/>
  <c r="E461" i="10"/>
  <c r="F461" i="10"/>
  <c r="G461" i="10"/>
  <c r="H461" i="10"/>
  <c r="D462" i="10"/>
  <c r="J462" i="10" s="1"/>
  <c r="E462" i="10"/>
  <c r="F462" i="10"/>
  <c r="G462" i="10"/>
  <c r="H462" i="10"/>
  <c r="D463" i="10"/>
  <c r="E463" i="10"/>
  <c r="F463" i="10"/>
  <c r="G463" i="10"/>
  <c r="J463" i="10" s="1"/>
  <c r="H463" i="10"/>
  <c r="D464" i="10"/>
  <c r="E464" i="10"/>
  <c r="F464" i="10"/>
  <c r="G464" i="10"/>
  <c r="H464" i="10"/>
  <c r="D465" i="10"/>
  <c r="E465" i="10"/>
  <c r="J465" i="10" s="1"/>
  <c r="F465" i="10"/>
  <c r="G465" i="10"/>
  <c r="H465" i="10"/>
  <c r="D466" i="10"/>
  <c r="E466" i="10"/>
  <c r="F466" i="10"/>
  <c r="G466" i="10"/>
  <c r="H466" i="10"/>
  <c r="J466" i="10" s="1"/>
  <c r="D467" i="10"/>
  <c r="E467" i="10"/>
  <c r="F467" i="10"/>
  <c r="G467" i="10"/>
  <c r="H467" i="10"/>
  <c r="D468" i="10"/>
  <c r="E468" i="10"/>
  <c r="F468" i="10"/>
  <c r="J468" i="10" s="1"/>
  <c r="G468" i="10"/>
  <c r="H468" i="10"/>
  <c r="D469" i="10"/>
  <c r="E469" i="10"/>
  <c r="F469" i="10"/>
  <c r="G469" i="10"/>
  <c r="H469" i="10"/>
  <c r="D470" i="10"/>
  <c r="J470" i="10" s="1"/>
  <c r="E470" i="10"/>
  <c r="F470" i="10"/>
  <c r="G470" i="10"/>
  <c r="H470" i="10"/>
  <c r="D471" i="10"/>
  <c r="E471" i="10"/>
  <c r="F471" i="10"/>
  <c r="G471" i="10"/>
  <c r="J471" i="10" s="1"/>
  <c r="H471" i="10"/>
  <c r="D472" i="10"/>
  <c r="E472" i="10"/>
  <c r="F472" i="10"/>
  <c r="G472" i="10"/>
  <c r="H472" i="10"/>
  <c r="D473" i="10"/>
  <c r="E473" i="10"/>
  <c r="J473" i="10" s="1"/>
  <c r="F473" i="10"/>
  <c r="G473" i="10"/>
  <c r="H473" i="10"/>
  <c r="D474" i="10"/>
  <c r="E474" i="10"/>
  <c r="F474" i="10"/>
  <c r="G474" i="10"/>
  <c r="H474" i="10"/>
  <c r="D475" i="10"/>
  <c r="E475" i="10"/>
  <c r="F475" i="10"/>
  <c r="G475" i="10"/>
  <c r="H475" i="10"/>
  <c r="D476" i="10"/>
  <c r="E476" i="10"/>
  <c r="F476" i="10"/>
  <c r="J476" i="10" s="1"/>
  <c r="G476" i="10"/>
  <c r="H476" i="10"/>
  <c r="D477" i="10"/>
  <c r="E477" i="10"/>
  <c r="F477" i="10"/>
  <c r="G477" i="10"/>
  <c r="H477" i="10"/>
  <c r="D478" i="10"/>
  <c r="J478" i="10" s="1"/>
  <c r="E478" i="10"/>
  <c r="F478" i="10"/>
  <c r="G478" i="10"/>
  <c r="H478" i="10"/>
  <c r="D479" i="10"/>
  <c r="E479" i="10"/>
  <c r="F479" i="10"/>
  <c r="G479" i="10"/>
  <c r="J479" i="10" s="1"/>
  <c r="H479" i="10"/>
  <c r="D480" i="10"/>
  <c r="E480" i="10"/>
  <c r="F480" i="10"/>
  <c r="G480" i="10"/>
  <c r="H480" i="10"/>
  <c r="D481" i="10"/>
  <c r="E481" i="10"/>
  <c r="J481" i="10" s="1"/>
  <c r="F481" i="10"/>
  <c r="G481" i="10"/>
  <c r="H481" i="10"/>
  <c r="D482" i="10"/>
  <c r="E482" i="10"/>
  <c r="F482" i="10"/>
  <c r="G482" i="10"/>
  <c r="H482" i="10"/>
  <c r="J482" i="10" s="1"/>
  <c r="D483" i="10"/>
  <c r="E483" i="10"/>
  <c r="F483" i="10"/>
  <c r="G483" i="10"/>
  <c r="H483" i="10"/>
  <c r="D484" i="10"/>
  <c r="E484" i="10"/>
  <c r="F484" i="10"/>
  <c r="J484" i="10" s="1"/>
  <c r="G484" i="10"/>
  <c r="H484" i="10"/>
  <c r="D485" i="10"/>
  <c r="E485" i="10"/>
  <c r="F485" i="10"/>
  <c r="G485" i="10"/>
  <c r="H485" i="10"/>
  <c r="D486" i="10"/>
  <c r="J486" i="10" s="1"/>
  <c r="E486" i="10"/>
  <c r="F486" i="10"/>
  <c r="G486" i="10"/>
  <c r="H486" i="10"/>
  <c r="D487" i="10"/>
  <c r="E487" i="10"/>
  <c r="F487" i="10"/>
  <c r="G487" i="10"/>
  <c r="J487" i="10" s="1"/>
  <c r="H487" i="10"/>
  <c r="D488" i="10"/>
  <c r="E488" i="10"/>
  <c r="F488" i="10"/>
  <c r="G488" i="10"/>
  <c r="H488" i="10"/>
  <c r="D489" i="10"/>
  <c r="E489" i="10"/>
  <c r="J489" i="10" s="1"/>
  <c r="F489" i="10"/>
  <c r="G489" i="10"/>
  <c r="H489" i="10"/>
  <c r="D490" i="10"/>
  <c r="E490" i="10"/>
  <c r="F490" i="10"/>
  <c r="G490" i="10"/>
  <c r="H490" i="10"/>
  <c r="J490" i="10" s="1"/>
  <c r="D491" i="10"/>
  <c r="E491" i="10"/>
  <c r="F491" i="10"/>
  <c r="G491" i="10"/>
  <c r="H491" i="10"/>
  <c r="D492" i="10"/>
  <c r="E492" i="10"/>
  <c r="F492" i="10"/>
  <c r="G492" i="10"/>
  <c r="H492" i="10"/>
  <c r="D493" i="10"/>
  <c r="E493" i="10"/>
  <c r="F493" i="10"/>
  <c r="G493" i="10"/>
  <c r="H493" i="10"/>
  <c r="D494" i="10"/>
  <c r="J494" i="10" s="1"/>
  <c r="E494" i="10"/>
  <c r="F494" i="10"/>
  <c r="G494" i="10"/>
  <c r="H494" i="10"/>
  <c r="D495" i="10"/>
  <c r="E495" i="10"/>
  <c r="F495" i="10"/>
  <c r="G495" i="10"/>
  <c r="J495" i="10" s="1"/>
  <c r="H495" i="10"/>
  <c r="D496" i="10"/>
  <c r="E496" i="10"/>
  <c r="F496" i="10"/>
  <c r="G496" i="10"/>
  <c r="H496" i="10"/>
  <c r="D497" i="10"/>
  <c r="E497" i="10"/>
  <c r="J497" i="10" s="1"/>
  <c r="F497" i="10"/>
  <c r="G497" i="10"/>
  <c r="H497" i="10"/>
  <c r="D498" i="10"/>
  <c r="E498" i="10"/>
  <c r="F498" i="10"/>
  <c r="G498" i="10"/>
  <c r="H498" i="10"/>
  <c r="J498" i="10" s="1"/>
  <c r="D499" i="10"/>
  <c r="E499" i="10"/>
  <c r="F499" i="10"/>
  <c r="G499" i="10"/>
  <c r="H499" i="10"/>
  <c r="D500" i="10"/>
  <c r="E500" i="10"/>
  <c r="F500" i="10"/>
  <c r="J500" i="10" s="1"/>
  <c r="G500" i="10"/>
  <c r="H500" i="10"/>
  <c r="D501" i="10"/>
  <c r="E501" i="10"/>
  <c r="F501" i="10"/>
  <c r="G501" i="10"/>
  <c r="H501" i="10"/>
  <c r="D502" i="10"/>
  <c r="E502" i="10"/>
  <c r="F502" i="10"/>
  <c r="G502" i="10"/>
  <c r="H502" i="10"/>
  <c r="D503" i="10"/>
  <c r="E503" i="10"/>
  <c r="F503" i="10"/>
  <c r="G503" i="10"/>
  <c r="J503" i="10" s="1"/>
  <c r="H503" i="10"/>
  <c r="D504" i="10"/>
  <c r="E504" i="10"/>
  <c r="F504" i="10"/>
  <c r="G504" i="10"/>
  <c r="H504" i="10"/>
  <c r="D505" i="10"/>
  <c r="E505" i="10"/>
  <c r="J505" i="10" s="1"/>
  <c r="F505" i="10"/>
  <c r="G505" i="10"/>
  <c r="H505" i="10"/>
  <c r="D506" i="10"/>
  <c r="E506" i="10"/>
  <c r="F506" i="10"/>
  <c r="G506" i="10"/>
  <c r="H506" i="10"/>
  <c r="J506" i="10" s="1"/>
  <c r="D507" i="10"/>
  <c r="E507" i="10"/>
  <c r="F507" i="10"/>
  <c r="G507" i="10"/>
  <c r="H507" i="10"/>
  <c r="D508" i="10"/>
  <c r="E508" i="10"/>
  <c r="F508" i="10"/>
  <c r="J508" i="10" s="1"/>
  <c r="G508" i="10"/>
  <c r="H508" i="10"/>
  <c r="D509" i="10"/>
  <c r="E509" i="10"/>
  <c r="F509" i="10"/>
  <c r="G509" i="10"/>
  <c r="H509" i="10"/>
  <c r="D510" i="10"/>
  <c r="J510" i="10" s="1"/>
  <c r="E510" i="10"/>
  <c r="F510" i="10"/>
  <c r="G510" i="10"/>
  <c r="H510" i="10"/>
  <c r="D511" i="10"/>
  <c r="E511" i="10"/>
  <c r="F511" i="10"/>
  <c r="G511" i="10"/>
  <c r="J511" i="10" s="1"/>
  <c r="H511" i="10"/>
  <c r="D512" i="10"/>
  <c r="E512" i="10"/>
  <c r="F512" i="10"/>
  <c r="G512" i="10"/>
  <c r="H512" i="10"/>
  <c r="D513" i="10"/>
  <c r="E513" i="10"/>
  <c r="J513" i="10" s="1"/>
  <c r="F513" i="10"/>
  <c r="G513" i="10"/>
  <c r="H513" i="10"/>
  <c r="D514" i="10"/>
  <c r="E514" i="10"/>
  <c r="F514" i="10"/>
  <c r="G514" i="10"/>
  <c r="H514" i="10"/>
  <c r="J514" i="10" s="1"/>
  <c r="D515" i="10"/>
  <c r="E515" i="10"/>
  <c r="F515" i="10"/>
  <c r="G515" i="10"/>
  <c r="H515" i="10"/>
  <c r="D516" i="10"/>
  <c r="E516" i="10"/>
  <c r="F516" i="10"/>
  <c r="J516" i="10" s="1"/>
  <c r="G516" i="10"/>
  <c r="H516" i="10"/>
  <c r="D517" i="10"/>
  <c r="E517" i="10"/>
  <c r="F517" i="10"/>
  <c r="G517" i="10"/>
  <c r="H517" i="10"/>
  <c r="D518" i="10"/>
  <c r="J518" i="10" s="1"/>
  <c r="E518" i="10"/>
  <c r="F518" i="10"/>
  <c r="G518" i="10"/>
  <c r="H518" i="10"/>
  <c r="D519" i="10"/>
  <c r="E519" i="10"/>
  <c r="F519" i="10"/>
  <c r="G519" i="10"/>
  <c r="J519" i="10" s="1"/>
  <c r="H519" i="10"/>
  <c r="D520" i="10"/>
  <c r="E520" i="10"/>
  <c r="F520" i="10"/>
  <c r="G520" i="10"/>
  <c r="H520" i="10"/>
  <c r="D521" i="10"/>
  <c r="E521" i="10"/>
  <c r="J521" i="10" s="1"/>
  <c r="F521" i="10"/>
  <c r="G521" i="10"/>
  <c r="H521" i="10"/>
  <c r="D522" i="10"/>
  <c r="E522" i="10"/>
  <c r="F522" i="10"/>
  <c r="G522" i="10"/>
  <c r="H522" i="10"/>
  <c r="J522" i="10" s="1"/>
  <c r="D523" i="10"/>
  <c r="E523" i="10"/>
  <c r="F523" i="10"/>
  <c r="G523" i="10"/>
  <c r="H523" i="10"/>
  <c r="D524" i="10"/>
  <c r="E524" i="10"/>
  <c r="F524" i="10"/>
  <c r="J524" i="10" s="1"/>
  <c r="G524" i="10"/>
  <c r="H524" i="10"/>
  <c r="D525" i="10"/>
  <c r="E525" i="10"/>
  <c r="F525" i="10"/>
  <c r="G525" i="10"/>
  <c r="H525" i="10"/>
  <c r="D526" i="10"/>
  <c r="J526" i="10" s="1"/>
  <c r="E526" i="10"/>
  <c r="F526" i="10"/>
  <c r="G526" i="10"/>
  <c r="H526" i="10"/>
  <c r="D527" i="10"/>
  <c r="E527" i="10"/>
  <c r="F527" i="10"/>
  <c r="G527" i="10"/>
  <c r="J527" i="10" s="1"/>
  <c r="H527" i="10"/>
  <c r="D528" i="10"/>
  <c r="E528" i="10"/>
  <c r="F528" i="10"/>
  <c r="G528" i="10"/>
  <c r="H528" i="10"/>
  <c r="D529" i="10"/>
  <c r="E529" i="10"/>
  <c r="F529" i="10"/>
  <c r="G529" i="10"/>
  <c r="H529" i="10"/>
  <c r="D530" i="10"/>
  <c r="E530" i="10"/>
  <c r="F530" i="10"/>
  <c r="G530" i="10"/>
  <c r="H530" i="10"/>
  <c r="J530" i="10" s="1"/>
  <c r="D531" i="10"/>
  <c r="E531" i="10"/>
  <c r="F531" i="10"/>
  <c r="G531" i="10"/>
  <c r="H531" i="10"/>
  <c r="D532" i="10"/>
  <c r="E532" i="10"/>
  <c r="F532" i="10"/>
  <c r="J532" i="10" s="1"/>
  <c r="G532" i="10"/>
  <c r="H532" i="10"/>
  <c r="D533" i="10"/>
  <c r="E533" i="10"/>
  <c r="F533" i="10"/>
  <c r="G533" i="10"/>
  <c r="H533" i="10"/>
  <c r="D534" i="10"/>
  <c r="J534" i="10" s="1"/>
  <c r="E534" i="10"/>
  <c r="F534" i="10"/>
  <c r="G534" i="10"/>
  <c r="H534" i="10"/>
  <c r="D535" i="10"/>
  <c r="E535" i="10"/>
  <c r="F535" i="10"/>
  <c r="G535" i="10"/>
  <c r="J535" i="10" s="1"/>
  <c r="H535" i="10"/>
  <c r="D536" i="10"/>
  <c r="E536" i="10"/>
  <c r="F536" i="10"/>
  <c r="G536" i="10"/>
  <c r="H536" i="10"/>
  <c r="D537" i="10"/>
  <c r="E537" i="10"/>
  <c r="J537" i="10" s="1"/>
  <c r="F537" i="10"/>
  <c r="G537" i="10"/>
  <c r="H537" i="10"/>
  <c r="D538" i="10"/>
  <c r="E538" i="10"/>
  <c r="F538" i="10"/>
  <c r="G538" i="10"/>
  <c r="H538" i="10"/>
  <c r="J538" i="10" s="1"/>
  <c r="D539" i="10"/>
  <c r="E539" i="10"/>
  <c r="F539" i="10"/>
  <c r="G539" i="10"/>
  <c r="H539" i="10"/>
  <c r="D540" i="10"/>
  <c r="E540" i="10"/>
  <c r="F540" i="10"/>
  <c r="J540" i="10" s="1"/>
  <c r="G540" i="10"/>
  <c r="H540" i="10"/>
  <c r="D541" i="10"/>
  <c r="E541" i="10"/>
  <c r="F541" i="10"/>
  <c r="G541" i="10"/>
  <c r="H541" i="10"/>
  <c r="D542" i="10"/>
  <c r="J542" i="10" s="1"/>
  <c r="E542" i="10"/>
  <c r="F542" i="10"/>
  <c r="G542" i="10"/>
  <c r="H542" i="10"/>
  <c r="D543" i="10"/>
  <c r="E543" i="10"/>
  <c r="F543" i="10"/>
  <c r="G543" i="10"/>
  <c r="J543" i="10" s="1"/>
  <c r="H543" i="10"/>
  <c r="D544" i="10"/>
  <c r="E544" i="10"/>
  <c r="F544" i="10"/>
  <c r="G544" i="10"/>
  <c r="H544" i="10"/>
  <c r="D545" i="10"/>
  <c r="E545" i="10"/>
  <c r="J545" i="10" s="1"/>
  <c r="F545" i="10"/>
  <c r="G545" i="10"/>
  <c r="H545" i="10"/>
  <c r="D546" i="10"/>
  <c r="E546" i="10"/>
  <c r="F546" i="10"/>
  <c r="G546" i="10"/>
  <c r="H546" i="10"/>
  <c r="J546" i="10" s="1"/>
  <c r="D547" i="10"/>
  <c r="E547" i="10"/>
  <c r="F547" i="10"/>
  <c r="G547" i="10"/>
  <c r="H547" i="10"/>
  <c r="D548" i="10"/>
  <c r="E548" i="10"/>
  <c r="F548" i="10"/>
  <c r="J548" i="10" s="1"/>
  <c r="G548" i="10"/>
  <c r="H548" i="10"/>
  <c r="D549" i="10"/>
  <c r="E549" i="10"/>
  <c r="F549" i="10"/>
  <c r="G549" i="10"/>
  <c r="H549" i="10"/>
  <c r="D550" i="10"/>
  <c r="J550" i="10" s="1"/>
  <c r="E550" i="10"/>
  <c r="F550" i="10"/>
  <c r="G550" i="10"/>
  <c r="H550" i="10"/>
  <c r="D551" i="10"/>
  <c r="E551" i="10"/>
  <c r="F551" i="10"/>
  <c r="G551" i="10"/>
  <c r="J551" i="10" s="1"/>
  <c r="H551" i="10"/>
  <c r="D552" i="10"/>
  <c r="E552" i="10"/>
  <c r="F552" i="10"/>
  <c r="G552" i="10"/>
  <c r="H552" i="10"/>
  <c r="D553" i="10"/>
  <c r="E553" i="10"/>
  <c r="J553" i="10" s="1"/>
  <c r="F553" i="10"/>
  <c r="G553" i="10"/>
  <c r="H553" i="10"/>
  <c r="D554" i="10"/>
  <c r="E554" i="10"/>
  <c r="F554" i="10"/>
  <c r="G554" i="10"/>
  <c r="H554" i="10"/>
  <c r="J554" i="10" s="1"/>
  <c r="D555" i="10"/>
  <c r="E555" i="10"/>
  <c r="F555" i="10"/>
  <c r="G555" i="10"/>
  <c r="H555" i="10"/>
  <c r="D556" i="10"/>
  <c r="E556" i="10"/>
  <c r="F556" i="10"/>
  <c r="J556" i="10" s="1"/>
  <c r="G556" i="10"/>
  <c r="H556" i="10"/>
  <c r="D557" i="10"/>
  <c r="E557" i="10"/>
  <c r="F557" i="10"/>
  <c r="G557" i="10"/>
  <c r="H557" i="10"/>
  <c r="D558" i="10"/>
  <c r="J558" i="10" s="1"/>
  <c r="E558" i="10"/>
  <c r="F558" i="10"/>
  <c r="G558" i="10"/>
  <c r="H558" i="10"/>
  <c r="D559" i="10"/>
  <c r="E559" i="10"/>
  <c r="F559" i="10"/>
  <c r="G559" i="10"/>
  <c r="J559" i="10" s="1"/>
  <c r="H559" i="10"/>
  <c r="D560" i="10"/>
  <c r="E560" i="10"/>
  <c r="F560" i="10"/>
  <c r="G560" i="10"/>
  <c r="H560" i="10"/>
  <c r="D561" i="10"/>
  <c r="E561" i="10"/>
  <c r="J561" i="10" s="1"/>
  <c r="F561" i="10"/>
  <c r="G561" i="10"/>
  <c r="H561" i="10"/>
  <c r="D562" i="10"/>
  <c r="E562" i="10"/>
  <c r="F562" i="10"/>
  <c r="G562" i="10"/>
  <c r="H562" i="10"/>
  <c r="J562" i="10" s="1"/>
  <c r="D563" i="10"/>
  <c r="E563" i="10"/>
  <c r="F563" i="10"/>
  <c r="G563" i="10"/>
  <c r="H563" i="10"/>
  <c r="D564" i="10"/>
  <c r="E564" i="10"/>
  <c r="F564" i="10"/>
  <c r="J564" i="10" s="1"/>
  <c r="G564" i="10"/>
  <c r="H564" i="10"/>
  <c r="D565" i="10"/>
  <c r="E565" i="10"/>
  <c r="F565" i="10"/>
  <c r="G565" i="10"/>
  <c r="H565" i="10"/>
  <c r="D566" i="10"/>
  <c r="J566" i="10" s="1"/>
  <c r="E566" i="10"/>
  <c r="F566" i="10"/>
  <c r="G566" i="10"/>
  <c r="H566" i="10"/>
  <c r="D567" i="10"/>
  <c r="E567" i="10"/>
  <c r="F567" i="10"/>
  <c r="G567" i="10"/>
  <c r="J567" i="10" s="1"/>
  <c r="H567" i="10"/>
  <c r="D568" i="10"/>
  <c r="E568" i="10"/>
  <c r="F568" i="10"/>
  <c r="G568" i="10"/>
  <c r="H568" i="10"/>
  <c r="D569" i="10"/>
  <c r="E569" i="10"/>
  <c r="J569" i="10" s="1"/>
  <c r="F569" i="10"/>
  <c r="G569" i="10"/>
  <c r="H569" i="10"/>
  <c r="D570" i="10"/>
  <c r="E570" i="10"/>
  <c r="F570" i="10"/>
  <c r="G570" i="10"/>
  <c r="H570" i="10"/>
  <c r="J570" i="10" s="1"/>
  <c r="D571" i="10"/>
  <c r="E571" i="10"/>
  <c r="F571" i="10"/>
  <c r="G571" i="10"/>
  <c r="H571" i="10"/>
  <c r="D572" i="10"/>
  <c r="E572" i="10"/>
  <c r="F572" i="10"/>
  <c r="J572" i="10" s="1"/>
  <c r="G572" i="10"/>
  <c r="H572" i="10"/>
  <c r="D573" i="10"/>
  <c r="E573" i="10"/>
  <c r="F573" i="10"/>
  <c r="G573" i="10"/>
  <c r="H573" i="10"/>
  <c r="D574" i="10"/>
  <c r="J574" i="10" s="1"/>
  <c r="E574" i="10"/>
  <c r="F574" i="10"/>
  <c r="G574" i="10"/>
  <c r="H574" i="10"/>
  <c r="D575" i="10"/>
  <c r="E575" i="10"/>
  <c r="F575" i="10"/>
  <c r="G575" i="10"/>
  <c r="J575" i="10" s="1"/>
  <c r="H575" i="10"/>
  <c r="D576" i="10"/>
  <c r="E576" i="10"/>
  <c r="F576" i="10"/>
  <c r="G576" i="10"/>
  <c r="H576" i="10"/>
  <c r="D577" i="10"/>
  <c r="E577" i="10"/>
  <c r="J577" i="10" s="1"/>
  <c r="F577" i="10"/>
  <c r="G577" i="10"/>
  <c r="H577" i="10"/>
  <c r="D578" i="10"/>
  <c r="E578" i="10"/>
  <c r="F578" i="10"/>
  <c r="G578" i="10"/>
  <c r="H578" i="10"/>
  <c r="J578" i="10" s="1"/>
  <c r="D579" i="10"/>
  <c r="E579" i="10"/>
  <c r="F579" i="10"/>
  <c r="G579" i="10"/>
  <c r="H579" i="10"/>
  <c r="D580" i="10"/>
  <c r="E580" i="10"/>
  <c r="F580" i="10"/>
  <c r="J580" i="10" s="1"/>
  <c r="G580" i="10"/>
  <c r="H580" i="10"/>
  <c r="D581" i="10"/>
  <c r="E581" i="10"/>
  <c r="F581" i="10"/>
  <c r="G581" i="10"/>
  <c r="H581" i="10"/>
  <c r="D582" i="10"/>
  <c r="J582" i="10" s="1"/>
  <c r="E582" i="10"/>
  <c r="F582" i="10"/>
  <c r="G582" i="10"/>
  <c r="H582" i="10"/>
  <c r="D583" i="10"/>
  <c r="E583" i="10"/>
  <c r="F583" i="10"/>
  <c r="G583" i="10"/>
  <c r="J583" i="10" s="1"/>
  <c r="H583" i="10"/>
  <c r="D584" i="10"/>
  <c r="E584" i="10"/>
  <c r="F584" i="10"/>
  <c r="G584" i="10"/>
  <c r="H584" i="10"/>
  <c r="D585" i="10"/>
  <c r="E585" i="10"/>
  <c r="J585" i="10" s="1"/>
  <c r="F585" i="10"/>
  <c r="G585" i="10"/>
  <c r="H585" i="10"/>
  <c r="D586" i="10"/>
  <c r="E586" i="10"/>
  <c r="F586" i="10"/>
  <c r="G586" i="10"/>
  <c r="H586" i="10"/>
  <c r="J586" i="10" s="1"/>
  <c r="D587" i="10"/>
  <c r="E587" i="10"/>
  <c r="F587" i="10"/>
  <c r="G587" i="10"/>
  <c r="H587" i="10"/>
  <c r="D588" i="10"/>
  <c r="E588" i="10"/>
  <c r="F588" i="10"/>
  <c r="J588" i="10" s="1"/>
  <c r="G588" i="10"/>
  <c r="H588" i="10"/>
  <c r="D589" i="10"/>
  <c r="E589" i="10"/>
  <c r="F589" i="10"/>
  <c r="G589" i="10"/>
  <c r="H589" i="10"/>
  <c r="D590" i="10"/>
  <c r="J590" i="10" s="1"/>
  <c r="E590" i="10"/>
  <c r="F590" i="10"/>
  <c r="G590" i="10"/>
  <c r="H590" i="10"/>
  <c r="D591" i="10"/>
  <c r="E591" i="10"/>
  <c r="F591" i="10"/>
  <c r="G591" i="10"/>
  <c r="J591" i="10" s="1"/>
  <c r="H591" i="10"/>
  <c r="D592" i="10"/>
  <c r="E592" i="10"/>
  <c r="F592" i="10"/>
  <c r="G592" i="10"/>
  <c r="H592" i="10"/>
  <c r="D593" i="10"/>
  <c r="E593" i="10"/>
  <c r="J593" i="10" s="1"/>
  <c r="F593" i="10"/>
  <c r="G593" i="10"/>
  <c r="H593" i="10"/>
  <c r="D594" i="10"/>
  <c r="E594" i="10"/>
  <c r="F594" i="10"/>
  <c r="G594" i="10"/>
  <c r="H594" i="10"/>
  <c r="J594" i="10" s="1"/>
  <c r="D595" i="10"/>
  <c r="E595" i="10"/>
  <c r="F595" i="10"/>
  <c r="G595" i="10"/>
  <c r="H595" i="10"/>
  <c r="D596" i="10"/>
  <c r="E596" i="10"/>
  <c r="F596" i="10"/>
  <c r="J596" i="10" s="1"/>
  <c r="G596" i="10"/>
  <c r="H596" i="10"/>
  <c r="D597" i="10"/>
  <c r="E597" i="10"/>
  <c r="F597" i="10"/>
  <c r="G597" i="10"/>
  <c r="H597" i="10"/>
  <c r="D598" i="10"/>
  <c r="J598" i="10" s="1"/>
  <c r="E598" i="10"/>
  <c r="F598" i="10"/>
  <c r="G598" i="10"/>
  <c r="H598" i="10"/>
  <c r="D599" i="10"/>
  <c r="E599" i="10"/>
  <c r="F599" i="10"/>
  <c r="G599" i="10"/>
  <c r="J599" i="10" s="1"/>
  <c r="H599" i="10"/>
  <c r="D600" i="10"/>
  <c r="E600" i="10"/>
  <c r="F600" i="10"/>
  <c r="G600" i="10"/>
  <c r="H600" i="10"/>
  <c r="D601" i="10"/>
  <c r="E601" i="10"/>
  <c r="J601" i="10" s="1"/>
  <c r="F601" i="10"/>
  <c r="G601" i="10"/>
  <c r="H601" i="10"/>
  <c r="D602" i="10"/>
  <c r="E602" i="10"/>
  <c r="F602" i="10"/>
  <c r="G602" i="10"/>
  <c r="H602" i="10"/>
  <c r="D603" i="10"/>
  <c r="E603" i="10"/>
  <c r="F603" i="10"/>
  <c r="G603" i="10"/>
  <c r="H603" i="10"/>
  <c r="D604" i="10"/>
  <c r="E604" i="10"/>
  <c r="F604" i="10"/>
  <c r="J604" i="10" s="1"/>
  <c r="G604" i="10"/>
  <c r="H604" i="10"/>
  <c r="D605" i="10"/>
  <c r="E605" i="10"/>
  <c r="F605" i="10"/>
  <c r="G605" i="10"/>
  <c r="H605" i="10"/>
  <c r="D606" i="10"/>
  <c r="J606" i="10" s="1"/>
  <c r="E606" i="10"/>
  <c r="F606" i="10"/>
  <c r="G606" i="10"/>
  <c r="H606" i="10"/>
  <c r="D607" i="10"/>
  <c r="E607" i="10"/>
  <c r="F607" i="10"/>
  <c r="G607" i="10"/>
  <c r="J607" i="10" s="1"/>
  <c r="H607" i="10"/>
  <c r="D608" i="10"/>
  <c r="E608" i="10"/>
  <c r="F608" i="10"/>
  <c r="G608" i="10"/>
  <c r="H608" i="10"/>
  <c r="D609" i="10"/>
  <c r="E609" i="10"/>
  <c r="J609" i="10" s="1"/>
  <c r="F609" i="10"/>
  <c r="G609" i="10"/>
  <c r="H609" i="10"/>
  <c r="D610" i="10"/>
  <c r="E610" i="10"/>
  <c r="F610" i="10"/>
  <c r="G610" i="10"/>
  <c r="H610" i="10"/>
  <c r="J610" i="10" s="1"/>
  <c r="D611" i="10"/>
  <c r="E611" i="10"/>
  <c r="F611" i="10"/>
  <c r="G611" i="10"/>
  <c r="H611" i="10"/>
  <c r="D612" i="10"/>
  <c r="E612" i="10"/>
  <c r="F612" i="10"/>
  <c r="J612" i="10" s="1"/>
  <c r="G612" i="10"/>
  <c r="H612" i="10"/>
  <c r="D613" i="10"/>
  <c r="E613" i="10"/>
  <c r="F613" i="10"/>
  <c r="G613" i="10"/>
  <c r="H613" i="10"/>
  <c r="D614" i="10"/>
  <c r="J614" i="10" s="1"/>
  <c r="E614" i="10"/>
  <c r="F614" i="10"/>
  <c r="G614" i="10"/>
  <c r="H614" i="10"/>
  <c r="D615" i="10"/>
  <c r="E615" i="10"/>
  <c r="F615" i="10"/>
  <c r="G615" i="10"/>
  <c r="J615" i="10" s="1"/>
  <c r="H615" i="10"/>
  <c r="D616" i="10"/>
  <c r="E616" i="10"/>
  <c r="F616" i="10"/>
  <c r="G616" i="10"/>
  <c r="H616" i="10"/>
  <c r="D617" i="10"/>
  <c r="E617" i="10"/>
  <c r="J617" i="10" s="1"/>
  <c r="F617" i="10"/>
  <c r="G617" i="10"/>
  <c r="H617" i="10"/>
  <c r="D618" i="10"/>
  <c r="E618" i="10"/>
  <c r="F618" i="10"/>
  <c r="G618" i="10"/>
  <c r="H618" i="10"/>
  <c r="J618" i="10" s="1"/>
  <c r="D619" i="10"/>
  <c r="E619" i="10"/>
  <c r="F619" i="10"/>
  <c r="G619" i="10"/>
  <c r="H619" i="10"/>
  <c r="D620" i="10"/>
  <c r="E620" i="10"/>
  <c r="F620" i="10"/>
  <c r="G620" i="10"/>
  <c r="H620" i="10"/>
  <c r="D621" i="10"/>
  <c r="E621" i="10"/>
  <c r="F621" i="10"/>
  <c r="G621" i="10"/>
  <c r="H621" i="10"/>
  <c r="D622" i="10"/>
  <c r="J622" i="10" s="1"/>
  <c r="E622" i="10"/>
  <c r="F622" i="10"/>
  <c r="G622" i="10"/>
  <c r="H622" i="10"/>
  <c r="D623" i="10"/>
  <c r="E623" i="10"/>
  <c r="F623" i="10"/>
  <c r="G623" i="10"/>
  <c r="J623" i="10" s="1"/>
  <c r="H623" i="10"/>
  <c r="D624" i="10"/>
  <c r="E624" i="10"/>
  <c r="F624" i="10"/>
  <c r="G624" i="10"/>
  <c r="H624" i="10"/>
  <c r="D625" i="10"/>
  <c r="E625" i="10"/>
  <c r="J625" i="10" s="1"/>
  <c r="F625" i="10"/>
  <c r="G625" i="10"/>
  <c r="H625" i="10"/>
  <c r="D626" i="10"/>
  <c r="E626" i="10"/>
  <c r="F626" i="10"/>
  <c r="G626" i="10"/>
  <c r="H626" i="10"/>
  <c r="J626" i="10" s="1"/>
  <c r="D627" i="10"/>
  <c r="E627" i="10"/>
  <c r="F627" i="10"/>
  <c r="G627" i="10"/>
  <c r="H627" i="10"/>
  <c r="D628" i="10"/>
  <c r="E628" i="10"/>
  <c r="F628" i="10"/>
  <c r="J628" i="10" s="1"/>
  <c r="G628" i="10"/>
  <c r="H628" i="10"/>
  <c r="D629" i="10"/>
  <c r="E629" i="10"/>
  <c r="F629" i="10"/>
  <c r="G629" i="10"/>
  <c r="H629" i="10"/>
  <c r="D630" i="10"/>
  <c r="J630" i="10" s="1"/>
  <c r="E630" i="10"/>
  <c r="F630" i="10"/>
  <c r="G630" i="10"/>
  <c r="H630" i="10"/>
  <c r="D631" i="10"/>
  <c r="E631" i="10"/>
  <c r="F631" i="10"/>
  <c r="G631" i="10"/>
  <c r="J631" i="10" s="1"/>
  <c r="H631" i="10"/>
  <c r="D632" i="10"/>
  <c r="E632" i="10"/>
  <c r="F632" i="10"/>
  <c r="G632" i="10"/>
  <c r="H632" i="10"/>
  <c r="D633" i="10"/>
  <c r="E633" i="10"/>
  <c r="J633" i="10" s="1"/>
  <c r="F633" i="10"/>
  <c r="G633" i="10"/>
  <c r="H633" i="10"/>
  <c r="D634" i="10"/>
  <c r="E634" i="10"/>
  <c r="F634" i="10"/>
  <c r="G634" i="10"/>
  <c r="H634" i="10"/>
  <c r="J634" i="10" s="1"/>
  <c r="D635" i="10"/>
  <c r="E635" i="10"/>
  <c r="F635" i="10"/>
  <c r="G635" i="10"/>
  <c r="H635" i="10"/>
  <c r="D636" i="10"/>
  <c r="E636" i="10"/>
  <c r="F636" i="10"/>
  <c r="J636" i="10" s="1"/>
  <c r="G636" i="10"/>
  <c r="H636" i="10"/>
  <c r="D637" i="10"/>
  <c r="E637" i="10"/>
  <c r="F637" i="10"/>
  <c r="G637" i="10"/>
  <c r="H637" i="10"/>
  <c r="D638" i="10"/>
  <c r="J638" i="10" s="1"/>
  <c r="E638" i="10"/>
  <c r="F638" i="10"/>
  <c r="G638" i="10"/>
  <c r="H638" i="10"/>
  <c r="D639" i="10"/>
  <c r="E639" i="10"/>
  <c r="F639" i="10"/>
  <c r="G639" i="10"/>
  <c r="H639" i="10"/>
  <c r="D640" i="10"/>
  <c r="E640" i="10"/>
  <c r="F640" i="10"/>
  <c r="G640" i="10"/>
  <c r="H640" i="10"/>
  <c r="D641" i="10"/>
  <c r="E641" i="10"/>
  <c r="J641" i="10" s="1"/>
  <c r="F641" i="10"/>
  <c r="G641" i="10"/>
  <c r="H641" i="10"/>
  <c r="D642" i="10"/>
  <c r="E642" i="10"/>
  <c r="F642" i="10"/>
  <c r="G642" i="10"/>
  <c r="H642" i="10"/>
  <c r="J642" i="10" s="1"/>
  <c r="D643" i="10"/>
  <c r="E643" i="10"/>
  <c r="F643" i="10"/>
  <c r="G643" i="10"/>
  <c r="H643" i="10"/>
  <c r="D644" i="10"/>
  <c r="E644" i="10"/>
  <c r="F644" i="10"/>
  <c r="J644" i="10" s="1"/>
  <c r="G644" i="10"/>
  <c r="H644" i="10"/>
  <c r="D645" i="10"/>
  <c r="E645" i="10"/>
  <c r="F645" i="10"/>
  <c r="G645" i="10"/>
  <c r="H645" i="10"/>
  <c r="D646" i="10"/>
  <c r="J646" i="10" s="1"/>
  <c r="E646" i="10"/>
  <c r="F646" i="10"/>
  <c r="G646" i="10"/>
  <c r="H646" i="10"/>
  <c r="D647" i="10"/>
  <c r="E647" i="10"/>
  <c r="F647" i="10"/>
  <c r="G647" i="10"/>
  <c r="J647" i="10" s="1"/>
  <c r="H647" i="10"/>
  <c r="D648" i="10"/>
  <c r="E648" i="10"/>
  <c r="F648" i="10"/>
  <c r="G648" i="10"/>
  <c r="H648" i="10"/>
  <c r="D649" i="10"/>
  <c r="E649" i="10"/>
  <c r="J649" i="10" s="1"/>
  <c r="F649" i="10"/>
  <c r="G649" i="10"/>
  <c r="H649" i="10"/>
  <c r="D650" i="10"/>
  <c r="E650" i="10"/>
  <c r="F650" i="10"/>
  <c r="G650" i="10"/>
  <c r="H650" i="10"/>
  <c r="J650" i="10" s="1"/>
  <c r="D651" i="10"/>
  <c r="E651" i="10"/>
  <c r="F651" i="10"/>
  <c r="G651" i="10"/>
  <c r="H651" i="10"/>
  <c r="D652" i="10"/>
  <c r="E652" i="10"/>
  <c r="F652" i="10"/>
  <c r="J652" i="10" s="1"/>
  <c r="G652" i="10"/>
  <c r="H652" i="10"/>
  <c r="D653" i="10"/>
  <c r="E653" i="10"/>
  <c r="F653" i="10"/>
  <c r="G653" i="10"/>
  <c r="H653" i="10"/>
  <c r="D654" i="10"/>
  <c r="J654" i="10" s="1"/>
  <c r="E654" i="10"/>
  <c r="F654" i="10"/>
  <c r="G654" i="10"/>
  <c r="H654" i="10"/>
  <c r="D655" i="10"/>
  <c r="E655" i="10"/>
  <c r="F655" i="10"/>
  <c r="G655" i="10"/>
  <c r="J655" i="10" s="1"/>
  <c r="H655" i="10"/>
  <c r="D656" i="10"/>
  <c r="E656" i="10"/>
  <c r="F656" i="10"/>
  <c r="G656" i="10"/>
  <c r="H656" i="10"/>
  <c r="D657" i="10"/>
  <c r="E657" i="10"/>
  <c r="F657" i="10"/>
  <c r="G657" i="10"/>
  <c r="H657" i="10"/>
  <c r="D658" i="10"/>
  <c r="E658" i="10"/>
  <c r="F658" i="10"/>
  <c r="G658" i="10"/>
  <c r="H658" i="10"/>
  <c r="J658" i="10" s="1"/>
  <c r="D659" i="10"/>
  <c r="E659" i="10"/>
  <c r="F659" i="10"/>
  <c r="G659" i="10"/>
  <c r="H659" i="10"/>
  <c r="D660" i="10"/>
  <c r="E660" i="10"/>
  <c r="F660" i="10"/>
  <c r="J660" i="10" s="1"/>
  <c r="G660" i="10"/>
  <c r="H660" i="10"/>
  <c r="D661" i="10"/>
  <c r="E661" i="10"/>
  <c r="F661" i="10"/>
  <c r="G661" i="10"/>
  <c r="H661" i="10"/>
  <c r="D662" i="10"/>
  <c r="J662" i="10" s="1"/>
  <c r="E662" i="10"/>
  <c r="F662" i="10"/>
  <c r="G662" i="10"/>
  <c r="H662" i="10"/>
  <c r="D663" i="10"/>
  <c r="E663" i="10"/>
  <c r="F663" i="10"/>
  <c r="G663" i="10"/>
  <c r="J663" i="10" s="1"/>
  <c r="H663" i="10"/>
  <c r="D664" i="10"/>
  <c r="E664" i="10"/>
  <c r="F664" i="10"/>
  <c r="G664" i="10"/>
  <c r="H664" i="10"/>
  <c r="D665" i="10"/>
  <c r="E665" i="10"/>
  <c r="J665" i="10" s="1"/>
  <c r="F665" i="10"/>
  <c r="G665" i="10"/>
  <c r="H665" i="10"/>
  <c r="D666" i="10"/>
  <c r="E666" i="10"/>
  <c r="F666" i="10"/>
  <c r="G666" i="10"/>
  <c r="H666" i="10"/>
  <c r="J666" i="10" s="1"/>
  <c r="D667" i="10"/>
  <c r="E667" i="10"/>
  <c r="F667" i="10"/>
  <c r="G667" i="10"/>
  <c r="H667" i="10"/>
  <c r="D668" i="10"/>
  <c r="E668" i="10"/>
  <c r="F668" i="10"/>
  <c r="J668" i="10" s="1"/>
  <c r="G668" i="10"/>
  <c r="H668" i="10"/>
  <c r="D669" i="10"/>
  <c r="E669" i="10"/>
  <c r="F669" i="10"/>
  <c r="G669" i="10"/>
  <c r="H669" i="10"/>
  <c r="D670" i="10"/>
  <c r="J670" i="10" s="1"/>
  <c r="E670" i="10"/>
  <c r="F670" i="10"/>
  <c r="G670" i="10"/>
  <c r="H670" i="10"/>
  <c r="D671" i="10"/>
  <c r="E671" i="10"/>
  <c r="F671" i="10"/>
  <c r="G671" i="10"/>
  <c r="J671" i="10" s="1"/>
  <c r="H671" i="10"/>
  <c r="D672" i="10"/>
  <c r="E672" i="10"/>
  <c r="F672" i="10"/>
  <c r="G672" i="10"/>
  <c r="H672" i="10"/>
  <c r="D673" i="10"/>
  <c r="E673" i="10"/>
  <c r="J673" i="10" s="1"/>
  <c r="F673" i="10"/>
  <c r="G673" i="10"/>
  <c r="H673" i="10"/>
  <c r="D674" i="10"/>
  <c r="E674" i="10"/>
  <c r="F674" i="10"/>
  <c r="G674" i="10"/>
  <c r="H674" i="10"/>
  <c r="J674" i="10" s="1"/>
  <c r="D675" i="10"/>
  <c r="E675" i="10"/>
  <c r="F675" i="10"/>
  <c r="G675" i="10"/>
  <c r="H675" i="10"/>
  <c r="D676" i="10"/>
  <c r="E676" i="10"/>
  <c r="F676" i="10"/>
  <c r="J676" i="10" s="1"/>
  <c r="G676" i="10"/>
  <c r="H676" i="10"/>
  <c r="D677" i="10"/>
  <c r="E677" i="10"/>
  <c r="F677" i="10"/>
  <c r="G677" i="10"/>
  <c r="H677" i="10"/>
  <c r="D678" i="10"/>
  <c r="J678" i="10" s="1"/>
  <c r="E678" i="10"/>
  <c r="F678" i="10"/>
  <c r="G678" i="10"/>
  <c r="H678" i="10"/>
  <c r="D679" i="10"/>
  <c r="E679" i="10"/>
  <c r="F679" i="10"/>
  <c r="G679" i="10"/>
  <c r="J679" i="10" s="1"/>
  <c r="H679" i="10"/>
  <c r="D680" i="10"/>
  <c r="E680" i="10"/>
  <c r="F680" i="10"/>
  <c r="G680" i="10"/>
  <c r="H680" i="10"/>
  <c r="D681" i="10"/>
  <c r="E681" i="10"/>
  <c r="J681" i="10" s="1"/>
  <c r="F681" i="10"/>
  <c r="G681" i="10"/>
  <c r="H681" i="10"/>
  <c r="D682" i="10"/>
  <c r="E682" i="10"/>
  <c r="F682" i="10"/>
  <c r="G682" i="10"/>
  <c r="H682" i="10"/>
  <c r="J682" i="10" s="1"/>
  <c r="D683" i="10"/>
  <c r="E683" i="10"/>
  <c r="F683" i="10"/>
  <c r="G683" i="10"/>
  <c r="H683" i="10"/>
  <c r="D684" i="10"/>
  <c r="E684" i="10"/>
  <c r="F684" i="10"/>
  <c r="J684" i="10" s="1"/>
  <c r="G684" i="10"/>
  <c r="H684" i="10"/>
  <c r="D685" i="10"/>
  <c r="E685" i="10"/>
  <c r="F685" i="10"/>
  <c r="G685" i="10"/>
  <c r="H685" i="10"/>
  <c r="D686" i="10"/>
  <c r="J686" i="10" s="1"/>
  <c r="E686" i="10"/>
  <c r="F686" i="10"/>
  <c r="G686" i="10"/>
  <c r="H686" i="10"/>
  <c r="D687" i="10"/>
  <c r="E687" i="10"/>
  <c r="F687" i="10"/>
  <c r="G687" i="10"/>
  <c r="J687" i="10" s="1"/>
  <c r="H687" i="10"/>
  <c r="D688" i="10"/>
  <c r="E688" i="10"/>
  <c r="F688" i="10"/>
  <c r="G688" i="10"/>
  <c r="H688" i="10"/>
  <c r="D689" i="10"/>
  <c r="E689" i="10"/>
  <c r="J689" i="10" s="1"/>
  <c r="F689" i="10"/>
  <c r="G689" i="10"/>
  <c r="H689" i="10"/>
  <c r="D690" i="10"/>
  <c r="E690" i="10"/>
  <c r="F690" i="10"/>
  <c r="G690" i="10"/>
  <c r="H690" i="10"/>
  <c r="J690" i="10" s="1"/>
  <c r="D691" i="10"/>
  <c r="E691" i="10"/>
  <c r="F691" i="10"/>
  <c r="G691" i="10"/>
  <c r="H691" i="10"/>
  <c r="D692" i="10"/>
  <c r="E692" i="10"/>
  <c r="F692" i="10"/>
  <c r="G692" i="10"/>
  <c r="H692" i="10"/>
  <c r="D693" i="10"/>
  <c r="E693" i="10"/>
  <c r="F693" i="10"/>
  <c r="G693" i="10"/>
  <c r="H693" i="10"/>
  <c r="D694" i="10"/>
  <c r="J694" i="10" s="1"/>
  <c r="E694" i="10"/>
  <c r="F694" i="10"/>
  <c r="G694" i="10"/>
  <c r="H694" i="10"/>
  <c r="D695" i="10"/>
  <c r="E695" i="10"/>
  <c r="F695" i="10"/>
  <c r="G695" i="10"/>
  <c r="J695" i="10" s="1"/>
  <c r="H695" i="10"/>
  <c r="D696" i="10"/>
  <c r="E696" i="10"/>
  <c r="F696" i="10"/>
  <c r="G696" i="10"/>
  <c r="H696" i="10"/>
  <c r="D697" i="10"/>
  <c r="E697" i="10"/>
  <c r="J697" i="10" s="1"/>
  <c r="F697" i="10"/>
  <c r="G697" i="10"/>
  <c r="H697" i="10"/>
  <c r="D698" i="10"/>
  <c r="E698" i="10"/>
  <c r="F698" i="10"/>
  <c r="G698" i="10"/>
  <c r="H698" i="10"/>
  <c r="J698" i="10" s="1"/>
  <c r="D699" i="10"/>
  <c r="E699" i="10"/>
  <c r="F699" i="10"/>
  <c r="G699" i="10"/>
  <c r="H699" i="10"/>
  <c r="D700" i="10"/>
  <c r="E700" i="10"/>
  <c r="F700" i="10"/>
  <c r="J700" i="10" s="1"/>
  <c r="G700" i="10"/>
  <c r="H700" i="10"/>
  <c r="D701" i="10"/>
  <c r="E701" i="10"/>
  <c r="F701" i="10"/>
  <c r="G701" i="10"/>
  <c r="H701" i="10"/>
  <c r="D702" i="10"/>
  <c r="J702" i="10" s="1"/>
  <c r="E702" i="10"/>
  <c r="F702" i="10"/>
  <c r="G702" i="10"/>
  <c r="H702" i="10"/>
  <c r="D703" i="10"/>
  <c r="E703" i="10"/>
  <c r="F703" i="10"/>
  <c r="G703" i="10"/>
  <c r="J703" i="10" s="1"/>
  <c r="H703" i="10"/>
  <c r="D704" i="10"/>
  <c r="E704" i="10"/>
  <c r="F704" i="10"/>
  <c r="G704" i="10"/>
  <c r="H704" i="10"/>
  <c r="D705" i="10"/>
  <c r="E705" i="10"/>
  <c r="J705" i="10" s="1"/>
  <c r="F705" i="10"/>
  <c r="G705" i="10"/>
  <c r="H705" i="10"/>
  <c r="D706" i="10"/>
  <c r="E706" i="10"/>
  <c r="F706" i="10"/>
  <c r="G706" i="10"/>
  <c r="H706" i="10"/>
  <c r="J706" i="10" s="1"/>
  <c r="D707" i="10"/>
  <c r="E707" i="10"/>
  <c r="F707" i="10"/>
  <c r="G707" i="10"/>
  <c r="H707" i="10"/>
  <c r="D708" i="10"/>
  <c r="E708" i="10"/>
  <c r="F708" i="10"/>
  <c r="G708" i="10"/>
  <c r="H708" i="10"/>
  <c r="D709" i="10"/>
  <c r="E709" i="10"/>
  <c r="F709" i="10"/>
  <c r="G709" i="10"/>
  <c r="H709" i="10"/>
  <c r="D710" i="10"/>
  <c r="J710" i="10" s="1"/>
  <c r="E710" i="10"/>
  <c r="F710" i="10"/>
  <c r="G710" i="10"/>
  <c r="H710" i="10"/>
  <c r="D711" i="10"/>
  <c r="E711" i="10"/>
  <c r="F711" i="10"/>
  <c r="G711" i="10"/>
  <c r="J711" i="10" s="1"/>
  <c r="H711" i="10"/>
  <c r="D712" i="10"/>
  <c r="E712" i="10"/>
  <c r="F712" i="10"/>
  <c r="G712" i="10"/>
  <c r="H712" i="10"/>
  <c r="D713" i="10"/>
  <c r="E713" i="10"/>
  <c r="J713" i="10" s="1"/>
  <c r="F713" i="10"/>
  <c r="G713" i="10"/>
  <c r="H713" i="10"/>
  <c r="D714" i="10"/>
  <c r="E714" i="10"/>
  <c r="F714" i="10"/>
  <c r="G714" i="10"/>
  <c r="H714" i="10"/>
  <c r="J714" i="10" s="1"/>
  <c r="D715" i="10"/>
  <c r="E715" i="10"/>
  <c r="F715" i="10"/>
  <c r="G715" i="10"/>
  <c r="H715" i="10"/>
  <c r="D716" i="10"/>
  <c r="E716" i="10"/>
  <c r="F716" i="10"/>
  <c r="J716" i="10" s="1"/>
  <c r="G716" i="10"/>
  <c r="H716" i="10"/>
  <c r="D717" i="10"/>
  <c r="E717" i="10"/>
  <c r="F717" i="10"/>
  <c r="G717" i="10"/>
  <c r="H717" i="10"/>
  <c r="D718" i="10"/>
  <c r="J718" i="10" s="1"/>
  <c r="E718" i="10"/>
  <c r="F718" i="10"/>
  <c r="G718" i="10"/>
  <c r="H718" i="10"/>
  <c r="D719" i="10"/>
  <c r="E719" i="10"/>
  <c r="F719" i="10"/>
  <c r="G719" i="10"/>
  <c r="J719" i="10" s="1"/>
  <c r="H719" i="10"/>
  <c r="D720" i="10"/>
  <c r="E720" i="10"/>
  <c r="F720" i="10"/>
  <c r="G720" i="10"/>
  <c r="H720" i="10"/>
  <c r="D721" i="10"/>
  <c r="E721" i="10"/>
  <c r="J721" i="10" s="1"/>
  <c r="F721" i="10"/>
  <c r="G721" i="10"/>
  <c r="H721" i="10"/>
  <c r="D722" i="10"/>
  <c r="E722" i="10"/>
  <c r="F722" i="10"/>
  <c r="G722" i="10"/>
  <c r="H722" i="10"/>
  <c r="J722" i="10" s="1"/>
  <c r="D723" i="10"/>
  <c r="E723" i="10"/>
  <c r="F723" i="10"/>
  <c r="G723" i="10"/>
  <c r="H723" i="10"/>
  <c r="D724" i="10"/>
  <c r="E724" i="10"/>
  <c r="F724" i="10"/>
  <c r="G724" i="10"/>
  <c r="H724" i="10"/>
  <c r="D725" i="10"/>
  <c r="E725" i="10"/>
  <c r="F725" i="10"/>
  <c r="G725" i="10"/>
  <c r="H725" i="10"/>
  <c r="D726" i="10"/>
  <c r="J726" i="10" s="1"/>
  <c r="E726" i="10"/>
  <c r="F726" i="10"/>
  <c r="G726" i="10"/>
  <c r="H726" i="10"/>
  <c r="D727" i="10"/>
  <c r="E727" i="10"/>
  <c r="F727" i="10"/>
  <c r="G727" i="10"/>
  <c r="J727" i="10" s="1"/>
  <c r="H727" i="10"/>
  <c r="D728" i="10"/>
  <c r="E728" i="10"/>
  <c r="F728" i="10"/>
  <c r="G728" i="10"/>
  <c r="H728" i="10"/>
  <c r="D729" i="10"/>
  <c r="E729" i="10"/>
  <c r="J729" i="10" s="1"/>
  <c r="F729" i="10"/>
  <c r="G729" i="10"/>
  <c r="H729" i="10"/>
  <c r="D730" i="10"/>
  <c r="E730" i="10"/>
  <c r="F730" i="10"/>
  <c r="G730" i="10"/>
  <c r="H730" i="10"/>
  <c r="J730" i="10" s="1"/>
  <c r="D731" i="10"/>
  <c r="E731" i="10"/>
  <c r="F731" i="10"/>
  <c r="G731" i="10"/>
  <c r="H731" i="10"/>
  <c r="D732" i="10"/>
  <c r="E732" i="10"/>
  <c r="F732" i="10"/>
  <c r="J732" i="10" s="1"/>
  <c r="G732" i="10"/>
  <c r="H732" i="10"/>
  <c r="D733" i="10"/>
  <c r="E733" i="10"/>
  <c r="F733" i="10"/>
  <c r="G733" i="10"/>
  <c r="H733" i="10"/>
  <c r="D734" i="10"/>
  <c r="J734" i="10" s="1"/>
  <c r="E734" i="10"/>
  <c r="F734" i="10"/>
  <c r="G734" i="10"/>
  <c r="H734" i="10"/>
  <c r="D735" i="10"/>
  <c r="E735" i="10"/>
  <c r="F735" i="10"/>
  <c r="G735" i="10"/>
  <c r="J735" i="10" s="1"/>
  <c r="H735" i="10"/>
  <c r="D736" i="10"/>
  <c r="E736" i="10"/>
  <c r="F736" i="10"/>
  <c r="G736" i="10"/>
  <c r="H736" i="10"/>
  <c r="D737" i="10"/>
  <c r="E737" i="10"/>
  <c r="J737" i="10" s="1"/>
  <c r="F737" i="10"/>
  <c r="G737" i="10"/>
  <c r="H737" i="10"/>
  <c r="D738" i="10"/>
  <c r="E738" i="10"/>
  <c r="F738" i="10"/>
  <c r="G738" i="10"/>
  <c r="H738" i="10"/>
  <c r="J738" i="10" s="1"/>
  <c r="D739" i="10"/>
  <c r="E739" i="10"/>
  <c r="F739" i="10"/>
  <c r="G739" i="10"/>
  <c r="H739" i="10"/>
  <c r="D740" i="10"/>
  <c r="E740" i="10"/>
  <c r="F740" i="10"/>
  <c r="G740" i="10"/>
  <c r="H740" i="10"/>
  <c r="D741" i="10"/>
  <c r="E741" i="10"/>
  <c r="F741" i="10"/>
  <c r="G741" i="10"/>
  <c r="H741" i="10"/>
  <c r="D742" i="10"/>
  <c r="J742" i="10" s="1"/>
  <c r="E742" i="10"/>
  <c r="F742" i="10"/>
  <c r="G742" i="10"/>
  <c r="H742" i="10"/>
  <c r="D743" i="10"/>
  <c r="E743" i="10"/>
  <c r="F743" i="10"/>
  <c r="G743" i="10"/>
  <c r="J743" i="10" s="1"/>
  <c r="H743" i="10"/>
  <c r="D744" i="10"/>
  <c r="E744" i="10"/>
  <c r="F744" i="10"/>
  <c r="G744" i="10"/>
  <c r="H744" i="10"/>
  <c r="D745" i="10"/>
  <c r="E745" i="10"/>
  <c r="J745" i="10" s="1"/>
  <c r="F745" i="10"/>
  <c r="G745" i="10"/>
  <c r="H745" i="10"/>
  <c r="D746" i="10"/>
  <c r="E746" i="10"/>
  <c r="F746" i="10"/>
  <c r="G746" i="10"/>
  <c r="H746" i="10"/>
  <c r="J746" i="10" s="1"/>
  <c r="D747" i="10"/>
  <c r="E747" i="10"/>
  <c r="F747" i="10"/>
  <c r="G747" i="10"/>
  <c r="H747" i="10"/>
  <c r="D748" i="10"/>
  <c r="E748" i="10"/>
  <c r="F748" i="10"/>
  <c r="J748" i="10" s="1"/>
  <c r="G748" i="10"/>
  <c r="H748" i="10"/>
  <c r="D749" i="10"/>
  <c r="E749" i="10"/>
  <c r="F749" i="10"/>
  <c r="G749" i="10"/>
  <c r="H749" i="10"/>
  <c r="D750" i="10"/>
  <c r="J750" i="10" s="1"/>
  <c r="E750" i="10"/>
  <c r="F750" i="10"/>
  <c r="G750" i="10"/>
  <c r="H750" i="10"/>
  <c r="D751" i="10"/>
  <c r="E751" i="10"/>
  <c r="F751" i="10"/>
  <c r="G751" i="10"/>
  <c r="J751" i="10" s="1"/>
  <c r="H751" i="10"/>
  <c r="D752" i="10"/>
  <c r="E752" i="10"/>
  <c r="F752" i="10"/>
  <c r="G752" i="10"/>
  <c r="H752" i="10"/>
  <c r="D753" i="10"/>
  <c r="E753" i="10"/>
  <c r="J753" i="10" s="1"/>
  <c r="F753" i="10"/>
  <c r="G753" i="10"/>
  <c r="H753" i="10"/>
  <c r="D754" i="10"/>
  <c r="E754" i="10"/>
  <c r="F754" i="10"/>
  <c r="G754" i="10"/>
  <c r="H754" i="10"/>
  <c r="J754" i="10" s="1"/>
  <c r="D755" i="10"/>
  <c r="E755" i="10"/>
  <c r="F755" i="10"/>
  <c r="G755" i="10"/>
  <c r="H755" i="10"/>
  <c r="D756" i="10"/>
  <c r="E756" i="10"/>
  <c r="F756" i="10"/>
  <c r="G756" i="10"/>
  <c r="H756" i="10"/>
  <c r="D757" i="10"/>
  <c r="E757" i="10"/>
  <c r="F757" i="10"/>
  <c r="G757" i="10"/>
  <c r="H757" i="10"/>
  <c r="D758" i="10"/>
  <c r="J758" i="10" s="1"/>
  <c r="E758" i="10"/>
  <c r="F758" i="10"/>
  <c r="G758" i="10"/>
  <c r="H758" i="10"/>
  <c r="D759" i="10"/>
  <c r="E759" i="10"/>
  <c r="F759" i="10"/>
  <c r="G759" i="10"/>
  <c r="J759" i="10" s="1"/>
  <c r="H759" i="10"/>
  <c r="D760" i="10"/>
  <c r="E760" i="10"/>
  <c r="F760" i="10"/>
  <c r="G760" i="10"/>
  <c r="H760" i="10"/>
  <c r="D761" i="10"/>
  <c r="E761" i="10"/>
  <c r="J761" i="10" s="1"/>
  <c r="F761" i="10"/>
  <c r="G761" i="10"/>
  <c r="H761" i="10"/>
  <c r="D762" i="10"/>
  <c r="E762" i="10"/>
  <c r="F762" i="10"/>
  <c r="G762" i="10"/>
  <c r="H762" i="10"/>
  <c r="J762" i="10" s="1"/>
  <c r="D763" i="10"/>
  <c r="E763" i="10"/>
  <c r="F763" i="10"/>
  <c r="G763" i="10"/>
  <c r="H763" i="10"/>
  <c r="D764" i="10"/>
  <c r="E764" i="10"/>
  <c r="F764" i="10"/>
  <c r="J764" i="10" s="1"/>
  <c r="G764" i="10"/>
  <c r="H764" i="10"/>
  <c r="D765" i="10"/>
  <c r="E765" i="10"/>
  <c r="F765" i="10"/>
  <c r="G765" i="10"/>
  <c r="H765" i="10"/>
  <c r="D766" i="10"/>
  <c r="J766" i="10" s="1"/>
  <c r="E766" i="10"/>
  <c r="F766" i="10"/>
  <c r="G766" i="10"/>
  <c r="H766" i="10"/>
  <c r="D767" i="10"/>
  <c r="E767" i="10"/>
  <c r="F767" i="10"/>
  <c r="G767" i="10"/>
  <c r="J767" i="10" s="1"/>
  <c r="H767" i="10"/>
  <c r="D768" i="10"/>
  <c r="E768" i="10"/>
  <c r="F768" i="10"/>
  <c r="G768" i="10"/>
  <c r="H768" i="10"/>
  <c r="D769" i="10"/>
  <c r="E769" i="10"/>
  <c r="J769" i="10" s="1"/>
  <c r="F769" i="10"/>
  <c r="G769" i="10"/>
  <c r="H769" i="10"/>
  <c r="D770" i="10"/>
  <c r="E770" i="10"/>
  <c r="F770" i="10"/>
  <c r="G770" i="10"/>
  <c r="H770" i="10"/>
  <c r="J770" i="10" s="1"/>
  <c r="D771" i="10"/>
  <c r="E771" i="10"/>
  <c r="F771" i="10"/>
  <c r="G771" i="10"/>
  <c r="H771" i="10"/>
  <c r="D772" i="10"/>
  <c r="E772" i="10"/>
  <c r="F772" i="10"/>
  <c r="G772" i="10"/>
  <c r="H772" i="10"/>
  <c r="D773" i="10"/>
  <c r="E773" i="10"/>
  <c r="F773" i="10"/>
  <c r="G773" i="10"/>
  <c r="H773" i="10"/>
  <c r="D774" i="10"/>
  <c r="J774" i="10" s="1"/>
  <c r="E774" i="10"/>
  <c r="F774" i="10"/>
  <c r="G774" i="10"/>
  <c r="H774" i="10"/>
  <c r="D775" i="10"/>
  <c r="E775" i="10"/>
  <c r="F775" i="10"/>
  <c r="G775" i="10"/>
  <c r="J775" i="10" s="1"/>
  <c r="H775" i="10"/>
  <c r="D776" i="10"/>
  <c r="E776" i="10"/>
  <c r="F776" i="10"/>
  <c r="G776" i="10"/>
  <c r="H776" i="10"/>
  <c r="D777" i="10"/>
  <c r="E777" i="10"/>
  <c r="J777" i="10" s="1"/>
  <c r="F777" i="10"/>
  <c r="G777" i="10"/>
  <c r="H777" i="10"/>
  <c r="D778" i="10"/>
  <c r="E778" i="10"/>
  <c r="F778" i="10"/>
  <c r="G778" i="10"/>
  <c r="H778" i="10"/>
  <c r="J778" i="10" s="1"/>
  <c r="D779" i="10"/>
  <c r="E779" i="10"/>
  <c r="F779" i="10"/>
  <c r="G779" i="10"/>
  <c r="H779" i="10"/>
  <c r="D780" i="10"/>
  <c r="E780" i="10"/>
  <c r="F780" i="10"/>
  <c r="J780" i="10" s="1"/>
  <c r="G780" i="10"/>
  <c r="H780" i="10"/>
  <c r="D781" i="10"/>
  <c r="E781" i="10"/>
  <c r="F781" i="10"/>
  <c r="G781" i="10"/>
  <c r="H781" i="10"/>
  <c r="D782" i="10"/>
  <c r="J782" i="10" s="1"/>
  <c r="E782" i="10"/>
  <c r="F782" i="10"/>
  <c r="G782" i="10"/>
  <c r="H782" i="10"/>
  <c r="D783" i="10"/>
  <c r="E783" i="10"/>
  <c r="F783" i="10"/>
  <c r="G783" i="10"/>
  <c r="J783" i="10" s="1"/>
  <c r="H783" i="10"/>
  <c r="D784" i="10"/>
  <c r="E784" i="10"/>
  <c r="F784" i="10"/>
  <c r="G784" i="10"/>
  <c r="H784" i="10"/>
  <c r="D785" i="10"/>
  <c r="E785" i="10"/>
  <c r="J785" i="10" s="1"/>
  <c r="F785" i="10"/>
  <c r="G785" i="10"/>
  <c r="H785" i="10"/>
  <c r="D786" i="10"/>
  <c r="E786" i="10"/>
  <c r="F786" i="10"/>
  <c r="G786" i="10"/>
  <c r="H786" i="10"/>
  <c r="J786" i="10" s="1"/>
  <c r="D787" i="10"/>
  <c r="E787" i="10"/>
  <c r="F787" i="10"/>
  <c r="G787" i="10"/>
  <c r="H787" i="10"/>
  <c r="D788" i="10"/>
  <c r="E788" i="10"/>
  <c r="F788" i="10"/>
  <c r="G788" i="10"/>
  <c r="H788" i="10"/>
  <c r="D789" i="10"/>
  <c r="E789" i="10"/>
  <c r="F789" i="10"/>
  <c r="G789" i="10"/>
  <c r="H789" i="10"/>
  <c r="D790" i="10"/>
  <c r="J790" i="10" s="1"/>
  <c r="E790" i="10"/>
  <c r="F790" i="10"/>
  <c r="G790" i="10"/>
  <c r="H790" i="10"/>
  <c r="D791" i="10"/>
  <c r="E791" i="10"/>
  <c r="F791" i="10"/>
  <c r="G791" i="10"/>
  <c r="J791" i="10" s="1"/>
  <c r="H791" i="10"/>
  <c r="D792" i="10"/>
  <c r="E792" i="10"/>
  <c r="F792" i="10"/>
  <c r="G792" i="10"/>
  <c r="H792" i="10"/>
  <c r="D793" i="10"/>
  <c r="E793" i="10"/>
  <c r="J793" i="10" s="1"/>
  <c r="F793" i="10"/>
  <c r="G793" i="10"/>
  <c r="H793" i="10"/>
  <c r="D794" i="10"/>
  <c r="E794" i="10"/>
  <c r="F794" i="10"/>
  <c r="G794" i="10"/>
  <c r="H794" i="10"/>
  <c r="J794" i="10" s="1"/>
  <c r="D795" i="10"/>
  <c r="E795" i="10"/>
  <c r="F795" i="10"/>
  <c r="G795" i="10"/>
  <c r="H795" i="10"/>
  <c r="D796" i="10"/>
  <c r="E796" i="10"/>
  <c r="F796" i="10"/>
  <c r="J796" i="10" s="1"/>
  <c r="G796" i="10"/>
  <c r="H796" i="10"/>
  <c r="D797" i="10"/>
  <c r="E797" i="10"/>
  <c r="F797" i="10"/>
  <c r="G797" i="10"/>
  <c r="H797" i="10"/>
  <c r="D798" i="10"/>
  <c r="J798" i="10" s="1"/>
  <c r="E798" i="10"/>
  <c r="F798" i="10"/>
  <c r="G798" i="10"/>
  <c r="H798" i="10"/>
  <c r="D799" i="10"/>
  <c r="E799" i="10"/>
  <c r="F799" i="10"/>
  <c r="G799" i="10"/>
  <c r="J799" i="10" s="1"/>
  <c r="H799" i="10"/>
  <c r="D800" i="10"/>
  <c r="E800" i="10"/>
  <c r="F800" i="10"/>
  <c r="G800" i="10"/>
  <c r="H800" i="10"/>
  <c r="D801" i="10"/>
  <c r="E801" i="10"/>
  <c r="J801" i="10" s="1"/>
  <c r="F801" i="10"/>
  <c r="G801" i="10"/>
  <c r="H801" i="10"/>
  <c r="D802" i="10"/>
  <c r="E802" i="10"/>
  <c r="F802" i="10"/>
  <c r="G802" i="10"/>
  <c r="H802" i="10"/>
  <c r="J802" i="10" s="1"/>
  <c r="D803" i="10"/>
  <c r="E803" i="10"/>
  <c r="F803" i="10"/>
  <c r="G803" i="10"/>
  <c r="H803" i="10"/>
  <c r="D804" i="10"/>
  <c r="E804" i="10"/>
  <c r="F804" i="10"/>
  <c r="G804" i="10"/>
  <c r="H804" i="10"/>
  <c r="D805" i="10"/>
  <c r="E805" i="10"/>
  <c r="F805" i="10"/>
  <c r="G805" i="10"/>
  <c r="H805" i="10"/>
  <c r="D806" i="10"/>
  <c r="J806" i="10" s="1"/>
  <c r="E806" i="10"/>
  <c r="F806" i="10"/>
  <c r="G806" i="10"/>
  <c r="H806" i="10"/>
  <c r="D807" i="10"/>
  <c r="E807" i="10"/>
  <c r="F807" i="10"/>
  <c r="G807" i="10"/>
  <c r="J807" i="10" s="1"/>
  <c r="H807" i="10"/>
  <c r="D808" i="10"/>
  <c r="E808" i="10"/>
  <c r="F808" i="10"/>
  <c r="G808" i="10"/>
  <c r="H808" i="10"/>
  <c r="D809" i="10"/>
  <c r="E809" i="10"/>
  <c r="J809" i="10" s="1"/>
  <c r="F809" i="10"/>
  <c r="G809" i="10"/>
  <c r="H809" i="10"/>
  <c r="D810" i="10"/>
  <c r="E810" i="10"/>
  <c r="F810" i="10"/>
  <c r="G810" i="10"/>
  <c r="H810" i="10"/>
  <c r="J810" i="10" s="1"/>
  <c r="D811" i="10"/>
  <c r="E811" i="10"/>
  <c r="F811" i="10"/>
  <c r="G811" i="10"/>
  <c r="H811" i="10"/>
  <c r="D812" i="10"/>
  <c r="E812" i="10"/>
  <c r="F812" i="10"/>
  <c r="J812" i="10" s="1"/>
  <c r="G812" i="10"/>
  <c r="H812" i="10"/>
  <c r="D813" i="10"/>
  <c r="E813" i="10"/>
  <c r="F813" i="10"/>
  <c r="G813" i="10"/>
  <c r="H813" i="10"/>
  <c r="D814" i="10"/>
  <c r="J814" i="10" s="1"/>
  <c r="E814" i="10"/>
  <c r="F814" i="10"/>
  <c r="G814" i="10"/>
  <c r="H814" i="10"/>
  <c r="D815" i="10"/>
  <c r="E815" i="10"/>
  <c r="F815" i="10"/>
  <c r="G815" i="10"/>
  <c r="J815" i="10" s="1"/>
  <c r="H815" i="10"/>
  <c r="D816" i="10"/>
  <c r="E816" i="10"/>
  <c r="F816" i="10"/>
  <c r="G816" i="10"/>
  <c r="H816" i="10"/>
  <c r="D817" i="10"/>
  <c r="E817" i="10"/>
  <c r="J817" i="10" s="1"/>
  <c r="F817" i="10"/>
  <c r="G817" i="10"/>
  <c r="H817" i="10"/>
  <c r="D818" i="10"/>
  <c r="E818" i="10"/>
  <c r="F818" i="10"/>
  <c r="G818" i="10"/>
  <c r="H818" i="10"/>
  <c r="J818" i="10" s="1"/>
  <c r="D819" i="10"/>
  <c r="E819" i="10"/>
  <c r="F819" i="10"/>
  <c r="G819" i="10"/>
  <c r="H819" i="10"/>
  <c r="D820" i="10"/>
  <c r="E820" i="10"/>
  <c r="F820" i="10"/>
  <c r="G820" i="10"/>
  <c r="H820" i="10"/>
  <c r="D821" i="10"/>
  <c r="E821" i="10"/>
  <c r="F821" i="10"/>
  <c r="G821" i="10"/>
  <c r="H821" i="10"/>
  <c r="D822" i="10"/>
  <c r="J822" i="10" s="1"/>
  <c r="E822" i="10"/>
  <c r="F822" i="10"/>
  <c r="G822" i="10"/>
  <c r="H822" i="10"/>
  <c r="D823" i="10"/>
  <c r="E823" i="10"/>
  <c r="F823" i="10"/>
  <c r="G823" i="10"/>
  <c r="J823" i="10" s="1"/>
  <c r="H823" i="10"/>
  <c r="D824" i="10"/>
  <c r="E824" i="10"/>
  <c r="F824" i="10"/>
  <c r="G824" i="10"/>
  <c r="H824" i="10"/>
  <c r="D825" i="10"/>
  <c r="E825" i="10"/>
  <c r="J825" i="10" s="1"/>
  <c r="F825" i="10"/>
  <c r="G825" i="10"/>
  <c r="H825" i="10"/>
  <c r="D826" i="10"/>
  <c r="E826" i="10"/>
  <c r="F826" i="10"/>
  <c r="G826" i="10"/>
  <c r="H826" i="10"/>
  <c r="J826" i="10" s="1"/>
  <c r="D827" i="10"/>
  <c r="E827" i="10"/>
  <c r="F827" i="10"/>
  <c r="G827" i="10"/>
  <c r="H827" i="10"/>
  <c r="D828" i="10"/>
  <c r="E828" i="10"/>
  <c r="F828" i="10"/>
  <c r="J828" i="10" s="1"/>
  <c r="G828" i="10"/>
  <c r="H828" i="10"/>
  <c r="D829" i="10"/>
  <c r="E829" i="10"/>
  <c r="F829" i="10"/>
  <c r="G829" i="10"/>
  <c r="H829" i="10"/>
  <c r="D830" i="10"/>
  <c r="J830" i="10" s="1"/>
  <c r="E830" i="10"/>
  <c r="F830" i="10"/>
  <c r="G830" i="10"/>
  <c r="H830" i="10"/>
  <c r="D831" i="10"/>
  <c r="E831" i="10"/>
  <c r="F831" i="10"/>
  <c r="G831" i="10"/>
  <c r="J831" i="10" s="1"/>
  <c r="H831" i="10"/>
  <c r="D832" i="10"/>
  <c r="E832" i="10"/>
  <c r="F832" i="10"/>
  <c r="G832" i="10"/>
  <c r="H832" i="10"/>
  <c r="D833" i="10"/>
  <c r="E833" i="10"/>
  <c r="J833" i="10" s="1"/>
  <c r="F833" i="10"/>
  <c r="G833" i="10"/>
  <c r="H833" i="10"/>
  <c r="D834" i="10"/>
  <c r="E834" i="10"/>
  <c r="F834" i="10"/>
  <c r="G834" i="10"/>
  <c r="H834" i="10"/>
  <c r="J834" i="10" s="1"/>
  <c r="D835" i="10"/>
  <c r="E835" i="10"/>
  <c r="F835" i="10"/>
  <c r="G835" i="10"/>
  <c r="H835" i="10"/>
  <c r="D836" i="10"/>
  <c r="E836" i="10"/>
  <c r="F836" i="10"/>
  <c r="G836" i="10"/>
  <c r="H836" i="10"/>
  <c r="D837" i="10"/>
  <c r="E837" i="10"/>
  <c r="F837" i="10"/>
  <c r="G837" i="10"/>
  <c r="H837" i="10"/>
  <c r="D838" i="10"/>
  <c r="J838" i="10" s="1"/>
  <c r="E838" i="10"/>
  <c r="F838" i="10"/>
  <c r="G838" i="10"/>
  <c r="H838" i="10"/>
  <c r="D839" i="10"/>
  <c r="E839" i="10"/>
  <c r="F839" i="10"/>
  <c r="G839" i="10"/>
  <c r="J839" i="10" s="1"/>
  <c r="H839" i="10"/>
  <c r="D840" i="10"/>
  <c r="E840" i="10"/>
  <c r="F840" i="10"/>
  <c r="G840" i="10"/>
  <c r="H840" i="10"/>
  <c r="D841" i="10"/>
  <c r="E841" i="10"/>
  <c r="J841" i="10" s="1"/>
  <c r="F841" i="10"/>
  <c r="G841" i="10"/>
  <c r="H841" i="10"/>
  <c r="D842" i="10"/>
  <c r="E842" i="10"/>
  <c r="F842" i="10"/>
  <c r="G842" i="10"/>
  <c r="H842" i="10"/>
  <c r="J842" i="10" s="1"/>
  <c r="D843" i="10"/>
  <c r="E843" i="10"/>
  <c r="F843" i="10"/>
  <c r="G843" i="10"/>
  <c r="H843" i="10"/>
  <c r="D844" i="10"/>
  <c r="E844" i="10"/>
  <c r="F844" i="10"/>
  <c r="J844" i="10" s="1"/>
  <c r="G844" i="10"/>
  <c r="H844" i="10"/>
  <c r="D845" i="10"/>
  <c r="E845" i="10"/>
  <c r="F845" i="10"/>
  <c r="G845" i="10"/>
  <c r="H845" i="10"/>
  <c r="D846" i="10"/>
  <c r="J846" i="10" s="1"/>
  <c r="E846" i="10"/>
  <c r="F846" i="10"/>
  <c r="G846" i="10"/>
  <c r="H846" i="10"/>
  <c r="D847" i="10"/>
  <c r="E847" i="10"/>
  <c r="F847" i="10"/>
  <c r="G847" i="10"/>
  <c r="J847" i="10" s="1"/>
  <c r="H847" i="10"/>
  <c r="D848" i="10"/>
  <c r="E848" i="10"/>
  <c r="F848" i="10"/>
  <c r="G848" i="10"/>
  <c r="H848" i="10"/>
  <c r="D849" i="10"/>
  <c r="E849" i="10"/>
  <c r="J849" i="10" s="1"/>
  <c r="F849" i="10"/>
  <c r="G849" i="10"/>
  <c r="H849" i="10"/>
  <c r="D850" i="10"/>
  <c r="E850" i="10"/>
  <c r="F850" i="10"/>
  <c r="G850" i="10"/>
  <c r="H850" i="10"/>
  <c r="J850" i="10" s="1"/>
  <c r="D851" i="10"/>
  <c r="E851" i="10"/>
  <c r="F851" i="10"/>
  <c r="G851" i="10"/>
  <c r="H851" i="10"/>
  <c r="D852" i="10"/>
  <c r="E852" i="10"/>
  <c r="F852" i="10"/>
  <c r="G852" i="10"/>
  <c r="H852" i="10"/>
  <c r="D853" i="10"/>
  <c r="E853" i="10"/>
  <c r="F853" i="10"/>
  <c r="G853" i="10"/>
  <c r="H853" i="10"/>
  <c r="D854" i="10"/>
  <c r="J854" i="10" s="1"/>
  <c r="E854" i="10"/>
  <c r="F854" i="10"/>
  <c r="G854" i="10"/>
  <c r="H854" i="10"/>
  <c r="D855" i="10"/>
  <c r="E855" i="10"/>
  <c r="F855" i="10"/>
  <c r="G855" i="10"/>
  <c r="J855" i="10" s="1"/>
  <c r="H855" i="10"/>
  <c r="D856" i="10"/>
  <c r="E856" i="10"/>
  <c r="F856" i="10"/>
  <c r="G856" i="10"/>
  <c r="H856" i="10"/>
  <c r="D857" i="10"/>
  <c r="E857" i="10"/>
  <c r="J857" i="10" s="1"/>
  <c r="F857" i="10"/>
  <c r="G857" i="10"/>
  <c r="H857" i="10"/>
  <c r="D858" i="10"/>
  <c r="E858" i="10"/>
  <c r="F858" i="10"/>
  <c r="G858" i="10"/>
  <c r="H858" i="10"/>
  <c r="J858" i="10" s="1"/>
  <c r="D859" i="10"/>
  <c r="E859" i="10"/>
  <c r="F859" i="10"/>
  <c r="G859" i="10"/>
  <c r="H859" i="10"/>
  <c r="D860" i="10"/>
  <c r="E860" i="10"/>
  <c r="F860" i="10"/>
  <c r="J860" i="10" s="1"/>
  <c r="G860" i="10"/>
  <c r="H860" i="10"/>
  <c r="D861" i="10"/>
  <c r="E861" i="10"/>
  <c r="F861" i="10"/>
  <c r="G861" i="10"/>
  <c r="H861" i="10"/>
  <c r="D862" i="10"/>
  <c r="J862" i="10" s="1"/>
  <c r="E862" i="10"/>
  <c r="F862" i="10"/>
  <c r="G862" i="10"/>
  <c r="H862" i="10"/>
  <c r="D863" i="10"/>
  <c r="E863" i="10"/>
  <c r="F863" i="10"/>
  <c r="G863" i="10"/>
  <c r="J863" i="10" s="1"/>
  <c r="H863" i="10"/>
  <c r="D864" i="10"/>
  <c r="E864" i="10"/>
  <c r="F864" i="10"/>
  <c r="G864" i="10"/>
  <c r="H864" i="10"/>
  <c r="D865" i="10"/>
  <c r="E865" i="10"/>
  <c r="J865" i="10" s="1"/>
  <c r="F865" i="10"/>
  <c r="G865" i="10"/>
  <c r="H865" i="10"/>
  <c r="D866" i="10"/>
  <c r="E866" i="10"/>
  <c r="F866" i="10"/>
  <c r="G866" i="10"/>
  <c r="H866" i="10"/>
  <c r="J866" i="10" s="1"/>
  <c r="D867" i="10"/>
  <c r="E867" i="10"/>
  <c r="F867" i="10"/>
  <c r="G867" i="10"/>
  <c r="H867" i="10"/>
  <c r="D868" i="10"/>
  <c r="E868" i="10"/>
  <c r="F868" i="10"/>
  <c r="G868" i="10"/>
  <c r="H868" i="10"/>
  <c r="D869" i="10"/>
  <c r="E869" i="10"/>
  <c r="F869" i="10"/>
  <c r="G869" i="10"/>
  <c r="H869" i="10"/>
  <c r="D870" i="10"/>
  <c r="J870" i="10" s="1"/>
  <c r="E870" i="10"/>
  <c r="F870" i="10"/>
  <c r="G870" i="10"/>
  <c r="H870" i="10"/>
  <c r="D871" i="10"/>
  <c r="E871" i="10"/>
  <c r="F871" i="10"/>
  <c r="G871" i="10"/>
  <c r="J871" i="10" s="1"/>
  <c r="H871" i="10"/>
  <c r="D872" i="10"/>
  <c r="E872" i="10"/>
  <c r="F872" i="10"/>
  <c r="G872" i="10"/>
  <c r="H872" i="10"/>
  <c r="D873" i="10"/>
  <c r="E873" i="10"/>
  <c r="J873" i="10" s="1"/>
  <c r="F873" i="10"/>
  <c r="G873" i="10"/>
  <c r="H873" i="10"/>
  <c r="D874" i="10"/>
  <c r="E874" i="10"/>
  <c r="F874" i="10"/>
  <c r="G874" i="10"/>
  <c r="H874" i="10"/>
  <c r="J874" i="10" s="1"/>
  <c r="D875" i="10"/>
  <c r="E875" i="10"/>
  <c r="F875" i="10"/>
  <c r="G875" i="10"/>
  <c r="H875" i="10"/>
  <c r="D876" i="10"/>
  <c r="E876" i="10"/>
  <c r="F876" i="10"/>
  <c r="J876" i="10" s="1"/>
  <c r="G876" i="10"/>
  <c r="H876" i="10"/>
  <c r="D877" i="10"/>
  <c r="E877" i="10"/>
  <c r="F877" i="10"/>
  <c r="G877" i="10"/>
  <c r="H877" i="10"/>
  <c r="D878" i="10"/>
  <c r="J878" i="10" s="1"/>
  <c r="E878" i="10"/>
  <c r="F878" i="10"/>
  <c r="G878" i="10"/>
  <c r="H878" i="10"/>
  <c r="D879" i="10"/>
  <c r="E879" i="10"/>
  <c r="F879" i="10"/>
  <c r="G879" i="10"/>
  <c r="J879" i="10" s="1"/>
  <c r="H879" i="10"/>
  <c r="D880" i="10"/>
  <c r="E880" i="10"/>
  <c r="F880" i="10"/>
  <c r="G880" i="10"/>
  <c r="H880" i="10"/>
  <c r="D881" i="10"/>
  <c r="E881" i="10"/>
  <c r="J881" i="10" s="1"/>
  <c r="F881" i="10"/>
  <c r="G881" i="10"/>
  <c r="H881" i="10"/>
  <c r="D882" i="10"/>
  <c r="E882" i="10"/>
  <c r="F882" i="10"/>
  <c r="G882" i="10"/>
  <c r="H882" i="10"/>
  <c r="J882" i="10" s="1"/>
  <c r="D883" i="10"/>
  <c r="E883" i="10"/>
  <c r="F883" i="10"/>
  <c r="G883" i="10"/>
  <c r="H883" i="10"/>
  <c r="D884" i="10"/>
  <c r="E884" i="10"/>
  <c r="F884" i="10"/>
  <c r="G884" i="10"/>
  <c r="H884" i="10"/>
  <c r="D885" i="10"/>
  <c r="E885" i="10"/>
  <c r="F885" i="10"/>
  <c r="G885" i="10"/>
  <c r="H885" i="10"/>
  <c r="D886" i="10"/>
  <c r="J886" i="10" s="1"/>
  <c r="E886" i="10"/>
  <c r="F886" i="10"/>
  <c r="G886" i="10"/>
  <c r="H886" i="10"/>
  <c r="D887" i="10"/>
  <c r="E887" i="10"/>
  <c r="F887" i="10"/>
  <c r="G887" i="10"/>
  <c r="J887" i="10" s="1"/>
  <c r="H887" i="10"/>
  <c r="D888" i="10"/>
  <c r="E888" i="10"/>
  <c r="F888" i="10"/>
  <c r="G888" i="10"/>
  <c r="H888" i="10"/>
  <c r="D889" i="10"/>
  <c r="E889" i="10"/>
  <c r="J889" i="10" s="1"/>
  <c r="F889" i="10"/>
  <c r="G889" i="10"/>
  <c r="H889" i="10"/>
  <c r="D890" i="10"/>
  <c r="E890" i="10"/>
  <c r="F890" i="10"/>
  <c r="G890" i="10"/>
  <c r="H890" i="10"/>
  <c r="J890" i="10" s="1"/>
  <c r="D891" i="10"/>
  <c r="E891" i="10"/>
  <c r="F891" i="10"/>
  <c r="G891" i="10"/>
  <c r="H891" i="10"/>
  <c r="D892" i="10"/>
  <c r="E892" i="10"/>
  <c r="F892" i="10"/>
  <c r="J892" i="10" s="1"/>
  <c r="G892" i="10"/>
  <c r="H892" i="10"/>
  <c r="D893" i="10"/>
  <c r="E893" i="10"/>
  <c r="F893" i="10"/>
  <c r="G893" i="10"/>
  <c r="H893" i="10"/>
  <c r="D894" i="10"/>
  <c r="J894" i="10" s="1"/>
  <c r="E894" i="10"/>
  <c r="F894" i="10"/>
  <c r="G894" i="10"/>
  <c r="H894" i="10"/>
  <c r="D895" i="10"/>
  <c r="E895" i="10"/>
  <c r="F895" i="10"/>
  <c r="G895" i="10"/>
  <c r="J895" i="10" s="1"/>
  <c r="H895" i="10"/>
  <c r="D896" i="10"/>
  <c r="E896" i="10"/>
  <c r="F896" i="10"/>
  <c r="G896" i="10"/>
  <c r="H896" i="10"/>
  <c r="D897" i="10"/>
  <c r="E897" i="10"/>
  <c r="J897" i="10" s="1"/>
  <c r="F897" i="10"/>
  <c r="G897" i="10"/>
  <c r="H897" i="10"/>
  <c r="D898" i="10"/>
  <c r="E898" i="10"/>
  <c r="F898" i="10"/>
  <c r="G898" i="10"/>
  <c r="H898" i="10"/>
  <c r="J898" i="10" s="1"/>
  <c r="D899" i="10"/>
  <c r="E899" i="10"/>
  <c r="F899" i="10"/>
  <c r="G899" i="10"/>
  <c r="H899" i="10"/>
  <c r="D900" i="10"/>
  <c r="E900" i="10"/>
  <c r="F900" i="10"/>
  <c r="G900" i="10"/>
  <c r="H900" i="10"/>
  <c r="D901" i="10"/>
  <c r="E901" i="10"/>
  <c r="F901" i="10"/>
  <c r="G901" i="10"/>
  <c r="H901" i="10"/>
  <c r="D902" i="10"/>
  <c r="J902" i="10" s="1"/>
  <c r="E902" i="10"/>
  <c r="F902" i="10"/>
  <c r="G902" i="10"/>
  <c r="H902" i="10"/>
  <c r="D903" i="10"/>
  <c r="E903" i="10"/>
  <c r="F903" i="10"/>
  <c r="G903" i="10"/>
  <c r="J903" i="10" s="1"/>
  <c r="H903" i="10"/>
  <c r="D904" i="10"/>
  <c r="E904" i="10"/>
  <c r="F904" i="10"/>
  <c r="G904" i="10"/>
  <c r="H904" i="10"/>
  <c r="D905" i="10"/>
  <c r="E905" i="10"/>
  <c r="J905" i="10" s="1"/>
  <c r="F905" i="10"/>
  <c r="G905" i="10"/>
  <c r="H905" i="10"/>
  <c r="D906" i="10"/>
  <c r="E906" i="10"/>
  <c r="F906" i="10"/>
  <c r="G906" i="10"/>
  <c r="H906" i="10"/>
  <c r="J906" i="10" s="1"/>
  <c r="D907" i="10"/>
  <c r="E907" i="10"/>
  <c r="F907" i="10"/>
  <c r="G907" i="10"/>
  <c r="H907" i="10"/>
  <c r="D908" i="10"/>
  <c r="E908" i="10"/>
  <c r="F908" i="10"/>
  <c r="J908" i="10" s="1"/>
  <c r="G908" i="10"/>
  <c r="H908" i="10"/>
  <c r="D909" i="10"/>
  <c r="E909" i="10"/>
  <c r="F909" i="10"/>
  <c r="G909" i="10"/>
  <c r="H909" i="10"/>
  <c r="D910" i="10"/>
  <c r="J910" i="10" s="1"/>
  <c r="E910" i="10"/>
  <c r="F910" i="10"/>
  <c r="G910" i="10"/>
  <c r="H910" i="10"/>
  <c r="D911" i="10"/>
  <c r="E911" i="10"/>
  <c r="F911" i="10"/>
  <c r="G911" i="10"/>
  <c r="J911" i="10" s="1"/>
  <c r="H911" i="10"/>
  <c r="D912" i="10"/>
  <c r="E912" i="10"/>
  <c r="F912" i="10"/>
  <c r="G912" i="10"/>
  <c r="H912" i="10"/>
  <c r="D913" i="10"/>
  <c r="E913" i="10"/>
  <c r="J913" i="10" s="1"/>
  <c r="F913" i="10"/>
  <c r="G913" i="10"/>
  <c r="H913" i="10"/>
  <c r="D914" i="10"/>
  <c r="E914" i="10"/>
  <c r="F914" i="10"/>
  <c r="G914" i="10"/>
  <c r="H914" i="10"/>
  <c r="J914" i="10" s="1"/>
  <c r="D915" i="10"/>
  <c r="E915" i="10"/>
  <c r="F915" i="10"/>
  <c r="G915" i="10"/>
  <c r="H915" i="10"/>
  <c r="D916" i="10"/>
  <c r="E916" i="10"/>
  <c r="F916" i="10"/>
  <c r="G916" i="10"/>
  <c r="H916" i="10"/>
  <c r="D917" i="10"/>
  <c r="E917" i="10"/>
  <c r="F917" i="10"/>
  <c r="G917" i="10"/>
  <c r="H917" i="10"/>
  <c r="D918" i="10"/>
  <c r="J918" i="10" s="1"/>
  <c r="E918" i="10"/>
  <c r="F918" i="10"/>
  <c r="G918" i="10"/>
  <c r="H918" i="10"/>
  <c r="D919" i="10"/>
  <c r="E919" i="10"/>
  <c r="F919" i="10"/>
  <c r="G919" i="10"/>
  <c r="J919" i="10" s="1"/>
  <c r="H919" i="10"/>
  <c r="D920" i="10"/>
  <c r="E920" i="10"/>
  <c r="F920" i="10"/>
  <c r="G920" i="10"/>
  <c r="H920" i="10"/>
  <c r="D921" i="10"/>
  <c r="E921" i="10"/>
  <c r="J921" i="10" s="1"/>
  <c r="F921" i="10"/>
  <c r="G921" i="10"/>
  <c r="H921" i="10"/>
  <c r="D922" i="10"/>
  <c r="E922" i="10"/>
  <c r="F922" i="10"/>
  <c r="G922" i="10"/>
  <c r="H922" i="10"/>
  <c r="J922" i="10" s="1"/>
  <c r="D923" i="10"/>
  <c r="E923" i="10"/>
  <c r="F923" i="10"/>
  <c r="G923" i="10"/>
  <c r="H923" i="10"/>
  <c r="D924" i="10"/>
  <c r="E924" i="10"/>
  <c r="F924" i="10"/>
  <c r="J924" i="10" s="1"/>
  <c r="G924" i="10"/>
  <c r="H924" i="10"/>
  <c r="D925" i="10"/>
  <c r="E925" i="10"/>
  <c r="F925" i="10"/>
  <c r="G925" i="10"/>
  <c r="H925" i="10"/>
  <c r="D926" i="10"/>
  <c r="J926" i="10" s="1"/>
  <c r="E926" i="10"/>
  <c r="F926" i="10"/>
  <c r="G926" i="10"/>
  <c r="H926" i="10"/>
  <c r="D927" i="10"/>
  <c r="E927" i="10"/>
  <c r="F927" i="10"/>
  <c r="G927" i="10"/>
  <c r="J927" i="10" s="1"/>
  <c r="H927" i="10"/>
  <c r="D928" i="10"/>
  <c r="E928" i="10"/>
  <c r="F928" i="10"/>
  <c r="G928" i="10"/>
  <c r="H928" i="10"/>
  <c r="D929" i="10"/>
  <c r="E929" i="10"/>
  <c r="J929" i="10" s="1"/>
  <c r="F929" i="10"/>
  <c r="G929" i="10"/>
  <c r="H929" i="10"/>
  <c r="D930" i="10"/>
  <c r="E930" i="10"/>
  <c r="F930" i="10"/>
  <c r="G930" i="10"/>
  <c r="H930" i="10"/>
  <c r="J930" i="10" s="1"/>
  <c r="D931" i="10"/>
  <c r="E931" i="10"/>
  <c r="F931" i="10"/>
  <c r="G931" i="10"/>
  <c r="H931" i="10"/>
  <c r="D932" i="10"/>
  <c r="E932" i="10"/>
  <c r="F932" i="10"/>
  <c r="G932" i="10"/>
  <c r="H932" i="10"/>
  <c r="D933" i="10"/>
  <c r="E933" i="10"/>
  <c r="F933" i="10"/>
  <c r="G933" i="10"/>
  <c r="H933" i="10"/>
  <c r="D934" i="10"/>
  <c r="J934" i="10" s="1"/>
  <c r="E934" i="10"/>
  <c r="F934" i="10"/>
  <c r="G934" i="10"/>
  <c r="H934" i="10"/>
  <c r="D935" i="10"/>
  <c r="E935" i="10"/>
  <c r="F935" i="10"/>
  <c r="G935" i="10"/>
  <c r="J935" i="10" s="1"/>
  <c r="H935" i="10"/>
  <c r="D936" i="10"/>
  <c r="E936" i="10"/>
  <c r="F936" i="10"/>
  <c r="G936" i="10"/>
  <c r="H936" i="10"/>
  <c r="D937" i="10"/>
  <c r="E937" i="10"/>
  <c r="J937" i="10" s="1"/>
  <c r="F937" i="10"/>
  <c r="G937" i="10"/>
  <c r="H937" i="10"/>
  <c r="D938" i="10"/>
  <c r="E938" i="10"/>
  <c r="F938" i="10"/>
  <c r="G938" i="10"/>
  <c r="H938" i="10"/>
  <c r="J938" i="10" s="1"/>
  <c r="D939" i="10"/>
  <c r="E939" i="10"/>
  <c r="F939" i="10"/>
  <c r="G939" i="10"/>
  <c r="H939" i="10"/>
  <c r="D940" i="10"/>
  <c r="E940" i="10"/>
  <c r="F940" i="10"/>
  <c r="J940" i="10" s="1"/>
  <c r="G940" i="10"/>
  <c r="H940" i="10"/>
  <c r="D941" i="10"/>
  <c r="E941" i="10"/>
  <c r="F941" i="10"/>
  <c r="G941" i="10"/>
  <c r="H941" i="10"/>
  <c r="D942" i="10"/>
  <c r="J942" i="10" s="1"/>
  <c r="E942" i="10"/>
  <c r="F942" i="10"/>
  <c r="G942" i="10"/>
  <c r="H942" i="10"/>
  <c r="D943" i="10"/>
  <c r="E943" i="10"/>
  <c r="F943" i="10"/>
  <c r="G943" i="10"/>
  <c r="J943" i="10" s="1"/>
  <c r="H943" i="10"/>
  <c r="D944" i="10"/>
  <c r="E944" i="10"/>
  <c r="F944" i="10"/>
  <c r="G944" i="10"/>
  <c r="H944" i="10"/>
  <c r="D945" i="10"/>
  <c r="E945" i="10"/>
  <c r="J945" i="10" s="1"/>
  <c r="F945" i="10"/>
  <c r="G945" i="10"/>
  <c r="H945" i="10"/>
  <c r="D946" i="10"/>
  <c r="E946" i="10"/>
  <c r="F946" i="10"/>
  <c r="G946" i="10"/>
  <c r="H946" i="10"/>
  <c r="J946" i="10" s="1"/>
  <c r="D947" i="10"/>
  <c r="E947" i="10"/>
  <c r="F947" i="10"/>
  <c r="G947" i="10"/>
  <c r="H947" i="10"/>
  <c r="D948" i="10"/>
  <c r="E948" i="10"/>
  <c r="F948" i="10"/>
  <c r="G948" i="10"/>
  <c r="H948" i="10"/>
  <c r="D949" i="10"/>
  <c r="E949" i="10"/>
  <c r="F949" i="10"/>
  <c r="G949" i="10"/>
  <c r="H949" i="10"/>
  <c r="D950" i="10"/>
  <c r="J950" i="10" s="1"/>
  <c r="E950" i="10"/>
  <c r="F950" i="10"/>
  <c r="G950" i="10"/>
  <c r="H950" i="10"/>
  <c r="D951" i="10"/>
  <c r="E951" i="10"/>
  <c r="F951" i="10"/>
  <c r="G951" i="10"/>
  <c r="J951" i="10" s="1"/>
  <c r="H951" i="10"/>
  <c r="D952" i="10"/>
  <c r="E952" i="10"/>
  <c r="F952" i="10"/>
  <c r="G952" i="10"/>
  <c r="H952" i="10"/>
  <c r="D953" i="10"/>
  <c r="E953" i="10"/>
  <c r="J953" i="10" s="1"/>
  <c r="F953" i="10"/>
  <c r="G953" i="10"/>
  <c r="H953" i="10"/>
  <c r="D954" i="10"/>
  <c r="E954" i="10"/>
  <c r="F954" i="10"/>
  <c r="G954" i="10"/>
  <c r="H954" i="10"/>
  <c r="J954" i="10" s="1"/>
  <c r="D955" i="10"/>
  <c r="E955" i="10"/>
  <c r="F955" i="10"/>
  <c r="G955" i="10"/>
  <c r="H955" i="10"/>
  <c r="D956" i="10"/>
  <c r="E956" i="10"/>
  <c r="F956" i="10"/>
  <c r="J956" i="10" s="1"/>
  <c r="G956" i="10"/>
  <c r="H956" i="10"/>
  <c r="D957" i="10"/>
  <c r="E957" i="10"/>
  <c r="F957" i="10"/>
  <c r="G957" i="10"/>
  <c r="H957" i="10"/>
  <c r="D958" i="10"/>
  <c r="J958" i="10" s="1"/>
  <c r="E958" i="10"/>
  <c r="F958" i="10"/>
  <c r="G958" i="10"/>
  <c r="H958" i="10"/>
  <c r="D959" i="10"/>
  <c r="E959" i="10"/>
  <c r="F959" i="10"/>
  <c r="G959" i="10"/>
  <c r="J959" i="10" s="1"/>
  <c r="H959" i="10"/>
  <c r="D960" i="10"/>
  <c r="E960" i="10"/>
  <c r="F960" i="10"/>
  <c r="G960" i="10"/>
  <c r="H960" i="10"/>
  <c r="D961" i="10"/>
  <c r="E961" i="10"/>
  <c r="J961" i="10" s="1"/>
  <c r="F961" i="10"/>
  <c r="G961" i="10"/>
  <c r="H961" i="10"/>
  <c r="D962" i="10"/>
  <c r="E962" i="10"/>
  <c r="F962" i="10"/>
  <c r="G962" i="10"/>
  <c r="H962" i="10"/>
  <c r="J962" i="10" s="1"/>
  <c r="D963" i="10"/>
  <c r="E963" i="10"/>
  <c r="F963" i="10"/>
  <c r="G963" i="10"/>
  <c r="H963" i="10"/>
  <c r="D964" i="10"/>
  <c r="E964" i="10"/>
  <c r="F964" i="10"/>
  <c r="J964" i="10" s="1"/>
  <c r="G964" i="10"/>
  <c r="H964" i="10"/>
  <c r="D965" i="10"/>
  <c r="E965" i="10"/>
  <c r="F965" i="10"/>
  <c r="G965" i="10"/>
  <c r="H965" i="10"/>
  <c r="D966" i="10"/>
  <c r="J966" i="10" s="1"/>
  <c r="E966" i="10"/>
  <c r="F966" i="10"/>
  <c r="G966" i="10"/>
  <c r="H966" i="10"/>
  <c r="D967" i="10"/>
  <c r="E967" i="10"/>
  <c r="F967" i="10"/>
  <c r="G967" i="10"/>
  <c r="J967" i="10" s="1"/>
  <c r="H967" i="10"/>
  <c r="D968" i="10"/>
  <c r="E968" i="10"/>
  <c r="F968" i="10"/>
  <c r="G968" i="10"/>
  <c r="H968" i="10"/>
  <c r="D969" i="10"/>
  <c r="E969" i="10"/>
  <c r="J969" i="10" s="1"/>
  <c r="F969" i="10"/>
  <c r="G969" i="10"/>
  <c r="H969" i="10"/>
  <c r="D970" i="10"/>
  <c r="E970" i="10"/>
  <c r="F970" i="10"/>
  <c r="G970" i="10"/>
  <c r="H970" i="10"/>
  <c r="J970" i="10" s="1"/>
  <c r="D971" i="10"/>
  <c r="E971" i="10"/>
  <c r="F971" i="10"/>
  <c r="G971" i="10"/>
  <c r="H971" i="10"/>
  <c r="D972" i="10"/>
  <c r="E972" i="10"/>
  <c r="F972" i="10"/>
  <c r="J972" i="10" s="1"/>
  <c r="G972" i="10"/>
  <c r="H972" i="10"/>
  <c r="D973" i="10"/>
  <c r="E973" i="10"/>
  <c r="F973" i="10"/>
  <c r="G973" i="10"/>
  <c r="H973" i="10"/>
  <c r="D974" i="10"/>
  <c r="J974" i="10" s="1"/>
  <c r="E974" i="10"/>
  <c r="F974" i="10"/>
  <c r="G974" i="10"/>
  <c r="H974" i="10"/>
  <c r="D975" i="10"/>
  <c r="E975" i="10"/>
  <c r="F975" i="10"/>
  <c r="G975" i="10"/>
  <c r="J975" i="10" s="1"/>
  <c r="H975" i="10"/>
  <c r="D976" i="10"/>
  <c r="E976" i="10"/>
  <c r="F976" i="10"/>
  <c r="G976" i="10"/>
  <c r="H976" i="10"/>
  <c r="D977" i="10"/>
  <c r="E977" i="10"/>
  <c r="J977" i="10" s="1"/>
  <c r="F977" i="10"/>
  <c r="G977" i="10"/>
  <c r="H977" i="10"/>
  <c r="D978" i="10"/>
  <c r="E978" i="10"/>
  <c r="F978" i="10"/>
  <c r="G978" i="10"/>
  <c r="H978" i="10"/>
  <c r="J978" i="10" s="1"/>
  <c r="D979" i="10"/>
  <c r="E979" i="10"/>
  <c r="F979" i="10"/>
  <c r="G979" i="10"/>
  <c r="H979" i="10"/>
  <c r="D980" i="10"/>
  <c r="E980" i="10"/>
  <c r="F980" i="10"/>
  <c r="J980" i="10" s="1"/>
  <c r="G980" i="10"/>
  <c r="H980" i="10"/>
  <c r="D981" i="10"/>
  <c r="E981" i="10"/>
  <c r="F981" i="10"/>
  <c r="G981" i="10"/>
  <c r="H981" i="10"/>
  <c r="D982" i="10"/>
  <c r="J982" i="10" s="1"/>
  <c r="E982" i="10"/>
  <c r="F982" i="10"/>
  <c r="G982" i="10"/>
  <c r="H982" i="10"/>
  <c r="D983" i="10"/>
  <c r="E983" i="10"/>
  <c r="F983" i="10"/>
  <c r="G983" i="10"/>
  <c r="J983" i="10" s="1"/>
  <c r="H983" i="10"/>
  <c r="D984" i="10"/>
  <c r="E984" i="10"/>
  <c r="F984" i="10"/>
  <c r="G984" i="10"/>
  <c r="H984" i="10"/>
  <c r="D985" i="10"/>
  <c r="E985" i="10"/>
  <c r="J985" i="10" s="1"/>
  <c r="F985" i="10"/>
  <c r="G985" i="10"/>
  <c r="H985" i="10"/>
  <c r="D986" i="10"/>
  <c r="E986" i="10"/>
  <c r="F986" i="10"/>
  <c r="G986" i="10"/>
  <c r="H986" i="10"/>
  <c r="J986" i="10" s="1"/>
  <c r="D987" i="10"/>
  <c r="E987" i="10"/>
  <c r="F987" i="10"/>
  <c r="G987" i="10"/>
  <c r="H987" i="10"/>
  <c r="D988" i="10"/>
  <c r="E988" i="10"/>
  <c r="F988" i="10"/>
  <c r="J988" i="10" s="1"/>
  <c r="G988" i="10"/>
  <c r="H988" i="10"/>
  <c r="D989" i="10"/>
  <c r="E989" i="10"/>
  <c r="F989" i="10"/>
  <c r="G989" i="10"/>
  <c r="H989" i="10"/>
  <c r="D990" i="10"/>
  <c r="J990" i="10" s="1"/>
  <c r="E990" i="10"/>
  <c r="F990" i="10"/>
  <c r="G990" i="10"/>
  <c r="H990" i="10"/>
  <c r="D991" i="10"/>
  <c r="E991" i="10"/>
  <c r="F991" i="10"/>
  <c r="G991" i="10"/>
  <c r="J991" i="10" s="1"/>
  <c r="H991" i="10"/>
  <c r="D992" i="10"/>
  <c r="E992" i="10"/>
  <c r="F992" i="10"/>
  <c r="G992" i="10"/>
  <c r="H992" i="10"/>
  <c r="D993" i="10"/>
  <c r="E993" i="10"/>
  <c r="J993" i="10" s="1"/>
  <c r="F993" i="10"/>
  <c r="G993" i="10"/>
  <c r="H993" i="10"/>
  <c r="D994" i="10"/>
  <c r="E994" i="10"/>
  <c r="F994" i="10"/>
  <c r="G994" i="10"/>
  <c r="H994" i="10"/>
  <c r="J994" i="10" s="1"/>
  <c r="D995" i="10"/>
  <c r="E995" i="10"/>
  <c r="F995" i="10"/>
  <c r="G995" i="10"/>
  <c r="H995" i="10"/>
  <c r="D996" i="10"/>
  <c r="E996" i="10"/>
  <c r="F996" i="10"/>
  <c r="J996" i="10" s="1"/>
  <c r="G996" i="10"/>
  <c r="H996" i="10"/>
  <c r="D997" i="10"/>
  <c r="E997" i="10"/>
  <c r="F997" i="10"/>
  <c r="G997" i="10"/>
  <c r="H997" i="10"/>
  <c r="D998" i="10"/>
  <c r="J998" i="10" s="1"/>
  <c r="E998" i="10"/>
  <c r="F998" i="10"/>
  <c r="G998" i="10"/>
  <c r="H998" i="10"/>
  <c r="D999" i="10"/>
  <c r="E999" i="10"/>
  <c r="F999" i="10"/>
  <c r="G999" i="10"/>
  <c r="J999" i="10" s="1"/>
  <c r="H999" i="10"/>
  <c r="D1000" i="10"/>
  <c r="E1000" i="10"/>
  <c r="F1000" i="10"/>
  <c r="G1000" i="10"/>
  <c r="H1000" i="10"/>
  <c r="D1001" i="10"/>
  <c r="E1001" i="10"/>
  <c r="J1001" i="10" s="1"/>
  <c r="F1001" i="10"/>
  <c r="G1001" i="10"/>
  <c r="H1001" i="10"/>
  <c r="D1002" i="10"/>
  <c r="E1002" i="10"/>
  <c r="F1002" i="10"/>
  <c r="G1002" i="10"/>
  <c r="H1002" i="10"/>
  <c r="J1002" i="10" s="1"/>
  <c r="D1003" i="10"/>
  <c r="E1003" i="10"/>
  <c r="F1003" i="10"/>
  <c r="G1003" i="10"/>
  <c r="H1003" i="10"/>
  <c r="D1004" i="10"/>
  <c r="E1004" i="10"/>
  <c r="F1004" i="10"/>
  <c r="J1004" i="10" s="1"/>
  <c r="G1004" i="10"/>
  <c r="H1004" i="10"/>
  <c r="D1005" i="10"/>
  <c r="E1005" i="10"/>
  <c r="F1005" i="10"/>
  <c r="G1005" i="10"/>
  <c r="H1005" i="10"/>
  <c r="D1006" i="10"/>
  <c r="J1006" i="10" s="1"/>
  <c r="E1006" i="10"/>
  <c r="F1006" i="10"/>
  <c r="G1006" i="10"/>
  <c r="H1006" i="10"/>
  <c r="D1007" i="10"/>
  <c r="E1007" i="10"/>
  <c r="F1007" i="10"/>
  <c r="G1007" i="10"/>
  <c r="J1007" i="10" s="1"/>
  <c r="H1007" i="10"/>
  <c r="D1008" i="10"/>
  <c r="E1008" i="10"/>
  <c r="F1008" i="10"/>
  <c r="G1008" i="10"/>
  <c r="H1008" i="10"/>
  <c r="D1009" i="10"/>
  <c r="E1009" i="10"/>
  <c r="J1009" i="10" s="1"/>
  <c r="F1009" i="10"/>
  <c r="G1009" i="10"/>
  <c r="H1009" i="10"/>
  <c r="D1010" i="10"/>
  <c r="E1010" i="10"/>
  <c r="F1010" i="10"/>
  <c r="G1010" i="10"/>
  <c r="H1010" i="10"/>
  <c r="J1010" i="10" s="1"/>
  <c r="D1011" i="10"/>
  <c r="E1011" i="10"/>
  <c r="F1011" i="10"/>
  <c r="G1011" i="10"/>
  <c r="H1011" i="10"/>
  <c r="D1012" i="10"/>
  <c r="E1012" i="10"/>
  <c r="F1012" i="10"/>
  <c r="J1012" i="10" s="1"/>
  <c r="G1012" i="10"/>
  <c r="H1012" i="10"/>
  <c r="D1013" i="10"/>
  <c r="E1013" i="10"/>
  <c r="F1013" i="10"/>
  <c r="G1013" i="10"/>
  <c r="H1013" i="10"/>
  <c r="D1014" i="10"/>
  <c r="J1014" i="10" s="1"/>
  <c r="E1014" i="10"/>
  <c r="F1014" i="10"/>
  <c r="G1014" i="10"/>
  <c r="H1014" i="10"/>
  <c r="D1015" i="10"/>
  <c r="E1015" i="10"/>
  <c r="F1015" i="10"/>
  <c r="G1015" i="10"/>
  <c r="J1015" i="10" s="1"/>
  <c r="H1015" i="10"/>
  <c r="D1016" i="10"/>
  <c r="E1016" i="10"/>
  <c r="F1016" i="10"/>
  <c r="G1016" i="10"/>
  <c r="H1016" i="10"/>
  <c r="D1017" i="10"/>
  <c r="E1017" i="10"/>
  <c r="J1017" i="10" s="1"/>
  <c r="F1017" i="10"/>
  <c r="G1017" i="10"/>
  <c r="H1017" i="10"/>
  <c r="D1018" i="10"/>
  <c r="E1018" i="10"/>
  <c r="F1018" i="10"/>
  <c r="G1018" i="10"/>
  <c r="H1018" i="10"/>
  <c r="J1018" i="10" s="1"/>
  <c r="D1019" i="10"/>
  <c r="E1019" i="10"/>
  <c r="F1019" i="10"/>
  <c r="G1019" i="10"/>
  <c r="H1019" i="10"/>
  <c r="D1020" i="10"/>
  <c r="E1020" i="10"/>
  <c r="F1020" i="10"/>
  <c r="J1020" i="10" s="1"/>
  <c r="G1020" i="10"/>
  <c r="H1020" i="10"/>
  <c r="D1021" i="10"/>
  <c r="E1021" i="10"/>
  <c r="F1021" i="10"/>
  <c r="G1021" i="10"/>
  <c r="H1021" i="10"/>
  <c r="D1022" i="10"/>
  <c r="J1022" i="10" s="1"/>
  <c r="E1022" i="10"/>
  <c r="F1022" i="10"/>
  <c r="G1022" i="10"/>
  <c r="H1022" i="10"/>
  <c r="D1023" i="10"/>
  <c r="E1023" i="10"/>
  <c r="F1023" i="10"/>
  <c r="G1023" i="10"/>
  <c r="J1023" i="10" s="1"/>
  <c r="H1023" i="10"/>
  <c r="D1024" i="10"/>
  <c r="E1024" i="10"/>
  <c r="F1024" i="10"/>
  <c r="G1024" i="10"/>
  <c r="H1024" i="10"/>
  <c r="D1025" i="10"/>
  <c r="E1025" i="10"/>
  <c r="J1025" i="10" s="1"/>
  <c r="F1025" i="10"/>
  <c r="G1025" i="10"/>
  <c r="H1025" i="10"/>
  <c r="D1026" i="10"/>
  <c r="E1026" i="10"/>
  <c r="F1026" i="10"/>
  <c r="G1026" i="10"/>
  <c r="H1026" i="10"/>
  <c r="J1026" i="10" s="1"/>
  <c r="D1027" i="10"/>
  <c r="E1027" i="10"/>
  <c r="F1027" i="10"/>
  <c r="G1027" i="10"/>
  <c r="H1027" i="10"/>
  <c r="D1028" i="10"/>
  <c r="E1028" i="10"/>
  <c r="F1028" i="10"/>
  <c r="J1028" i="10" s="1"/>
  <c r="G1028" i="10"/>
  <c r="H1028" i="10"/>
  <c r="D1029" i="10"/>
  <c r="E1029" i="10"/>
  <c r="F1029" i="10"/>
  <c r="G1029" i="10"/>
  <c r="H1029" i="10"/>
  <c r="D1030" i="10"/>
  <c r="J1030" i="10" s="1"/>
  <c r="E1030" i="10"/>
  <c r="F1030" i="10"/>
  <c r="G1030" i="10"/>
  <c r="H1030" i="10"/>
  <c r="D1031" i="10"/>
  <c r="E1031" i="10"/>
  <c r="F1031" i="10"/>
  <c r="G1031" i="10"/>
  <c r="J1031" i="10" s="1"/>
  <c r="H1031" i="10"/>
  <c r="D1032" i="10"/>
  <c r="E1032" i="10"/>
  <c r="F1032" i="10"/>
  <c r="G1032" i="10"/>
  <c r="H1032" i="10"/>
  <c r="D1033" i="10"/>
  <c r="E1033" i="10"/>
  <c r="J1033" i="10" s="1"/>
  <c r="F1033" i="10"/>
  <c r="G1033" i="10"/>
  <c r="H1033" i="10"/>
  <c r="D1034" i="10"/>
  <c r="E1034" i="10"/>
  <c r="F1034" i="10"/>
  <c r="G1034" i="10"/>
  <c r="H1034" i="10"/>
  <c r="J1034" i="10" s="1"/>
  <c r="D1035" i="10"/>
  <c r="E1035" i="10"/>
  <c r="F1035" i="10"/>
  <c r="G1035" i="10"/>
  <c r="H1035" i="10"/>
  <c r="D1036" i="10"/>
  <c r="E1036" i="10"/>
  <c r="F1036" i="10"/>
  <c r="J1036" i="10" s="1"/>
  <c r="G1036" i="10"/>
  <c r="H1036" i="10"/>
  <c r="D1037" i="10"/>
  <c r="E1037" i="10"/>
  <c r="F1037" i="10"/>
  <c r="G1037" i="10"/>
  <c r="H1037" i="10"/>
  <c r="D1038" i="10"/>
  <c r="J1038" i="10" s="1"/>
  <c r="E1038" i="10"/>
  <c r="F1038" i="10"/>
  <c r="G1038" i="10"/>
  <c r="H1038" i="10"/>
  <c r="D1039" i="10"/>
  <c r="E1039" i="10"/>
  <c r="F1039" i="10"/>
  <c r="G1039" i="10"/>
  <c r="J1039" i="10" s="1"/>
  <c r="H1039" i="10"/>
  <c r="D1040" i="10"/>
  <c r="E1040" i="10"/>
  <c r="F1040" i="10"/>
  <c r="G1040" i="10"/>
  <c r="H1040" i="10"/>
  <c r="D1041" i="10"/>
  <c r="E1041" i="10"/>
  <c r="J1041" i="10" s="1"/>
  <c r="F1041" i="10"/>
  <c r="G1041" i="10"/>
  <c r="H1041" i="10"/>
  <c r="D1042" i="10"/>
  <c r="E1042" i="10"/>
  <c r="F1042" i="10"/>
  <c r="G1042" i="10"/>
  <c r="H1042" i="10"/>
  <c r="J1042" i="10" s="1"/>
  <c r="D1043" i="10"/>
  <c r="E1043" i="10"/>
  <c r="F1043" i="10"/>
  <c r="G1043" i="10"/>
  <c r="H1043" i="10"/>
  <c r="D1044" i="10"/>
  <c r="E1044" i="10"/>
  <c r="F1044" i="10"/>
  <c r="J1044" i="10" s="1"/>
  <c r="G1044" i="10"/>
  <c r="H1044" i="10"/>
  <c r="D1045" i="10"/>
  <c r="E1045" i="10"/>
  <c r="F1045" i="10"/>
  <c r="G1045" i="10"/>
  <c r="H1045" i="10"/>
  <c r="D1046" i="10"/>
  <c r="J1046" i="10" s="1"/>
  <c r="E1046" i="10"/>
  <c r="F1046" i="10"/>
  <c r="G1046" i="10"/>
  <c r="H1046" i="10"/>
  <c r="D1047" i="10"/>
  <c r="E1047" i="10"/>
  <c r="F1047" i="10"/>
  <c r="G1047" i="10"/>
  <c r="J1047" i="10" s="1"/>
  <c r="H1047" i="10"/>
  <c r="D1048" i="10"/>
  <c r="E1048" i="10"/>
  <c r="F1048" i="10"/>
  <c r="G1048" i="10"/>
  <c r="H1048" i="10"/>
  <c r="D1049" i="10"/>
  <c r="E1049" i="10"/>
  <c r="J1049" i="10" s="1"/>
  <c r="F1049" i="10"/>
  <c r="G1049" i="10"/>
  <c r="H1049" i="10"/>
  <c r="D1050" i="10"/>
  <c r="E1050" i="10"/>
  <c r="F1050" i="10"/>
  <c r="G1050" i="10"/>
  <c r="H1050" i="10"/>
  <c r="J1050" i="10" s="1"/>
  <c r="D1051" i="10"/>
  <c r="E1051" i="10"/>
  <c r="F1051" i="10"/>
  <c r="G1051" i="10"/>
  <c r="H1051" i="10"/>
  <c r="D1052" i="10"/>
  <c r="E1052" i="10"/>
  <c r="F1052" i="10"/>
  <c r="J1052" i="10" s="1"/>
  <c r="G1052" i="10"/>
  <c r="H1052" i="10"/>
  <c r="D1053" i="10"/>
  <c r="E1053" i="10"/>
  <c r="F1053" i="10"/>
  <c r="G1053" i="10"/>
  <c r="H1053" i="10"/>
  <c r="D1054" i="10"/>
  <c r="J1054" i="10" s="1"/>
  <c r="E1054" i="10"/>
  <c r="F1054" i="10"/>
  <c r="G1054" i="10"/>
  <c r="H1054" i="10"/>
  <c r="D1055" i="10"/>
  <c r="E1055" i="10"/>
  <c r="F1055" i="10"/>
  <c r="G1055" i="10"/>
  <c r="J1055" i="10" s="1"/>
  <c r="H1055" i="10"/>
  <c r="D1056" i="10"/>
  <c r="E1056" i="10"/>
  <c r="F1056" i="10"/>
  <c r="G1056" i="10"/>
  <c r="H1056" i="10"/>
  <c r="D1057" i="10"/>
  <c r="E1057" i="10"/>
  <c r="J1057" i="10" s="1"/>
  <c r="F1057" i="10"/>
  <c r="G1057" i="10"/>
  <c r="H1057" i="10"/>
  <c r="D1058" i="10"/>
  <c r="E1058" i="10"/>
  <c r="F1058" i="10"/>
  <c r="G1058" i="10"/>
  <c r="H1058" i="10"/>
  <c r="J1058" i="10" s="1"/>
  <c r="D1059" i="10"/>
  <c r="E1059" i="10"/>
  <c r="F1059" i="10"/>
  <c r="G1059" i="10"/>
  <c r="H1059" i="10"/>
  <c r="D1060" i="10"/>
  <c r="E1060" i="10"/>
  <c r="F1060" i="10"/>
  <c r="J1060" i="10" s="1"/>
  <c r="G1060" i="10"/>
  <c r="H1060" i="10"/>
  <c r="D1061" i="10"/>
  <c r="E1061" i="10"/>
  <c r="F1061" i="10"/>
  <c r="G1061" i="10"/>
  <c r="H1061" i="10"/>
  <c r="D1062" i="10"/>
  <c r="J1062" i="10" s="1"/>
  <c r="E1062" i="10"/>
  <c r="F1062" i="10"/>
  <c r="G1062" i="10"/>
  <c r="H1062" i="10"/>
  <c r="D1063" i="10"/>
  <c r="E1063" i="10"/>
  <c r="F1063" i="10"/>
  <c r="G1063" i="10"/>
  <c r="J1063" i="10" s="1"/>
  <c r="H1063" i="10"/>
  <c r="D1064" i="10"/>
  <c r="E1064" i="10"/>
  <c r="F1064" i="10"/>
  <c r="G1064" i="10"/>
  <c r="H1064" i="10"/>
  <c r="D1065" i="10"/>
  <c r="E1065" i="10"/>
  <c r="J1065" i="10" s="1"/>
  <c r="F1065" i="10"/>
  <c r="G1065" i="10"/>
  <c r="H1065" i="10"/>
  <c r="D1066" i="10"/>
  <c r="E1066" i="10"/>
  <c r="F1066" i="10"/>
  <c r="G1066" i="10"/>
  <c r="H1066" i="10"/>
  <c r="J1066" i="10" s="1"/>
  <c r="D1067" i="10"/>
  <c r="E1067" i="10"/>
  <c r="F1067" i="10"/>
  <c r="G1067" i="10"/>
  <c r="H1067" i="10"/>
  <c r="D1068" i="10"/>
  <c r="E1068" i="10"/>
  <c r="F1068" i="10"/>
  <c r="J1068" i="10" s="1"/>
  <c r="G1068" i="10"/>
  <c r="H1068" i="10"/>
  <c r="D1069" i="10"/>
  <c r="E1069" i="10"/>
  <c r="F1069" i="10"/>
  <c r="G1069" i="10"/>
  <c r="H1069" i="10"/>
  <c r="D1070" i="10"/>
  <c r="J1070" i="10" s="1"/>
  <c r="E1070" i="10"/>
  <c r="F1070" i="10"/>
  <c r="G1070" i="10"/>
  <c r="H1070" i="10"/>
  <c r="D1071" i="10"/>
  <c r="E1071" i="10"/>
  <c r="F1071" i="10"/>
  <c r="G1071" i="10"/>
  <c r="J1071" i="10" s="1"/>
  <c r="H1071" i="10"/>
  <c r="D1072" i="10"/>
  <c r="E1072" i="10"/>
  <c r="F1072" i="10"/>
  <c r="G1072" i="10"/>
  <c r="H1072" i="10"/>
  <c r="D1073" i="10"/>
  <c r="E1073" i="10"/>
  <c r="J1073" i="10" s="1"/>
  <c r="F1073" i="10"/>
  <c r="G1073" i="10"/>
  <c r="H1073" i="10"/>
  <c r="D1074" i="10"/>
  <c r="E1074" i="10"/>
  <c r="F1074" i="10"/>
  <c r="G1074" i="10"/>
  <c r="H1074" i="10"/>
  <c r="J1074" i="10" s="1"/>
  <c r="D1075" i="10"/>
  <c r="E1075" i="10"/>
  <c r="F1075" i="10"/>
  <c r="G1075" i="10"/>
  <c r="H1075" i="10"/>
  <c r="D1076" i="10"/>
  <c r="E1076" i="10"/>
  <c r="F1076" i="10"/>
  <c r="J1076" i="10" s="1"/>
  <c r="G1076" i="10"/>
  <c r="H1076" i="10"/>
  <c r="D1077" i="10"/>
  <c r="E1077" i="10"/>
  <c r="F1077" i="10"/>
  <c r="G1077" i="10"/>
  <c r="H1077" i="10"/>
  <c r="D1078" i="10"/>
  <c r="J1078" i="10" s="1"/>
  <c r="E1078" i="10"/>
  <c r="F1078" i="10"/>
  <c r="G1078" i="10"/>
  <c r="H1078" i="10"/>
  <c r="D1079" i="10"/>
  <c r="E1079" i="10"/>
  <c r="F1079" i="10"/>
  <c r="G1079" i="10"/>
  <c r="J1079" i="10" s="1"/>
  <c r="H1079" i="10"/>
  <c r="D1080" i="10"/>
  <c r="E1080" i="10"/>
  <c r="F1080" i="10"/>
  <c r="G1080" i="10"/>
  <c r="H1080" i="10"/>
  <c r="D1081" i="10"/>
  <c r="E1081" i="10"/>
  <c r="J1081" i="10" s="1"/>
  <c r="F1081" i="10"/>
  <c r="G1081" i="10"/>
  <c r="H1081" i="10"/>
  <c r="D1082" i="10"/>
  <c r="E1082" i="10"/>
  <c r="F1082" i="10"/>
  <c r="G1082" i="10"/>
  <c r="H1082" i="10"/>
  <c r="J1082" i="10" s="1"/>
  <c r="D1083" i="10"/>
  <c r="E1083" i="10"/>
  <c r="F1083" i="10"/>
  <c r="G1083" i="10"/>
  <c r="H1083" i="10"/>
  <c r="D1084" i="10"/>
  <c r="E1084" i="10"/>
  <c r="F1084" i="10"/>
  <c r="J1084" i="10" s="1"/>
  <c r="G1084" i="10"/>
  <c r="H1084" i="10"/>
  <c r="D1085" i="10"/>
  <c r="E1085" i="10"/>
  <c r="F1085" i="10"/>
  <c r="G1085" i="10"/>
  <c r="H1085" i="10"/>
  <c r="D1086" i="10"/>
  <c r="J1086" i="10" s="1"/>
  <c r="E1086" i="10"/>
  <c r="F1086" i="10"/>
  <c r="G1086" i="10"/>
  <c r="H1086" i="10"/>
  <c r="D1087" i="10"/>
  <c r="E1087" i="10"/>
  <c r="F1087" i="10"/>
  <c r="G1087" i="10"/>
  <c r="J1087" i="10" s="1"/>
  <c r="H1087" i="10"/>
  <c r="D1088" i="10"/>
  <c r="E1088" i="10"/>
  <c r="F1088" i="10"/>
  <c r="G1088" i="10"/>
  <c r="H1088" i="10"/>
  <c r="D1089" i="10"/>
  <c r="E1089" i="10"/>
  <c r="J1089" i="10" s="1"/>
  <c r="F1089" i="10"/>
  <c r="G1089" i="10"/>
  <c r="H1089" i="10"/>
  <c r="D1090" i="10"/>
  <c r="E1090" i="10"/>
  <c r="F1090" i="10"/>
  <c r="G1090" i="10"/>
  <c r="H1090" i="10"/>
  <c r="J1090" i="10" s="1"/>
  <c r="D1091" i="10"/>
  <c r="E1091" i="10"/>
  <c r="F1091" i="10"/>
  <c r="G1091" i="10"/>
  <c r="H1091" i="10"/>
  <c r="D1092" i="10"/>
  <c r="E1092" i="10"/>
  <c r="F1092" i="10"/>
  <c r="J1092" i="10" s="1"/>
  <c r="G1092" i="10"/>
  <c r="H1092" i="10"/>
  <c r="D1093" i="10"/>
  <c r="E1093" i="10"/>
  <c r="F1093" i="10"/>
  <c r="G1093" i="10"/>
  <c r="H1093" i="10"/>
  <c r="D1094" i="10"/>
  <c r="J1094" i="10" s="1"/>
  <c r="E1094" i="10"/>
  <c r="F1094" i="10"/>
  <c r="G1094" i="10"/>
  <c r="H1094" i="10"/>
  <c r="D1095" i="10"/>
  <c r="E1095" i="10"/>
  <c r="F1095" i="10"/>
  <c r="G1095" i="10"/>
  <c r="J1095" i="10" s="1"/>
  <c r="H1095" i="10"/>
  <c r="D1096" i="10"/>
  <c r="E1096" i="10"/>
  <c r="F1096" i="10"/>
  <c r="G1096" i="10"/>
  <c r="H1096" i="10"/>
  <c r="D1097" i="10"/>
  <c r="E1097" i="10"/>
  <c r="J1097" i="10" s="1"/>
  <c r="F1097" i="10"/>
  <c r="G1097" i="10"/>
  <c r="H1097" i="10"/>
  <c r="D1098" i="10"/>
  <c r="E1098" i="10"/>
  <c r="F1098" i="10"/>
  <c r="G1098" i="10"/>
  <c r="H1098" i="10"/>
  <c r="J1098" i="10" s="1"/>
  <c r="D1099" i="10"/>
  <c r="E1099" i="10"/>
  <c r="F1099" i="10"/>
  <c r="G1099" i="10"/>
  <c r="H1099" i="10"/>
  <c r="D1100" i="10"/>
  <c r="E1100" i="10"/>
  <c r="F1100" i="10"/>
  <c r="J1100" i="10" s="1"/>
  <c r="G1100" i="10"/>
  <c r="H1100" i="10"/>
  <c r="D1101" i="10"/>
  <c r="E1101" i="10"/>
  <c r="F1101" i="10"/>
  <c r="G1101" i="10"/>
  <c r="H1101" i="10"/>
  <c r="D1102" i="10"/>
  <c r="J1102" i="10" s="1"/>
  <c r="E1102" i="10"/>
  <c r="F1102" i="10"/>
  <c r="G1102" i="10"/>
  <c r="H1102" i="10"/>
  <c r="D1103" i="10"/>
  <c r="E1103" i="10"/>
  <c r="F1103" i="10"/>
  <c r="G1103" i="10"/>
  <c r="J1103" i="10" s="1"/>
  <c r="H1103" i="10"/>
  <c r="D1104" i="10"/>
  <c r="E1104" i="10"/>
  <c r="F1104" i="10"/>
  <c r="G1104" i="10"/>
  <c r="H1104" i="10"/>
  <c r="D1105" i="10"/>
  <c r="E1105" i="10"/>
  <c r="J1105" i="10" s="1"/>
  <c r="F1105" i="10"/>
  <c r="G1105" i="10"/>
  <c r="H1105" i="10"/>
  <c r="D1106" i="10"/>
  <c r="E1106" i="10"/>
  <c r="F1106" i="10"/>
  <c r="G1106" i="10"/>
  <c r="H1106" i="10"/>
  <c r="J1106" i="10" s="1"/>
  <c r="D1107" i="10"/>
  <c r="E1107" i="10"/>
  <c r="F1107" i="10"/>
  <c r="G1107" i="10"/>
  <c r="H1107" i="10"/>
  <c r="D1108" i="10"/>
  <c r="E1108" i="10"/>
  <c r="F1108" i="10"/>
  <c r="J1108" i="10" s="1"/>
  <c r="G1108" i="10"/>
  <c r="H1108" i="10"/>
  <c r="D1109" i="10"/>
  <c r="E1109" i="10"/>
  <c r="F1109" i="10"/>
  <c r="G1109" i="10"/>
  <c r="H1109" i="10"/>
  <c r="D1110" i="10"/>
  <c r="J1110" i="10" s="1"/>
  <c r="E1110" i="10"/>
  <c r="F1110" i="10"/>
  <c r="G1110" i="10"/>
  <c r="H1110" i="10"/>
  <c r="D1111" i="10"/>
  <c r="E1111" i="10"/>
  <c r="F1111" i="10"/>
  <c r="G1111" i="10"/>
  <c r="J1111" i="10" s="1"/>
  <c r="H1111" i="10"/>
  <c r="D1112" i="10"/>
  <c r="E1112" i="10"/>
  <c r="F1112" i="10"/>
  <c r="G1112" i="10"/>
  <c r="H1112" i="10"/>
  <c r="D1113" i="10"/>
  <c r="E1113" i="10"/>
  <c r="J1113" i="10" s="1"/>
  <c r="F1113" i="10"/>
  <c r="G1113" i="10"/>
  <c r="H1113" i="10"/>
  <c r="D1114" i="10"/>
  <c r="E1114" i="10"/>
  <c r="F1114" i="10"/>
  <c r="G1114" i="10"/>
  <c r="H1114" i="10"/>
  <c r="J1114" i="10" s="1"/>
  <c r="D1115" i="10"/>
  <c r="E1115" i="10"/>
  <c r="F1115" i="10"/>
  <c r="G1115" i="10"/>
  <c r="H1115" i="10"/>
  <c r="D1116" i="10"/>
  <c r="E1116" i="10"/>
  <c r="F1116" i="10"/>
  <c r="J1116" i="10" s="1"/>
  <c r="G1116" i="10"/>
  <c r="H1116" i="10"/>
  <c r="D1117" i="10"/>
  <c r="E1117" i="10"/>
  <c r="F1117" i="10"/>
  <c r="G1117" i="10"/>
  <c r="H1117" i="10"/>
  <c r="D1118" i="10"/>
  <c r="J1118" i="10" s="1"/>
  <c r="E1118" i="10"/>
  <c r="F1118" i="10"/>
  <c r="G1118" i="10"/>
  <c r="H1118" i="10"/>
  <c r="D1119" i="10"/>
  <c r="E1119" i="10"/>
  <c r="F1119" i="10"/>
  <c r="G1119" i="10"/>
  <c r="H1119" i="10"/>
  <c r="D1120" i="10"/>
  <c r="E1120" i="10"/>
  <c r="F1120" i="10"/>
  <c r="G1120" i="10"/>
  <c r="H1120" i="10"/>
  <c r="D1121" i="10"/>
  <c r="E1121" i="10"/>
  <c r="J1121" i="10" s="1"/>
  <c r="F1121" i="10"/>
  <c r="G1121" i="10"/>
  <c r="H1121" i="10"/>
  <c r="D1122" i="10"/>
  <c r="E1122" i="10"/>
  <c r="F1122" i="10"/>
  <c r="G1122" i="10"/>
  <c r="H1122" i="10"/>
  <c r="J1122" i="10" s="1"/>
  <c r="D1123" i="10"/>
  <c r="E1123" i="10"/>
  <c r="F1123" i="10"/>
  <c r="G1123" i="10"/>
  <c r="H1123" i="10"/>
  <c r="D1124" i="10"/>
  <c r="E1124" i="10"/>
  <c r="F1124" i="10"/>
  <c r="J1124" i="10" s="1"/>
  <c r="G1124" i="10"/>
  <c r="H1124" i="10"/>
  <c r="D1125" i="10"/>
  <c r="E1125" i="10"/>
  <c r="F1125" i="10"/>
  <c r="G1125" i="10"/>
  <c r="H1125" i="10"/>
  <c r="D1126" i="10"/>
  <c r="J1126" i="10" s="1"/>
  <c r="E1126" i="10"/>
  <c r="F1126" i="10"/>
  <c r="G1126" i="10"/>
  <c r="H1126" i="10"/>
  <c r="D1127" i="10"/>
  <c r="E1127" i="10"/>
  <c r="F1127" i="10"/>
  <c r="G1127" i="10"/>
  <c r="J1127" i="10" s="1"/>
  <c r="H1127" i="10"/>
  <c r="D1128" i="10"/>
  <c r="E1128" i="10"/>
  <c r="F1128" i="10"/>
  <c r="G1128" i="10"/>
  <c r="H1128" i="10"/>
  <c r="D1129" i="10"/>
  <c r="E1129" i="10"/>
  <c r="J1129" i="10" s="1"/>
  <c r="F1129" i="10"/>
  <c r="G1129" i="10"/>
  <c r="H1129" i="10"/>
  <c r="D1130" i="10"/>
  <c r="E1130" i="10"/>
  <c r="F1130" i="10"/>
  <c r="G1130" i="10"/>
  <c r="H1130" i="10"/>
  <c r="J1130" i="10" s="1"/>
  <c r="D1131" i="10"/>
  <c r="E1131" i="10"/>
  <c r="F1131" i="10"/>
  <c r="G1131" i="10"/>
  <c r="H1131" i="10"/>
  <c r="D1132" i="10"/>
  <c r="E1132" i="10"/>
  <c r="F1132" i="10"/>
  <c r="J1132" i="10" s="1"/>
  <c r="G1132" i="10"/>
  <c r="H1132" i="10"/>
  <c r="D1133" i="10"/>
  <c r="E1133" i="10"/>
  <c r="F1133" i="10"/>
  <c r="G1133" i="10"/>
  <c r="H1133" i="10"/>
  <c r="D1134" i="10"/>
  <c r="J1134" i="10" s="1"/>
  <c r="E1134" i="10"/>
  <c r="F1134" i="10"/>
  <c r="G1134" i="10"/>
  <c r="H1134" i="10"/>
  <c r="D1135" i="10"/>
  <c r="E1135" i="10"/>
  <c r="F1135" i="10"/>
  <c r="G1135" i="10"/>
  <c r="J1135" i="10" s="1"/>
  <c r="H1135" i="10"/>
  <c r="D1136" i="10"/>
  <c r="E1136" i="10"/>
  <c r="F1136" i="10"/>
  <c r="G1136" i="10"/>
  <c r="H1136" i="10"/>
  <c r="D1137" i="10"/>
  <c r="E1137" i="10"/>
  <c r="F1137" i="10"/>
  <c r="G1137" i="10"/>
  <c r="H1137" i="10"/>
  <c r="D1138" i="10"/>
  <c r="E1138" i="10"/>
  <c r="F1138" i="10"/>
  <c r="G1138" i="10"/>
  <c r="H1138" i="10"/>
  <c r="J1138" i="10" s="1"/>
  <c r="D1139" i="10"/>
  <c r="E1139" i="10"/>
  <c r="F1139" i="10"/>
  <c r="G1139" i="10"/>
  <c r="H1139" i="10"/>
  <c r="D1140" i="10"/>
  <c r="E1140" i="10"/>
  <c r="F1140" i="10"/>
  <c r="J1140" i="10" s="1"/>
  <c r="G1140" i="10"/>
  <c r="H1140" i="10"/>
  <c r="D1141" i="10"/>
  <c r="E1141" i="10"/>
  <c r="F1141" i="10"/>
  <c r="G1141" i="10"/>
  <c r="H1141" i="10"/>
  <c r="D1142" i="10"/>
  <c r="J1142" i="10" s="1"/>
  <c r="E1142" i="10"/>
  <c r="F1142" i="10"/>
  <c r="G1142" i="10"/>
  <c r="H1142" i="10"/>
  <c r="D1143" i="10"/>
  <c r="E1143" i="10"/>
  <c r="F1143" i="10"/>
  <c r="G1143" i="10"/>
  <c r="J1143" i="10" s="1"/>
  <c r="H1143" i="10"/>
  <c r="D1144" i="10"/>
  <c r="E1144" i="10"/>
  <c r="F1144" i="10"/>
  <c r="G1144" i="10"/>
  <c r="H1144" i="10"/>
  <c r="D1145" i="10"/>
  <c r="E1145" i="10"/>
  <c r="J1145" i="10" s="1"/>
  <c r="F1145" i="10"/>
  <c r="G1145" i="10"/>
  <c r="H1145" i="10"/>
  <c r="D1146" i="10"/>
  <c r="E1146" i="10"/>
  <c r="F1146" i="10"/>
  <c r="G1146" i="10"/>
  <c r="H1146" i="10"/>
  <c r="D1147" i="10"/>
  <c r="E1147" i="10"/>
  <c r="F1147" i="10"/>
  <c r="G1147" i="10"/>
  <c r="H1147" i="10"/>
  <c r="D1148" i="10"/>
  <c r="E1148" i="10"/>
  <c r="F1148" i="10"/>
  <c r="J1148" i="10" s="1"/>
  <c r="G1148" i="10"/>
  <c r="H1148" i="10"/>
  <c r="D1149" i="10"/>
  <c r="E1149" i="10"/>
  <c r="F1149" i="10"/>
  <c r="G1149" i="10"/>
  <c r="H1149" i="10"/>
  <c r="D1150" i="10"/>
  <c r="J1150" i="10" s="1"/>
  <c r="E1150" i="10"/>
  <c r="F1150" i="10"/>
  <c r="G1150" i="10"/>
  <c r="H1150" i="10"/>
  <c r="D1151" i="10"/>
  <c r="E1151" i="10"/>
  <c r="F1151" i="10"/>
  <c r="G1151" i="10"/>
  <c r="J1151" i="10" s="1"/>
  <c r="H1151" i="10"/>
  <c r="D1152" i="10"/>
  <c r="E1152" i="10"/>
  <c r="F1152" i="10"/>
  <c r="G1152" i="10"/>
  <c r="H1152" i="10"/>
  <c r="D1153" i="10"/>
  <c r="E1153" i="10"/>
  <c r="J1153" i="10" s="1"/>
  <c r="F1153" i="10"/>
  <c r="G1153" i="10"/>
  <c r="H1153" i="10"/>
  <c r="D1154" i="10"/>
  <c r="E1154" i="10"/>
  <c r="F1154" i="10"/>
  <c r="G1154" i="10"/>
  <c r="H1154" i="10"/>
  <c r="J1154" i="10" s="1"/>
  <c r="D1155" i="10"/>
  <c r="E1155" i="10"/>
  <c r="F1155" i="10"/>
  <c r="G1155" i="10"/>
  <c r="H1155" i="10"/>
  <c r="D1156" i="10"/>
  <c r="E1156" i="10"/>
  <c r="F1156" i="10"/>
  <c r="J1156" i="10" s="1"/>
  <c r="G1156" i="10"/>
  <c r="H1156" i="10"/>
  <c r="D1157" i="10"/>
  <c r="E1157" i="10"/>
  <c r="F1157" i="10"/>
  <c r="G1157" i="10"/>
  <c r="H1157" i="10"/>
  <c r="D1158" i="10"/>
  <c r="J1158" i="10" s="1"/>
  <c r="E1158" i="10"/>
  <c r="F1158" i="10"/>
  <c r="G1158" i="10"/>
  <c r="H1158" i="10"/>
  <c r="D1159" i="10"/>
  <c r="E1159" i="10"/>
  <c r="F1159" i="10"/>
  <c r="G1159" i="10"/>
  <c r="J1159" i="10" s="1"/>
  <c r="H1159" i="10"/>
  <c r="D1160" i="10"/>
  <c r="E1160" i="10"/>
  <c r="F1160" i="10"/>
  <c r="G1160" i="10"/>
  <c r="H1160" i="10"/>
  <c r="D1161" i="10"/>
  <c r="E1161" i="10"/>
  <c r="J1161" i="10" s="1"/>
  <c r="F1161" i="10"/>
  <c r="G1161" i="10"/>
  <c r="H1161" i="10"/>
  <c r="D1162" i="10"/>
  <c r="E1162" i="10"/>
  <c r="F1162" i="10"/>
  <c r="G1162" i="10"/>
  <c r="H1162" i="10"/>
  <c r="J1162" i="10" s="1"/>
  <c r="D1163" i="10"/>
  <c r="E1163" i="10"/>
  <c r="F1163" i="10"/>
  <c r="G1163" i="10"/>
  <c r="H1163" i="10"/>
  <c r="D1164" i="10"/>
  <c r="E1164" i="10"/>
  <c r="F1164" i="10"/>
  <c r="G1164" i="10"/>
  <c r="H1164" i="10"/>
  <c r="D1165" i="10"/>
  <c r="E1165" i="10"/>
  <c r="F1165" i="10"/>
  <c r="G1165" i="10"/>
  <c r="H1165" i="10"/>
  <c r="D1166" i="10"/>
  <c r="J1166" i="10" s="1"/>
  <c r="E1166" i="10"/>
  <c r="F1166" i="10"/>
  <c r="G1166" i="10"/>
  <c r="H1166" i="10"/>
  <c r="D1167" i="10"/>
  <c r="E1167" i="10"/>
  <c r="F1167" i="10"/>
  <c r="G1167" i="10"/>
  <c r="J1167" i="10" s="1"/>
  <c r="H1167" i="10"/>
  <c r="D1168" i="10"/>
  <c r="E1168" i="10"/>
  <c r="F1168" i="10"/>
  <c r="G1168" i="10"/>
  <c r="H1168" i="10"/>
  <c r="D1169" i="10"/>
  <c r="E1169" i="10"/>
  <c r="J1169" i="10" s="1"/>
  <c r="F1169" i="10"/>
  <c r="G1169" i="10"/>
  <c r="H1169" i="10"/>
  <c r="D1170" i="10"/>
  <c r="E1170" i="10"/>
  <c r="F1170" i="10"/>
  <c r="G1170" i="10"/>
  <c r="H1170" i="10"/>
  <c r="J1170" i="10" s="1"/>
  <c r="D1171" i="10"/>
  <c r="E1171" i="10"/>
  <c r="F1171" i="10"/>
  <c r="G1171" i="10"/>
  <c r="H1171" i="10"/>
  <c r="D1172" i="10"/>
  <c r="E1172" i="10"/>
  <c r="F1172" i="10"/>
  <c r="J1172" i="10" s="1"/>
  <c r="G1172" i="10"/>
  <c r="H1172" i="10"/>
  <c r="D1173" i="10"/>
  <c r="E1173" i="10"/>
  <c r="F1173" i="10"/>
  <c r="G1173" i="10"/>
  <c r="H1173" i="10"/>
  <c r="D1174" i="10"/>
  <c r="J1174" i="10" s="1"/>
  <c r="E1174" i="10"/>
  <c r="F1174" i="10"/>
  <c r="G1174" i="10"/>
  <c r="H1174" i="10"/>
  <c r="D1175" i="10"/>
  <c r="E1175" i="10"/>
  <c r="F1175" i="10"/>
  <c r="G1175" i="10"/>
  <c r="J1175" i="10" s="1"/>
  <c r="H1175" i="10"/>
  <c r="D1176" i="10"/>
  <c r="E1176" i="10"/>
  <c r="F1176" i="10"/>
  <c r="G1176" i="10"/>
  <c r="H1176" i="10"/>
  <c r="D1177" i="10"/>
  <c r="E1177" i="10"/>
  <c r="J1177" i="10" s="1"/>
  <c r="F1177" i="10"/>
  <c r="G1177" i="10"/>
  <c r="H1177" i="10"/>
  <c r="D1178" i="10"/>
  <c r="E1178" i="10"/>
  <c r="F1178" i="10"/>
  <c r="G1178" i="10"/>
  <c r="H1178" i="10"/>
  <c r="J1178" i="10" s="1"/>
  <c r="D1179" i="10"/>
  <c r="E1179" i="10"/>
  <c r="F1179" i="10"/>
  <c r="G1179" i="10"/>
  <c r="H1179" i="10"/>
  <c r="D1180" i="10"/>
  <c r="E1180" i="10"/>
  <c r="F1180" i="10"/>
  <c r="J1180" i="10" s="1"/>
  <c r="G1180" i="10"/>
  <c r="H1180" i="10"/>
  <c r="D1181" i="10"/>
  <c r="E1181" i="10"/>
  <c r="F1181" i="10"/>
  <c r="G1181" i="10"/>
  <c r="H1181" i="10"/>
  <c r="D1182" i="10"/>
  <c r="J1182" i="10" s="1"/>
  <c r="E1182" i="10"/>
  <c r="F1182" i="10"/>
  <c r="G1182" i="10"/>
  <c r="H1182" i="10"/>
  <c r="D1183" i="10"/>
  <c r="E1183" i="10"/>
  <c r="F1183" i="10"/>
  <c r="G1183" i="10"/>
  <c r="J1183" i="10" s="1"/>
  <c r="H1183" i="10"/>
  <c r="D1184" i="10"/>
  <c r="E1184" i="10"/>
  <c r="F1184" i="10"/>
  <c r="G1184" i="10"/>
  <c r="H1184" i="10"/>
  <c r="D1185" i="10"/>
  <c r="E1185" i="10"/>
  <c r="J1185" i="10" s="1"/>
  <c r="F1185" i="10"/>
  <c r="G1185" i="10"/>
  <c r="H1185" i="10"/>
  <c r="D1186" i="10"/>
  <c r="E1186" i="10"/>
  <c r="F1186" i="10"/>
  <c r="G1186" i="10"/>
  <c r="H1186" i="10"/>
  <c r="J1186" i="10" s="1"/>
  <c r="D1187" i="10"/>
  <c r="E1187" i="10"/>
  <c r="F1187" i="10"/>
  <c r="G1187" i="10"/>
  <c r="H1187" i="10"/>
  <c r="D1188" i="10"/>
  <c r="E1188" i="10"/>
  <c r="F1188" i="10"/>
  <c r="J1188" i="10" s="1"/>
  <c r="G1188" i="10"/>
  <c r="H1188" i="10"/>
  <c r="D1189" i="10"/>
  <c r="E1189" i="10"/>
  <c r="F1189" i="10"/>
  <c r="G1189" i="10"/>
  <c r="H1189" i="10"/>
  <c r="D1190" i="10"/>
  <c r="J1190" i="10" s="1"/>
  <c r="E1190" i="10"/>
  <c r="F1190" i="10"/>
  <c r="G1190" i="10"/>
  <c r="H1190" i="10"/>
  <c r="D1191" i="10"/>
  <c r="E1191" i="10"/>
  <c r="F1191" i="10"/>
  <c r="G1191" i="10"/>
  <c r="J1191" i="10" s="1"/>
  <c r="H1191" i="10"/>
  <c r="D1192" i="10"/>
  <c r="E1192" i="10"/>
  <c r="F1192" i="10"/>
  <c r="G1192" i="10"/>
  <c r="H1192" i="10"/>
  <c r="D1193" i="10"/>
  <c r="E1193" i="10"/>
  <c r="J1193" i="10" s="1"/>
  <c r="F1193" i="10"/>
  <c r="G1193" i="10"/>
  <c r="H1193" i="10"/>
  <c r="D1194" i="10"/>
  <c r="E1194" i="10"/>
  <c r="F1194" i="10"/>
  <c r="G1194" i="10"/>
  <c r="H1194" i="10"/>
  <c r="J1194" i="10" s="1"/>
  <c r="D1195" i="10"/>
  <c r="E1195" i="10"/>
  <c r="F1195" i="10"/>
  <c r="G1195" i="10"/>
  <c r="H1195" i="10"/>
  <c r="D1196" i="10"/>
  <c r="E1196" i="10"/>
  <c r="F1196" i="10"/>
  <c r="J1196" i="10" s="1"/>
  <c r="G1196" i="10"/>
  <c r="H1196" i="10"/>
  <c r="D1197" i="10"/>
  <c r="E1197" i="10"/>
  <c r="F1197" i="10"/>
  <c r="G1197" i="10"/>
  <c r="H1197" i="10"/>
  <c r="D1198" i="10"/>
  <c r="J1198" i="10" s="1"/>
  <c r="E1198" i="10"/>
  <c r="F1198" i="10"/>
  <c r="G1198" i="10"/>
  <c r="H1198" i="10"/>
  <c r="D1199" i="10"/>
  <c r="E1199" i="10"/>
  <c r="F1199" i="10"/>
  <c r="G1199" i="10"/>
  <c r="J1199" i="10" s="1"/>
  <c r="H1199" i="10"/>
  <c r="D1200" i="10"/>
  <c r="E1200" i="10"/>
  <c r="F1200" i="10"/>
  <c r="G1200" i="10"/>
  <c r="H1200" i="10"/>
  <c r="D1201" i="10"/>
  <c r="E1201" i="10"/>
  <c r="F1201" i="10"/>
  <c r="G1201" i="10"/>
  <c r="H1201" i="10"/>
  <c r="D1202" i="10"/>
  <c r="E1202" i="10"/>
  <c r="F1202" i="10"/>
  <c r="G1202" i="10"/>
  <c r="H1202" i="10"/>
  <c r="J1202" i="10" s="1"/>
  <c r="D1203" i="10"/>
  <c r="E1203" i="10"/>
  <c r="F1203" i="10"/>
  <c r="G1203" i="10"/>
  <c r="H1203" i="10"/>
  <c r="D1204" i="10"/>
  <c r="E1204" i="10"/>
  <c r="F1204" i="10"/>
  <c r="J1204" i="10" s="1"/>
  <c r="G1204" i="10"/>
  <c r="H1204" i="10"/>
  <c r="D1205" i="10"/>
  <c r="E1205" i="10"/>
  <c r="F1205" i="10"/>
  <c r="G1205" i="10"/>
  <c r="H1205" i="10"/>
  <c r="D1206" i="10"/>
  <c r="J1206" i="10" s="1"/>
  <c r="E1206" i="10"/>
  <c r="F1206" i="10"/>
  <c r="G1206" i="10"/>
  <c r="H1206" i="10"/>
  <c r="D1207" i="10"/>
  <c r="E1207" i="10"/>
  <c r="F1207" i="10"/>
  <c r="G1207" i="10"/>
  <c r="J1207" i="10" s="1"/>
  <c r="H1207" i="10"/>
  <c r="D1208" i="10"/>
  <c r="E1208" i="10"/>
  <c r="F1208" i="10"/>
  <c r="G1208" i="10"/>
  <c r="H1208" i="10"/>
  <c r="D1209" i="10"/>
  <c r="E1209" i="10"/>
  <c r="J1209" i="10" s="1"/>
  <c r="F1209" i="10"/>
  <c r="G1209" i="10"/>
  <c r="H1209" i="10"/>
  <c r="D1210" i="10"/>
  <c r="E1210" i="10"/>
  <c r="F1210" i="10"/>
  <c r="G1210" i="10"/>
  <c r="H1210" i="10"/>
  <c r="D1211" i="10"/>
  <c r="E1211" i="10"/>
  <c r="F1211" i="10"/>
  <c r="G1211" i="10"/>
  <c r="H1211" i="10"/>
  <c r="D1212" i="10"/>
  <c r="E1212" i="10"/>
  <c r="F1212" i="10"/>
  <c r="J1212" i="10" s="1"/>
  <c r="G1212" i="10"/>
  <c r="H1212" i="10"/>
  <c r="D1213" i="10"/>
  <c r="E1213" i="10"/>
  <c r="F1213" i="10"/>
  <c r="G1213" i="10"/>
  <c r="H1213" i="10"/>
  <c r="D1214" i="10"/>
  <c r="J1214" i="10" s="1"/>
  <c r="E1214" i="10"/>
  <c r="F1214" i="10"/>
  <c r="G1214" i="10"/>
  <c r="H1214" i="10"/>
  <c r="D1215" i="10"/>
  <c r="E1215" i="10"/>
  <c r="F1215" i="10"/>
  <c r="G1215" i="10"/>
  <c r="J1215" i="10" s="1"/>
  <c r="H1215" i="10"/>
  <c r="D1216" i="10"/>
  <c r="E1216" i="10"/>
  <c r="F1216" i="10"/>
  <c r="G1216" i="10"/>
  <c r="H1216" i="10"/>
  <c r="D1217" i="10"/>
  <c r="E1217" i="10"/>
  <c r="J1217" i="10" s="1"/>
  <c r="F1217" i="10"/>
  <c r="G1217" i="10"/>
  <c r="H1217" i="10"/>
  <c r="D1218" i="10"/>
  <c r="E1218" i="10"/>
  <c r="F1218" i="10"/>
  <c r="G1218" i="10"/>
  <c r="H1218" i="10"/>
  <c r="J1218" i="10" s="1"/>
  <c r="D1219" i="10"/>
  <c r="E1219" i="10"/>
  <c r="F1219" i="10"/>
  <c r="G1219" i="10"/>
  <c r="H1219" i="10"/>
  <c r="D1220" i="10"/>
  <c r="E1220" i="10"/>
  <c r="F1220" i="10"/>
  <c r="J1220" i="10" s="1"/>
  <c r="G1220" i="10"/>
  <c r="H1220" i="10"/>
  <c r="D1221" i="10"/>
  <c r="E1221" i="10"/>
  <c r="F1221" i="10"/>
  <c r="G1221" i="10"/>
  <c r="H1221" i="10"/>
  <c r="D1222" i="10"/>
  <c r="J1222" i="10" s="1"/>
  <c r="E1222" i="10"/>
  <c r="F1222" i="10"/>
  <c r="G1222" i="10"/>
  <c r="H1222" i="10"/>
  <c r="D1223" i="10"/>
  <c r="E1223" i="10"/>
  <c r="F1223" i="10"/>
  <c r="G1223" i="10"/>
  <c r="J1223" i="10" s="1"/>
  <c r="H1223" i="10"/>
  <c r="D1224" i="10"/>
  <c r="E1224" i="10"/>
  <c r="F1224" i="10"/>
  <c r="G1224" i="10"/>
  <c r="H1224" i="10"/>
  <c r="D1225" i="10"/>
  <c r="E1225" i="10"/>
  <c r="J1225" i="10" s="1"/>
  <c r="F1225" i="10"/>
  <c r="G1225" i="10"/>
  <c r="H1225" i="10"/>
  <c r="D1226" i="10"/>
  <c r="E1226" i="10"/>
  <c r="F1226" i="10"/>
  <c r="G1226" i="10"/>
  <c r="H1226" i="10"/>
  <c r="J1226" i="10" s="1"/>
  <c r="D1227" i="10"/>
  <c r="E1227" i="10"/>
  <c r="F1227" i="10"/>
  <c r="G1227" i="10"/>
  <c r="H1227" i="10"/>
  <c r="D1228" i="10"/>
  <c r="E1228" i="10"/>
  <c r="F1228" i="10"/>
  <c r="G1228" i="10"/>
  <c r="H1228" i="10"/>
  <c r="D1229" i="10"/>
  <c r="E1229" i="10"/>
  <c r="F1229" i="10"/>
  <c r="G1229" i="10"/>
  <c r="H1229" i="10"/>
  <c r="D1230" i="10"/>
  <c r="J1230" i="10" s="1"/>
  <c r="E1230" i="10"/>
  <c r="F1230" i="10"/>
  <c r="G1230" i="10"/>
  <c r="H1230" i="10"/>
  <c r="D1231" i="10"/>
  <c r="E1231" i="10"/>
  <c r="F1231" i="10"/>
  <c r="G1231" i="10"/>
  <c r="J1231" i="10" s="1"/>
  <c r="H1231" i="10"/>
  <c r="D1232" i="10"/>
  <c r="E1232" i="10"/>
  <c r="F1232" i="10"/>
  <c r="G1232" i="10"/>
  <c r="H1232" i="10"/>
  <c r="D1233" i="10"/>
  <c r="E1233" i="10"/>
  <c r="J1233" i="10" s="1"/>
  <c r="F1233" i="10"/>
  <c r="G1233" i="10"/>
  <c r="H1233" i="10"/>
  <c r="D1234" i="10"/>
  <c r="E1234" i="10"/>
  <c r="F1234" i="10"/>
  <c r="G1234" i="10"/>
  <c r="H1234" i="10"/>
  <c r="J1234" i="10" s="1"/>
  <c r="D1235" i="10"/>
  <c r="E1235" i="10"/>
  <c r="F1235" i="10"/>
  <c r="G1235" i="10"/>
  <c r="H1235" i="10"/>
  <c r="D1236" i="10"/>
  <c r="E1236" i="10"/>
  <c r="F1236" i="10"/>
  <c r="G1236" i="10"/>
  <c r="H1236" i="10"/>
  <c r="D1237" i="10"/>
  <c r="E1237" i="10"/>
  <c r="F1237" i="10"/>
  <c r="G1237" i="10"/>
  <c r="H1237" i="10"/>
  <c r="D1238" i="10"/>
  <c r="J1238" i="10" s="1"/>
  <c r="E1238" i="10"/>
  <c r="F1238" i="10"/>
  <c r="G1238" i="10"/>
  <c r="H1238" i="10"/>
  <c r="D1239" i="10"/>
  <c r="E1239" i="10"/>
  <c r="F1239" i="10"/>
  <c r="G1239" i="10"/>
  <c r="J1239" i="10" s="1"/>
  <c r="H1239" i="10"/>
  <c r="D1240" i="10"/>
  <c r="E1240" i="10"/>
  <c r="F1240" i="10"/>
  <c r="G1240" i="10"/>
  <c r="H1240" i="10"/>
  <c r="D1241" i="10"/>
  <c r="E1241" i="10"/>
  <c r="J1241" i="10" s="1"/>
  <c r="F1241" i="10"/>
  <c r="G1241" i="10"/>
  <c r="H1241" i="10"/>
  <c r="D1242" i="10"/>
  <c r="E1242" i="10"/>
  <c r="F1242" i="10"/>
  <c r="G1242" i="10"/>
  <c r="H1242" i="10"/>
  <c r="J1242" i="10" s="1"/>
  <c r="D1243" i="10"/>
  <c r="E1243" i="10"/>
  <c r="F1243" i="10"/>
  <c r="G1243" i="10"/>
  <c r="H1243" i="10"/>
  <c r="D1244" i="10"/>
  <c r="E1244" i="10"/>
  <c r="F1244" i="10"/>
  <c r="G1244" i="10"/>
  <c r="H1244" i="10"/>
  <c r="D1245" i="10"/>
  <c r="E1245" i="10"/>
  <c r="F1245" i="10"/>
  <c r="G1245" i="10"/>
  <c r="H1245" i="10"/>
  <c r="D1246" i="10"/>
  <c r="J1246" i="10" s="1"/>
  <c r="E1246" i="10"/>
  <c r="F1246" i="10"/>
  <c r="G1246" i="10"/>
  <c r="H1246" i="10"/>
  <c r="D1247" i="10"/>
  <c r="E1247" i="10"/>
  <c r="F1247" i="10"/>
  <c r="G1247" i="10"/>
  <c r="J1247" i="10" s="1"/>
  <c r="H1247" i="10"/>
  <c r="D1248" i="10"/>
  <c r="E1248" i="10"/>
  <c r="F1248" i="10"/>
  <c r="G1248" i="10"/>
  <c r="H1248" i="10"/>
  <c r="D1249" i="10"/>
  <c r="E1249" i="10"/>
  <c r="J1249" i="10" s="1"/>
  <c r="F1249" i="10"/>
  <c r="G1249" i="10"/>
  <c r="H1249" i="10"/>
  <c r="D1250" i="10"/>
  <c r="E1250" i="10"/>
  <c r="F1250" i="10"/>
  <c r="G1250" i="10"/>
  <c r="H1250" i="10"/>
  <c r="J1250" i="10" s="1"/>
  <c r="D1251" i="10"/>
  <c r="E1251" i="10"/>
  <c r="F1251" i="10"/>
  <c r="G1251" i="10"/>
  <c r="H1251" i="10"/>
  <c r="D1252" i="10"/>
  <c r="E1252" i="10"/>
  <c r="F1252" i="10"/>
  <c r="G1252" i="10"/>
  <c r="H1252" i="10"/>
  <c r="D1253" i="10"/>
  <c r="E1253" i="10"/>
  <c r="F1253" i="10"/>
  <c r="G1253" i="10"/>
  <c r="H1253" i="10"/>
  <c r="D1254" i="10"/>
  <c r="J1254" i="10" s="1"/>
  <c r="E1254" i="10"/>
  <c r="F1254" i="10"/>
  <c r="G1254" i="10"/>
  <c r="H1254" i="10"/>
  <c r="D1255" i="10"/>
  <c r="E1255" i="10"/>
  <c r="F1255" i="10"/>
  <c r="G1255" i="10"/>
  <c r="J1255" i="10" s="1"/>
  <c r="H1255" i="10"/>
  <c r="D1256" i="10"/>
  <c r="E1256" i="10"/>
  <c r="F1256" i="10"/>
  <c r="G1256" i="10"/>
  <c r="H1256" i="10"/>
  <c r="D1257" i="10"/>
  <c r="E1257" i="10"/>
  <c r="J1257" i="10" s="1"/>
  <c r="F1257" i="10"/>
  <c r="G1257" i="10"/>
  <c r="H1257" i="10"/>
  <c r="D1258" i="10"/>
  <c r="E1258" i="10"/>
  <c r="F1258" i="10"/>
  <c r="G1258" i="10"/>
  <c r="H1258" i="10"/>
  <c r="J1258" i="10" s="1"/>
  <c r="D1259" i="10"/>
  <c r="E1259" i="10"/>
  <c r="F1259" i="10"/>
  <c r="G1259" i="10"/>
  <c r="H1259" i="10"/>
  <c r="D1260" i="10"/>
  <c r="E1260" i="10"/>
  <c r="F1260" i="10"/>
  <c r="G1260" i="10"/>
  <c r="H1260" i="10"/>
  <c r="D1261" i="10"/>
  <c r="E1261" i="10"/>
  <c r="F1261" i="10"/>
  <c r="G1261" i="10"/>
  <c r="H1261" i="10"/>
  <c r="D1262" i="10"/>
  <c r="J1262" i="10" s="1"/>
  <c r="E1262" i="10"/>
  <c r="F1262" i="10"/>
  <c r="G1262" i="10"/>
  <c r="H1262" i="10"/>
  <c r="D1263" i="10"/>
  <c r="E1263" i="10"/>
  <c r="F1263" i="10"/>
  <c r="G1263" i="10"/>
  <c r="J1263" i="10" s="1"/>
  <c r="H1263" i="10"/>
  <c r="D1264" i="10"/>
  <c r="E1264" i="10"/>
  <c r="F1264" i="10"/>
  <c r="G1264" i="10"/>
  <c r="H1264" i="10"/>
  <c r="D1265" i="10"/>
  <c r="E1265" i="10"/>
  <c r="J1265" i="10" s="1"/>
  <c r="F1265" i="10"/>
  <c r="G1265" i="10"/>
  <c r="H1265" i="10"/>
  <c r="D1266" i="10"/>
  <c r="E1266" i="10"/>
  <c r="F1266" i="10"/>
  <c r="G1266" i="10"/>
  <c r="H1266" i="10"/>
  <c r="J1266" i="10" s="1"/>
  <c r="D1267" i="10"/>
  <c r="E1267" i="10"/>
  <c r="F1267" i="10"/>
  <c r="G1267" i="10"/>
  <c r="H1267" i="10"/>
  <c r="D1268" i="10"/>
  <c r="E1268" i="10"/>
  <c r="F1268" i="10"/>
  <c r="G1268" i="10"/>
  <c r="H1268" i="10"/>
  <c r="D1269" i="10"/>
  <c r="E1269" i="10"/>
  <c r="F1269" i="10"/>
  <c r="G1269" i="10"/>
  <c r="H1269" i="10"/>
  <c r="D1270" i="10"/>
  <c r="J1270" i="10" s="1"/>
  <c r="E1270" i="10"/>
  <c r="F1270" i="10"/>
  <c r="G1270" i="10"/>
  <c r="H1270" i="10"/>
  <c r="D1271" i="10"/>
  <c r="E1271" i="10"/>
  <c r="F1271" i="10"/>
  <c r="G1271" i="10"/>
  <c r="J1271" i="10" s="1"/>
  <c r="H1271" i="10"/>
  <c r="D1272" i="10"/>
  <c r="E1272" i="10"/>
  <c r="F1272" i="10"/>
  <c r="G1272" i="10"/>
  <c r="H1272" i="10"/>
  <c r="D1273" i="10"/>
  <c r="E1273" i="10"/>
  <c r="J1273" i="10" s="1"/>
  <c r="F1273" i="10"/>
  <c r="G1273" i="10"/>
  <c r="H1273" i="10"/>
  <c r="D1274" i="10"/>
  <c r="E1274" i="10"/>
  <c r="F1274" i="10"/>
  <c r="G1274" i="10"/>
  <c r="H1274" i="10"/>
  <c r="J1274" i="10" s="1"/>
  <c r="D1275" i="10"/>
  <c r="E1275" i="10"/>
  <c r="F1275" i="10"/>
  <c r="G1275" i="10"/>
  <c r="H1275" i="10"/>
  <c r="D1276" i="10"/>
  <c r="E1276" i="10"/>
  <c r="F1276" i="10"/>
  <c r="G1276" i="10"/>
  <c r="H1276" i="10"/>
  <c r="D1277" i="10"/>
  <c r="E1277" i="10"/>
  <c r="F1277" i="10"/>
  <c r="G1277" i="10"/>
  <c r="H1277" i="10"/>
  <c r="D1278" i="10"/>
  <c r="J1278" i="10" s="1"/>
  <c r="E1278" i="10"/>
  <c r="F1278" i="10"/>
  <c r="G1278" i="10"/>
  <c r="H1278" i="10"/>
  <c r="D1279" i="10"/>
  <c r="E1279" i="10"/>
  <c r="F1279" i="10"/>
  <c r="G1279" i="10"/>
  <c r="J1279" i="10" s="1"/>
  <c r="H1279" i="10"/>
  <c r="D1280" i="10"/>
  <c r="E1280" i="10"/>
  <c r="F1280" i="10"/>
  <c r="G1280" i="10"/>
  <c r="H1280" i="10"/>
  <c r="D1281" i="10"/>
  <c r="E1281" i="10"/>
  <c r="J1281" i="10" s="1"/>
  <c r="F1281" i="10"/>
  <c r="G1281" i="10"/>
  <c r="H1281" i="10"/>
  <c r="D1282" i="10"/>
  <c r="E1282" i="10"/>
  <c r="F1282" i="10"/>
  <c r="G1282" i="10"/>
  <c r="H1282" i="10"/>
  <c r="J1282" i="10" s="1"/>
  <c r="D1283" i="10"/>
  <c r="E1283" i="10"/>
  <c r="F1283" i="10"/>
  <c r="G1283" i="10"/>
  <c r="H1283" i="10"/>
  <c r="D1284" i="10"/>
  <c r="E1284" i="10"/>
  <c r="F1284" i="10"/>
  <c r="G1284" i="10"/>
  <c r="H1284" i="10"/>
  <c r="D1285" i="10"/>
  <c r="E1285" i="10"/>
  <c r="F1285" i="10"/>
  <c r="G1285" i="10"/>
  <c r="H1285" i="10"/>
  <c r="D1286" i="10"/>
  <c r="J1286" i="10" s="1"/>
  <c r="E1286" i="10"/>
  <c r="F1286" i="10"/>
  <c r="G1286" i="10"/>
  <c r="H1286" i="10"/>
  <c r="D1287" i="10"/>
  <c r="E1287" i="10"/>
  <c r="F1287" i="10"/>
  <c r="G1287" i="10"/>
  <c r="J1287" i="10" s="1"/>
  <c r="H1287" i="10"/>
  <c r="D1288" i="10"/>
  <c r="E1288" i="10"/>
  <c r="F1288" i="10"/>
  <c r="G1288" i="10"/>
  <c r="H1288" i="10"/>
  <c r="D1289" i="10"/>
  <c r="E1289" i="10"/>
  <c r="J1289" i="10" s="1"/>
  <c r="F1289" i="10"/>
  <c r="G1289" i="10"/>
  <c r="H1289" i="10"/>
  <c r="D1290" i="10"/>
  <c r="E1290" i="10"/>
  <c r="F1290" i="10"/>
  <c r="G1290" i="10"/>
  <c r="H1290" i="10"/>
  <c r="J1290" i="10" s="1"/>
  <c r="D1291" i="10"/>
  <c r="E1291" i="10"/>
  <c r="F1291" i="10"/>
  <c r="G1291" i="10"/>
  <c r="H1291" i="10"/>
  <c r="D1292" i="10"/>
  <c r="E1292" i="10"/>
  <c r="F1292" i="10"/>
  <c r="G1292" i="10"/>
  <c r="H1292" i="10"/>
  <c r="D1293" i="10"/>
  <c r="E1293" i="10"/>
  <c r="F1293" i="10"/>
  <c r="G1293" i="10"/>
  <c r="H1293" i="10"/>
  <c r="D1294" i="10"/>
  <c r="J1294" i="10" s="1"/>
  <c r="E1294" i="10"/>
  <c r="F1294" i="10"/>
  <c r="G1294" i="10"/>
  <c r="H1294" i="10"/>
  <c r="D1295" i="10"/>
  <c r="E1295" i="10"/>
  <c r="F1295" i="10"/>
  <c r="G1295" i="10"/>
  <c r="J1295" i="10" s="1"/>
  <c r="H1295" i="10"/>
  <c r="D1296" i="10"/>
  <c r="E1296" i="10"/>
  <c r="F1296" i="10"/>
  <c r="G1296" i="10"/>
  <c r="H1296" i="10"/>
  <c r="D1297" i="10"/>
  <c r="E1297" i="10"/>
  <c r="J1297" i="10" s="1"/>
  <c r="F1297" i="10"/>
  <c r="G1297" i="10"/>
  <c r="H1297" i="10"/>
  <c r="D1298" i="10"/>
  <c r="E1298" i="10"/>
  <c r="F1298" i="10"/>
  <c r="G1298" i="10"/>
  <c r="H1298" i="10"/>
  <c r="J1298" i="10" s="1"/>
  <c r="D1299" i="10"/>
  <c r="E1299" i="10"/>
  <c r="F1299" i="10"/>
  <c r="G1299" i="10"/>
  <c r="H1299" i="10"/>
  <c r="D1300" i="10"/>
  <c r="E1300" i="10"/>
  <c r="F1300" i="10"/>
  <c r="G1300" i="10"/>
  <c r="H1300" i="10"/>
  <c r="D1301" i="10"/>
  <c r="E1301" i="10"/>
  <c r="F1301" i="10"/>
  <c r="G1301" i="10"/>
  <c r="H1301" i="10"/>
  <c r="D1302" i="10"/>
  <c r="J1302" i="10" s="1"/>
  <c r="E1302" i="10"/>
  <c r="F1302" i="10"/>
  <c r="G1302" i="10"/>
  <c r="H1302" i="10"/>
  <c r="D1303" i="10"/>
  <c r="E1303" i="10"/>
  <c r="F1303" i="10"/>
  <c r="G1303" i="10"/>
  <c r="J1303" i="10" s="1"/>
  <c r="H1303" i="10"/>
  <c r="D1304" i="10"/>
  <c r="E1304" i="10"/>
  <c r="F1304" i="10"/>
  <c r="G1304" i="10"/>
  <c r="H1304" i="10"/>
  <c r="D1305" i="10"/>
  <c r="E1305" i="10"/>
  <c r="J1305" i="10" s="1"/>
  <c r="F1305" i="10"/>
  <c r="G1305" i="10"/>
  <c r="H1305" i="10"/>
  <c r="D1306" i="10"/>
  <c r="E1306" i="10"/>
  <c r="F1306" i="10"/>
  <c r="G1306" i="10"/>
  <c r="H1306" i="10"/>
  <c r="J1306" i="10" s="1"/>
  <c r="D1307" i="10"/>
  <c r="E1307" i="10"/>
  <c r="F1307" i="10"/>
  <c r="G1307" i="10"/>
  <c r="H1307" i="10"/>
  <c r="D1308" i="10"/>
  <c r="E1308" i="10"/>
  <c r="F1308" i="10"/>
  <c r="G1308" i="10"/>
  <c r="H1308" i="10"/>
  <c r="D1309" i="10"/>
  <c r="E1309" i="10"/>
  <c r="F1309" i="10"/>
  <c r="G1309" i="10"/>
  <c r="H1309" i="10"/>
  <c r="D1310" i="10"/>
  <c r="J1310" i="10" s="1"/>
  <c r="E1310" i="10"/>
  <c r="F1310" i="10"/>
  <c r="G1310" i="10"/>
  <c r="H1310" i="10"/>
  <c r="D1311" i="10"/>
  <c r="E1311" i="10"/>
  <c r="F1311" i="10"/>
  <c r="G1311" i="10"/>
  <c r="J1311" i="10" s="1"/>
  <c r="H1311" i="10"/>
  <c r="D1312" i="10"/>
  <c r="E1312" i="10"/>
  <c r="F1312" i="10"/>
  <c r="G1312" i="10"/>
  <c r="H1312" i="10"/>
  <c r="D1313" i="10"/>
  <c r="E1313" i="10"/>
  <c r="J1313" i="10" s="1"/>
  <c r="F1313" i="10"/>
  <c r="G1313" i="10"/>
  <c r="H1313" i="10"/>
  <c r="D1314" i="10"/>
  <c r="E1314" i="10"/>
  <c r="F1314" i="10"/>
  <c r="G1314" i="10"/>
  <c r="H1314" i="10"/>
  <c r="J1314" i="10" s="1"/>
  <c r="D1315" i="10"/>
  <c r="E1315" i="10"/>
  <c r="F1315" i="10"/>
  <c r="G1315" i="10"/>
  <c r="H1315" i="10"/>
  <c r="D1316" i="10"/>
  <c r="E1316" i="10"/>
  <c r="F1316" i="10"/>
  <c r="G1316" i="10"/>
  <c r="H1316" i="10"/>
  <c r="D1317" i="10"/>
  <c r="E1317" i="10"/>
  <c r="F1317" i="10"/>
  <c r="G1317" i="10"/>
  <c r="H1317" i="10"/>
  <c r="D1318" i="10"/>
  <c r="J1318" i="10" s="1"/>
  <c r="E1318" i="10"/>
  <c r="F1318" i="10"/>
  <c r="G1318" i="10"/>
  <c r="H1318" i="10"/>
  <c r="D1319" i="10"/>
  <c r="E1319" i="10"/>
  <c r="F1319" i="10"/>
  <c r="G1319" i="10"/>
  <c r="J1319" i="10" s="1"/>
  <c r="H1319" i="10"/>
  <c r="D1320" i="10"/>
  <c r="E1320" i="10"/>
  <c r="F1320" i="10"/>
  <c r="G1320" i="10"/>
  <c r="H1320" i="10"/>
  <c r="D1321" i="10"/>
  <c r="E1321" i="10"/>
  <c r="J1321" i="10" s="1"/>
  <c r="F1321" i="10"/>
  <c r="G1321" i="10"/>
  <c r="H1321" i="10"/>
  <c r="D1322" i="10"/>
  <c r="E1322" i="10"/>
  <c r="F1322" i="10"/>
  <c r="G1322" i="10"/>
  <c r="H1322" i="10"/>
  <c r="J1322" i="10" s="1"/>
  <c r="D1323" i="10"/>
  <c r="E1323" i="10"/>
  <c r="F1323" i="10"/>
  <c r="G1323" i="10"/>
  <c r="H1323" i="10"/>
  <c r="D1324" i="10"/>
  <c r="E1324" i="10"/>
  <c r="F1324" i="10"/>
  <c r="G1324" i="10"/>
  <c r="H1324" i="10"/>
  <c r="D1325" i="10"/>
  <c r="E1325" i="10"/>
  <c r="F1325" i="10"/>
  <c r="G1325" i="10"/>
  <c r="H1325" i="10"/>
  <c r="D1326" i="10"/>
  <c r="J1326" i="10" s="1"/>
  <c r="E1326" i="10"/>
  <c r="F1326" i="10"/>
  <c r="G1326" i="10"/>
  <c r="H1326" i="10"/>
  <c r="D1327" i="10"/>
  <c r="E1327" i="10"/>
  <c r="F1327" i="10"/>
  <c r="G1327" i="10"/>
  <c r="J1327" i="10" s="1"/>
  <c r="H1327" i="10"/>
  <c r="D1328" i="10"/>
  <c r="E1328" i="10"/>
  <c r="F1328" i="10"/>
  <c r="G1328" i="10"/>
  <c r="H1328" i="10"/>
  <c r="D1329" i="10"/>
  <c r="E1329" i="10"/>
  <c r="J1329" i="10" s="1"/>
  <c r="F1329" i="10"/>
  <c r="G1329" i="10"/>
  <c r="H1329" i="10"/>
  <c r="D1330" i="10"/>
  <c r="E1330" i="10"/>
  <c r="F1330" i="10"/>
  <c r="G1330" i="10"/>
  <c r="H1330" i="10"/>
  <c r="J1330" i="10" s="1"/>
  <c r="D1331" i="10"/>
  <c r="E1331" i="10"/>
  <c r="F1331" i="10"/>
  <c r="G1331" i="10"/>
  <c r="H1331" i="10"/>
  <c r="D1332" i="10"/>
  <c r="E1332" i="10"/>
  <c r="F1332" i="10"/>
  <c r="G1332" i="10"/>
  <c r="H1332" i="10"/>
  <c r="D1333" i="10"/>
  <c r="E1333" i="10"/>
  <c r="F1333" i="10"/>
  <c r="G1333" i="10"/>
  <c r="H1333" i="10"/>
  <c r="D1334" i="10"/>
  <c r="J1334" i="10" s="1"/>
  <c r="E1334" i="10"/>
  <c r="F1334" i="10"/>
  <c r="G1334" i="10"/>
  <c r="H1334" i="10"/>
  <c r="D1335" i="10"/>
  <c r="E1335" i="10"/>
  <c r="F1335" i="10"/>
  <c r="G1335" i="10"/>
  <c r="J1335" i="10" s="1"/>
  <c r="H1335" i="10"/>
  <c r="D1336" i="10"/>
  <c r="E1336" i="10"/>
  <c r="F1336" i="10"/>
  <c r="G1336" i="10"/>
  <c r="H1336" i="10"/>
  <c r="D1337" i="10"/>
  <c r="E1337" i="10"/>
  <c r="J1337" i="10" s="1"/>
  <c r="F1337" i="10"/>
  <c r="G1337" i="10"/>
  <c r="H1337" i="10"/>
  <c r="D1338" i="10"/>
  <c r="E1338" i="10"/>
  <c r="F1338" i="10"/>
  <c r="G1338" i="10"/>
  <c r="H1338" i="10"/>
  <c r="J1338" i="10" s="1"/>
  <c r="D1339" i="10"/>
  <c r="E1339" i="10"/>
  <c r="F1339" i="10"/>
  <c r="G1339" i="10"/>
  <c r="H1339" i="10"/>
  <c r="D1340" i="10"/>
  <c r="E1340" i="10"/>
  <c r="F1340" i="10"/>
  <c r="G1340" i="10"/>
  <c r="H1340" i="10"/>
  <c r="D1341" i="10"/>
  <c r="E1341" i="10"/>
  <c r="F1341" i="10"/>
  <c r="G1341" i="10"/>
  <c r="H1341" i="10"/>
  <c r="D1342" i="10"/>
  <c r="J1342" i="10" s="1"/>
  <c r="E1342" i="10"/>
  <c r="F1342" i="10"/>
  <c r="G1342" i="10"/>
  <c r="H1342" i="10"/>
  <c r="D1343" i="10"/>
  <c r="E1343" i="10"/>
  <c r="F1343" i="10"/>
  <c r="G1343" i="10"/>
  <c r="J1343" i="10" s="1"/>
  <c r="H1343" i="10"/>
  <c r="D1344" i="10"/>
  <c r="E1344" i="10"/>
  <c r="F1344" i="10"/>
  <c r="G1344" i="10"/>
  <c r="H1344" i="10"/>
  <c r="D1345" i="10"/>
  <c r="E1345" i="10"/>
  <c r="J1345" i="10" s="1"/>
  <c r="F1345" i="10"/>
  <c r="G1345" i="10"/>
  <c r="H1345" i="10"/>
  <c r="D1346" i="10"/>
  <c r="E1346" i="10"/>
  <c r="F1346" i="10"/>
  <c r="G1346" i="10"/>
  <c r="H1346" i="10"/>
  <c r="J1346" i="10" s="1"/>
  <c r="D1347" i="10"/>
  <c r="E1347" i="10"/>
  <c r="F1347" i="10"/>
  <c r="G1347" i="10"/>
  <c r="H1347" i="10"/>
  <c r="D1348" i="10"/>
  <c r="E1348" i="10"/>
  <c r="F1348" i="10"/>
  <c r="G1348" i="10"/>
  <c r="H1348" i="10"/>
  <c r="D1349" i="10"/>
  <c r="E1349" i="10"/>
  <c r="F1349" i="10"/>
  <c r="G1349" i="10"/>
  <c r="H1349" i="10"/>
  <c r="D1350" i="10"/>
  <c r="J1350" i="10" s="1"/>
  <c r="E1350" i="10"/>
  <c r="F1350" i="10"/>
  <c r="G1350" i="10"/>
  <c r="H1350" i="10"/>
  <c r="D1351" i="10"/>
  <c r="E1351" i="10"/>
  <c r="F1351" i="10"/>
  <c r="G1351" i="10"/>
  <c r="J1351" i="10" s="1"/>
  <c r="H1351" i="10"/>
  <c r="D1352" i="10"/>
  <c r="E1352" i="10"/>
  <c r="F1352" i="10"/>
  <c r="G1352" i="10"/>
  <c r="H1352" i="10"/>
  <c r="D1353" i="10"/>
  <c r="E1353" i="10"/>
  <c r="J1353" i="10" s="1"/>
  <c r="F1353" i="10"/>
  <c r="G1353" i="10"/>
  <c r="H1353" i="10"/>
  <c r="D1354" i="10"/>
  <c r="E1354" i="10"/>
  <c r="F1354" i="10"/>
  <c r="G1354" i="10"/>
  <c r="H1354" i="10"/>
  <c r="J1354" i="10" s="1"/>
  <c r="D1355" i="10"/>
  <c r="E1355" i="10"/>
  <c r="F1355" i="10"/>
  <c r="G1355" i="10"/>
  <c r="H1355" i="10"/>
  <c r="D1356" i="10"/>
  <c r="E1356" i="10"/>
  <c r="F1356" i="10"/>
  <c r="G1356" i="10"/>
  <c r="H1356" i="10"/>
  <c r="D1357" i="10"/>
  <c r="E1357" i="10"/>
  <c r="F1357" i="10"/>
  <c r="G1357" i="10"/>
  <c r="H1357" i="10"/>
  <c r="D1358" i="10"/>
  <c r="J1358" i="10" s="1"/>
  <c r="E1358" i="10"/>
  <c r="F1358" i="10"/>
  <c r="G1358" i="10"/>
  <c r="H1358" i="10"/>
  <c r="D1359" i="10"/>
  <c r="E1359" i="10"/>
  <c r="F1359" i="10"/>
  <c r="G1359" i="10"/>
  <c r="J1359" i="10" s="1"/>
  <c r="H1359" i="10"/>
  <c r="D1360" i="10"/>
  <c r="E1360" i="10"/>
  <c r="F1360" i="10"/>
  <c r="G1360" i="10"/>
  <c r="H1360" i="10"/>
  <c r="D1361" i="10"/>
  <c r="E1361" i="10"/>
  <c r="J1361" i="10" s="1"/>
  <c r="F1361" i="10"/>
  <c r="G1361" i="10"/>
  <c r="H1361" i="10"/>
  <c r="D1362" i="10"/>
  <c r="E1362" i="10"/>
  <c r="F1362" i="10"/>
  <c r="G1362" i="10"/>
  <c r="H1362" i="10"/>
  <c r="J1362" i="10" s="1"/>
  <c r="D1363" i="10"/>
  <c r="E1363" i="10"/>
  <c r="F1363" i="10"/>
  <c r="G1363" i="10"/>
  <c r="H1363" i="10"/>
  <c r="D1364" i="10"/>
  <c r="E1364" i="10"/>
  <c r="F1364" i="10"/>
  <c r="G1364" i="10"/>
  <c r="H1364" i="10"/>
  <c r="D1365" i="10"/>
  <c r="E1365" i="10"/>
  <c r="F1365" i="10"/>
  <c r="G1365" i="10"/>
  <c r="H1365" i="10"/>
  <c r="D1366" i="10"/>
  <c r="J1366" i="10" s="1"/>
  <c r="E1366" i="10"/>
  <c r="F1366" i="10"/>
  <c r="G1366" i="10"/>
  <c r="H1366" i="10"/>
  <c r="D1367" i="10"/>
  <c r="E1367" i="10"/>
  <c r="F1367" i="10"/>
  <c r="G1367" i="10"/>
  <c r="J1367" i="10" s="1"/>
  <c r="H1367" i="10"/>
  <c r="D1368" i="10"/>
  <c r="E1368" i="10"/>
  <c r="F1368" i="10"/>
  <c r="G1368" i="10"/>
  <c r="H1368" i="10"/>
  <c r="D1369" i="10"/>
  <c r="E1369" i="10"/>
  <c r="J1369" i="10" s="1"/>
  <c r="F1369" i="10"/>
  <c r="G1369" i="10"/>
  <c r="H1369" i="10"/>
  <c r="D1370" i="10"/>
  <c r="E1370" i="10"/>
  <c r="F1370" i="10"/>
  <c r="G1370" i="10"/>
  <c r="H1370" i="10"/>
  <c r="J1370" i="10" s="1"/>
  <c r="D1371" i="10"/>
  <c r="E1371" i="10"/>
  <c r="F1371" i="10"/>
  <c r="G1371" i="10"/>
  <c r="H1371" i="10"/>
  <c r="D1372" i="10"/>
  <c r="E1372" i="10"/>
  <c r="F1372" i="10"/>
  <c r="G1372" i="10"/>
  <c r="H1372" i="10"/>
  <c r="D1373" i="10"/>
  <c r="E1373" i="10"/>
  <c r="F1373" i="10"/>
  <c r="G1373" i="10"/>
  <c r="H1373" i="10"/>
  <c r="D1374" i="10"/>
  <c r="J1374" i="10" s="1"/>
  <c r="E1374" i="10"/>
  <c r="F1374" i="10"/>
  <c r="G1374" i="10"/>
  <c r="H1374" i="10"/>
  <c r="D1375" i="10"/>
  <c r="E1375" i="10"/>
  <c r="F1375" i="10"/>
  <c r="G1375" i="10"/>
  <c r="J1375" i="10" s="1"/>
  <c r="H1375" i="10"/>
  <c r="D1376" i="10"/>
  <c r="E1376" i="10"/>
  <c r="F1376" i="10"/>
  <c r="G1376" i="10"/>
  <c r="H1376" i="10"/>
  <c r="D1377" i="10"/>
  <c r="E1377" i="10"/>
  <c r="J1377" i="10" s="1"/>
  <c r="F1377" i="10"/>
  <c r="G1377" i="10"/>
  <c r="H1377" i="10"/>
  <c r="D1378" i="10"/>
  <c r="E1378" i="10"/>
  <c r="F1378" i="10"/>
  <c r="G1378" i="10"/>
  <c r="H1378" i="10"/>
  <c r="J1378" i="10" s="1"/>
  <c r="D1379" i="10"/>
  <c r="E1379" i="10"/>
  <c r="F1379" i="10"/>
  <c r="G1379" i="10"/>
  <c r="H1379" i="10"/>
  <c r="D1380" i="10"/>
  <c r="E1380" i="10"/>
  <c r="F1380" i="10"/>
  <c r="G1380" i="10"/>
  <c r="H1380" i="10"/>
  <c r="D1381" i="10"/>
  <c r="E1381" i="10"/>
  <c r="F1381" i="10"/>
  <c r="G1381" i="10"/>
  <c r="H1381" i="10"/>
  <c r="D1382" i="10"/>
  <c r="J1382" i="10" s="1"/>
  <c r="E1382" i="10"/>
  <c r="F1382" i="10"/>
  <c r="G1382" i="10"/>
  <c r="H1382" i="10"/>
  <c r="D1383" i="10"/>
  <c r="E1383" i="10"/>
  <c r="F1383" i="10"/>
  <c r="G1383" i="10"/>
  <c r="J1383" i="10" s="1"/>
  <c r="H1383" i="10"/>
  <c r="D1384" i="10"/>
  <c r="E1384" i="10"/>
  <c r="F1384" i="10"/>
  <c r="G1384" i="10"/>
  <c r="H1384" i="10"/>
  <c r="D1385" i="10"/>
  <c r="E1385" i="10"/>
  <c r="J1385" i="10" s="1"/>
  <c r="F1385" i="10"/>
  <c r="G1385" i="10"/>
  <c r="H1385" i="10"/>
  <c r="D1386" i="10"/>
  <c r="E1386" i="10"/>
  <c r="F1386" i="10"/>
  <c r="G1386" i="10"/>
  <c r="H1386" i="10"/>
  <c r="J1386" i="10" s="1"/>
  <c r="D1387" i="10"/>
  <c r="E1387" i="10"/>
  <c r="F1387" i="10"/>
  <c r="G1387" i="10"/>
  <c r="H1387" i="10"/>
  <c r="D1388" i="10"/>
  <c r="E1388" i="10"/>
  <c r="F1388" i="10"/>
  <c r="G1388" i="10"/>
  <c r="H1388" i="10"/>
  <c r="D1389" i="10"/>
  <c r="E1389" i="10"/>
  <c r="F1389" i="10"/>
  <c r="G1389" i="10"/>
  <c r="H1389" i="10"/>
  <c r="D1390" i="10"/>
  <c r="J1390" i="10" s="1"/>
  <c r="E1390" i="10"/>
  <c r="F1390" i="10"/>
  <c r="G1390" i="10"/>
  <c r="H1390" i="10"/>
  <c r="D1391" i="10"/>
  <c r="E1391" i="10"/>
  <c r="F1391" i="10"/>
  <c r="G1391" i="10"/>
  <c r="J1391" i="10" s="1"/>
  <c r="H1391" i="10"/>
  <c r="D1392" i="10"/>
  <c r="E1392" i="10"/>
  <c r="F1392" i="10"/>
  <c r="G1392" i="10"/>
  <c r="H1392" i="10"/>
  <c r="D1393" i="10"/>
  <c r="E1393" i="10"/>
  <c r="J1393" i="10" s="1"/>
  <c r="F1393" i="10"/>
  <c r="G1393" i="10"/>
  <c r="H1393" i="10"/>
  <c r="D1394" i="10"/>
  <c r="E1394" i="10"/>
  <c r="F1394" i="10"/>
  <c r="G1394" i="10"/>
  <c r="H1394" i="10"/>
  <c r="J1394" i="10" s="1"/>
  <c r="D1395" i="10"/>
  <c r="E1395" i="10"/>
  <c r="F1395" i="10"/>
  <c r="G1395" i="10"/>
  <c r="H1395" i="10"/>
  <c r="D1396" i="10"/>
  <c r="E1396" i="10"/>
  <c r="F1396" i="10"/>
  <c r="G1396" i="10"/>
  <c r="H1396" i="10"/>
  <c r="D1397" i="10"/>
  <c r="E1397" i="10"/>
  <c r="F1397" i="10"/>
  <c r="G1397" i="10"/>
  <c r="H1397" i="10"/>
  <c r="D1398" i="10"/>
  <c r="J1398" i="10" s="1"/>
  <c r="E1398" i="10"/>
  <c r="F1398" i="10"/>
  <c r="G1398" i="10"/>
  <c r="H1398" i="10"/>
  <c r="D1399" i="10"/>
  <c r="E1399" i="10"/>
  <c r="F1399" i="10"/>
  <c r="G1399" i="10"/>
  <c r="J1399" i="10" s="1"/>
  <c r="H1399" i="10"/>
  <c r="D1400" i="10"/>
  <c r="E1400" i="10"/>
  <c r="F1400" i="10"/>
  <c r="G1400" i="10"/>
  <c r="H1400" i="10"/>
  <c r="D1401" i="10"/>
  <c r="E1401" i="10"/>
  <c r="J1401" i="10" s="1"/>
  <c r="F1401" i="10"/>
  <c r="G1401" i="10"/>
  <c r="H1401" i="10"/>
  <c r="D1402" i="10"/>
  <c r="E1402" i="10"/>
  <c r="F1402" i="10"/>
  <c r="G1402" i="10"/>
  <c r="H1402" i="10"/>
  <c r="J1402" i="10" s="1"/>
  <c r="D1403" i="10"/>
  <c r="E1403" i="10"/>
  <c r="F1403" i="10"/>
  <c r="G1403" i="10"/>
  <c r="H1403" i="10"/>
  <c r="D1404" i="10"/>
  <c r="E1404" i="10"/>
  <c r="F1404" i="10"/>
  <c r="G1404" i="10"/>
  <c r="H1404" i="10"/>
  <c r="D1405" i="10"/>
  <c r="E1405" i="10"/>
  <c r="F1405" i="10"/>
  <c r="G1405" i="10"/>
  <c r="H1405" i="10"/>
  <c r="D1406" i="10"/>
  <c r="J1406" i="10" s="1"/>
  <c r="E1406" i="10"/>
  <c r="F1406" i="10"/>
  <c r="G1406" i="10"/>
  <c r="H1406" i="10"/>
  <c r="D1407" i="10"/>
  <c r="E1407" i="10"/>
  <c r="F1407" i="10"/>
  <c r="G1407" i="10"/>
  <c r="J1407" i="10" s="1"/>
  <c r="H1407" i="10"/>
  <c r="D1408" i="10"/>
  <c r="E1408" i="10"/>
  <c r="F1408" i="10"/>
  <c r="G1408" i="10"/>
  <c r="H1408" i="10"/>
  <c r="D1409" i="10"/>
  <c r="E1409" i="10"/>
  <c r="J1409" i="10" s="1"/>
  <c r="F1409" i="10"/>
  <c r="G1409" i="10"/>
  <c r="H1409" i="10"/>
  <c r="D1410" i="10"/>
  <c r="E1410" i="10"/>
  <c r="F1410" i="10"/>
  <c r="G1410" i="10"/>
  <c r="H1410" i="10"/>
  <c r="J1410" i="10" s="1"/>
  <c r="D1411" i="10"/>
  <c r="E1411" i="10"/>
  <c r="F1411" i="10"/>
  <c r="G1411" i="10"/>
  <c r="H1411" i="10"/>
  <c r="D1412" i="10"/>
  <c r="E1412" i="10"/>
  <c r="F1412" i="10"/>
  <c r="G1412" i="10"/>
  <c r="H1412" i="10"/>
  <c r="D1413" i="10"/>
  <c r="E1413" i="10"/>
  <c r="F1413" i="10"/>
  <c r="G1413" i="10"/>
  <c r="H1413" i="10"/>
  <c r="D1414" i="10"/>
  <c r="J1414" i="10" s="1"/>
  <c r="E1414" i="10"/>
  <c r="F1414" i="10"/>
  <c r="G1414" i="10"/>
  <c r="H1414" i="10"/>
  <c r="D1415" i="10"/>
  <c r="E1415" i="10"/>
  <c r="F1415" i="10"/>
  <c r="G1415" i="10"/>
  <c r="J1415" i="10" s="1"/>
  <c r="H1415" i="10"/>
  <c r="D1416" i="10"/>
  <c r="E1416" i="10"/>
  <c r="F1416" i="10"/>
  <c r="G1416" i="10"/>
  <c r="H1416" i="10"/>
  <c r="D1417" i="10"/>
  <c r="E1417" i="10"/>
  <c r="J1417" i="10" s="1"/>
  <c r="F1417" i="10"/>
  <c r="G1417" i="10"/>
  <c r="H1417" i="10"/>
  <c r="D1418" i="10"/>
  <c r="E1418" i="10"/>
  <c r="F1418" i="10"/>
  <c r="G1418" i="10"/>
  <c r="H1418" i="10"/>
  <c r="J1418" i="10" s="1"/>
  <c r="D1419" i="10"/>
  <c r="E1419" i="10"/>
  <c r="F1419" i="10"/>
  <c r="G1419" i="10"/>
  <c r="H1419" i="10"/>
  <c r="D1420" i="10"/>
  <c r="E1420" i="10"/>
  <c r="F1420" i="10"/>
  <c r="G1420" i="10"/>
  <c r="H1420" i="10"/>
  <c r="D1421" i="10"/>
  <c r="E1421" i="10"/>
  <c r="F1421" i="10"/>
  <c r="G1421" i="10"/>
  <c r="H1421" i="10"/>
  <c r="D1422" i="10"/>
  <c r="J1422" i="10" s="1"/>
  <c r="E1422" i="10"/>
  <c r="F1422" i="10"/>
  <c r="G1422" i="10"/>
  <c r="H1422" i="10"/>
  <c r="D1423" i="10"/>
  <c r="E1423" i="10"/>
  <c r="F1423" i="10"/>
  <c r="G1423" i="10"/>
  <c r="J1423" i="10" s="1"/>
  <c r="H1423" i="10"/>
  <c r="D1424" i="10"/>
  <c r="E1424" i="10"/>
  <c r="F1424" i="10"/>
  <c r="G1424" i="10"/>
  <c r="H1424" i="10"/>
  <c r="D1425" i="10"/>
  <c r="E1425" i="10"/>
  <c r="J1425" i="10" s="1"/>
  <c r="F1425" i="10"/>
  <c r="G1425" i="10"/>
  <c r="H1425" i="10"/>
  <c r="D1426" i="10"/>
  <c r="E1426" i="10"/>
  <c r="F1426" i="10"/>
  <c r="G1426" i="10"/>
  <c r="H1426" i="10"/>
  <c r="J1426" i="10" s="1"/>
  <c r="D1427" i="10"/>
  <c r="E1427" i="10"/>
  <c r="F1427" i="10"/>
  <c r="G1427" i="10"/>
  <c r="H1427" i="10"/>
  <c r="D1428" i="10"/>
  <c r="E1428" i="10"/>
  <c r="F1428" i="10"/>
  <c r="G1428" i="10"/>
  <c r="H1428" i="10"/>
  <c r="D1429" i="10"/>
  <c r="E1429" i="10"/>
  <c r="F1429" i="10"/>
  <c r="G1429" i="10"/>
  <c r="H1429" i="10"/>
  <c r="D1430" i="10"/>
  <c r="J1430" i="10" s="1"/>
  <c r="E1430" i="10"/>
  <c r="F1430" i="10"/>
  <c r="G1430" i="10"/>
  <c r="H1430" i="10"/>
  <c r="E2" i="10"/>
  <c r="F2" i="10"/>
  <c r="G2" i="10"/>
  <c r="H2" i="10"/>
  <c r="D2" i="10"/>
  <c r="J3" i="10"/>
  <c r="J5" i="10"/>
  <c r="J8" i="10"/>
  <c r="J11" i="10"/>
  <c r="J13" i="10"/>
  <c r="J16" i="10"/>
  <c r="J19" i="10"/>
  <c r="J21" i="10"/>
  <c r="J24" i="10"/>
  <c r="J27" i="10"/>
  <c r="J29" i="10"/>
  <c r="J32" i="10"/>
  <c r="J35" i="10"/>
  <c r="J37" i="10"/>
  <c r="J40" i="10"/>
  <c r="J43" i="10"/>
  <c r="J45" i="10"/>
  <c r="J48" i="10"/>
  <c r="J51" i="10"/>
  <c r="J53" i="10"/>
  <c r="J56" i="10"/>
  <c r="J59" i="10"/>
  <c r="J61" i="10"/>
  <c r="J64" i="10"/>
  <c r="J67" i="10"/>
  <c r="J69" i="10"/>
  <c r="J72" i="10"/>
  <c r="J75" i="10"/>
  <c r="J77" i="10"/>
  <c r="J80" i="10"/>
  <c r="J83" i="10"/>
  <c r="J85" i="10"/>
  <c r="J88" i="10"/>
  <c r="J91" i="10"/>
  <c r="J93" i="10"/>
  <c r="J96" i="10"/>
  <c r="J99" i="10"/>
  <c r="J101" i="10"/>
  <c r="J104" i="10"/>
  <c r="J107" i="10"/>
  <c r="J109" i="10"/>
  <c r="J112" i="10"/>
  <c r="J115" i="10"/>
  <c r="J117" i="10"/>
  <c r="J120" i="10"/>
  <c r="J123" i="10"/>
  <c r="J125" i="10"/>
  <c r="J128" i="10"/>
  <c r="J131" i="10"/>
  <c r="J133" i="10"/>
  <c r="J136" i="10"/>
  <c r="J139" i="10"/>
  <c r="J141" i="10"/>
  <c r="J144" i="10"/>
  <c r="J147" i="10"/>
  <c r="J149" i="10"/>
  <c r="J152" i="10"/>
  <c r="J155" i="10"/>
  <c r="J157" i="10"/>
  <c r="J160" i="10"/>
  <c r="J163" i="10"/>
  <c r="J165" i="10"/>
  <c r="J168" i="10"/>
  <c r="J171" i="10"/>
  <c r="J173" i="10"/>
  <c r="J176" i="10"/>
  <c r="J179" i="10"/>
  <c r="J181" i="10"/>
  <c r="J184" i="10"/>
  <c r="J187" i="10"/>
  <c r="J189" i="10"/>
  <c r="J192" i="10"/>
  <c r="J195" i="10"/>
  <c r="J197" i="10"/>
  <c r="J200" i="10"/>
  <c r="J203" i="10"/>
  <c r="J205" i="10"/>
  <c r="J208" i="10"/>
  <c r="J211" i="10"/>
  <c r="J213" i="10"/>
  <c r="J216" i="10"/>
  <c r="J219" i="10"/>
  <c r="J221" i="10"/>
  <c r="J224" i="10"/>
  <c r="J227" i="10"/>
  <c r="J229" i="10"/>
  <c r="J232" i="10"/>
  <c r="J235" i="10"/>
  <c r="J237" i="10"/>
  <c r="J240" i="10"/>
  <c r="J243" i="10"/>
  <c r="J245" i="10"/>
  <c r="J248" i="10"/>
  <c r="J251" i="10"/>
  <c r="J253" i="10"/>
  <c r="J256" i="10"/>
  <c r="J259" i="10"/>
  <c r="J261" i="10"/>
  <c r="J264" i="10"/>
  <c r="J267" i="10"/>
  <c r="J269" i="10"/>
  <c r="J272" i="10"/>
  <c r="J275" i="10"/>
  <c r="J277" i="10"/>
  <c r="J280" i="10"/>
  <c r="J283" i="10"/>
  <c r="J285" i="10"/>
  <c r="J288" i="10"/>
  <c r="J291" i="10"/>
  <c r="J293" i="10"/>
  <c r="J296" i="10"/>
  <c r="J299" i="10"/>
  <c r="J301" i="10"/>
  <c r="J304" i="10"/>
  <c r="J307" i="10"/>
  <c r="J309" i="10"/>
  <c r="J312" i="10"/>
  <c r="J315" i="10"/>
  <c r="J317" i="10"/>
  <c r="J320" i="10"/>
  <c r="J323" i="10"/>
  <c r="J325" i="10"/>
  <c r="J328" i="10"/>
  <c r="J331" i="10"/>
  <c r="J333" i="10"/>
  <c r="J336" i="10"/>
  <c r="J339" i="10"/>
  <c r="J341" i="10"/>
  <c r="J344" i="10"/>
  <c r="J347" i="10"/>
  <c r="J349" i="10"/>
  <c r="J352" i="10"/>
  <c r="J355" i="10"/>
  <c r="J357" i="10"/>
  <c r="J360" i="10"/>
  <c r="J363" i="10"/>
  <c r="J365" i="10"/>
  <c r="J368" i="10"/>
  <c r="J371" i="10"/>
  <c r="J373" i="10"/>
  <c r="J376" i="10"/>
  <c r="J379" i="10"/>
  <c r="J381" i="10"/>
  <c r="J384" i="10"/>
  <c r="J387" i="10"/>
  <c r="J389" i="10"/>
  <c r="J392" i="10"/>
  <c r="J395" i="10"/>
  <c r="J397" i="10"/>
  <c r="J400" i="10"/>
  <c r="J403" i="10"/>
  <c r="J405" i="10"/>
  <c r="J408" i="10"/>
  <c r="J411" i="10"/>
  <c r="J413" i="10"/>
  <c r="J416" i="10"/>
  <c r="J419" i="10"/>
  <c r="J421" i="10"/>
  <c r="J424" i="10"/>
  <c r="J427" i="10"/>
  <c r="J429" i="10"/>
  <c r="J432" i="10"/>
  <c r="J435" i="10"/>
  <c r="J437" i="10"/>
  <c r="J440" i="10"/>
  <c r="J443" i="10"/>
  <c r="J445" i="10"/>
  <c r="J448" i="10"/>
  <c r="J451" i="10"/>
  <c r="J453" i="10"/>
  <c r="J456" i="10"/>
  <c r="J459" i="10"/>
  <c r="J461" i="10"/>
  <c r="J464" i="10"/>
  <c r="J467" i="10"/>
  <c r="J469" i="10"/>
  <c r="J472" i="10"/>
  <c r="J474" i="10"/>
  <c r="J475" i="10"/>
  <c r="J477" i="10"/>
  <c r="J480" i="10"/>
  <c r="J483" i="10"/>
  <c r="J485" i="10"/>
  <c r="J488" i="10"/>
  <c r="J491" i="10"/>
  <c r="J492" i="10"/>
  <c r="J493" i="10"/>
  <c r="J496" i="10"/>
  <c r="J499" i="10"/>
  <c r="J501" i="10"/>
  <c r="J504" i="10"/>
  <c r="J507" i="10"/>
  <c r="J509" i="10"/>
  <c r="J512" i="10"/>
  <c r="J515" i="10"/>
  <c r="J517" i="10"/>
  <c r="J520" i="10"/>
  <c r="J523" i="10"/>
  <c r="J525" i="10"/>
  <c r="J528" i="10"/>
  <c r="J529" i="10"/>
  <c r="J531" i="10"/>
  <c r="J533" i="10"/>
  <c r="J536" i="10"/>
  <c r="J539" i="10"/>
  <c r="J541" i="10"/>
  <c r="J544" i="10"/>
  <c r="J547" i="10"/>
  <c r="J549" i="10"/>
  <c r="J552" i="10"/>
  <c r="J555" i="10"/>
  <c r="J557" i="10"/>
  <c r="J560" i="10"/>
  <c r="J563" i="10"/>
  <c r="J565" i="10"/>
  <c r="J568" i="10"/>
  <c r="J571" i="10"/>
  <c r="J573" i="10"/>
  <c r="J576" i="10"/>
  <c r="J579" i="10"/>
  <c r="J581" i="10"/>
  <c r="J584" i="10"/>
  <c r="J587" i="10"/>
  <c r="J589" i="10"/>
  <c r="J592" i="10"/>
  <c r="J595" i="10"/>
  <c r="J597" i="10"/>
  <c r="J600" i="10"/>
  <c r="J602" i="10"/>
  <c r="J603" i="10"/>
  <c r="J605" i="10"/>
  <c r="J608" i="10"/>
  <c r="J611" i="10"/>
  <c r="J613" i="10"/>
  <c r="J616" i="10"/>
  <c r="J619" i="10"/>
  <c r="J620" i="10"/>
  <c r="J621" i="10"/>
  <c r="J624" i="10"/>
  <c r="J627" i="10"/>
  <c r="J629" i="10"/>
  <c r="J632" i="10"/>
  <c r="J635" i="10"/>
  <c r="J637" i="10"/>
  <c r="J639" i="10"/>
  <c r="J640" i="10"/>
  <c r="J643" i="10"/>
  <c r="J645" i="10"/>
  <c r="J648" i="10"/>
  <c r="J651" i="10"/>
  <c r="J653" i="10"/>
  <c r="J656" i="10"/>
  <c r="J657" i="10"/>
  <c r="J659" i="10"/>
  <c r="J661" i="10"/>
  <c r="J664" i="10"/>
  <c r="J667" i="10"/>
  <c r="J669" i="10"/>
  <c r="J672" i="10"/>
  <c r="J675" i="10"/>
  <c r="J677" i="10"/>
  <c r="J680" i="10"/>
  <c r="J683" i="10"/>
  <c r="J685" i="10"/>
  <c r="J688" i="10"/>
  <c r="J691" i="10"/>
  <c r="J692" i="10"/>
  <c r="J693" i="10"/>
  <c r="J696" i="10"/>
  <c r="J699" i="10"/>
  <c r="J701" i="10"/>
  <c r="J704" i="10"/>
  <c r="J707" i="10"/>
  <c r="J708" i="10"/>
  <c r="J709" i="10"/>
  <c r="J712" i="10"/>
  <c r="J715" i="10"/>
  <c r="J717" i="10"/>
  <c r="J720" i="10"/>
  <c r="J723" i="10"/>
  <c r="J724" i="10"/>
  <c r="J725" i="10"/>
  <c r="J728" i="10"/>
  <c r="J731" i="10"/>
  <c r="J733" i="10"/>
  <c r="J736" i="10"/>
  <c r="J739" i="10"/>
  <c r="J740" i="10"/>
  <c r="J741" i="10"/>
  <c r="J744" i="10"/>
  <c r="J747" i="10"/>
  <c r="J749" i="10"/>
  <c r="J752" i="10"/>
  <c r="J755" i="10"/>
  <c r="J756" i="10"/>
  <c r="J757" i="10"/>
  <c r="J760" i="10"/>
  <c r="J763" i="10"/>
  <c r="J765" i="10"/>
  <c r="J768" i="10"/>
  <c r="J771" i="10"/>
  <c r="J772" i="10"/>
  <c r="J773" i="10"/>
  <c r="J776" i="10"/>
  <c r="J779" i="10"/>
  <c r="J781" i="10"/>
  <c r="J784" i="10"/>
  <c r="J787" i="10"/>
  <c r="J788" i="10"/>
  <c r="J789" i="10"/>
  <c r="J792" i="10"/>
  <c r="J795" i="10"/>
  <c r="J797" i="10"/>
  <c r="J800" i="10"/>
  <c r="J803" i="10"/>
  <c r="J804" i="10"/>
  <c r="J805" i="10"/>
  <c r="J808" i="10"/>
  <c r="J811" i="10"/>
  <c r="J813" i="10"/>
  <c r="J816" i="10"/>
  <c r="J819" i="10"/>
  <c r="J820" i="10"/>
  <c r="J821" i="10"/>
  <c r="J824" i="10"/>
  <c r="J827" i="10"/>
  <c r="J829" i="10"/>
  <c r="J832" i="10"/>
  <c r="J835" i="10"/>
  <c r="J836" i="10"/>
  <c r="J837" i="10"/>
  <c r="J840" i="10"/>
  <c r="J843" i="10"/>
  <c r="J845" i="10"/>
  <c r="J848" i="10"/>
  <c r="J851" i="10"/>
  <c r="J852" i="10"/>
  <c r="J853" i="10"/>
  <c r="J856" i="10"/>
  <c r="J859" i="10"/>
  <c r="J861" i="10"/>
  <c r="J864" i="10"/>
  <c r="J867" i="10"/>
  <c r="J868" i="10"/>
  <c r="J869" i="10"/>
  <c r="J872" i="10"/>
  <c r="J875" i="10"/>
  <c r="J877" i="10"/>
  <c r="J880" i="10"/>
  <c r="J883" i="10"/>
  <c r="J884" i="10"/>
  <c r="J885" i="10"/>
  <c r="J888" i="10"/>
  <c r="J891" i="10"/>
  <c r="J893" i="10"/>
  <c r="J896" i="10"/>
  <c r="J899" i="10"/>
  <c r="J900" i="10"/>
  <c r="J901" i="10"/>
  <c r="J904" i="10"/>
  <c r="J907" i="10"/>
  <c r="J909" i="10"/>
  <c r="J912" i="10"/>
  <c r="J915" i="10"/>
  <c r="J916" i="10"/>
  <c r="J917" i="10"/>
  <c r="J920" i="10"/>
  <c r="J923" i="10"/>
  <c r="J925" i="10"/>
  <c r="J928" i="10"/>
  <c r="J931" i="10"/>
  <c r="J932" i="10"/>
  <c r="J933" i="10"/>
  <c r="J936" i="10"/>
  <c r="J939" i="10"/>
  <c r="J941" i="10"/>
  <c r="J944" i="10"/>
  <c r="J947" i="10"/>
  <c r="J948" i="10"/>
  <c r="J949" i="10"/>
  <c r="J952" i="10"/>
  <c r="J955" i="10"/>
  <c r="J957" i="10"/>
  <c r="J960" i="10"/>
  <c r="J963" i="10"/>
  <c r="J965" i="10"/>
  <c r="J968" i="10"/>
  <c r="J971" i="10"/>
  <c r="J973" i="10"/>
  <c r="J976" i="10"/>
  <c r="J979" i="10"/>
  <c r="J981" i="10"/>
  <c r="J984" i="10"/>
  <c r="J987" i="10"/>
  <c r="J989" i="10"/>
  <c r="J992" i="10"/>
  <c r="J995" i="10"/>
  <c r="J997" i="10"/>
  <c r="J1000" i="10"/>
  <c r="J1003" i="10"/>
  <c r="J1005" i="10"/>
  <c r="J1008" i="10"/>
  <c r="J1011" i="10"/>
  <c r="J1013" i="10"/>
  <c r="J1016" i="10"/>
  <c r="J1019" i="10"/>
  <c r="J1021" i="10"/>
  <c r="J1024" i="10"/>
  <c r="J1027" i="10"/>
  <c r="J1029" i="10"/>
  <c r="J1032" i="10"/>
  <c r="J1035" i="10"/>
  <c r="J1037" i="10"/>
  <c r="J1040" i="10"/>
  <c r="J1043" i="10"/>
  <c r="J1045" i="10"/>
  <c r="J1048" i="10"/>
  <c r="J1051" i="10"/>
  <c r="J1053" i="10"/>
  <c r="J1056" i="10"/>
  <c r="J1059" i="10"/>
  <c r="J1061" i="10"/>
  <c r="J1064" i="10"/>
  <c r="J1067" i="10"/>
  <c r="J1069" i="10"/>
  <c r="J1072" i="10"/>
  <c r="J1075" i="10"/>
  <c r="J1077" i="10"/>
  <c r="J1080" i="10"/>
  <c r="J1083" i="10"/>
  <c r="J1085" i="10"/>
  <c r="J1088" i="10"/>
  <c r="J1091" i="10"/>
  <c r="J1093" i="10"/>
  <c r="J1096" i="10"/>
  <c r="J1099" i="10"/>
  <c r="J1101" i="10"/>
  <c r="J1104" i="10"/>
  <c r="J1107" i="10"/>
  <c r="J1109" i="10"/>
  <c r="J1112" i="10"/>
  <c r="J1115" i="10"/>
  <c r="J1117" i="10"/>
  <c r="J1119" i="10"/>
  <c r="J1120" i="10"/>
  <c r="J1123" i="10"/>
  <c r="J1125" i="10"/>
  <c r="J1128" i="10"/>
  <c r="J1131" i="10"/>
  <c r="J1133" i="10"/>
  <c r="J1136" i="10"/>
  <c r="J1137" i="10"/>
  <c r="J1139" i="10"/>
  <c r="J1141" i="10"/>
  <c r="J1144" i="10"/>
  <c r="J1146" i="10"/>
  <c r="J1147" i="10"/>
  <c r="J1149" i="10"/>
  <c r="J1152" i="10"/>
  <c r="J1155" i="10"/>
  <c r="J1157" i="10"/>
  <c r="J1160" i="10"/>
  <c r="J1163" i="10"/>
  <c r="J1164" i="10"/>
  <c r="J1165" i="10"/>
  <c r="J1168" i="10"/>
  <c r="J1171" i="10"/>
  <c r="J1173" i="10"/>
  <c r="J1176" i="10"/>
  <c r="J1179" i="10"/>
  <c r="J1181" i="10"/>
  <c r="J1184" i="10"/>
  <c r="J1187" i="10"/>
  <c r="J1189" i="10"/>
  <c r="J1192" i="10"/>
  <c r="J1195" i="10"/>
  <c r="J1197" i="10"/>
  <c r="J1200" i="10"/>
  <c r="J1201" i="10"/>
  <c r="J1203" i="10"/>
  <c r="J1205" i="10"/>
  <c r="J1208" i="10"/>
  <c r="J1210" i="10"/>
  <c r="J1211" i="10"/>
  <c r="J1213" i="10"/>
  <c r="J1216" i="10"/>
  <c r="J1219" i="10"/>
  <c r="J1221" i="10"/>
  <c r="J1224" i="10"/>
  <c r="J1227" i="10"/>
  <c r="J1228" i="10"/>
  <c r="J1229" i="10"/>
  <c r="J1232" i="10"/>
  <c r="J1235" i="10"/>
  <c r="J1236" i="10"/>
  <c r="J1237" i="10"/>
  <c r="J1240" i="10"/>
  <c r="J1243" i="10"/>
  <c r="J1244" i="10"/>
  <c r="J1245" i="10"/>
  <c r="J1248" i="10"/>
  <c r="J1251" i="10"/>
  <c r="J1252" i="10"/>
  <c r="J1253" i="10"/>
  <c r="J1256" i="10"/>
  <c r="J1259" i="10"/>
  <c r="J1260" i="10"/>
  <c r="J1261" i="10"/>
  <c r="J1264" i="10"/>
  <c r="J1267" i="10"/>
  <c r="J1268" i="10"/>
  <c r="J1269" i="10"/>
  <c r="J1272" i="10"/>
  <c r="J1275" i="10"/>
  <c r="J1276" i="10"/>
  <c r="J1277" i="10"/>
  <c r="J1280" i="10"/>
  <c r="J1283" i="10"/>
  <c r="J1284" i="10"/>
  <c r="J1285" i="10"/>
  <c r="J1288" i="10"/>
  <c r="J1291" i="10"/>
  <c r="J1292" i="10"/>
  <c r="J1293" i="10"/>
  <c r="J1296" i="10"/>
  <c r="J1299" i="10"/>
  <c r="J1300" i="10"/>
  <c r="J1301" i="10"/>
  <c r="J1304" i="10"/>
  <c r="J1307" i="10"/>
  <c r="J1308" i="10"/>
  <c r="J1309" i="10"/>
  <c r="J1312" i="10"/>
  <c r="J1315" i="10"/>
  <c r="J1316" i="10"/>
  <c r="J1317" i="10"/>
  <c r="J1320" i="10"/>
  <c r="J1323" i="10"/>
  <c r="J1324" i="10"/>
  <c r="J1325" i="10"/>
  <c r="J1328" i="10"/>
  <c r="J1331" i="10"/>
  <c r="J1332" i="10"/>
  <c r="J1333" i="10"/>
  <c r="J1336" i="10"/>
  <c r="J1339" i="10"/>
  <c r="J1340" i="10"/>
  <c r="J1341" i="10"/>
  <c r="J1344" i="10"/>
  <c r="J1347" i="10"/>
  <c r="J1348" i="10"/>
  <c r="J1349" i="10"/>
  <c r="J1352" i="10"/>
  <c r="J1355" i="10"/>
  <c r="J1356" i="10"/>
  <c r="J1357" i="10"/>
  <c r="J1360" i="10"/>
  <c r="J1363" i="10"/>
  <c r="J1364" i="10"/>
  <c r="J1365" i="10"/>
  <c r="J1368" i="10"/>
  <c r="J1371" i="10"/>
  <c r="J1372" i="10"/>
  <c r="J1373" i="10"/>
  <c r="J1376" i="10"/>
  <c r="J1379" i="10"/>
  <c r="J1380" i="10"/>
  <c r="J1381" i="10"/>
  <c r="J1384" i="10"/>
  <c r="J1387" i="10"/>
  <c r="J1388" i="10"/>
  <c r="J1389" i="10"/>
  <c r="J1392" i="10"/>
  <c r="J1395" i="10"/>
  <c r="J1396" i="10"/>
  <c r="J1397" i="10"/>
  <c r="J1400" i="10"/>
  <c r="J1403" i="10"/>
  <c r="J1404" i="10"/>
  <c r="J1405" i="10"/>
  <c r="J1408" i="10"/>
  <c r="J1411" i="10"/>
  <c r="J1412" i="10"/>
  <c r="J1413" i="10"/>
  <c r="J1416" i="10"/>
  <c r="J1419" i="10"/>
  <c r="J1420" i="10"/>
  <c r="J1421" i="10"/>
  <c r="J1424" i="10"/>
  <c r="J1427" i="10"/>
  <c r="J1428" i="10"/>
  <c r="J1429" i="10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2" i="8"/>
  <c r="E5" i="7"/>
  <c r="E4" i="7"/>
  <c r="E3" i="7"/>
  <c r="E2" i="7"/>
  <c r="E6" i="6"/>
  <c r="E5" i="6"/>
  <c r="E4" i="6"/>
  <c r="E3" i="6"/>
  <c r="E2" i="6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E11" i="4"/>
  <c r="E10" i="4"/>
  <c r="E9" i="4"/>
  <c r="E8" i="4"/>
  <c r="E7" i="4"/>
  <c r="E6" i="4"/>
  <c r="E5" i="4"/>
  <c r="E4" i="4"/>
  <c r="E3" i="4"/>
  <c r="E2" i="4"/>
  <c r="D5" i="3"/>
  <c r="D4" i="3"/>
  <c r="D3" i="3"/>
  <c r="D2" i="3"/>
  <c r="J502" i="10" l="1"/>
  <c r="J2" i="10"/>
</calcChain>
</file>

<file path=xl/sharedStrings.xml><?xml version="1.0" encoding="utf-8"?>
<sst xmlns="http://schemas.openxmlformats.org/spreadsheetml/2006/main" count="6555" uniqueCount="543">
  <si>
    <t>Boletim</t>
  </si>
  <si>
    <t>Data</t>
  </si>
  <si>
    <t>Grupo</t>
  </si>
  <si>
    <t>Produto</t>
  </si>
  <si>
    <t>Unidade</t>
  </si>
  <si>
    <t>Comum</t>
  </si>
  <si>
    <t>Mínimo</t>
  </si>
  <si>
    <t>Máximo</t>
  </si>
  <si>
    <t>Média</t>
  </si>
  <si>
    <t>Mediana</t>
  </si>
  <si>
    <t>37/2023</t>
  </si>
  <si>
    <t>GRUPO A - Verduras (Folhosas, Flores e Hastes)</t>
  </si>
  <si>
    <t>Acelga</t>
  </si>
  <si>
    <t>12 unidades</t>
  </si>
  <si>
    <t>Agrião</t>
  </si>
  <si>
    <t>Alface Americana</t>
  </si>
  <si>
    <t>Alface crespa</t>
  </si>
  <si>
    <t>Alface lisa</t>
  </si>
  <si>
    <t>Almeirão</t>
  </si>
  <si>
    <t>Brócolos ninja/japonês</t>
  </si>
  <si>
    <t>Brócolos ramoso</t>
  </si>
  <si>
    <t>Couve-Manteiga</t>
  </si>
  <si>
    <t>Couve</t>
  </si>
  <si>
    <t>Escarola</t>
  </si>
  <si>
    <t>Espinafre</t>
  </si>
  <si>
    <t>Rabanete</t>
  </si>
  <si>
    <t>12 maços</t>
  </si>
  <si>
    <t>Repolho roxo</t>
  </si>
  <si>
    <t>Repolho Verde</t>
  </si>
  <si>
    <t>Rúcula</t>
  </si>
  <si>
    <t>GRUPO B - Hortaliças Condimentares (Temperos)</t>
  </si>
  <si>
    <t>Cebolinha</t>
  </si>
  <si>
    <t>Maço 0,5 kg</t>
  </si>
  <si>
    <t>Coentro</t>
  </si>
  <si>
    <t>Maço 2 kg</t>
  </si>
  <si>
    <t>Salsinha</t>
  </si>
  <si>
    <t>GRUPO C - Hortaliças Legumes (Leguminosas (Vagens), Frutos, Raízes Tuberosas, Tubérculos e Bulbos)</t>
  </si>
  <si>
    <t>Abobrinha Italiana</t>
  </si>
  <si>
    <t>17 kg</t>
  </si>
  <si>
    <t>Batata-doce</t>
  </si>
  <si>
    <t>18 kg</t>
  </si>
  <si>
    <t>Berinjela comum</t>
  </si>
  <si>
    <t>10 kg</t>
  </si>
  <si>
    <t>Berinjela japonesa</t>
  </si>
  <si>
    <t>Beterraba</t>
  </si>
  <si>
    <t>20 kg</t>
  </si>
  <si>
    <t>Cenoura</t>
  </si>
  <si>
    <t>Chuchu</t>
  </si>
  <si>
    <t>Jiló</t>
  </si>
  <si>
    <t>Mandioca</t>
  </si>
  <si>
    <t>Pepino comum</t>
  </si>
  <si>
    <t>Pepino japonês</t>
  </si>
  <si>
    <t>Pimentão verde</t>
  </si>
  <si>
    <t>Quiabo</t>
  </si>
  <si>
    <t>12 kg</t>
  </si>
  <si>
    <t>Tomate Débora</t>
  </si>
  <si>
    <t>Vagem macarrão</t>
  </si>
  <si>
    <t>GRUPO D - Frutas</t>
  </si>
  <si>
    <t>Caqui Fuyu</t>
  </si>
  <si>
    <t>Caqui Guimbo</t>
  </si>
  <si>
    <t>Caqui Rama Forte</t>
  </si>
  <si>
    <t>Goiaba</t>
  </si>
  <si>
    <t>Mexerica Polkan</t>
  </si>
  <si>
    <t>22 kg</t>
  </si>
  <si>
    <t>38/2023</t>
  </si>
  <si>
    <t>Couve-flor</t>
  </si>
  <si>
    <t>Batata</t>
  </si>
  <si>
    <t>39/2023</t>
  </si>
  <si>
    <t>40/2023</t>
  </si>
  <si>
    <t>41/2023</t>
  </si>
  <si>
    <t>42/2023</t>
  </si>
  <si>
    <t>43/2023</t>
  </si>
  <si>
    <t>44/2024</t>
  </si>
  <si>
    <t>Aboborá Cabotiá</t>
  </si>
  <si>
    <t>30 kg</t>
  </si>
  <si>
    <t>45/2024</t>
  </si>
  <si>
    <t>46/2024</t>
  </si>
  <si>
    <t>47/2024</t>
  </si>
  <si>
    <t>48/2024</t>
  </si>
  <si>
    <t>49/2024</t>
  </si>
  <si>
    <t>50/2024</t>
  </si>
  <si>
    <t>51/2024</t>
  </si>
  <si>
    <t>52/2024</t>
  </si>
  <si>
    <t>53/2024</t>
  </si>
  <si>
    <t>54/2024</t>
  </si>
  <si>
    <t>55/2024</t>
  </si>
  <si>
    <t>56/2024</t>
  </si>
  <si>
    <t>57/2024</t>
  </si>
  <si>
    <t>58/2024</t>
  </si>
  <si>
    <t>59/2024</t>
  </si>
  <si>
    <t>60/2024</t>
  </si>
  <si>
    <t>62/2024</t>
  </si>
  <si>
    <t>63/2024</t>
  </si>
  <si>
    <t>64/2024</t>
  </si>
  <si>
    <t>65/2024</t>
  </si>
  <si>
    <t>66/2024</t>
  </si>
  <si>
    <t>67/2024</t>
  </si>
  <si>
    <t>68/2024</t>
  </si>
  <si>
    <t>69/2024</t>
  </si>
  <si>
    <t>70/2024</t>
  </si>
  <si>
    <t>71/2024</t>
  </si>
  <si>
    <t>72/2024</t>
  </si>
  <si>
    <t>73/2024</t>
  </si>
  <si>
    <t>blt_numero</t>
  </si>
  <si>
    <t>blt_ano</t>
  </si>
  <si>
    <t>blt_data</t>
  </si>
  <si>
    <t>grp_nome</t>
  </si>
  <si>
    <t>cat_nome</t>
  </si>
  <si>
    <t>prd_nome</t>
  </si>
  <si>
    <t>pap</t>
  </si>
  <si>
    <t>pap_qtd</t>
  </si>
  <si>
    <t>umd_nome</t>
  </si>
  <si>
    <t>cot_prc_comum</t>
  </si>
  <si>
    <t>cot_prc_min</t>
  </si>
  <si>
    <t>cot_prc_max</t>
  </si>
  <si>
    <t>cot_prc_med</t>
  </si>
  <si>
    <t>cot_prc_mediano</t>
  </si>
  <si>
    <t>grp_id</t>
  </si>
  <si>
    <t>grp_desc</t>
  </si>
  <si>
    <t>A</t>
  </si>
  <si>
    <t>Verduras (folhosas, flores e hastes)</t>
  </si>
  <si>
    <t>INSERT INTO GRUPO_ALIMENTAR (grp_id, grp_nome, grp_desc) VALUES (1, 'A', 'Verduras (folhosas, flores e hastes)');</t>
  </si>
  <si>
    <t>B</t>
  </si>
  <si>
    <t>Hortaliças condimentares (temperos)</t>
  </si>
  <si>
    <t>INSERT INTO GRUPO_ALIMENTAR (grp_id, grp_nome, grp_desc) VALUES (2, 'B', 'Hortaliças condimentares (temperos)');</t>
  </si>
  <si>
    <t>C</t>
  </si>
  <si>
    <t>Hortaliças legumes (leguminosas (vagens), frutos, raízes tuberosas, tuberculos, bulbos)</t>
  </si>
  <si>
    <t>INSERT INTO GRUPO_ALIMENTAR (grp_id, grp_nome, grp_desc) VALUES (3, 'C', 'Hortaliças legumes (leguminosas (vagens), frutos, raízes tuberosas, tuberculos, bulbos)');</t>
  </si>
  <si>
    <t>D</t>
  </si>
  <si>
    <t>Frutas</t>
  </si>
  <si>
    <t>INSERT INTO GRUPO_ALIMENTAR (grp_id, grp_nome, grp_desc) VALUES (4, 'D', 'Frutas');</t>
  </si>
  <si>
    <t>cat_id</t>
  </si>
  <si>
    <t>Folhosas</t>
  </si>
  <si>
    <t>INSERT INTO CATEGORIA (grp_id, cat_nome) VALUES (1, 'Folhosas');</t>
  </si>
  <si>
    <t>Flores</t>
  </si>
  <si>
    <t>INSERT INTO CATEGORIA (grp_id, cat_nome) VALUES (1, 'Flores');</t>
  </si>
  <si>
    <t>Hastes</t>
  </si>
  <si>
    <t>INSERT INTO CATEGORIA (grp_id, cat_nome) VALUES (1, 'Hastes');</t>
  </si>
  <si>
    <t>Temperos</t>
  </si>
  <si>
    <t>INSERT INTO CATEGORIA (grp_id, cat_nome) VALUES (2, 'Temperos');</t>
  </si>
  <si>
    <t>Leguminosas (vagens)</t>
  </si>
  <si>
    <t>INSERT INTO CATEGORIA (grp_id, cat_nome) VALUES (3, 'Leguminosas (vagens)');</t>
  </si>
  <si>
    <t>Frutos</t>
  </si>
  <si>
    <t>INSERT INTO CATEGORIA (grp_id, cat_nome) VALUES (3, 'Frutos');</t>
  </si>
  <si>
    <t>Raízes Tuberosas</t>
  </si>
  <si>
    <t>INSERT INTO CATEGORIA (grp_id, cat_nome) VALUES (3, 'Raízes Tuberosas');</t>
  </si>
  <si>
    <t>Tubérculos</t>
  </si>
  <si>
    <t>INSERT INTO CATEGORIA (grp_id, cat_nome) VALUES (3, 'Tubérculos');</t>
  </si>
  <si>
    <t>Bulbos</t>
  </si>
  <si>
    <t>INSERT INTO CATEGORIA (grp_id, cat_nome) VALUES (3, 'Bulbos');</t>
  </si>
  <si>
    <t>INSERT INTO CATEGORIA (grp_id, cat_nome) VALUES (4, 'Frutas');</t>
  </si>
  <si>
    <t>prd_id</t>
  </si>
  <si>
    <t>prd_var</t>
  </si>
  <si>
    <t>prd_atv</t>
  </si>
  <si>
    <t>INSERT INTO PRODUTO (cat_id, prd_nome, prd_var, prd_atv) VALUES (1, 'Acelga', '', 1);</t>
  </si>
  <si>
    <t>INSERT INTO PRODUTO (cat_id, prd_nome, prd_var, prd_atv) VALUES (1, 'Agrião', '', 1);</t>
  </si>
  <si>
    <t>Alface</t>
  </si>
  <si>
    <t>Americana</t>
  </si>
  <si>
    <t>INSERT INTO PRODUTO (cat_id, prd_nome, prd_var, prd_atv) VALUES (1, 'Alface', 'Americana', 1);</t>
  </si>
  <si>
    <t>Crespa</t>
  </si>
  <si>
    <t>INSERT INTO PRODUTO (cat_id, prd_nome, prd_var, prd_atv) VALUES (1, 'Alface', 'Crespa', 1);</t>
  </si>
  <si>
    <t>Lisa</t>
  </si>
  <si>
    <t>INSERT INTO PRODUTO (cat_id, prd_nome, prd_var, prd_atv) VALUES (1, 'Alface', 'Lisa', 1);</t>
  </si>
  <si>
    <t>INSERT INTO PRODUTO (cat_id, prd_nome, prd_var, prd_atv) VALUES (1, 'Almeirão', '', 1);</t>
  </si>
  <si>
    <t>Brócolis</t>
  </si>
  <si>
    <t>Ninja/Japonês</t>
  </si>
  <si>
    <t>INSERT INTO PRODUTO (cat_id, prd_nome, prd_var, prd_atv) VALUES (2, 'Brócolis', 'Ninja/Japonês', 1);</t>
  </si>
  <si>
    <t>Ramoso</t>
  </si>
  <si>
    <t>INSERT INTO PRODUTO (cat_id, prd_nome, prd_var, prd_atv) VALUES (2, 'Brócolis', 'Ramoso', 1);</t>
  </si>
  <si>
    <t>Manteiga</t>
  </si>
  <si>
    <t>INSERT INTO PRODUTO (cat_id, prd_nome, prd_var, prd_atv) VALUES (1, 'Couve', 'Manteiga', 1);</t>
  </si>
  <si>
    <t>INSERT INTO PRODUTO (cat_id, prd_nome, prd_var, prd_atv) VALUES (2, 'Couve', '', 1);</t>
  </si>
  <si>
    <t>INSERT INTO PRODUTO (cat_id, prd_nome, prd_var, prd_atv) VALUES (1, 'Escarola', '', 1);</t>
  </si>
  <si>
    <t>INSERT INTO PRODUTO (cat_id, prd_nome, prd_var, prd_atv) VALUES (1, 'Espinafre', '', 1);</t>
  </si>
  <si>
    <t>INSERT INTO PRODUTO (cat_id, prd_nome, prd_var, prd_atv) VALUES (7, 'Rabanete', '', 1);</t>
  </si>
  <si>
    <t>Repolho</t>
  </si>
  <si>
    <t>Roxo</t>
  </si>
  <si>
    <t>INSERT INTO PRODUTO (cat_id, prd_nome, prd_var, prd_atv) VALUES (1, 'Repolho', 'Roxo', 1);</t>
  </si>
  <si>
    <t>Verde</t>
  </si>
  <si>
    <t>INSERT INTO PRODUTO (cat_id, prd_nome, prd_var, prd_atv) VALUES (1, 'Repolho', 'Verde', 1);</t>
  </si>
  <si>
    <t>INSERT INTO PRODUTO (cat_id, prd_nome, prd_var, prd_atv) VALUES (1, 'Rúcula', '', 1);</t>
  </si>
  <si>
    <t>INSERT INTO PRODUTO (cat_id, prd_nome, prd_var, prd_atv) VALUES (4, 'Cebolinha', '', 1);</t>
  </si>
  <si>
    <t>INSERT INTO PRODUTO (cat_id, prd_nome, prd_var, prd_atv) VALUES (4, 'Coentro', '', 1);</t>
  </si>
  <si>
    <t>INSERT INTO PRODUTO (cat_id, prd_nome, prd_var, prd_atv) VALUES (4, 'Salsinha', '', 1);</t>
  </si>
  <si>
    <t>Abóbora</t>
  </si>
  <si>
    <t>Cabotiá</t>
  </si>
  <si>
    <t>INSERT INTO PRODUTO (cat_id, prd_nome, prd_var, prd_atv) VALUES (6, 'Abóbora', 'Cabotiá', 1);</t>
  </si>
  <si>
    <t>Abobrinha</t>
  </si>
  <si>
    <t>Italiana</t>
  </si>
  <si>
    <t>INSERT INTO PRODUTO (cat_id, prd_nome, prd_var, prd_atv) VALUES (6, 'Abobrinha', 'Italiana', 1);</t>
  </si>
  <si>
    <t>INSERT INTO PRODUTO (cat_id, prd_nome, prd_var, prd_atv) VALUES (7, 'Batata-doce', '', 1);</t>
  </si>
  <si>
    <t>Berinjela</t>
  </si>
  <si>
    <t>INSERT INTO PRODUTO (cat_id, prd_nome, prd_var, prd_atv) VALUES (6, 'Berinjela', 'Comum', 1);</t>
  </si>
  <si>
    <t>Japonesa</t>
  </si>
  <si>
    <t>INSERT INTO PRODUTO (cat_id, prd_nome, prd_var, prd_atv) VALUES (6, 'Berinjela', 'Japonesa', 1);</t>
  </si>
  <si>
    <t>INSERT INTO PRODUTO (cat_id, prd_nome, prd_var, prd_atv) VALUES (7, 'Beterraba', '', 1);</t>
  </si>
  <si>
    <t>INSERT INTO PRODUTO (cat_id, prd_nome, prd_var, prd_atv) VALUES (7, 'Cenoura', '', 1);</t>
  </si>
  <si>
    <t>INSERT INTO PRODUTO (cat_id, prd_nome, prd_var, prd_atv) VALUES (6, 'Chuchu', '', 1);</t>
  </si>
  <si>
    <t>INSERT INTO PRODUTO (cat_id, prd_nome, prd_var, prd_atv) VALUES (6, 'Jiló', '', 1);</t>
  </si>
  <si>
    <t>INSERT INTO PRODUTO (cat_id, prd_nome, prd_var, prd_atv) VALUES (7, 'Mandioca', '', 1);</t>
  </si>
  <si>
    <t>Pepino</t>
  </si>
  <si>
    <t>INSERT INTO PRODUTO (cat_id, prd_nome, prd_var, prd_atv) VALUES (6, 'Pepino', 'Comum', 1);</t>
  </si>
  <si>
    <t>Japonês</t>
  </si>
  <si>
    <t>INSERT INTO PRODUTO (cat_id, prd_nome, prd_var, prd_atv) VALUES (6, 'Pepino', 'Japonês', 1);</t>
  </si>
  <si>
    <t>Pimentão</t>
  </si>
  <si>
    <t>INSERT INTO PRODUTO (cat_id, prd_nome, prd_var, prd_atv) VALUES (6, 'Pimentão', 'Verde', 1);</t>
  </si>
  <si>
    <t>INSERT INTO PRODUTO (cat_id, prd_nome, prd_var, prd_atv) VALUES (6, 'Quiabo', '', 1);</t>
  </si>
  <si>
    <t>Tomate</t>
  </si>
  <si>
    <t>Débora</t>
  </si>
  <si>
    <t>INSERT INTO PRODUTO (cat_id, prd_nome, prd_var, prd_atv) VALUES (6, 'Tomate', 'Débora', 1);</t>
  </si>
  <si>
    <t>Vagem</t>
  </si>
  <si>
    <t>Macarrão</t>
  </si>
  <si>
    <t>INSERT INTO PRODUTO (cat_id, prd_nome, prd_var, prd_atv) VALUES (5, 'Vagem', 'Macarrão', 1);</t>
  </si>
  <si>
    <t>Caqui</t>
  </si>
  <si>
    <t>Fuyu</t>
  </si>
  <si>
    <t>INSERT INTO PRODUTO (cat_id, prd_nome, prd_var, prd_atv) VALUES (10, 'Caqui', 'Fuyu', 1);</t>
  </si>
  <si>
    <t>Guiombo</t>
  </si>
  <si>
    <t>INSERT INTO PRODUTO (cat_id, prd_nome, prd_var, prd_atv) VALUES (10, 'Caqui', 'Guiombo', 1);</t>
  </si>
  <si>
    <t>Rama Forte</t>
  </si>
  <si>
    <t>INSERT INTO PRODUTO (cat_id, prd_nome, prd_var, prd_atv) VALUES (10, 'Caqui', 'Rama Forte', 1);</t>
  </si>
  <si>
    <t>INSERT INTO PRODUTO (cat_id, prd_nome, prd_var, prd_atv) VALUES (10, 'Goiaba', '', 1);</t>
  </si>
  <si>
    <t>Mexerica</t>
  </si>
  <si>
    <t>Ponkan</t>
  </si>
  <si>
    <t>INSERT INTO PRODUTO (cat_id, prd_nome, prd_var, prd_atv) VALUES (10, 'Mexerica', 'Ponkan', 1);</t>
  </si>
  <si>
    <t>umd_id</t>
  </si>
  <si>
    <t>umd_sigla</t>
  </si>
  <si>
    <t>Quilograma</t>
  </si>
  <si>
    <t>kg</t>
  </si>
  <si>
    <t>INSERT INTO UNIDADE_MEDIDA (umd_nome, umd_sigla) VALUES ('Quilograma', 'kg');</t>
  </si>
  <si>
    <t>Grama</t>
  </si>
  <si>
    <t>g</t>
  </si>
  <si>
    <t>INSERT INTO UNIDADE_MEDIDA (umd_nome, umd_sigla) VALUES ('Grama', 'g');</t>
  </si>
  <si>
    <t>un</t>
  </si>
  <si>
    <t>INSERT INTO UNIDADE_MEDIDA (umd_nome, umd_sigla) VALUES ('Unidade', 'un');</t>
  </si>
  <si>
    <t>Mililitro</t>
  </si>
  <si>
    <t>ml</t>
  </si>
  <si>
    <t>INSERT INTO UNIDADE_MEDIDA (umd_nome, umd_sigla) VALUES ('Mililitro', 'ml');</t>
  </si>
  <si>
    <t>Litro</t>
  </si>
  <si>
    <t>L</t>
  </si>
  <si>
    <t>INSERT INTO UNIDADE_MEDIDA (umd_nome, umd_sigla) VALUES ('Litro', 'L');</t>
  </si>
  <si>
    <t>tap_id</t>
  </si>
  <si>
    <t>tap_nome</t>
  </si>
  <si>
    <t>caixa</t>
  </si>
  <si>
    <t>maço</t>
  </si>
  <si>
    <t>dúzia</t>
  </si>
  <si>
    <t>saco</t>
  </si>
  <si>
    <t>blt_id</t>
  </si>
  <si>
    <t>blt_data_lev</t>
  </si>
  <si>
    <t>blt_data_cad</t>
  </si>
  <si>
    <t>pap_id</t>
  </si>
  <si>
    <t>pap_atv</t>
  </si>
  <si>
    <t>cot_id</t>
  </si>
  <si>
    <t>cot_prc_mediana</t>
  </si>
  <si>
    <t>Couve-Flor</t>
  </si>
  <si>
    <t>3.67</t>
  </si>
  <si>
    <t>22.5</t>
  </si>
  <si>
    <t>57.5</t>
  </si>
  <si>
    <t>44.17</t>
  </si>
  <si>
    <t>42.5</t>
  </si>
  <si>
    <t>52.67</t>
  </si>
  <si>
    <t>56.67</t>
  </si>
  <si>
    <t>68.33</t>
  </si>
  <si>
    <t>21.5</t>
  </si>
  <si>
    <t>3.5</t>
  </si>
  <si>
    <t>4.13</t>
  </si>
  <si>
    <t>95.71</t>
  </si>
  <si>
    <t>52.5</t>
  </si>
  <si>
    <t>71.43</t>
  </si>
  <si>
    <t>62.5</t>
  </si>
  <si>
    <t>39.38</t>
  </si>
  <si>
    <t>102.86</t>
  </si>
  <si>
    <t>64.67</t>
  </si>
  <si>
    <t>67.5</t>
  </si>
  <si>
    <t>28.33</t>
  </si>
  <si>
    <t>37.5</t>
  </si>
  <si>
    <t>4.33</t>
  </si>
  <si>
    <t>20.67</t>
  </si>
  <si>
    <t>55.83</t>
  </si>
  <si>
    <t>45.83</t>
  </si>
  <si>
    <t>47.5</t>
  </si>
  <si>
    <t>53.75</t>
  </si>
  <si>
    <t>73.33</t>
  </si>
  <si>
    <t>68.75</t>
  </si>
  <si>
    <t>84.17</t>
  </si>
  <si>
    <t>30.33</t>
  </si>
  <si>
    <t>4.5</t>
  </si>
  <si>
    <t>43.33</t>
  </si>
  <si>
    <t>47.86</t>
  </si>
  <si>
    <t>38.57</t>
  </si>
  <si>
    <t>58.75</t>
  </si>
  <si>
    <t>66.67</t>
  </si>
  <si>
    <t>70.83</t>
  </si>
  <si>
    <t>39.17</t>
  </si>
  <si>
    <t>107.5</t>
  </si>
  <si>
    <t>34.25</t>
  </si>
  <si>
    <t>32.5</t>
  </si>
  <si>
    <t>31.67</t>
  </si>
  <si>
    <t>4.17</t>
  </si>
  <si>
    <t>23.33</t>
  </si>
  <si>
    <t>50.71</t>
  </si>
  <si>
    <t>49.29</t>
  </si>
  <si>
    <t>37.86</t>
  </si>
  <si>
    <t>103.33</t>
  </si>
  <si>
    <t>49.17</t>
  </si>
  <si>
    <t>36.43</t>
  </si>
  <si>
    <t>78.57</t>
  </si>
  <si>
    <t>21.6</t>
  </si>
  <si>
    <t>24.75</t>
  </si>
  <si>
    <t>20.25</t>
  </si>
  <si>
    <t>69.33</t>
  </si>
  <si>
    <t>20.5</t>
  </si>
  <si>
    <t>36.75</t>
  </si>
  <si>
    <t>4.25</t>
  </si>
  <si>
    <t>21.4</t>
  </si>
  <si>
    <t>56.88</t>
  </si>
  <si>
    <t>46.67</t>
  </si>
  <si>
    <t>65.56</t>
  </si>
  <si>
    <t>59.38</t>
  </si>
  <si>
    <t>68.57</t>
  </si>
  <si>
    <t>61.67</t>
  </si>
  <si>
    <t>72.14</t>
  </si>
  <si>
    <t>73.13</t>
  </si>
  <si>
    <t>77.5</t>
  </si>
  <si>
    <t>4.38</t>
  </si>
  <si>
    <t>26.67</t>
  </si>
  <si>
    <t>48.75</t>
  </si>
  <si>
    <t>51.67</t>
  </si>
  <si>
    <t>38.75</t>
  </si>
  <si>
    <t>117.5</t>
  </si>
  <si>
    <t>61.5</t>
  </si>
  <si>
    <t>51.75</t>
  </si>
  <si>
    <t>38.6</t>
  </si>
  <si>
    <t>35.75</t>
  </si>
  <si>
    <t>35.5</t>
  </si>
  <si>
    <t>93.6</t>
  </si>
  <si>
    <t>33.25</t>
  </si>
  <si>
    <t>61.2</t>
  </si>
  <si>
    <t>4.63</t>
  </si>
  <si>
    <t>4.75</t>
  </si>
  <si>
    <t>26.25</t>
  </si>
  <si>
    <t>27.6</t>
  </si>
  <si>
    <t>78.75</t>
  </si>
  <si>
    <t>97.5</t>
  </si>
  <si>
    <t>89.67</t>
  </si>
  <si>
    <t>76.67</t>
  </si>
  <si>
    <t>48.33</t>
  </si>
  <si>
    <t>117.14</t>
  </si>
  <si>
    <t>54.67</t>
  </si>
  <si>
    <t>30.5</t>
  </si>
  <si>
    <t>66.33</t>
  </si>
  <si>
    <t>4.83</t>
  </si>
  <si>
    <t>113.75</t>
  </si>
  <si>
    <t>112.5</t>
  </si>
  <si>
    <t>122.5</t>
  </si>
  <si>
    <t>82.5</t>
  </si>
  <si>
    <t>106.25</t>
  </si>
  <si>
    <t>137.5</t>
  </si>
  <si>
    <t>136.67</t>
  </si>
  <si>
    <t>62.67</t>
  </si>
  <si>
    <t>49.5</t>
  </si>
  <si>
    <t>46.5</t>
  </si>
  <si>
    <t>41.75</t>
  </si>
  <si>
    <t>38.5</t>
  </si>
  <si>
    <t>45.67</t>
  </si>
  <si>
    <t>64.5</t>
  </si>
  <si>
    <t>28.5</t>
  </si>
  <si>
    <t>35.67</t>
  </si>
  <si>
    <t>67.33</t>
  </si>
  <si>
    <t>20.83</t>
  </si>
  <si>
    <t>102.5</t>
  </si>
  <si>
    <t>96.67</t>
  </si>
  <si>
    <t>42.33</t>
  </si>
  <si>
    <t>81.8</t>
  </si>
  <si>
    <t>62.33</t>
  </si>
  <si>
    <t>115.83</t>
  </si>
  <si>
    <t>86.88</t>
  </si>
  <si>
    <t>117.86</t>
  </si>
  <si>
    <t>81.25</t>
  </si>
  <si>
    <t>82.14</t>
  </si>
  <si>
    <t>221.67</t>
  </si>
  <si>
    <t>144.29</t>
  </si>
  <si>
    <t>101.33</t>
  </si>
  <si>
    <t>93.33</t>
  </si>
  <si>
    <t>59.67</t>
  </si>
  <si>
    <t>118.33</t>
  </si>
  <si>
    <t>69.17</t>
  </si>
  <si>
    <t>72.5</t>
  </si>
  <si>
    <t>116.67</t>
  </si>
  <si>
    <t>56.33</t>
  </si>
  <si>
    <t>101.67</t>
  </si>
  <si>
    <t>172.5</t>
  </si>
  <si>
    <t>49.33</t>
  </si>
  <si>
    <t>78.67</t>
  </si>
  <si>
    <t>32.75</t>
  </si>
  <si>
    <t>33.67</t>
  </si>
  <si>
    <t>31.5</t>
  </si>
  <si>
    <t>54.33</t>
  </si>
  <si>
    <t>5.38</t>
  </si>
  <si>
    <t>5.5</t>
  </si>
  <si>
    <t>33.75</t>
  </si>
  <si>
    <t>113.33</t>
  </si>
  <si>
    <t>68.6</t>
  </si>
  <si>
    <t>91.25</t>
  </si>
  <si>
    <t>99.5</t>
  </si>
  <si>
    <t>81.5</t>
  </si>
  <si>
    <t>59.33</t>
  </si>
  <si>
    <t>27.67</t>
  </si>
  <si>
    <t>33.33</t>
  </si>
  <si>
    <t>62.78</t>
  </si>
  <si>
    <t>44.38</t>
  </si>
  <si>
    <t>125.71</t>
  </si>
  <si>
    <t>61.25</t>
  </si>
  <si>
    <t>98.57</t>
  </si>
  <si>
    <t>93.13</t>
  </si>
  <si>
    <t>74.29</t>
  </si>
  <si>
    <t>92.14</t>
  </si>
  <si>
    <t>91.67</t>
  </si>
  <si>
    <t>99.67</t>
  </si>
  <si>
    <t>70.33</t>
  </si>
  <si>
    <t>43.75</t>
  </si>
  <si>
    <t>132.5</t>
  </si>
  <si>
    <t>56.25</t>
  </si>
  <si>
    <t>25.25</t>
  </si>
  <si>
    <t>25.67</t>
  </si>
  <si>
    <t>60.5</t>
  </si>
  <si>
    <t>87.5</t>
  </si>
  <si>
    <t>127.5</t>
  </si>
  <si>
    <t>128.75</t>
  </si>
  <si>
    <t>58.5</t>
  </si>
  <si>
    <t>44.5</t>
  </si>
  <si>
    <t>75.5</t>
  </si>
  <si>
    <t>55.6</t>
  </si>
  <si>
    <t>5.25</t>
  </si>
  <si>
    <t>123.33</t>
  </si>
  <si>
    <t>85.33</t>
  </si>
  <si>
    <t>5.33</t>
  </si>
  <si>
    <t>51.25</t>
  </si>
  <si>
    <t>116.25</t>
  </si>
  <si>
    <t>53.33</t>
  </si>
  <si>
    <t>193.75</t>
  </si>
  <si>
    <t>27.5</t>
  </si>
  <si>
    <t>58.33</t>
  </si>
  <si>
    <t>98.33</t>
  </si>
  <si>
    <t>108.33</t>
  </si>
  <si>
    <t>120.83</t>
  </si>
  <si>
    <t>78.33</t>
  </si>
  <si>
    <t>106.67</t>
  </si>
  <si>
    <t>223.33</t>
  </si>
  <si>
    <t>66.25</t>
  </si>
  <si>
    <t>176.67</t>
  </si>
  <si>
    <t>68.5</t>
  </si>
  <si>
    <t>60.83</t>
  </si>
  <si>
    <t>143.33</t>
  </si>
  <si>
    <t>83.33</t>
  </si>
  <si>
    <t>24.5</t>
  </si>
  <si>
    <t>71.5</t>
  </si>
  <si>
    <t>17.25</t>
  </si>
  <si>
    <t>71.25</t>
  </si>
  <si>
    <t>51.5</t>
  </si>
  <si>
    <t>25.5</t>
  </si>
  <si>
    <t>66.5</t>
  </si>
  <si>
    <t>13.5</t>
  </si>
  <si>
    <t>71.67</t>
  </si>
  <si>
    <t>63.33</t>
  </si>
  <si>
    <t>74.4</t>
  </si>
  <si>
    <t>22.8</t>
  </si>
  <si>
    <t>25.2</t>
  </si>
  <si>
    <t>62.4</t>
  </si>
  <si>
    <t>43.4</t>
  </si>
  <si>
    <t>12.4</t>
  </si>
  <si>
    <t>63.75</t>
  </si>
  <si>
    <t>133.33</t>
  </si>
  <si>
    <t>52.8</t>
  </si>
  <si>
    <t>35.8</t>
  </si>
  <si>
    <t>20.8</t>
  </si>
  <si>
    <t>21.8</t>
  </si>
  <si>
    <t>55.2</t>
  </si>
  <si>
    <t>41.6</t>
  </si>
  <si>
    <t>50.4</t>
  </si>
  <si>
    <t>4.8</t>
  </si>
  <si>
    <t>11.2</t>
  </si>
  <si>
    <t>143.75</t>
  </si>
  <si>
    <t>11.33</t>
  </si>
  <si>
    <t>21.67</t>
  </si>
  <si>
    <t>59.4</t>
  </si>
  <si>
    <t>118.75</t>
  </si>
  <si>
    <t>55.8</t>
  </si>
  <si>
    <t>53.25</t>
  </si>
  <si>
    <t>38.8</t>
  </si>
  <si>
    <t>49.2</t>
  </si>
  <si>
    <t>86.67</t>
  </si>
  <si>
    <t>157.5</t>
  </si>
  <si>
    <t>39.25</t>
  </si>
  <si>
    <t>5.13</t>
  </si>
  <si>
    <t>18.75</t>
  </si>
  <si>
    <t>17.5</t>
  </si>
  <si>
    <t>93.75</t>
  </si>
  <si>
    <t>92.5</t>
  </si>
  <si>
    <t>147.5</t>
  </si>
  <si>
    <t>34.5</t>
  </si>
  <si>
    <t>23.75</t>
  </si>
  <si>
    <t>69.6</t>
  </si>
  <si>
    <t>20.4</t>
  </si>
  <si>
    <t>33.6</t>
  </si>
  <si>
    <t>32.2</t>
  </si>
  <si>
    <t>51.8</t>
  </si>
  <si>
    <t>46.6</t>
  </si>
  <si>
    <t>61.17</t>
  </si>
  <si>
    <t>18.33</t>
  </si>
  <si>
    <t>41.4</t>
  </si>
  <si>
    <t>44.2</t>
  </si>
  <si>
    <t>42.2</t>
  </si>
  <si>
    <t>42.4</t>
  </si>
  <si>
    <t>42.75</t>
  </si>
  <si>
    <t>41.67</t>
  </si>
  <si>
    <t>38.4</t>
  </si>
  <si>
    <t>23.4</t>
  </si>
  <si>
    <t>67.2</t>
  </si>
  <si>
    <t>65.5</t>
  </si>
  <si>
    <t>31.6</t>
  </si>
  <si>
    <t>10.4</t>
  </si>
  <si>
    <t>64.17</t>
  </si>
  <si>
    <t>50.83</t>
  </si>
  <si>
    <t>121.67</t>
  </si>
  <si>
    <t>39.6</t>
  </si>
  <si>
    <t>30.25</t>
  </si>
  <si>
    <t>25.6</t>
  </si>
  <si>
    <t>19.5</t>
  </si>
  <si>
    <t>4.67</t>
  </si>
  <si>
    <t>11.75</t>
  </si>
  <si>
    <t>21.25</t>
  </si>
  <si>
    <t>126.25</t>
  </si>
  <si>
    <t>43.67</t>
  </si>
  <si>
    <t>12.75</t>
  </si>
  <si>
    <t>41.25</t>
  </si>
  <si>
    <t>151.25</t>
  </si>
  <si>
    <t>73.75</t>
  </si>
  <si>
    <t>34.75</t>
  </si>
  <si>
    <t>28.75</t>
  </si>
  <si>
    <t>81.67</t>
  </si>
  <si>
    <t>88.75</t>
  </si>
  <si>
    <t>162.5</t>
  </si>
  <si>
    <t>111.67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</si>
</sst>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&quot;R$ &quot;#,##0.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u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  <fill>
      <patternFill patternType="solid">
        <fgColor rgb="FFFFFFFF"/>
        <bgColor rgb="FFECF0F1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0"/>
  <sheetViews>
    <sheetView topLeftCell="A640" zoomScaleNormal="100" workbookViewId="0">
      <selection activeCell="I668" sqref="I668"/>
    </sheetView>
  </sheetViews>
  <sheetFormatPr defaultColWidth="32.44140625" defaultRowHeight="14.4" x14ac:dyDescent="0.3"/>
  <cols>
    <col min="1" max="1" width="9.77734375" customWidth="1"/>
    <col min="2" max="2" width="8.88671875" customWidth="1"/>
    <col min="3" max="3" width="31.88671875" customWidth="1"/>
    <col min="4" max="4" width="19.88671875" customWidth="1"/>
    <col min="5" max="5" width="10.77734375" customWidth="1"/>
    <col min="6" max="8" width="9" customWidth="1"/>
    <col min="9" max="9" width="17.44140625" customWidth="1"/>
    <col min="10" max="10" width="9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t="s">
        <v>10</v>
      </c>
      <c r="B2" s="2">
        <v>44931</v>
      </c>
      <c r="C2" s="3" t="s">
        <v>11</v>
      </c>
      <c r="D2" s="4" t="s">
        <v>12</v>
      </c>
      <c r="E2" s="4" t="s">
        <v>13</v>
      </c>
      <c r="F2" s="5"/>
      <c r="G2" s="6">
        <v>32</v>
      </c>
      <c r="H2" s="6">
        <v>32</v>
      </c>
      <c r="I2" s="6">
        <v>32</v>
      </c>
      <c r="J2" s="6">
        <v>32</v>
      </c>
    </row>
    <row r="3" spans="1:10" ht="28.8" x14ac:dyDescent="0.3">
      <c r="A3" t="s">
        <v>10</v>
      </c>
      <c r="B3" s="2">
        <v>44931</v>
      </c>
      <c r="C3" s="7" t="s">
        <v>11</v>
      </c>
      <c r="D3" s="8" t="s">
        <v>14</v>
      </c>
      <c r="E3" s="8" t="s">
        <v>13</v>
      </c>
      <c r="F3" s="9"/>
      <c r="G3" s="10">
        <v>60</v>
      </c>
      <c r="H3" s="10">
        <v>60</v>
      </c>
      <c r="I3" s="10">
        <v>60</v>
      </c>
      <c r="J3" s="10">
        <v>60</v>
      </c>
    </row>
    <row r="4" spans="1:10" ht="28.8" x14ac:dyDescent="0.3">
      <c r="A4" t="s">
        <v>10</v>
      </c>
      <c r="B4" s="2">
        <v>44931</v>
      </c>
      <c r="C4" s="3" t="s">
        <v>11</v>
      </c>
      <c r="D4" s="4" t="s">
        <v>15</v>
      </c>
      <c r="E4" s="4" t="s">
        <v>13</v>
      </c>
      <c r="F4" s="5"/>
      <c r="G4" s="6">
        <v>24</v>
      </c>
      <c r="H4" s="6">
        <v>36</v>
      </c>
      <c r="I4" s="6">
        <v>30</v>
      </c>
      <c r="J4" s="6">
        <v>30</v>
      </c>
    </row>
    <row r="5" spans="1:10" ht="28.8" x14ac:dyDescent="0.3">
      <c r="A5" t="s">
        <v>10</v>
      </c>
      <c r="B5" s="2">
        <v>44931</v>
      </c>
      <c r="C5" s="7" t="s">
        <v>11</v>
      </c>
      <c r="D5" s="8" t="s">
        <v>16</v>
      </c>
      <c r="E5" s="8" t="s">
        <v>13</v>
      </c>
      <c r="F5" s="9"/>
      <c r="G5" s="10">
        <v>18</v>
      </c>
      <c r="H5" s="10">
        <v>30</v>
      </c>
      <c r="I5" s="10">
        <v>24</v>
      </c>
      <c r="J5" s="10">
        <v>24</v>
      </c>
    </row>
    <row r="6" spans="1:10" ht="28.8" x14ac:dyDescent="0.3">
      <c r="A6" t="s">
        <v>10</v>
      </c>
      <c r="B6" s="2">
        <v>44931</v>
      </c>
      <c r="C6" s="3" t="s">
        <v>11</v>
      </c>
      <c r="D6" s="4" t="s">
        <v>17</v>
      </c>
      <c r="E6" s="4" t="s">
        <v>13</v>
      </c>
      <c r="F6" s="5"/>
      <c r="G6" s="6">
        <v>18</v>
      </c>
      <c r="H6" s="6">
        <v>30</v>
      </c>
      <c r="I6" s="6">
        <v>24</v>
      </c>
      <c r="J6" s="6">
        <v>24</v>
      </c>
    </row>
    <row r="7" spans="1:10" ht="28.8" x14ac:dyDescent="0.3">
      <c r="A7" t="s">
        <v>10</v>
      </c>
      <c r="B7" s="2">
        <v>44931</v>
      </c>
      <c r="C7" s="7" t="s">
        <v>11</v>
      </c>
      <c r="D7" s="8" t="s">
        <v>18</v>
      </c>
      <c r="E7" s="8" t="s">
        <v>13</v>
      </c>
      <c r="F7" s="9"/>
      <c r="G7" s="10">
        <v>48</v>
      </c>
      <c r="H7" s="10">
        <v>48</v>
      </c>
      <c r="I7" s="10">
        <v>48</v>
      </c>
      <c r="J7" s="10">
        <v>48</v>
      </c>
    </row>
    <row r="8" spans="1:10" ht="28.8" x14ac:dyDescent="0.3">
      <c r="A8" t="s">
        <v>10</v>
      </c>
      <c r="B8" s="2">
        <v>44931</v>
      </c>
      <c r="C8" s="3" t="s">
        <v>11</v>
      </c>
      <c r="D8" s="4" t="s">
        <v>19</v>
      </c>
      <c r="E8" s="4" t="s">
        <v>13</v>
      </c>
      <c r="F8" s="5"/>
      <c r="G8" s="6">
        <v>60</v>
      </c>
      <c r="H8" s="6">
        <v>60</v>
      </c>
      <c r="I8" s="6">
        <v>60</v>
      </c>
      <c r="J8" s="6">
        <v>60</v>
      </c>
    </row>
    <row r="9" spans="1:10" ht="28.8" x14ac:dyDescent="0.3">
      <c r="A9" t="s">
        <v>10</v>
      </c>
      <c r="B9" s="2">
        <v>44931</v>
      </c>
      <c r="C9" s="7" t="s">
        <v>11</v>
      </c>
      <c r="D9" s="8" t="s">
        <v>20</v>
      </c>
      <c r="E9" s="8" t="s">
        <v>13</v>
      </c>
      <c r="F9" s="10">
        <v>48</v>
      </c>
      <c r="G9" s="10">
        <v>48</v>
      </c>
      <c r="H9" s="10">
        <v>60</v>
      </c>
      <c r="I9" s="10">
        <v>52</v>
      </c>
      <c r="J9" s="10">
        <v>48</v>
      </c>
    </row>
    <row r="10" spans="1:10" ht="28.8" x14ac:dyDescent="0.3">
      <c r="A10" t="s">
        <v>10</v>
      </c>
      <c r="B10" s="2">
        <v>44931</v>
      </c>
      <c r="C10" s="3" t="s">
        <v>11</v>
      </c>
      <c r="D10" s="4" t="s">
        <v>21</v>
      </c>
      <c r="E10" s="4" t="s">
        <v>13</v>
      </c>
      <c r="F10" s="6">
        <v>15</v>
      </c>
      <c r="G10" s="6">
        <v>15</v>
      </c>
      <c r="H10" s="6">
        <v>24</v>
      </c>
      <c r="I10" s="6">
        <v>18</v>
      </c>
      <c r="J10" s="6">
        <v>15</v>
      </c>
    </row>
    <row r="11" spans="1:10" ht="28.8" x14ac:dyDescent="0.3">
      <c r="A11" t="s">
        <v>10</v>
      </c>
      <c r="B11" s="2">
        <v>44931</v>
      </c>
      <c r="C11" s="7" t="s">
        <v>11</v>
      </c>
      <c r="D11" s="8" t="s">
        <v>22</v>
      </c>
      <c r="E11" s="8"/>
      <c r="F11" s="9"/>
      <c r="G11" s="10">
        <v>60</v>
      </c>
      <c r="H11" s="10">
        <v>60</v>
      </c>
      <c r="I11" s="10">
        <v>60</v>
      </c>
      <c r="J11" s="10">
        <v>60</v>
      </c>
    </row>
    <row r="12" spans="1:10" ht="28.8" x14ac:dyDescent="0.3">
      <c r="A12" t="s">
        <v>10</v>
      </c>
      <c r="B12" s="2">
        <v>44931</v>
      </c>
      <c r="C12" s="3" t="s">
        <v>11</v>
      </c>
      <c r="D12" s="4" t="s">
        <v>23</v>
      </c>
      <c r="E12" s="4" t="s">
        <v>13</v>
      </c>
      <c r="F12" s="5"/>
      <c r="G12" s="6">
        <v>18</v>
      </c>
      <c r="H12" s="6">
        <v>30</v>
      </c>
      <c r="I12" s="6">
        <v>24</v>
      </c>
      <c r="J12" s="6">
        <v>24</v>
      </c>
    </row>
    <row r="13" spans="1:10" ht="28.8" x14ac:dyDescent="0.3">
      <c r="A13" t="s">
        <v>10</v>
      </c>
      <c r="B13" s="2">
        <v>44931</v>
      </c>
      <c r="C13" s="7" t="s">
        <v>11</v>
      </c>
      <c r="D13" s="8" t="s">
        <v>24</v>
      </c>
      <c r="E13" s="8" t="s">
        <v>13</v>
      </c>
      <c r="F13" s="9"/>
      <c r="G13" s="10">
        <v>42</v>
      </c>
      <c r="H13" s="10">
        <v>54</v>
      </c>
      <c r="I13" s="10">
        <v>48</v>
      </c>
      <c r="J13" s="10">
        <v>48</v>
      </c>
    </row>
    <row r="14" spans="1:10" ht="28.8" x14ac:dyDescent="0.3">
      <c r="A14" t="s">
        <v>10</v>
      </c>
      <c r="B14" s="2">
        <v>44931</v>
      </c>
      <c r="C14" s="3" t="s">
        <v>11</v>
      </c>
      <c r="D14" s="4" t="s">
        <v>25</v>
      </c>
      <c r="E14" s="4" t="s">
        <v>26</v>
      </c>
      <c r="F14" s="5"/>
      <c r="G14" s="6">
        <v>36</v>
      </c>
      <c r="H14" s="6">
        <v>48</v>
      </c>
      <c r="I14" s="6">
        <v>42</v>
      </c>
      <c r="J14" s="6">
        <v>42</v>
      </c>
    </row>
    <row r="15" spans="1:10" ht="28.8" x14ac:dyDescent="0.3">
      <c r="A15" t="s">
        <v>10</v>
      </c>
      <c r="B15" s="2">
        <v>44931</v>
      </c>
      <c r="C15" s="7" t="s">
        <v>11</v>
      </c>
      <c r="D15" s="8" t="s">
        <v>27</v>
      </c>
      <c r="E15" s="8" t="s">
        <v>13</v>
      </c>
      <c r="F15" s="9"/>
      <c r="G15" s="10">
        <v>60</v>
      </c>
      <c r="H15" s="10">
        <v>60</v>
      </c>
      <c r="I15" s="10">
        <v>60</v>
      </c>
      <c r="J15" s="10">
        <v>60</v>
      </c>
    </row>
    <row r="16" spans="1:10" ht="28.8" x14ac:dyDescent="0.3">
      <c r="A16" t="s">
        <v>10</v>
      </c>
      <c r="B16" s="2">
        <v>44931</v>
      </c>
      <c r="C16" s="3" t="s">
        <v>11</v>
      </c>
      <c r="D16" s="4" t="s">
        <v>28</v>
      </c>
      <c r="E16" s="4" t="s">
        <v>13</v>
      </c>
      <c r="F16" s="5"/>
      <c r="G16" s="6">
        <v>24</v>
      </c>
      <c r="H16" s="6">
        <v>36</v>
      </c>
      <c r="I16" s="6">
        <v>30</v>
      </c>
      <c r="J16" s="6">
        <v>30</v>
      </c>
    </row>
    <row r="17" spans="1:10" ht="28.8" x14ac:dyDescent="0.3">
      <c r="A17" t="s">
        <v>10</v>
      </c>
      <c r="B17" s="2">
        <v>44931</v>
      </c>
      <c r="C17" s="7" t="s">
        <v>11</v>
      </c>
      <c r="D17" s="8" t="s">
        <v>29</v>
      </c>
      <c r="E17" s="8" t="s">
        <v>13</v>
      </c>
      <c r="F17" s="10">
        <v>42</v>
      </c>
      <c r="G17" s="10">
        <v>36</v>
      </c>
      <c r="H17" s="10">
        <v>42</v>
      </c>
      <c r="I17" s="10">
        <v>40</v>
      </c>
      <c r="J17" s="10">
        <v>42</v>
      </c>
    </row>
    <row r="18" spans="1:10" ht="28.8" x14ac:dyDescent="0.3">
      <c r="A18" t="s">
        <v>10</v>
      </c>
      <c r="B18" s="2">
        <v>44931</v>
      </c>
      <c r="C18" s="3" t="s">
        <v>30</v>
      </c>
      <c r="D18" s="4" t="s">
        <v>31</v>
      </c>
      <c r="E18" s="4" t="s">
        <v>32</v>
      </c>
      <c r="F18" s="6">
        <v>4</v>
      </c>
      <c r="G18" s="6">
        <v>3</v>
      </c>
      <c r="H18" s="6">
        <v>4</v>
      </c>
      <c r="I18" s="6" t="s">
        <v>254</v>
      </c>
      <c r="J18" s="6">
        <v>4</v>
      </c>
    </row>
    <row r="19" spans="1:10" ht="28.8" x14ac:dyDescent="0.3">
      <c r="A19" t="s">
        <v>10</v>
      </c>
      <c r="B19" s="2">
        <v>44931</v>
      </c>
      <c r="C19" s="7" t="s">
        <v>30</v>
      </c>
      <c r="D19" s="8" t="s">
        <v>33</v>
      </c>
      <c r="E19" s="8" t="s">
        <v>34</v>
      </c>
      <c r="F19" s="10">
        <v>25</v>
      </c>
      <c r="G19" s="10">
        <v>25</v>
      </c>
      <c r="H19" s="10">
        <v>25</v>
      </c>
      <c r="I19" s="10">
        <v>25</v>
      </c>
      <c r="J19" s="10">
        <v>25</v>
      </c>
    </row>
    <row r="20" spans="1:10" ht="28.8" x14ac:dyDescent="0.3">
      <c r="A20" t="s">
        <v>10</v>
      </c>
      <c r="B20" s="2">
        <v>44931</v>
      </c>
      <c r="C20" s="3" t="s">
        <v>30</v>
      </c>
      <c r="D20" s="4" t="s">
        <v>35</v>
      </c>
      <c r="E20" s="4" t="s">
        <v>34</v>
      </c>
      <c r="F20" s="6">
        <v>25</v>
      </c>
      <c r="G20" s="6">
        <v>20</v>
      </c>
      <c r="H20" s="6">
        <v>25</v>
      </c>
      <c r="I20" s="6" t="s">
        <v>255</v>
      </c>
      <c r="J20" s="6" t="s">
        <v>255</v>
      </c>
    </row>
    <row r="21" spans="1:10" ht="43.2" x14ac:dyDescent="0.3">
      <c r="A21" t="s">
        <v>10</v>
      </c>
      <c r="B21" s="2">
        <v>44931</v>
      </c>
      <c r="C21" s="7" t="s">
        <v>36</v>
      </c>
      <c r="D21" s="8" t="s">
        <v>37</v>
      </c>
      <c r="E21" s="8" t="s">
        <v>38</v>
      </c>
      <c r="F21" s="10">
        <v>60</v>
      </c>
      <c r="G21" s="10">
        <v>50</v>
      </c>
      <c r="H21" s="10">
        <v>60</v>
      </c>
      <c r="I21" s="10" t="s">
        <v>256</v>
      </c>
      <c r="J21" s="10">
        <v>60</v>
      </c>
    </row>
    <row r="22" spans="1:10" ht="43.2" x14ac:dyDescent="0.3">
      <c r="A22" t="s">
        <v>10</v>
      </c>
      <c r="B22" s="2">
        <v>44931</v>
      </c>
      <c r="C22" s="3" t="s">
        <v>36</v>
      </c>
      <c r="D22" s="4" t="s">
        <v>39</v>
      </c>
      <c r="E22" s="4" t="s">
        <v>40</v>
      </c>
      <c r="F22" s="6">
        <v>50</v>
      </c>
      <c r="G22" s="6">
        <v>50</v>
      </c>
      <c r="H22" s="6">
        <v>65</v>
      </c>
      <c r="I22" s="6">
        <v>55</v>
      </c>
      <c r="J22" s="6">
        <v>50</v>
      </c>
    </row>
    <row r="23" spans="1:10" ht="43.2" x14ac:dyDescent="0.3">
      <c r="A23" t="s">
        <v>10</v>
      </c>
      <c r="B23" s="2">
        <v>44931</v>
      </c>
      <c r="C23" s="7" t="s">
        <v>36</v>
      </c>
      <c r="D23" s="8" t="s">
        <v>41</v>
      </c>
      <c r="E23" s="8" t="s">
        <v>42</v>
      </c>
      <c r="F23" s="10">
        <v>40</v>
      </c>
      <c r="G23" s="10">
        <v>40</v>
      </c>
      <c r="H23" s="10">
        <v>50</v>
      </c>
      <c r="I23" s="10" t="s">
        <v>257</v>
      </c>
      <c r="J23" s="10" t="s">
        <v>258</v>
      </c>
    </row>
    <row r="24" spans="1:10" ht="43.2" x14ac:dyDescent="0.3">
      <c r="A24" t="s">
        <v>10</v>
      </c>
      <c r="B24" s="2">
        <v>44931</v>
      </c>
      <c r="C24" s="3" t="s">
        <v>36</v>
      </c>
      <c r="D24" s="4" t="s">
        <v>43</v>
      </c>
      <c r="E24" s="4" t="s">
        <v>42</v>
      </c>
      <c r="F24" s="5"/>
      <c r="G24" s="5"/>
      <c r="H24" s="5"/>
      <c r="I24" s="5"/>
      <c r="J24" s="5"/>
    </row>
    <row r="25" spans="1:10" ht="43.2" x14ac:dyDescent="0.3">
      <c r="A25" t="s">
        <v>10</v>
      </c>
      <c r="B25" s="2">
        <v>44931</v>
      </c>
      <c r="C25" s="7" t="s">
        <v>36</v>
      </c>
      <c r="D25" s="8" t="s">
        <v>44</v>
      </c>
      <c r="E25" s="8" t="s">
        <v>45</v>
      </c>
      <c r="F25" s="9"/>
      <c r="G25" s="10">
        <v>48</v>
      </c>
      <c r="H25" s="10">
        <v>60</v>
      </c>
      <c r="I25" s="10" t="s">
        <v>259</v>
      </c>
      <c r="J25" s="10">
        <v>50</v>
      </c>
    </row>
    <row r="26" spans="1:10" ht="43.2" x14ac:dyDescent="0.3">
      <c r="A26" t="s">
        <v>10</v>
      </c>
      <c r="B26" s="2">
        <v>44931</v>
      </c>
      <c r="C26" s="3" t="s">
        <v>36</v>
      </c>
      <c r="D26" s="4" t="s">
        <v>46</v>
      </c>
      <c r="E26" s="4" t="s">
        <v>40</v>
      </c>
      <c r="F26" s="6">
        <v>55</v>
      </c>
      <c r="G26" s="6">
        <v>50</v>
      </c>
      <c r="H26" s="6">
        <v>60</v>
      </c>
      <c r="I26" s="6">
        <v>55</v>
      </c>
      <c r="J26" s="6">
        <v>55</v>
      </c>
    </row>
    <row r="27" spans="1:10" ht="43.2" x14ac:dyDescent="0.3">
      <c r="A27" t="s">
        <v>10</v>
      </c>
      <c r="B27" s="2">
        <v>44931</v>
      </c>
      <c r="C27" s="7" t="s">
        <v>36</v>
      </c>
      <c r="D27" s="8" t="s">
        <v>47</v>
      </c>
      <c r="E27" s="8" t="s">
        <v>40</v>
      </c>
      <c r="F27" s="10">
        <v>40</v>
      </c>
      <c r="G27" s="10">
        <v>30</v>
      </c>
      <c r="H27" s="10">
        <v>50</v>
      </c>
      <c r="I27" s="10">
        <v>40</v>
      </c>
      <c r="J27" s="10">
        <v>40</v>
      </c>
    </row>
    <row r="28" spans="1:10" ht="43.2" x14ac:dyDescent="0.3">
      <c r="A28" t="s">
        <v>10</v>
      </c>
      <c r="B28" s="2">
        <v>44931</v>
      </c>
      <c r="C28" s="3" t="s">
        <v>36</v>
      </c>
      <c r="D28" s="4" t="s">
        <v>48</v>
      </c>
      <c r="E28" s="4" t="s">
        <v>38</v>
      </c>
      <c r="F28" s="6">
        <v>50</v>
      </c>
      <c r="G28" s="6">
        <v>50</v>
      </c>
      <c r="H28" s="6">
        <v>70</v>
      </c>
      <c r="I28" s="6" t="s">
        <v>260</v>
      </c>
      <c r="J28" s="6">
        <v>50</v>
      </c>
    </row>
    <row r="29" spans="1:10" ht="43.2" x14ac:dyDescent="0.3">
      <c r="A29" t="s">
        <v>10</v>
      </c>
      <c r="B29" s="2">
        <v>44931</v>
      </c>
      <c r="C29" s="7" t="s">
        <v>36</v>
      </c>
      <c r="D29" s="8" t="s">
        <v>49</v>
      </c>
      <c r="E29" s="8" t="s">
        <v>40</v>
      </c>
      <c r="F29" s="9"/>
      <c r="G29" s="9"/>
      <c r="H29" s="9"/>
      <c r="I29" s="9"/>
      <c r="J29" s="9"/>
    </row>
    <row r="30" spans="1:10" ht="43.2" x14ac:dyDescent="0.3">
      <c r="A30" t="s">
        <v>10</v>
      </c>
      <c r="B30" s="2">
        <v>44931</v>
      </c>
      <c r="C30" s="3" t="s">
        <v>36</v>
      </c>
      <c r="D30" s="4" t="s">
        <v>50</v>
      </c>
      <c r="E30" s="4" t="s">
        <v>38</v>
      </c>
      <c r="F30" s="6">
        <v>50</v>
      </c>
      <c r="G30" s="6">
        <v>40</v>
      </c>
      <c r="H30" s="6">
        <v>60</v>
      </c>
      <c r="I30" s="6">
        <v>50</v>
      </c>
      <c r="J30" s="6">
        <v>50</v>
      </c>
    </row>
    <row r="31" spans="1:10" ht="43.2" x14ac:dyDescent="0.3">
      <c r="A31" t="s">
        <v>10</v>
      </c>
      <c r="B31" s="2">
        <v>44931</v>
      </c>
      <c r="C31" s="7" t="s">
        <v>36</v>
      </c>
      <c r="D31" s="8" t="s">
        <v>51</v>
      </c>
      <c r="E31" s="8" t="s">
        <v>38</v>
      </c>
      <c r="F31" s="10">
        <v>50</v>
      </c>
      <c r="G31" s="10">
        <v>50</v>
      </c>
      <c r="H31" s="10">
        <v>60</v>
      </c>
      <c r="I31" s="10">
        <v>55</v>
      </c>
      <c r="J31" s="10">
        <v>55</v>
      </c>
    </row>
    <row r="32" spans="1:10" ht="43.2" x14ac:dyDescent="0.3">
      <c r="A32" t="s">
        <v>10</v>
      </c>
      <c r="B32" s="2">
        <v>44931</v>
      </c>
      <c r="C32" s="3" t="s">
        <v>36</v>
      </c>
      <c r="D32" s="4" t="s">
        <v>52</v>
      </c>
      <c r="E32" s="4" t="s">
        <v>42</v>
      </c>
      <c r="F32" s="5"/>
      <c r="G32" s="6">
        <v>30</v>
      </c>
      <c r="H32" s="6">
        <v>50</v>
      </c>
      <c r="I32" s="6">
        <v>40</v>
      </c>
      <c r="J32" s="6">
        <v>40</v>
      </c>
    </row>
    <row r="33" spans="1:10" ht="43.2" x14ac:dyDescent="0.3">
      <c r="A33" t="s">
        <v>10</v>
      </c>
      <c r="B33" s="2">
        <v>44931</v>
      </c>
      <c r="C33" s="7" t="s">
        <v>36</v>
      </c>
      <c r="D33" s="8" t="s">
        <v>53</v>
      </c>
      <c r="E33" s="8" t="s">
        <v>54</v>
      </c>
      <c r="F33" s="10">
        <v>70</v>
      </c>
      <c r="G33" s="10">
        <v>60</v>
      </c>
      <c r="H33" s="10">
        <v>80</v>
      </c>
      <c r="I33" s="10" t="s">
        <v>261</v>
      </c>
      <c r="J33" s="10">
        <v>70</v>
      </c>
    </row>
    <row r="34" spans="1:10" ht="43.2" x14ac:dyDescent="0.3">
      <c r="A34" t="s">
        <v>10</v>
      </c>
      <c r="B34" s="2">
        <v>44931</v>
      </c>
      <c r="C34" s="3" t="s">
        <v>36</v>
      </c>
      <c r="D34" s="4" t="s">
        <v>55</v>
      </c>
      <c r="E34" s="4" t="s">
        <v>38</v>
      </c>
      <c r="F34" s="6">
        <v>100</v>
      </c>
      <c r="G34" s="6">
        <v>90</v>
      </c>
      <c r="H34" s="6">
        <v>110</v>
      </c>
      <c r="I34" s="6">
        <v>100</v>
      </c>
      <c r="J34" s="6">
        <v>100</v>
      </c>
    </row>
    <row r="35" spans="1:10" ht="43.2" x14ac:dyDescent="0.3">
      <c r="A35" t="s">
        <v>10</v>
      </c>
      <c r="B35" s="2">
        <v>44931</v>
      </c>
      <c r="C35" s="7" t="s">
        <v>36</v>
      </c>
      <c r="D35" s="8" t="s">
        <v>56</v>
      </c>
      <c r="E35" s="8" t="s">
        <v>38</v>
      </c>
      <c r="F35" s="10">
        <v>80</v>
      </c>
      <c r="G35" s="10">
        <v>70</v>
      </c>
      <c r="H35" s="10">
        <v>100</v>
      </c>
      <c r="I35" s="10">
        <v>83</v>
      </c>
      <c r="J35" s="10">
        <v>80</v>
      </c>
    </row>
    <row r="36" spans="1:10" x14ac:dyDescent="0.3">
      <c r="A36" t="s">
        <v>10</v>
      </c>
      <c r="B36" s="2">
        <v>44931</v>
      </c>
      <c r="C36" s="3" t="s">
        <v>57</v>
      </c>
      <c r="D36" s="4" t="s">
        <v>58</v>
      </c>
      <c r="E36" s="4" t="s">
        <v>38</v>
      </c>
      <c r="F36" s="5"/>
      <c r="G36" s="5"/>
      <c r="H36" s="5"/>
      <c r="I36" s="5"/>
      <c r="J36" s="5"/>
    </row>
    <row r="37" spans="1:10" x14ac:dyDescent="0.3">
      <c r="A37" t="s">
        <v>10</v>
      </c>
      <c r="B37" s="2">
        <v>44931</v>
      </c>
      <c r="C37" s="7" t="s">
        <v>57</v>
      </c>
      <c r="D37" s="8" t="s">
        <v>59</v>
      </c>
      <c r="E37" s="8" t="s">
        <v>38</v>
      </c>
      <c r="F37" s="9"/>
      <c r="G37" s="9"/>
      <c r="H37" s="9"/>
      <c r="I37" s="9"/>
      <c r="J37" s="9"/>
    </row>
    <row r="38" spans="1:10" x14ac:dyDescent="0.3">
      <c r="A38" t="s">
        <v>10</v>
      </c>
      <c r="B38" s="2">
        <v>44931</v>
      </c>
      <c r="C38" s="3" t="s">
        <v>57</v>
      </c>
      <c r="D38" s="4" t="s">
        <v>60</v>
      </c>
      <c r="E38" s="4" t="s">
        <v>38</v>
      </c>
      <c r="F38" s="5"/>
      <c r="G38" s="5"/>
      <c r="H38" s="5"/>
      <c r="I38" s="5"/>
      <c r="J38" s="5"/>
    </row>
    <row r="39" spans="1:10" x14ac:dyDescent="0.3">
      <c r="A39" t="s">
        <v>10</v>
      </c>
      <c r="B39" s="2">
        <v>44931</v>
      </c>
      <c r="C39" s="7" t="s">
        <v>57</v>
      </c>
      <c r="D39" s="8" t="s">
        <v>61</v>
      </c>
      <c r="E39" s="8" t="s">
        <v>42</v>
      </c>
      <c r="F39" s="9"/>
      <c r="G39" s="9"/>
      <c r="H39" s="9"/>
      <c r="I39" s="9"/>
      <c r="J39" s="9"/>
    </row>
    <row r="40" spans="1:10" x14ac:dyDescent="0.3">
      <c r="A40" t="s">
        <v>10</v>
      </c>
      <c r="B40" s="2">
        <v>44931</v>
      </c>
      <c r="C40" s="3" t="s">
        <v>57</v>
      </c>
      <c r="D40" s="4" t="s">
        <v>62</v>
      </c>
      <c r="E40" s="4" t="s">
        <v>63</v>
      </c>
      <c r="F40" s="5"/>
      <c r="G40" s="5"/>
      <c r="H40" s="5"/>
      <c r="I40" s="5"/>
      <c r="J40" s="5"/>
    </row>
    <row r="41" spans="1:10" ht="28.8" x14ac:dyDescent="0.3">
      <c r="A41" t="s">
        <v>64</v>
      </c>
      <c r="B41" s="2">
        <v>44938</v>
      </c>
      <c r="C41" s="3" t="s">
        <v>11</v>
      </c>
      <c r="D41" s="4" t="s">
        <v>12</v>
      </c>
      <c r="E41" s="4" t="s">
        <v>13</v>
      </c>
      <c r="F41" s="6">
        <v>42</v>
      </c>
      <c r="G41" s="6">
        <v>42</v>
      </c>
      <c r="H41" s="6">
        <v>42</v>
      </c>
      <c r="I41" s="6">
        <v>42</v>
      </c>
      <c r="J41" s="6">
        <v>42</v>
      </c>
    </row>
    <row r="42" spans="1:10" ht="28.8" x14ac:dyDescent="0.3">
      <c r="A42" t="s">
        <v>64</v>
      </c>
      <c r="B42" s="2">
        <v>44938</v>
      </c>
      <c r="C42" s="7" t="s">
        <v>11</v>
      </c>
      <c r="D42" s="8" t="s">
        <v>14</v>
      </c>
      <c r="E42" s="8" t="s">
        <v>13</v>
      </c>
      <c r="F42" s="10">
        <v>60</v>
      </c>
      <c r="G42" s="10">
        <v>60</v>
      </c>
      <c r="H42" s="10">
        <v>60</v>
      </c>
      <c r="I42" s="10">
        <v>60</v>
      </c>
      <c r="J42" s="10">
        <v>60</v>
      </c>
    </row>
    <row r="43" spans="1:10" ht="28.8" x14ac:dyDescent="0.3">
      <c r="A43" t="s">
        <v>64</v>
      </c>
      <c r="B43" s="2">
        <v>44938</v>
      </c>
      <c r="C43" s="3" t="s">
        <v>11</v>
      </c>
      <c r="D43" s="4" t="s">
        <v>15</v>
      </c>
      <c r="E43" s="4" t="s">
        <v>13</v>
      </c>
      <c r="F43" s="6">
        <v>30</v>
      </c>
      <c r="G43" s="6">
        <v>30</v>
      </c>
      <c r="H43" s="6">
        <v>36</v>
      </c>
      <c r="I43" s="6">
        <v>32</v>
      </c>
      <c r="J43" s="6">
        <v>30</v>
      </c>
    </row>
    <row r="44" spans="1:10" ht="28.8" x14ac:dyDescent="0.3">
      <c r="A44" t="s">
        <v>64</v>
      </c>
      <c r="B44" s="2">
        <v>44938</v>
      </c>
      <c r="C44" s="7" t="s">
        <v>11</v>
      </c>
      <c r="D44" s="8" t="s">
        <v>16</v>
      </c>
      <c r="E44" s="8" t="s">
        <v>13</v>
      </c>
      <c r="F44" s="10">
        <v>24</v>
      </c>
      <c r="G44" s="10">
        <v>18</v>
      </c>
      <c r="H44" s="10">
        <v>24</v>
      </c>
      <c r="I44" s="10" t="s">
        <v>262</v>
      </c>
      <c r="J44" s="10">
        <v>22</v>
      </c>
    </row>
    <row r="45" spans="1:10" ht="28.8" x14ac:dyDescent="0.3">
      <c r="A45" t="s">
        <v>64</v>
      </c>
      <c r="B45" s="2">
        <v>44938</v>
      </c>
      <c r="C45" s="3" t="s">
        <v>11</v>
      </c>
      <c r="D45" s="4" t="s">
        <v>17</v>
      </c>
      <c r="E45" s="4" t="s">
        <v>13</v>
      </c>
      <c r="F45" s="5"/>
      <c r="G45" s="6">
        <v>15</v>
      </c>
      <c r="H45" s="6">
        <v>24</v>
      </c>
      <c r="I45" s="6">
        <v>19</v>
      </c>
      <c r="J45" s="6">
        <v>18</v>
      </c>
    </row>
    <row r="46" spans="1:10" ht="28.8" x14ac:dyDescent="0.3">
      <c r="A46" t="s">
        <v>64</v>
      </c>
      <c r="B46" s="2">
        <v>44938</v>
      </c>
      <c r="C46" s="7" t="s">
        <v>11</v>
      </c>
      <c r="D46" s="8" t="s">
        <v>18</v>
      </c>
      <c r="E46" s="8" t="s">
        <v>13</v>
      </c>
      <c r="F46" s="9"/>
      <c r="G46" s="10">
        <v>42</v>
      </c>
      <c r="H46" s="10">
        <v>48</v>
      </c>
      <c r="I46" s="10">
        <v>45</v>
      </c>
      <c r="J46" s="10">
        <v>45</v>
      </c>
    </row>
    <row r="47" spans="1:10" ht="28.8" x14ac:dyDescent="0.3">
      <c r="A47" t="s">
        <v>64</v>
      </c>
      <c r="B47" s="2">
        <v>44938</v>
      </c>
      <c r="C47" s="3" t="s">
        <v>11</v>
      </c>
      <c r="D47" s="4" t="s">
        <v>19</v>
      </c>
      <c r="E47" s="4" t="s">
        <v>13</v>
      </c>
      <c r="F47" s="5"/>
      <c r="G47" s="6">
        <v>66</v>
      </c>
      <c r="H47" s="6">
        <v>72</v>
      </c>
      <c r="I47" s="6">
        <v>69</v>
      </c>
      <c r="J47" s="6">
        <v>69</v>
      </c>
    </row>
    <row r="48" spans="1:10" ht="28.8" x14ac:dyDescent="0.3">
      <c r="A48" t="s">
        <v>64</v>
      </c>
      <c r="B48" s="2">
        <v>44938</v>
      </c>
      <c r="C48" s="7" t="s">
        <v>11</v>
      </c>
      <c r="D48" s="8" t="s">
        <v>20</v>
      </c>
      <c r="E48" s="8" t="s">
        <v>13</v>
      </c>
      <c r="F48" s="9"/>
      <c r="G48" s="10">
        <v>48</v>
      </c>
      <c r="H48" s="10">
        <v>72</v>
      </c>
      <c r="I48" s="10">
        <v>60</v>
      </c>
      <c r="J48" s="10">
        <v>60</v>
      </c>
    </row>
    <row r="49" spans="1:10" ht="28.8" x14ac:dyDescent="0.3">
      <c r="A49" t="s">
        <v>64</v>
      </c>
      <c r="B49" s="2">
        <v>44938</v>
      </c>
      <c r="C49" s="3" t="s">
        <v>11</v>
      </c>
      <c r="D49" s="4" t="s">
        <v>22</v>
      </c>
      <c r="E49" s="4"/>
      <c r="F49" s="5"/>
      <c r="G49" s="6">
        <v>15</v>
      </c>
      <c r="H49" s="6">
        <v>24</v>
      </c>
      <c r="I49" s="6">
        <v>19</v>
      </c>
      <c r="J49" s="6">
        <v>18</v>
      </c>
    </row>
    <row r="50" spans="1:10" ht="28.8" x14ac:dyDescent="0.3">
      <c r="A50" t="s">
        <v>64</v>
      </c>
      <c r="B50" s="2">
        <v>44938</v>
      </c>
      <c r="C50" s="7" t="s">
        <v>11</v>
      </c>
      <c r="D50" s="8" t="s">
        <v>65</v>
      </c>
      <c r="E50" s="8" t="s">
        <v>13</v>
      </c>
      <c r="F50" s="10">
        <v>60</v>
      </c>
      <c r="G50" s="10">
        <v>60</v>
      </c>
      <c r="H50" s="10">
        <v>66</v>
      </c>
      <c r="I50" s="10">
        <v>62</v>
      </c>
      <c r="J50" s="10">
        <v>60</v>
      </c>
    </row>
    <row r="51" spans="1:10" ht="28.8" x14ac:dyDescent="0.3">
      <c r="A51" t="s">
        <v>64</v>
      </c>
      <c r="B51" s="2">
        <v>44938</v>
      </c>
      <c r="C51" s="3" t="s">
        <v>11</v>
      </c>
      <c r="D51" s="4" t="s">
        <v>23</v>
      </c>
      <c r="E51" s="4" t="s">
        <v>13</v>
      </c>
      <c r="F51" s="5"/>
      <c r="G51" s="6">
        <v>15</v>
      </c>
      <c r="H51" s="6">
        <v>24</v>
      </c>
      <c r="I51" s="6">
        <v>19</v>
      </c>
      <c r="J51" s="6">
        <v>18</v>
      </c>
    </row>
    <row r="52" spans="1:10" ht="28.8" x14ac:dyDescent="0.3">
      <c r="A52" t="s">
        <v>64</v>
      </c>
      <c r="B52" s="2">
        <v>44938</v>
      </c>
      <c r="C52" s="7" t="s">
        <v>11</v>
      </c>
      <c r="D52" s="8" t="s">
        <v>24</v>
      </c>
      <c r="E52" s="8" t="s">
        <v>13</v>
      </c>
      <c r="F52" s="9"/>
      <c r="G52" s="10">
        <v>54</v>
      </c>
      <c r="H52" s="10">
        <v>60</v>
      </c>
      <c r="I52" s="10">
        <v>57</v>
      </c>
      <c r="J52" s="10">
        <v>57</v>
      </c>
    </row>
    <row r="53" spans="1:10" ht="28.8" x14ac:dyDescent="0.3">
      <c r="A53" t="s">
        <v>64</v>
      </c>
      <c r="B53" s="2">
        <v>44938</v>
      </c>
      <c r="C53" s="3" t="s">
        <v>11</v>
      </c>
      <c r="D53" s="4" t="s">
        <v>25</v>
      </c>
      <c r="E53" s="4" t="s">
        <v>26</v>
      </c>
      <c r="F53" s="5"/>
      <c r="G53" s="6">
        <v>54</v>
      </c>
      <c r="H53" s="6">
        <v>60</v>
      </c>
      <c r="I53" s="6">
        <v>57</v>
      </c>
      <c r="J53" s="6">
        <v>57</v>
      </c>
    </row>
    <row r="54" spans="1:10" ht="28.8" x14ac:dyDescent="0.3">
      <c r="A54" t="s">
        <v>64</v>
      </c>
      <c r="B54" s="2">
        <v>44938</v>
      </c>
      <c r="C54" s="7" t="s">
        <v>11</v>
      </c>
      <c r="D54" s="8" t="s">
        <v>27</v>
      </c>
      <c r="E54" s="8" t="s">
        <v>13</v>
      </c>
      <c r="F54" s="9"/>
      <c r="G54" s="10">
        <v>30</v>
      </c>
      <c r="H54" s="10">
        <v>60</v>
      </c>
      <c r="I54" s="10">
        <v>42</v>
      </c>
      <c r="J54" s="10">
        <v>36</v>
      </c>
    </row>
    <row r="55" spans="1:10" ht="28.8" x14ac:dyDescent="0.3">
      <c r="A55" t="s">
        <v>64</v>
      </c>
      <c r="B55" s="2">
        <v>44938</v>
      </c>
      <c r="C55" s="3" t="s">
        <v>11</v>
      </c>
      <c r="D55" s="4" t="s">
        <v>28</v>
      </c>
      <c r="E55" s="4" t="s">
        <v>13</v>
      </c>
      <c r="F55" s="5"/>
      <c r="G55" s="6">
        <v>20</v>
      </c>
      <c r="H55" s="6">
        <v>36</v>
      </c>
      <c r="I55" s="6">
        <v>27</v>
      </c>
      <c r="J55" s="6">
        <v>25</v>
      </c>
    </row>
    <row r="56" spans="1:10" ht="28.8" x14ac:dyDescent="0.3">
      <c r="A56" t="s">
        <v>64</v>
      </c>
      <c r="B56" s="2">
        <v>44938</v>
      </c>
      <c r="C56" s="7" t="s">
        <v>11</v>
      </c>
      <c r="D56" s="8" t="s">
        <v>29</v>
      </c>
      <c r="E56" s="8" t="s">
        <v>13</v>
      </c>
      <c r="F56" s="10">
        <v>42</v>
      </c>
      <c r="G56" s="10">
        <v>36</v>
      </c>
      <c r="H56" s="10">
        <v>42</v>
      </c>
      <c r="I56" s="10">
        <v>40</v>
      </c>
      <c r="J56" s="10">
        <v>42</v>
      </c>
    </row>
    <row r="57" spans="1:10" ht="28.8" x14ac:dyDescent="0.3">
      <c r="A57" t="s">
        <v>64</v>
      </c>
      <c r="B57" s="2">
        <v>44938</v>
      </c>
      <c r="C57" s="3" t="s">
        <v>30</v>
      </c>
      <c r="D57" s="4" t="s">
        <v>31</v>
      </c>
      <c r="E57" s="4" t="s">
        <v>32</v>
      </c>
      <c r="F57" s="6">
        <v>4</v>
      </c>
      <c r="G57" s="6" t="s">
        <v>263</v>
      </c>
      <c r="H57" s="6">
        <v>5</v>
      </c>
      <c r="I57" s="6" t="s">
        <v>264</v>
      </c>
      <c r="J57" s="6">
        <v>4</v>
      </c>
    </row>
    <row r="58" spans="1:10" ht="28.8" x14ac:dyDescent="0.3">
      <c r="A58" t="s">
        <v>64</v>
      </c>
      <c r="B58" s="2">
        <v>44938</v>
      </c>
      <c r="C58" s="7" t="s">
        <v>30</v>
      </c>
      <c r="D58" s="8" t="s">
        <v>33</v>
      </c>
      <c r="E58" s="8" t="s">
        <v>34</v>
      </c>
      <c r="F58" s="10">
        <v>20</v>
      </c>
      <c r="G58" s="10">
        <v>20</v>
      </c>
      <c r="H58" s="10">
        <v>25</v>
      </c>
      <c r="I58" s="10">
        <v>21</v>
      </c>
      <c r="J58" s="10">
        <v>20</v>
      </c>
    </row>
    <row r="59" spans="1:10" ht="28.8" x14ac:dyDescent="0.3">
      <c r="A59" t="s">
        <v>64</v>
      </c>
      <c r="B59" s="2">
        <v>44938</v>
      </c>
      <c r="C59" s="3" t="s">
        <v>30</v>
      </c>
      <c r="D59" s="4" t="s">
        <v>35</v>
      </c>
      <c r="E59" s="4" t="s">
        <v>34</v>
      </c>
      <c r="F59" s="6">
        <v>20</v>
      </c>
      <c r="G59" s="6">
        <v>20</v>
      </c>
      <c r="H59" s="6">
        <v>25</v>
      </c>
      <c r="I59" s="6" t="s">
        <v>255</v>
      </c>
      <c r="J59" s="6" t="s">
        <v>255</v>
      </c>
    </row>
    <row r="60" spans="1:10" ht="43.2" x14ac:dyDescent="0.3">
      <c r="A60" t="s">
        <v>64</v>
      </c>
      <c r="B60" s="2">
        <v>44938</v>
      </c>
      <c r="C60" s="7" t="s">
        <v>36</v>
      </c>
      <c r="D60" s="8" t="s">
        <v>37</v>
      </c>
      <c r="E60" s="8" t="s">
        <v>38</v>
      </c>
      <c r="F60" s="10">
        <v>100</v>
      </c>
      <c r="G60" s="10">
        <v>80</v>
      </c>
      <c r="H60" s="10">
        <v>100</v>
      </c>
      <c r="I60" s="10" t="s">
        <v>265</v>
      </c>
      <c r="J60" s="10">
        <v>100</v>
      </c>
    </row>
    <row r="61" spans="1:10" ht="43.2" x14ac:dyDescent="0.3">
      <c r="A61" t="s">
        <v>64</v>
      </c>
      <c r="B61" s="2">
        <v>44938</v>
      </c>
      <c r="C61" s="3" t="s">
        <v>36</v>
      </c>
      <c r="D61" s="4" t="s">
        <v>66</v>
      </c>
      <c r="E61" s="4"/>
      <c r="F61" s="5"/>
      <c r="G61" s="6">
        <v>40</v>
      </c>
      <c r="H61" s="6">
        <v>65</v>
      </c>
      <c r="I61" s="6" t="s">
        <v>266</v>
      </c>
      <c r="J61" s="6" t="s">
        <v>266</v>
      </c>
    </row>
    <row r="62" spans="1:10" ht="43.2" x14ac:dyDescent="0.3">
      <c r="A62" t="s">
        <v>64</v>
      </c>
      <c r="B62" s="2">
        <v>44938</v>
      </c>
      <c r="C62" s="7" t="s">
        <v>36</v>
      </c>
      <c r="D62" s="8" t="s">
        <v>41</v>
      </c>
      <c r="E62" s="8" t="s">
        <v>42</v>
      </c>
      <c r="F62" s="10">
        <v>50</v>
      </c>
      <c r="G62" s="10">
        <v>45</v>
      </c>
      <c r="H62" s="10">
        <v>55</v>
      </c>
      <c r="I62" s="10">
        <v>50</v>
      </c>
      <c r="J62" s="10">
        <v>50</v>
      </c>
    </row>
    <row r="63" spans="1:10" ht="43.2" x14ac:dyDescent="0.3">
      <c r="A63" t="s">
        <v>64</v>
      </c>
      <c r="B63" s="2">
        <v>44938</v>
      </c>
      <c r="C63" s="3" t="s">
        <v>36</v>
      </c>
      <c r="D63" s="4" t="s">
        <v>43</v>
      </c>
      <c r="E63" s="4" t="s">
        <v>42</v>
      </c>
      <c r="F63" s="5"/>
      <c r="G63" s="5"/>
      <c r="H63" s="5"/>
      <c r="I63" s="5"/>
      <c r="J63" s="5"/>
    </row>
    <row r="64" spans="1:10" ht="43.2" x14ac:dyDescent="0.3">
      <c r="A64" t="s">
        <v>64</v>
      </c>
      <c r="B64" s="2">
        <v>44938</v>
      </c>
      <c r="C64" s="7" t="s">
        <v>36</v>
      </c>
      <c r="D64" s="8" t="s">
        <v>44</v>
      </c>
      <c r="E64" s="8" t="s">
        <v>45</v>
      </c>
      <c r="F64" s="10">
        <v>50</v>
      </c>
      <c r="G64" s="10">
        <v>50</v>
      </c>
      <c r="H64" s="10">
        <v>60</v>
      </c>
      <c r="I64" s="10">
        <v>55</v>
      </c>
      <c r="J64" s="10">
        <v>55</v>
      </c>
    </row>
    <row r="65" spans="1:10" ht="43.2" x14ac:dyDescent="0.3">
      <c r="A65" t="s">
        <v>64</v>
      </c>
      <c r="B65" s="2">
        <v>44938</v>
      </c>
      <c r="C65" s="3" t="s">
        <v>36</v>
      </c>
      <c r="D65" s="4" t="s">
        <v>46</v>
      </c>
      <c r="E65" s="4" t="s">
        <v>40</v>
      </c>
      <c r="F65" s="6">
        <v>50</v>
      </c>
      <c r="G65" s="6">
        <v>40</v>
      </c>
      <c r="H65" s="6">
        <v>75</v>
      </c>
      <c r="I65" s="6" t="s">
        <v>260</v>
      </c>
      <c r="J65" s="6" t="s">
        <v>266</v>
      </c>
    </row>
    <row r="66" spans="1:10" ht="43.2" x14ac:dyDescent="0.3">
      <c r="A66" t="s">
        <v>64</v>
      </c>
      <c r="B66" s="2">
        <v>44938</v>
      </c>
      <c r="C66" s="7" t="s">
        <v>36</v>
      </c>
      <c r="D66" s="8" t="s">
        <v>47</v>
      </c>
      <c r="E66" s="8" t="s">
        <v>40</v>
      </c>
      <c r="F66" s="10">
        <v>70</v>
      </c>
      <c r="G66" s="10">
        <v>50</v>
      </c>
      <c r="H66" s="10">
        <v>90</v>
      </c>
      <c r="I66" s="10" t="s">
        <v>267</v>
      </c>
      <c r="J66" s="10">
        <v>70</v>
      </c>
    </row>
    <row r="67" spans="1:10" ht="43.2" x14ac:dyDescent="0.3">
      <c r="A67" t="s">
        <v>64</v>
      </c>
      <c r="B67" s="2">
        <v>44938</v>
      </c>
      <c r="C67" s="3" t="s">
        <v>36</v>
      </c>
      <c r="D67" s="4" t="s">
        <v>48</v>
      </c>
      <c r="E67" s="4" t="s">
        <v>38</v>
      </c>
      <c r="F67" s="5"/>
      <c r="G67" s="6">
        <v>60</v>
      </c>
      <c r="H67" s="6">
        <v>65</v>
      </c>
      <c r="I67" s="6" t="s">
        <v>268</v>
      </c>
      <c r="J67" s="6" t="s">
        <v>268</v>
      </c>
    </row>
    <row r="68" spans="1:10" ht="43.2" x14ac:dyDescent="0.3">
      <c r="A68" t="s">
        <v>64</v>
      </c>
      <c r="B68" s="2">
        <v>44938</v>
      </c>
      <c r="C68" s="7" t="s">
        <v>36</v>
      </c>
      <c r="D68" s="8" t="s">
        <v>49</v>
      </c>
      <c r="E68" s="8" t="s">
        <v>40</v>
      </c>
      <c r="F68" s="9"/>
      <c r="G68" s="10">
        <v>60</v>
      </c>
      <c r="H68" s="10">
        <v>65</v>
      </c>
      <c r="I68" s="10" t="s">
        <v>268</v>
      </c>
      <c r="J68" s="10" t="s">
        <v>268</v>
      </c>
    </row>
    <row r="69" spans="1:10" ht="43.2" x14ac:dyDescent="0.3">
      <c r="A69" t="s">
        <v>64</v>
      </c>
      <c r="B69" s="2">
        <v>44938</v>
      </c>
      <c r="C69" s="3" t="s">
        <v>36</v>
      </c>
      <c r="D69" s="4" t="s">
        <v>50</v>
      </c>
      <c r="E69" s="4" t="s">
        <v>38</v>
      </c>
      <c r="F69" s="6">
        <v>60</v>
      </c>
      <c r="G69" s="6">
        <v>50</v>
      </c>
      <c r="H69" s="6">
        <v>60</v>
      </c>
      <c r="I69" s="6" t="s">
        <v>256</v>
      </c>
      <c r="J69" s="6">
        <v>60</v>
      </c>
    </row>
    <row r="70" spans="1:10" ht="43.2" x14ac:dyDescent="0.3">
      <c r="A70" t="s">
        <v>64</v>
      </c>
      <c r="B70" s="2">
        <v>44938</v>
      </c>
      <c r="C70" s="7" t="s">
        <v>36</v>
      </c>
      <c r="D70" s="8" t="s">
        <v>51</v>
      </c>
      <c r="E70" s="8" t="s">
        <v>38</v>
      </c>
      <c r="F70" s="10">
        <v>70</v>
      </c>
      <c r="G70" s="10">
        <v>70</v>
      </c>
      <c r="H70" s="10">
        <v>80</v>
      </c>
      <c r="I70" s="10">
        <v>73</v>
      </c>
      <c r="J70" s="10">
        <v>70</v>
      </c>
    </row>
    <row r="71" spans="1:10" ht="43.2" x14ac:dyDescent="0.3">
      <c r="A71" t="s">
        <v>64</v>
      </c>
      <c r="B71" s="2">
        <v>44938</v>
      </c>
      <c r="C71" s="3" t="s">
        <v>36</v>
      </c>
      <c r="D71" s="4" t="s">
        <v>52</v>
      </c>
      <c r="E71" s="4" t="s">
        <v>42</v>
      </c>
      <c r="F71" s="6">
        <v>40</v>
      </c>
      <c r="G71" s="6">
        <v>30</v>
      </c>
      <c r="H71" s="6">
        <v>50</v>
      </c>
      <c r="I71" s="6" t="s">
        <v>269</v>
      </c>
      <c r="J71" s="6">
        <v>40</v>
      </c>
    </row>
    <row r="72" spans="1:10" ht="43.2" x14ac:dyDescent="0.3">
      <c r="A72" t="s">
        <v>64</v>
      </c>
      <c r="B72" s="2">
        <v>44938</v>
      </c>
      <c r="C72" s="7" t="s">
        <v>36</v>
      </c>
      <c r="D72" s="8" t="s">
        <v>53</v>
      </c>
      <c r="E72" s="8" t="s">
        <v>54</v>
      </c>
      <c r="F72" s="10">
        <v>70</v>
      </c>
      <c r="G72" s="10">
        <v>70</v>
      </c>
      <c r="H72" s="10">
        <v>130</v>
      </c>
      <c r="I72" s="10" t="s">
        <v>270</v>
      </c>
      <c r="J72" s="10">
        <v>110</v>
      </c>
    </row>
    <row r="73" spans="1:10" ht="43.2" x14ac:dyDescent="0.3">
      <c r="A73" t="s">
        <v>64</v>
      </c>
      <c r="B73" s="2">
        <v>44938</v>
      </c>
      <c r="C73" s="3" t="s">
        <v>36</v>
      </c>
      <c r="D73" s="4" t="s">
        <v>55</v>
      </c>
      <c r="E73" s="4" t="s">
        <v>38</v>
      </c>
      <c r="F73" s="6">
        <v>90</v>
      </c>
      <c r="G73" s="6">
        <v>80</v>
      </c>
      <c r="H73" s="6">
        <v>100</v>
      </c>
      <c r="I73" s="6">
        <v>92</v>
      </c>
      <c r="J73" s="6">
        <v>90</v>
      </c>
    </row>
    <row r="74" spans="1:10" ht="43.2" x14ac:dyDescent="0.3">
      <c r="A74" t="s">
        <v>64</v>
      </c>
      <c r="B74" s="2">
        <v>44938</v>
      </c>
      <c r="C74" s="7" t="s">
        <v>36</v>
      </c>
      <c r="D74" s="8" t="s">
        <v>56</v>
      </c>
      <c r="E74" s="8" t="s">
        <v>38</v>
      </c>
      <c r="F74" s="10">
        <v>100</v>
      </c>
      <c r="G74" s="10">
        <v>100</v>
      </c>
      <c r="H74" s="10">
        <v>130</v>
      </c>
      <c r="I74" s="10">
        <v>108</v>
      </c>
      <c r="J74" s="10">
        <v>100</v>
      </c>
    </row>
    <row r="75" spans="1:10" x14ac:dyDescent="0.3">
      <c r="A75" t="s">
        <v>64</v>
      </c>
      <c r="B75" s="2">
        <v>44938</v>
      </c>
      <c r="C75" s="3" t="s">
        <v>57</v>
      </c>
      <c r="D75" s="4" t="s">
        <v>58</v>
      </c>
      <c r="E75" s="4" t="s">
        <v>38</v>
      </c>
      <c r="F75" s="5"/>
      <c r="G75" s="5"/>
      <c r="H75" s="5"/>
      <c r="I75" s="5"/>
      <c r="J75" s="5"/>
    </row>
    <row r="76" spans="1:10" x14ac:dyDescent="0.3">
      <c r="A76" t="s">
        <v>64</v>
      </c>
      <c r="B76" s="2">
        <v>44938</v>
      </c>
      <c r="C76" s="7" t="s">
        <v>57</v>
      </c>
      <c r="D76" s="8" t="s">
        <v>59</v>
      </c>
      <c r="E76" s="8" t="s">
        <v>38</v>
      </c>
      <c r="F76" s="9"/>
      <c r="G76" s="9"/>
      <c r="H76" s="9"/>
      <c r="I76" s="9"/>
      <c r="J76" s="9"/>
    </row>
    <row r="77" spans="1:10" x14ac:dyDescent="0.3">
      <c r="A77" t="s">
        <v>64</v>
      </c>
      <c r="B77" s="2">
        <v>44938</v>
      </c>
      <c r="C77" s="3" t="s">
        <v>57</v>
      </c>
      <c r="D77" s="4" t="s">
        <v>60</v>
      </c>
      <c r="E77" s="4" t="s">
        <v>38</v>
      </c>
      <c r="F77" s="5"/>
      <c r="G77" s="5"/>
      <c r="H77" s="5"/>
      <c r="I77" s="5"/>
      <c r="J77" s="5"/>
    </row>
    <row r="78" spans="1:10" x14ac:dyDescent="0.3">
      <c r="A78" t="s">
        <v>64</v>
      </c>
      <c r="B78" s="2">
        <v>44938</v>
      </c>
      <c r="C78" s="7" t="s">
        <v>57</v>
      </c>
      <c r="D78" s="8" t="s">
        <v>61</v>
      </c>
      <c r="E78" s="8" t="s">
        <v>42</v>
      </c>
      <c r="F78" s="9"/>
      <c r="G78" s="10">
        <v>28</v>
      </c>
      <c r="H78" s="10">
        <v>28</v>
      </c>
      <c r="I78" s="10">
        <v>28</v>
      </c>
      <c r="J78" s="10">
        <v>28</v>
      </c>
    </row>
    <row r="79" spans="1:10" x14ac:dyDescent="0.3">
      <c r="A79" t="s">
        <v>64</v>
      </c>
      <c r="B79" s="2">
        <v>44938</v>
      </c>
      <c r="C79" s="3" t="s">
        <v>57</v>
      </c>
      <c r="D79" s="4" t="s">
        <v>62</v>
      </c>
      <c r="E79" s="4" t="s">
        <v>63</v>
      </c>
      <c r="F79" s="5"/>
      <c r="G79" s="5"/>
      <c r="H79" s="5"/>
      <c r="I79" s="5"/>
      <c r="J79" s="5"/>
    </row>
    <row r="80" spans="1:10" ht="28.8" x14ac:dyDescent="0.3">
      <c r="A80" t="s">
        <v>67</v>
      </c>
      <c r="B80" s="2">
        <v>44945</v>
      </c>
      <c r="C80" s="3" t="s">
        <v>11</v>
      </c>
      <c r="D80" s="4" t="s">
        <v>12</v>
      </c>
      <c r="E80" s="4" t="s">
        <v>13</v>
      </c>
      <c r="F80" s="6">
        <v>42</v>
      </c>
      <c r="G80" s="6">
        <v>42</v>
      </c>
      <c r="H80" s="6">
        <v>42</v>
      </c>
      <c r="I80" s="6">
        <v>42</v>
      </c>
      <c r="J80" s="6">
        <v>42</v>
      </c>
    </row>
    <row r="81" spans="1:10" ht="28.8" x14ac:dyDescent="0.3">
      <c r="A81" t="s">
        <v>67</v>
      </c>
      <c r="B81" s="2">
        <v>44945</v>
      </c>
      <c r="C81" s="7" t="s">
        <v>11</v>
      </c>
      <c r="D81" s="8" t="s">
        <v>14</v>
      </c>
      <c r="E81" s="8" t="s">
        <v>13</v>
      </c>
      <c r="F81" s="10">
        <v>60</v>
      </c>
      <c r="G81" s="10">
        <v>60</v>
      </c>
      <c r="H81" s="10">
        <v>60</v>
      </c>
      <c r="I81" s="10">
        <v>60</v>
      </c>
      <c r="J81" s="10">
        <v>60</v>
      </c>
    </row>
    <row r="82" spans="1:10" ht="28.8" x14ac:dyDescent="0.3">
      <c r="A82" t="s">
        <v>67</v>
      </c>
      <c r="B82" s="2">
        <v>44945</v>
      </c>
      <c r="C82" s="3" t="s">
        <v>11</v>
      </c>
      <c r="D82" s="4" t="s">
        <v>15</v>
      </c>
      <c r="E82" s="4" t="s">
        <v>13</v>
      </c>
      <c r="F82" s="6">
        <v>30</v>
      </c>
      <c r="G82" s="6">
        <v>30</v>
      </c>
      <c r="H82" s="6">
        <v>42</v>
      </c>
      <c r="I82" s="6">
        <v>34</v>
      </c>
      <c r="J82" s="6">
        <v>30</v>
      </c>
    </row>
    <row r="83" spans="1:10" ht="28.8" x14ac:dyDescent="0.3">
      <c r="A83" t="s">
        <v>67</v>
      </c>
      <c r="B83" s="2">
        <v>44945</v>
      </c>
      <c r="C83" s="7" t="s">
        <v>11</v>
      </c>
      <c r="D83" s="8" t="s">
        <v>16</v>
      </c>
      <c r="E83" s="8" t="s">
        <v>13</v>
      </c>
      <c r="F83" s="10">
        <v>24</v>
      </c>
      <c r="G83" s="10">
        <v>20</v>
      </c>
      <c r="H83" s="10">
        <v>24</v>
      </c>
      <c r="I83" s="10" t="s">
        <v>255</v>
      </c>
      <c r="J83" s="10">
        <v>23</v>
      </c>
    </row>
    <row r="84" spans="1:10" ht="28.8" x14ac:dyDescent="0.3">
      <c r="A84" t="s">
        <v>67</v>
      </c>
      <c r="B84" s="2">
        <v>44945</v>
      </c>
      <c r="C84" s="3" t="s">
        <v>11</v>
      </c>
      <c r="D84" s="4" t="s">
        <v>17</v>
      </c>
      <c r="E84" s="4" t="s">
        <v>13</v>
      </c>
      <c r="F84" s="5"/>
      <c r="G84" s="6">
        <v>18</v>
      </c>
      <c r="H84" s="6">
        <v>24</v>
      </c>
      <c r="I84" s="6">
        <v>21</v>
      </c>
      <c r="J84" s="6">
        <v>21</v>
      </c>
    </row>
    <row r="85" spans="1:10" ht="28.8" x14ac:dyDescent="0.3">
      <c r="A85" t="s">
        <v>67</v>
      </c>
      <c r="B85" s="2">
        <v>44945</v>
      </c>
      <c r="C85" s="7" t="s">
        <v>11</v>
      </c>
      <c r="D85" s="8" t="s">
        <v>18</v>
      </c>
      <c r="E85" s="8" t="s">
        <v>13</v>
      </c>
      <c r="F85" s="9"/>
      <c r="G85" s="10">
        <v>24</v>
      </c>
      <c r="H85" s="10">
        <v>48</v>
      </c>
      <c r="I85" s="10">
        <v>38</v>
      </c>
      <c r="J85" s="10">
        <v>42</v>
      </c>
    </row>
    <row r="86" spans="1:10" ht="28.8" x14ac:dyDescent="0.3">
      <c r="A86" t="s">
        <v>67</v>
      </c>
      <c r="B86" s="2">
        <v>44945</v>
      </c>
      <c r="C86" s="3" t="s">
        <v>11</v>
      </c>
      <c r="D86" s="4" t="s">
        <v>19</v>
      </c>
      <c r="E86" s="4" t="s">
        <v>13</v>
      </c>
      <c r="F86" s="5"/>
      <c r="G86" s="6">
        <v>72</v>
      </c>
      <c r="H86" s="6">
        <v>78</v>
      </c>
      <c r="I86" s="6">
        <v>75</v>
      </c>
      <c r="J86" s="6">
        <v>75</v>
      </c>
    </row>
    <row r="87" spans="1:10" ht="28.8" x14ac:dyDescent="0.3">
      <c r="A87" t="s">
        <v>67</v>
      </c>
      <c r="B87" s="2">
        <v>44945</v>
      </c>
      <c r="C87" s="7" t="s">
        <v>11</v>
      </c>
      <c r="D87" s="8" t="s">
        <v>20</v>
      </c>
      <c r="E87" s="8" t="s">
        <v>13</v>
      </c>
      <c r="F87" s="9"/>
      <c r="G87" s="10">
        <v>50</v>
      </c>
      <c r="H87" s="10">
        <v>84</v>
      </c>
      <c r="I87" s="10" t="s">
        <v>271</v>
      </c>
      <c r="J87" s="10">
        <v>60</v>
      </c>
    </row>
    <row r="88" spans="1:10" ht="28.8" x14ac:dyDescent="0.3">
      <c r="A88" t="s">
        <v>67</v>
      </c>
      <c r="B88" s="2">
        <v>44945</v>
      </c>
      <c r="C88" s="3" t="s">
        <v>11</v>
      </c>
      <c r="D88" s="4" t="s">
        <v>21</v>
      </c>
      <c r="E88" s="4" t="s">
        <v>13</v>
      </c>
      <c r="F88" s="6">
        <v>18</v>
      </c>
      <c r="G88" s="6">
        <v>18</v>
      </c>
      <c r="H88" s="6">
        <v>24</v>
      </c>
      <c r="I88" s="6">
        <v>20</v>
      </c>
      <c r="J88" s="6">
        <v>18</v>
      </c>
    </row>
    <row r="89" spans="1:10" ht="28.8" x14ac:dyDescent="0.3">
      <c r="A89" t="s">
        <v>67</v>
      </c>
      <c r="B89" s="2">
        <v>44945</v>
      </c>
      <c r="C89" s="7" t="s">
        <v>11</v>
      </c>
      <c r="D89" s="8" t="s">
        <v>22</v>
      </c>
      <c r="E89" s="8"/>
      <c r="F89" s="9"/>
      <c r="G89" s="10">
        <v>55</v>
      </c>
      <c r="H89" s="10">
        <v>80</v>
      </c>
      <c r="I89" s="10" t="s">
        <v>272</v>
      </c>
      <c r="J89" s="10" t="s">
        <v>272</v>
      </c>
    </row>
    <row r="90" spans="1:10" ht="28.8" x14ac:dyDescent="0.3">
      <c r="A90" t="s">
        <v>67</v>
      </c>
      <c r="B90" s="2">
        <v>44945</v>
      </c>
      <c r="C90" s="3" t="s">
        <v>11</v>
      </c>
      <c r="D90" s="4" t="s">
        <v>23</v>
      </c>
      <c r="E90" s="4" t="s">
        <v>13</v>
      </c>
      <c r="F90" s="5"/>
      <c r="G90" s="6">
        <v>18</v>
      </c>
      <c r="H90" s="6">
        <v>24</v>
      </c>
      <c r="I90" s="6">
        <v>21</v>
      </c>
      <c r="J90" s="6">
        <v>21</v>
      </c>
    </row>
    <row r="91" spans="1:10" ht="28.8" x14ac:dyDescent="0.3">
      <c r="A91" t="s">
        <v>67</v>
      </c>
      <c r="B91" s="2">
        <v>44945</v>
      </c>
      <c r="C91" s="7" t="s">
        <v>11</v>
      </c>
      <c r="D91" s="8" t="s">
        <v>24</v>
      </c>
      <c r="E91" s="8" t="s">
        <v>13</v>
      </c>
      <c r="F91" s="10">
        <v>60</v>
      </c>
      <c r="G91" s="10">
        <v>60</v>
      </c>
      <c r="H91" s="10">
        <v>60</v>
      </c>
      <c r="I91" s="10">
        <v>60</v>
      </c>
      <c r="J91" s="10">
        <v>60</v>
      </c>
    </row>
    <row r="92" spans="1:10" ht="28.8" x14ac:dyDescent="0.3">
      <c r="A92" t="s">
        <v>67</v>
      </c>
      <c r="B92" s="2">
        <v>44945</v>
      </c>
      <c r="C92" s="3" t="s">
        <v>11</v>
      </c>
      <c r="D92" s="4" t="s">
        <v>25</v>
      </c>
      <c r="E92" s="4" t="s">
        <v>26</v>
      </c>
      <c r="F92" s="5"/>
      <c r="G92" s="6">
        <v>48</v>
      </c>
      <c r="H92" s="6">
        <v>60</v>
      </c>
      <c r="I92" s="6">
        <v>54</v>
      </c>
      <c r="J92" s="6">
        <v>54</v>
      </c>
    </row>
    <row r="93" spans="1:10" ht="28.8" x14ac:dyDescent="0.3">
      <c r="A93" t="s">
        <v>67</v>
      </c>
      <c r="B93" s="2">
        <v>44945</v>
      </c>
      <c r="C93" s="7" t="s">
        <v>11</v>
      </c>
      <c r="D93" s="8" t="s">
        <v>27</v>
      </c>
      <c r="E93" s="8" t="s">
        <v>13</v>
      </c>
      <c r="F93" s="9"/>
      <c r="G93" s="10">
        <v>42</v>
      </c>
      <c r="H93" s="10">
        <v>66</v>
      </c>
      <c r="I93" s="10">
        <v>54</v>
      </c>
      <c r="J93" s="10">
        <v>54</v>
      </c>
    </row>
    <row r="94" spans="1:10" ht="28.8" x14ac:dyDescent="0.3">
      <c r="A94" t="s">
        <v>67</v>
      </c>
      <c r="B94" s="2">
        <v>44945</v>
      </c>
      <c r="C94" s="3" t="s">
        <v>11</v>
      </c>
      <c r="D94" s="4" t="s">
        <v>28</v>
      </c>
      <c r="E94" s="4" t="s">
        <v>13</v>
      </c>
      <c r="F94" s="6">
        <v>30</v>
      </c>
      <c r="G94" s="6">
        <v>25</v>
      </c>
      <c r="H94" s="6">
        <v>30</v>
      </c>
      <c r="I94" s="6" t="s">
        <v>273</v>
      </c>
      <c r="J94" s="6">
        <v>30</v>
      </c>
    </row>
    <row r="95" spans="1:10" ht="28.8" x14ac:dyDescent="0.3">
      <c r="A95" t="s">
        <v>67</v>
      </c>
      <c r="B95" s="2">
        <v>44945</v>
      </c>
      <c r="C95" s="7" t="s">
        <v>11</v>
      </c>
      <c r="D95" s="8" t="s">
        <v>29</v>
      </c>
      <c r="E95" s="8" t="s">
        <v>13</v>
      </c>
      <c r="F95" s="10">
        <v>42</v>
      </c>
      <c r="G95" s="10">
        <v>30</v>
      </c>
      <c r="H95" s="10">
        <v>42</v>
      </c>
      <c r="I95" s="10" t="s">
        <v>274</v>
      </c>
      <c r="J95" s="10">
        <v>39</v>
      </c>
    </row>
    <row r="96" spans="1:10" ht="28.8" x14ac:dyDescent="0.3">
      <c r="A96" t="s">
        <v>67</v>
      </c>
      <c r="B96" s="2">
        <v>44945</v>
      </c>
      <c r="C96" s="3" t="s">
        <v>30</v>
      </c>
      <c r="D96" s="4" t="s">
        <v>31</v>
      </c>
      <c r="E96" s="4" t="s">
        <v>32</v>
      </c>
      <c r="F96" s="6">
        <v>4</v>
      </c>
      <c r="G96" s="6">
        <v>4</v>
      </c>
      <c r="H96" s="6">
        <v>5</v>
      </c>
      <c r="I96" s="6" t="s">
        <v>275</v>
      </c>
      <c r="J96" s="6">
        <v>4</v>
      </c>
    </row>
    <row r="97" spans="1:10" ht="28.8" x14ac:dyDescent="0.3">
      <c r="A97" t="s">
        <v>67</v>
      </c>
      <c r="B97" s="2">
        <v>44945</v>
      </c>
      <c r="C97" s="7" t="s">
        <v>30</v>
      </c>
      <c r="D97" s="8" t="s">
        <v>33</v>
      </c>
      <c r="E97" s="8" t="s">
        <v>34</v>
      </c>
      <c r="F97" s="10">
        <v>20</v>
      </c>
      <c r="G97" s="10">
        <v>20</v>
      </c>
      <c r="H97" s="10">
        <v>22</v>
      </c>
      <c r="I97" s="10" t="s">
        <v>276</v>
      </c>
      <c r="J97" s="10">
        <v>20</v>
      </c>
    </row>
    <row r="98" spans="1:10" ht="28.8" x14ac:dyDescent="0.3">
      <c r="A98" t="s">
        <v>67</v>
      </c>
      <c r="B98" s="2">
        <v>44945</v>
      </c>
      <c r="C98" s="3" t="s">
        <v>30</v>
      </c>
      <c r="D98" s="4" t="s">
        <v>35</v>
      </c>
      <c r="E98" s="4" t="s">
        <v>34</v>
      </c>
      <c r="F98" s="6">
        <v>25</v>
      </c>
      <c r="G98" s="6">
        <v>25</v>
      </c>
      <c r="H98" s="6">
        <v>25</v>
      </c>
      <c r="I98" s="6">
        <v>25</v>
      </c>
      <c r="J98" s="6">
        <v>25</v>
      </c>
    </row>
    <row r="99" spans="1:10" ht="43.2" x14ac:dyDescent="0.3">
      <c r="A99" t="s">
        <v>67</v>
      </c>
      <c r="B99" s="2">
        <v>44945</v>
      </c>
      <c r="C99" s="7" t="s">
        <v>36</v>
      </c>
      <c r="D99" s="8" t="s">
        <v>37</v>
      </c>
      <c r="E99" s="8" t="s">
        <v>38</v>
      </c>
      <c r="F99" s="10">
        <v>60</v>
      </c>
      <c r="G99" s="10">
        <v>40</v>
      </c>
      <c r="H99" s="10">
        <v>60</v>
      </c>
      <c r="I99" s="10">
        <v>52</v>
      </c>
      <c r="J99" s="10">
        <v>55</v>
      </c>
    </row>
    <row r="100" spans="1:10" ht="43.2" x14ac:dyDescent="0.3">
      <c r="A100" t="s">
        <v>67</v>
      </c>
      <c r="B100" s="2">
        <v>44945</v>
      </c>
      <c r="C100" s="3" t="s">
        <v>36</v>
      </c>
      <c r="D100" s="4" t="s">
        <v>39</v>
      </c>
      <c r="E100" s="4" t="s">
        <v>40</v>
      </c>
      <c r="F100" s="6">
        <v>50</v>
      </c>
      <c r="G100" s="6">
        <v>50</v>
      </c>
      <c r="H100" s="6">
        <v>65</v>
      </c>
      <c r="I100" s="6" t="s">
        <v>277</v>
      </c>
      <c r="J100" s="6">
        <v>55</v>
      </c>
    </row>
    <row r="101" spans="1:10" ht="43.2" x14ac:dyDescent="0.3">
      <c r="A101" t="s">
        <v>67</v>
      </c>
      <c r="B101" s="2">
        <v>44945</v>
      </c>
      <c r="C101" s="7" t="s">
        <v>36</v>
      </c>
      <c r="D101" s="8" t="s">
        <v>41</v>
      </c>
      <c r="E101" s="8" t="s">
        <v>42</v>
      </c>
      <c r="F101" s="10">
        <v>50</v>
      </c>
      <c r="G101" s="10">
        <v>35</v>
      </c>
      <c r="H101" s="10">
        <v>55</v>
      </c>
      <c r="I101" s="10" t="s">
        <v>278</v>
      </c>
      <c r="J101" s="10" t="s">
        <v>279</v>
      </c>
    </row>
    <row r="102" spans="1:10" ht="43.2" x14ac:dyDescent="0.3">
      <c r="A102" t="s">
        <v>67</v>
      </c>
      <c r="B102" s="2">
        <v>44945</v>
      </c>
      <c r="C102" s="3" t="s">
        <v>36</v>
      </c>
      <c r="D102" s="4" t="s">
        <v>43</v>
      </c>
      <c r="E102" s="4" t="s">
        <v>42</v>
      </c>
      <c r="F102" s="5"/>
      <c r="G102" s="6">
        <v>120</v>
      </c>
      <c r="H102" s="6">
        <v>120</v>
      </c>
      <c r="I102" s="6">
        <v>120</v>
      </c>
      <c r="J102" s="6">
        <v>120</v>
      </c>
    </row>
    <row r="103" spans="1:10" ht="43.2" x14ac:dyDescent="0.3">
      <c r="A103" t="s">
        <v>67</v>
      </c>
      <c r="B103" s="2">
        <v>44945</v>
      </c>
      <c r="C103" s="7" t="s">
        <v>36</v>
      </c>
      <c r="D103" s="8" t="s">
        <v>44</v>
      </c>
      <c r="E103" s="8" t="s">
        <v>45</v>
      </c>
      <c r="F103" s="10">
        <v>50</v>
      </c>
      <c r="G103" s="10">
        <v>50</v>
      </c>
      <c r="H103" s="10">
        <v>60</v>
      </c>
      <c r="I103" s="10" t="s">
        <v>280</v>
      </c>
      <c r="J103" s="10" t="s">
        <v>266</v>
      </c>
    </row>
    <row r="104" spans="1:10" ht="43.2" x14ac:dyDescent="0.3">
      <c r="A104" t="s">
        <v>67</v>
      </c>
      <c r="B104" s="2">
        <v>44945</v>
      </c>
      <c r="C104" s="3" t="s">
        <v>36</v>
      </c>
      <c r="D104" s="4" t="s">
        <v>46</v>
      </c>
      <c r="E104" s="4" t="s">
        <v>40</v>
      </c>
      <c r="F104" s="6">
        <v>80</v>
      </c>
      <c r="G104" s="6">
        <v>50</v>
      </c>
      <c r="H104" s="6">
        <v>80</v>
      </c>
      <c r="I104" s="6">
        <v>66</v>
      </c>
      <c r="J104" s="6">
        <v>65</v>
      </c>
    </row>
    <row r="105" spans="1:10" ht="43.2" x14ac:dyDescent="0.3">
      <c r="A105" t="s">
        <v>67</v>
      </c>
      <c r="B105" s="2">
        <v>44945</v>
      </c>
      <c r="C105" s="7" t="s">
        <v>36</v>
      </c>
      <c r="D105" s="8" t="s">
        <v>47</v>
      </c>
      <c r="E105" s="8" t="s">
        <v>40</v>
      </c>
      <c r="F105" s="10">
        <v>70</v>
      </c>
      <c r="G105" s="10">
        <v>70</v>
      </c>
      <c r="H105" s="10">
        <v>80</v>
      </c>
      <c r="I105" s="10" t="s">
        <v>281</v>
      </c>
      <c r="J105" s="10">
        <v>70</v>
      </c>
    </row>
    <row r="106" spans="1:10" ht="43.2" x14ac:dyDescent="0.3">
      <c r="A106" t="s">
        <v>67</v>
      </c>
      <c r="B106" s="2">
        <v>44945</v>
      </c>
      <c r="C106" s="3" t="s">
        <v>36</v>
      </c>
      <c r="D106" s="4" t="s">
        <v>48</v>
      </c>
      <c r="E106" s="4" t="s">
        <v>38</v>
      </c>
      <c r="F106" s="6">
        <v>70</v>
      </c>
      <c r="G106" s="6">
        <v>60</v>
      </c>
      <c r="H106" s="6">
        <v>70</v>
      </c>
      <c r="I106" s="6">
        <v>66</v>
      </c>
      <c r="J106" s="6">
        <v>70</v>
      </c>
    </row>
    <row r="107" spans="1:10" ht="43.2" x14ac:dyDescent="0.3">
      <c r="A107" t="s">
        <v>67</v>
      </c>
      <c r="B107" s="2">
        <v>44945</v>
      </c>
      <c r="C107" s="7" t="s">
        <v>36</v>
      </c>
      <c r="D107" s="8" t="s">
        <v>49</v>
      </c>
      <c r="E107" s="8" t="s">
        <v>40</v>
      </c>
      <c r="F107" s="10">
        <v>60</v>
      </c>
      <c r="G107" s="10">
        <v>60</v>
      </c>
      <c r="H107" s="10">
        <v>60</v>
      </c>
      <c r="I107" s="10">
        <v>60</v>
      </c>
      <c r="J107" s="10">
        <v>60</v>
      </c>
    </row>
    <row r="108" spans="1:10" ht="43.2" x14ac:dyDescent="0.3">
      <c r="A108" t="s">
        <v>67</v>
      </c>
      <c r="B108" s="2">
        <v>44945</v>
      </c>
      <c r="C108" s="3" t="s">
        <v>36</v>
      </c>
      <c r="D108" s="4" t="s">
        <v>50</v>
      </c>
      <c r="E108" s="4" t="s">
        <v>38</v>
      </c>
      <c r="F108" s="6">
        <v>60</v>
      </c>
      <c r="G108" s="6">
        <v>40</v>
      </c>
      <c r="H108" s="6">
        <v>60</v>
      </c>
      <c r="I108" s="6">
        <v>53</v>
      </c>
      <c r="J108" s="6">
        <v>55</v>
      </c>
    </row>
    <row r="109" spans="1:10" ht="43.2" x14ac:dyDescent="0.3">
      <c r="A109" t="s">
        <v>67</v>
      </c>
      <c r="B109" s="2">
        <v>44945</v>
      </c>
      <c r="C109" s="7" t="s">
        <v>36</v>
      </c>
      <c r="D109" s="8" t="s">
        <v>51</v>
      </c>
      <c r="E109" s="8" t="s">
        <v>38</v>
      </c>
      <c r="F109" s="10">
        <v>70</v>
      </c>
      <c r="G109" s="10">
        <v>60</v>
      </c>
      <c r="H109" s="10">
        <v>80</v>
      </c>
      <c r="I109" s="10">
        <v>71</v>
      </c>
      <c r="J109" s="10">
        <v>70</v>
      </c>
    </row>
    <row r="110" spans="1:10" ht="43.2" x14ac:dyDescent="0.3">
      <c r="A110" t="s">
        <v>67</v>
      </c>
      <c r="B110" s="2">
        <v>44945</v>
      </c>
      <c r="C110" s="3" t="s">
        <v>36</v>
      </c>
      <c r="D110" s="4" t="s">
        <v>52</v>
      </c>
      <c r="E110" s="4" t="s">
        <v>42</v>
      </c>
      <c r="F110" s="6">
        <v>40</v>
      </c>
      <c r="G110" s="6">
        <v>35</v>
      </c>
      <c r="H110" s="6">
        <v>45</v>
      </c>
      <c r="I110" s="6">
        <v>40</v>
      </c>
      <c r="J110" s="6">
        <v>40</v>
      </c>
    </row>
    <row r="111" spans="1:10" ht="43.2" x14ac:dyDescent="0.3">
      <c r="A111" t="s">
        <v>67</v>
      </c>
      <c r="B111" s="2">
        <v>44945</v>
      </c>
      <c r="C111" s="7" t="s">
        <v>36</v>
      </c>
      <c r="D111" s="8" t="s">
        <v>53</v>
      </c>
      <c r="E111" s="8" t="s">
        <v>54</v>
      </c>
      <c r="F111" s="10">
        <v>70</v>
      </c>
      <c r="G111" s="10">
        <v>60</v>
      </c>
      <c r="H111" s="10">
        <v>75</v>
      </c>
      <c r="I111" s="10" t="s">
        <v>282</v>
      </c>
      <c r="J111" s="10">
        <v>70</v>
      </c>
    </row>
    <row r="112" spans="1:10" ht="43.2" x14ac:dyDescent="0.3">
      <c r="A112" t="s">
        <v>67</v>
      </c>
      <c r="B112" s="2">
        <v>44945</v>
      </c>
      <c r="C112" s="3" t="s">
        <v>36</v>
      </c>
      <c r="D112" s="4" t="s">
        <v>55</v>
      </c>
      <c r="E112" s="4" t="s">
        <v>38</v>
      </c>
      <c r="F112" s="6">
        <v>90</v>
      </c>
      <c r="G112" s="6">
        <v>70</v>
      </c>
      <c r="H112" s="6">
        <v>100</v>
      </c>
      <c r="I112" s="6" t="s">
        <v>283</v>
      </c>
      <c r="J112" s="6">
        <v>85</v>
      </c>
    </row>
    <row r="113" spans="1:10" ht="43.2" x14ac:dyDescent="0.3">
      <c r="A113" t="s">
        <v>67</v>
      </c>
      <c r="B113" s="2">
        <v>44945</v>
      </c>
      <c r="C113" s="7" t="s">
        <v>36</v>
      </c>
      <c r="D113" s="8" t="s">
        <v>56</v>
      </c>
      <c r="E113" s="8" t="s">
        <v>38</v>
      </c>
      <c r="F113" s="10">
        <v>120</v>
      </c>
      <c r="G113" s="10">
        <v>100</v>
      </c>
      <c r="H113" s="10">
        <v>120</v>
      </c>
      <c r="I113" s="10">
        <v>115</v>
      </c>
      <c r="J113" s="10">
        <v>120</v>
      </c>
    </row>
    <row r="114" spans="1:10" x14ac:dyDescent="0.3">
      <c r="A114" t="s">
        <v>67</v>
      </c>
      <c r="B114" s="2">
        <v>44945</v>
      </c>
      <c r="C114" s="3" t="s">
        <v>57</v>
      </c>
      <c r="D114" s="4" t="s">
        <v>58</v>
      </c>
      <c r="E114" s="4" t="s">
        <v>38</v>
      </c>
      <c r="F114" s="5"/>
      <c r="G114" s="5"/>
      <c r="H114" s="5"/>
      <c r="I114" s="5"/>
      <c r="J114" s="5"/>
    </row>
    <row r="115" spans="1:10" x14ac:dyDescent="0.3">
      <c r="A115" t="s">
        <v>67</v>
      </c>
      <c r="B115" s="2">
        <v>44945</v>
      </c>
      <c r="C115" s="7" t="s">
        <v>57</v>
      </c>
      <c r="D115" s="8" t="s">
        <v>59</v>
      </c>
      <c r="E115" s="8" t="s">
        <v>38</v>
      </c>
      <c r="F115" s="9"/>
      <c r="G115" s="9"/>
      <c r="H115" s="9"/>
      <c r="I115" s="9"/>
      <c r="J115" s="9"/>
    </row>
    <row r="116" spans="1:10" x14ac:dyDescent="0.3">
      <c r="A116" t="s">
        <v>67</v>
      </c>
      <c r="B116" s="2">
        <v>44945</v>
      </c>
      <c r="C116" s="3" t="s">
        <v>57</v>
      </c>
      <c r="D116" s="4" t="s">
        <v>60</v>
      </c>
      <c r="E116" s="4" t="s">
        <v>38</v>
      </c>
      <c r="F116" s="5"/>
      <c r="G116" s="5"/>
      <c r="H116" s="5"/>
      <c r="I116" s="5"/>
      <c r="J116" s="5"/>
    </row>
    <row r="117" spans="1:10" x14ac:dyDescent="0.3">
      <c r="A117" t="s">
        <v>67</v>
      </c>
      <c r="B117" s="2">
        <v>44945</v>
      </c>
      <c r="C117" s="7" t="s">
        <v>57</v>
      </c>
      <c r="D117" s="8" t="s">
        <v>61</v>
      </c>
      <c r="E117" s="8" t="s">
        <v>42</v>
      </c>
      <c r="F117" s="9"/>
      <c r="G117" s="9"/>
      <c r="H117" s="9"/>
      <c r="I117" s="9"/>
      <c r="J117" s="9"/>
    </row>
    <row r="118" spans="1:10" x14ac:dyDescent="0.3">
      <c r="A118" t="s">
        <v>67</v>
      </c>
      <c r="B118" s="2">
        <v>44945</v>
      </c>
      <c r="C118" s="3" t="s">
        <v>57</v>
      </c>
      <c r="D118" s="4" t="s">
        <v>62</v>
      </c>
      <c r="E118" s="4" t="s">
        <v>63</v>
      </c>
      <c r="F118" s="5"/>
      <c r="G118" s="5"/>
      <c r="H118" s="5"/>
      <c r="I118" s="5"/>
      <c r="J118" s="5"/>
    </row>
    <row r="119" spans="1:10" ht="28.8" x14ac:dyDescent="0.3">
      <c r="A119" t="s">
        <v>68</v>
      </c>
      <c r="B119" s="2">
        <v>44952</v>
      </c>
      <c r="C119" s="3" t="s">
        <v>11</v>
      </c>
      <c r="D119" s="4" t="s">
        <v>12</v>
      </c>
      <c r="E119" s="4" t="s">
        <v>13</v>
      </c>
      <c r="F119" s="6">
        <v>42</v>
      </c>
      <c r="G119" s="6">
        <v>42</v>
      </c>
      <c r="H119" s="6">
        <v>42</v>
      </c>
      <c r="I119" s="6">
        <v>42</v>
      </c>
      <c r="J119" s="6">
        <v>42</v>
      </c>
    </row>
    <row r="120" spans="1:10" ht="28.8" x14ac:dyDescent="0.3">
      <c r="A120" t="s">
        <v>68</v>
      </c>
      <c r="B120" s="2">
        <v>44952</v>
      </c>
      <c r="C120" s="7" t="s">
        <v>11</v>
      </c>
      <c r="D120" s="8" t="s">
        <v>14</v>
      </c>
      <c r="E120" s="8" t="s">
        <v>13</v>
      </c>
      <c r="F120" s="10">
        <v>60</v>
      </c>
      <c r="G120" s="10">
        <v>60</v>
      </c>
      <c r="H120" s="10">
        <v>60</v>
      </c>
      <c r="I120" s="10">
        <v>60</v>
      </c>
      <c r="J120" s="10">
        <v>60</v>
      </c>
    </row>
    <row r="121" spans="1:10" ht="28.8" x14ac:dyDescent="0.3">
      <c r="A121" t="s">
        <v>68</v>
      </c>
      <c r="B121" s="2">
        <v>44952</v>
      </c>
      <c r="C121" s="3" t="s">
        <v>11</v>
      </c>
      <c r="D121" s="4" t="s">
        <v>15</v>
      </c>
      <c r="E121" s="4" t="s">
        <v>13</v>
      </c>
      <c r="F121" s="5"/>
      <c r="G121" s="6">
        <v>36</v>
      </c>
      <c r="H121" s="6">
        <v>42</v>
      </c>
      <c r="I121" s="6">
        <v>39</v>
      </c>
      <c r="J121" s="6">
        <v>39</v>
      </c>
    </row>
    <row r="122" spans="1:10" ht="28.8" x14ac:dyDescent="0.3">
      <c r="A122" t="s">
        <v>68</v>
      </c>
      <c r="B122" s="2">
        <v>44952</v>
      </c>
      <c r="C122" s="7" t="s">
        <v>11</v>
      </c>
      <c r="D122" s="8" t="s">
        <v>16</v>
      </c>
      <c r="E122" s="8" t="s">
        <v>13</v>
      </c>
      <c r="F122" s="10">
        <v>24</v>
      </c>
      <c r="G122" s="10">
        <v>18</v>
      </c>
      <c r="H122" s="10">
        <v>24</v>
      </c>
      <c r="I122" s="10">
        <v>22</v>
      </c>
      <c r="J122" s="10">
        <v>24</v>
      </c>
    </row>
    <row r="123" spans="1:10" ht="28.8" x14ac:dyDescent="0.3">
      <c r="A123" t="s">
        <v>68</v>
      </c>
      <c r="B123" s="2">
        <v>44952</v>
      </c>
      <c r="C123" s="3" t="s">
        <v>11</v>
      </c>
      <c r="D123" s="4" t="s">
        <v>17</v>
      </c>
      <c r="E123" s="4" t="s">
        <v>13</v>
      </c>
      <c r="F123" s="6">
        <v>24</v>
      </c>
      <c r="G123" s="6">
        <v>18</v>
      </c>
      <c r="H123" s="6">
        <v>24</v>
      </c>
      <c r="I123" s="6">
        <v>22</v>
      </c>
      <c r="J123" s="6">
        <v>24</v>
      </c>
    </row>
    <row r="124" spans="1:10" ht="28.8" x14ac:dyDescent="0.3">
      <c r="A124" t="s">
        <v>68</v>
      </c>
      <c r="B124" s="2">
        <v>44952</v>
      </c>
      <c r="C124" s="7" t="s">
        <v>11</v>
      </c>
      <c r="D124" s="8" t="s">
        <v>18</v>
      </c>
      <c r="E124" s="8" t="s">
        <v>13</v>
      </c>
      <c r="F124" s="9"/>
      <c r="G124" s="10">
        <v>42</v>
      </c>
      <c r="H124" s="10">
        <v>48</v>
      </c>
      <c r="I124" s="10">
        <v>45</v>
      </c>
      <c r="J124" s="10">
        <v>45</v>
      </c>
    </row>
    <row r="125" spans="1:10" ht="28.8" x14ac:dyDescent="0.3">
      <c r="A125" t="s">
        <v>68</v>
      </c>
      <c r="B125" s="2">
        <v>44952</v>
      </c>
      <c r="C125" s="3" t="s">
        <v>11</v>
      </c>
      <c r="D125" s="4" t="s">
        <v>19</v>
      </c>
      <c r="E125" s="4" t="s">
        <v>13</v>
      </c>
      <c r="F125" s="5"/>
      <c r="G125" s="6">
        <v>66</v>
      </c>
      <c r="H125" s="6">
        <v>78</v>
      </c>
      <c r="I125" s="6">
        <v>72</v>
      </c>
      <c r="J125" s="6">
        <v>72</v>
      </c>
    </row>
    <row r="126" spans="1:10" ht="28.8" x14ac:dyDescent="0.3">
      <c r="A126" t="s">
        <v>68</v>
      </c>
      <c r="B126" s="2">
        <v>44952</v>
      </c>
      <c r="C126" s="7" t="s">
        <v>11</v>
      </c>
      <c r="D126" s="8" t="s">
        <v>20</v>
      </c>
      <c r="E126" s="8" t="s">
        <v>13</v>
      </c>
      <c r="F126" s="9"/>
      <c r="G126" s="10">
        <v>60</v>
      </c>
      <c r="H126" s="10">
        <v>72</v>
      </c>
      <c r="I126" s="10">
        <v>66</v>
      </c>
      <c r="J126" s="10">
        <v>66</v>
      </c>
    </row>
    <row r="127" spans="1:10" ht="28.8" x14ac:dyDescent="0.3">
      <c r="A127" t="s">
        <v>68</v>
      </c>
      <c r="B127" s="2">
        <v>44952</v>
      </c>
      <c r="C127" s="3" t="s">
        <v>11</v>
      </c>
      <c r="D127" s="4" t="s">
        <v>22</v>
      </c>
      <c r="E127" s="4"/>
      <c r="F127" s="5"/>
      <c r="G127" s="6">
        <v>15</v>
      </c>
      <c r="H127" s="6">
        <v>24</v>
      </c>
      <c r="I127" s="6">
        <v>19</v>
      </c>
      <c r="J127" s="6">
        <v>18</v>
      </c>
    </row>
    <row r="128" spans="1:10" ht="28.8" x14ac:dyDescent="0.3">
      <c r="A128" t="s">
        <v>68</v>
      </c>
      <c r="B128" s="2">
        <v>44952</v>
      </c>
      <c r="C128" s="7" t="s">
        <v>11</v>
      </c>
      <c r="D128" s="8" t="s">
        <v>22</v>
      </c>
      <c r="E128" s="8"/>
      <c r="F128" s="9"/>
      <c r="G128" s="10">
        <v>60</v>
      </c>
      <c r="H128" s="10">
        <v>84</v>
      </c>
      <c r="I128" s="10">
        <v>72</v>
      </c>
      <c r="J128" s="10">
        <v>72</v>
      </c>
    </row>
    <row r="129" spans="1:10" ht="28.8" x14ac:dyDescent="0.3">
      <c r="A129" t="s">
        <v>68</v>
      </c>
      <c r="B129" s="2">
        <v>44952</v>
      </c>
      <c r="C129" s="3" t="s">
        <v>11</v>
      </c>
      <c r="D129" s="4" t="s">
        <v>23</v>
      </c>
      <c r="E129" s="4" t="s">
        <v>13</v>
      </c>
      <c r="F129" s="6">
        <v>24</v>
      </c>
      <c r="G129" s="6">
        <v>18</v>
      </c>
      <c r="H129" s="6">
        <v>24</v>
      </c>
      <c r="I129" s="6">
        <v>22</v>
      </c>
      <c r="J129" s="6">
        <v>24</v>
      </c>
    </row>
    <row r="130" spans="1:10" ht="28.8" x14ac:dyDescent="0.3">
      <c r="A130" t="s">
        <v>68</v>
      </c>
      <c r="B130" s="2">
        <v>44952</v>
      </c>
      <c r="C130" s="7" t="s">
        <v>11</v>
      </c>
      <c r="D130" s="8" t="s">
        <v>24</v>
      </c>
      <c r="E130" s="8" t="s">
        <v>13</v>
      </c>
      <c r="F130" s="10">
        <v>60</v>
      </c>
      <c r="G130" s="10">
        <v>60</v>
      </c>
      <c r="H130" s="10">
        <v>60</v>
      </c>
      <c r="I130" s="10">
        <v>60</v>
      </c>
      <c r="J130" s="10">
        <v>60</v>
      </c>
    </row>
    <row r="131" spans="1:10" ht="28.8" x14ac:dyDescent="0.3">
      <c r="A131" t="s">
        <v>68</v>
      </c>
      <c r="B131" s="2">
        <v>44952</v>
      </c>
      <c r="C131" s="3" t="s">
        <v>11</v>
      </c>
      <c r="D131" s="4" t="s">
        <v>25</v>
      </c>
      <c r="E131" s="4" t="s">
        <v>26</v>
      </c>
      <c r="F131" s="5"/>
      <c r="G131" s="6">
        <v>54</v>
      </c>
      <c r="H131" s="6">
        <v>60</v>
      </c>
      <c r="I131" s="6">
        <v>57</v>
      </c>
      <c r="J131" s="6">
        <v>57</v>
      </c>
    </row>
    <row r="132" spans="1:10" ht="28.8" x14ac:dyDescent="0.3">
      <c r="A132" t="s">
        <v>68</v>
      </c>
      <c r="B132" s="2">
        <v>44952</v>
      </c>
      <c r="C132" s="7" t="s">
        <v>11</v>
      </c>
      <c r="D132" s="8" t="s">
        <v>27</v>
      </c>
      <c r="E132" s="8" t="s">
        <v>13</v>
      </c>
      <c r="F132" s="9"/>
      <c r="G132" s="10">
        <v>40</v>
      </c>
      <c r="H132" s="10">
        <v>54</v>
      </c>
      <c r="I132" s="10">
        <v>47</v>
      </c>
      <c r="J132" s="10">
        <v>47</v>
      </c>
    </row>
    <row r="133" spans="1:10" ht="28.8" x14ac:dyDescent="0.3">
      <c r="A133" t="s">
        <v>68</v>
      </c>
      <c r="B133" s="2">
        <v>44952</v>
      </c>
      <c r="C133" s="3" t="s">
        <v>11</v>
      </c>
      <c r="D133" s="4" t="s">
        <v>28</v>
      </c>
      <c r="E133" s="4" t="s">
        <v>13</v>
      </c>
      <c r="F133" s="5"/>
      <c r="G133" s="6">
        <v>25</v>
      </c>
      <c r="H133" s="6">
        <v>36</v>
      </c>
      <c r="I133" s="6" t="s">
        <v>284</v>
      </c>
      <c r="J133" s="6">
        <v>30</v>
      </c>
    </row>
    <row r="134" spans="1:10" ht="28.8" x14ac:dyDescent="0.3">
      <c r="A134" t="s">
        <v>68</v>
      </c>
      <c r="B134" s="2">
        <v>44952</v>
      </c>
      <c r="C134" s="7" t="s">
        <v>11</v>
      </c>
      <c r="D134" s="8" t="s">
        <v>29</v>
      </c>
      <c r="E134" s="8" t="s">
        <v>13</v>
      </c>
      <c r="F134" s="10">
        <v>42</v>
      </c>
      <c r="G134" s="10">
        <v>42</v>
      </c>
      <c r="H134" s="10">
        <v>42</v>
      </c>
      <c r="I134" s="10">
        <v>42</v>
      </c>
      <c r="J134" s="10">
        <v>42</v>
      </c>
    </row>
    <row r="135" spans="1:10" ht="28.8" x14ac:dyDescent="0.3">
      <c r="A135" t="s">
        <v>68</v>
      </c>
      <c r="B135" s="2">
        <v>44952</v>
      </c>
      <c r="C135" s="3" t="s">
        <v>30</v>
      </c>
      <c r="D135" s="4" t="s">
        <v>31</v>
      </c>
      <c r="E135" s="4" t="s">
        <v>32</v>
      </c>
      <c r="F135" s="5"/>
      <c r="G135" s="6">
        <v>4</v>
      </c>
      <c r="H135" s="6">
        <v>5</v>
      </c>
      <c r="I135" s="6" t="s">
        <v>285</v>
      </c>
      <c r="J135" s="6" t="s">
        <v>285</v>
      </c>
    </row>
    <row r="136" spans="1:10" ht="28.8" x14ac:dyDescent="0.3">
      <c r="A136" t="s">
        <v>68</v>
      </c>
      <c r="B136" s="2">
        <v>44952</v>
      </c>
      <c r="C136" s="7" t="s">
        <v>30</v>
      </c>
      <c r="D136" s="8" t="s">
        <v>33</v>
      </c>
      <c r="E136" s="8" t="s">
        <v>34</v>
      </c>
      <c r="F136" s="9"/>
      <c r="G136" s="10">
        <v>18</v>
      </c>
      <c r="H136" s="10">
        <v>20</v>
      </c>
      <c r="I136" s="10">
        <v>19</v>
      </c>
      <c r="J136" s="10">
        <v>19</v>
      </c>
    </row>
    <row r="137" spans="1:10" ht="28.8" x14ac:dyDescent="0.3">
      <c r="A137" t="s">
        <v>68</v>
      </c>
      <c r="B137" s="2">
        <v>44952</v>
      </c>
      <c r="C137" s="3" t="s">
        <v>30</v>
      </c>
      <c r="D137" s="4" t="s">
        <v>35</v>
      </c>
      <c r="E137" s="4" t="s">
        <v>34</v>
      </c>
      <c r="F137" s="6">
        <v>25</v>
      </c>
      <c r="G137" s="6">
        <v>25</v>
      </c>
      <c r="H137" s="6">
        <v>25</v>
      </c>
      <c r="I137" s="6">
        <v>25</v>
      </c>
      <c r="J137" s="6">
        <v>25</v>
      </c>
    </row>
    <row r="138" spans="1:10" ht="43.2" x14ac:dyDescent="0.3">
      <c r="A138" t="s">
        <v>68</v>
      </c>
      <c r="B138" s="2">
        <v>44952</v>
      </c>
      <c r="C138" s="7" t="s">
        <v>36</v>
      </c>
      <c r="D138" s="8" t="s">
        <v>37</v>
      </c>
      <c r="E138" s="8" t="s">
        <v>38</v>
      </c>
      <c r="F138" s="10">
        <v>50</v>
      </c>
      <c r="G138" s="10">
        <v>30</v>
      </c>
      <c r="H138" s="10">
        <v>50</v>
      </c>
      <c r="I138" s="10" t="s">
        <v>286</v>
      </c>
      <c r="J138" s="10">
        <v>45</v>
      </c>
    </row>
    <row r="139" spans="1:10" ht="43.2" x14ac:dyDescent="0.3">
      <c r="A139" t="s">
        <v>68</v>
      </c>
      <c r="B139" s="2">
        <v>44952</v>
      </c>
      <c r="C139" s="3" t="s">
        <v>36</v>
      </c>
      <c r="D139" s="4" t="s">
        <v>39</v>
      </c>
      <c r="E139" s="4" t="s">
        <v>40</v>
      </c>
      <c r="F139" s="6">
        <v>45</v>
      </c>
      <c r="G139" s="6">
        <v>35</v>
      </c>
      <c r="H139" s="6">
        <v>60</v>
      </c>
      <c r="I139" s="6" t="s">
        <v>287</v>
      </c>
      <c r="J139" s="6">
        <v>45</v>
      </c>
    </row>
    <row r="140" spans="1:10" ht="43.2" x14ac:dyDescent="0.3">
      <c r="A140" t="s">
        <v>68</v>
      </c>
      <c r="B140" s="2">
        <v>44952</v>
      </c>
      <c r="C140" s="7" t="s">
        <v>36</v>
      </c>
      <c r="D140" s="8" t="s">
        <v>41</v>
      </c>
      <c r="E140" s="8" t="s">
        <v>42</v>
      </c>
      <c r="F140" s="10">
        <v>35</v>
      </c>
      <c r="G140" s="10">
        <v>30</v>
      </c>
      <c r="H140" s="10">
        <v>45</v>
      </c>
      <c r="I140" s="10" t="s">
        <v>288</v>
      </c>
      <c r="J140" s="10">
        <v>40</v>
      </c>
    </row>
    <row r="141" spans="1:10" ht="43.2" x14ac:dyDescent="0.3">
      <c r="A141" t="s">
        <v>68</v>
      </c>
      <c r="B141" s="2">
        <v>44952</v>
      </c>
      <c r="C141" s="3" t="s">
        <v>36</v>
      </c>
      <c r="D141" s="4" t="s">
        <v>43</v>
      </c>
      <c r="E141" s="4" t="s">
        <v>42</v>
      </c>
      <c r="F141" s="5"/>
      <c r="G141" s="6">
        <v>120</v>
      </c>
      <c r="H141" s="6">
        <v>120</v>
      </c>
      <c r="I141" s="6">
        <v>120</v>
      </c>
      <c r="J141" s="6">
        <v>120</v>
      </c>
    </row>
    <row r="142" spans="1:10" ht="43.2" x14ac:dyDescent="0.3">
      <c r="A142" t="s">
        <v>68</v>
      </c>
      <c r="B142" s="2">
        <v>44952</v>
      </c>
      <c r="C142" s="7" t="s">
        <v>36</v>
      </c>
      <c r="D142" s="8" t="s">
        <v>44</v>
      </c>
      <c r="E142" s="8" t="s">
        <v>45</v>
      </c>
      <c r="F142" s="10">
        <v>60</v>
      </c>
      <c r="G142" s="10">
        <v>50</v>
      </c>
      <c r="H142" s="10">
        <v>65</v>
      </c>
      <c r="I142" s="10" t="s">
        <v>289</v>
      </c>
      <c r="J142" s="10">
        <v>60</v>
      </c>
    </row>
    <row r="143" spans="1:10" ht="43.2" x14ac:dyDescent="0.3">
      <c r="A143" t="s">
        <v>68</v>
      </c>
      <c r="B143" s="2">
        <v>44952</v>
      </c>
      <c r="C143" s="3" t="s">
        <v>36</v>
      </c>
      <c r="D143" s="4" t="s">
        <v>46</v>
      </c>
      <c r="E143" s="4" t="s">
        <v>40</v>
      </c>
      <c r="F143" s="6">
        <v>60</v>
      </c>
      <c r="G143" s="6">
        <v>60</v>
      </c>
      <c r="H143" s="6">
        <v>80</v>
      </c>
      <c r="I143" s="6">
        <v>68</v>
      </c>
      <c r="J143" s="6">
        <v>60</v>
      </c>
    </row>
    <row r="144" spans="1:10" ht="43.2" x14ac:dyDescent="0.3">
      <c r="A144" t="s">
        <v>68</v>
      </c>
      <c r="B144" s="2">
        <v>44952</v>
      </c>
      <c r="C144" s="7" t="s">
        <v>36</v>
      </c>
      <c r="D144" s="8" t="s">
        <v>47</v>
      </c>
      <c r="E144" s="8" t="s">
        <v>40</v>
      </c>
      <c r="F144" s="10">
        <v>70</v>
      </c>
      <c r="G144" s="10">
        <v>50</v>
      </c>
      <c r="H144" s="10">
        <v>80</v>
      </c>
      <c r="I144" s="10" t="s">
        <v>290</v>
      </c>
      <c r="J144" s="10">
        <v>70</v>
      </c>
    </row>
    <row r="145" spans="1:10" ht="43.2" x14ac:dyDescent="0.3">
      <c r="A145" t="s">
        <v>68</v>
      </c>
      <c r="B145" s="2">
        <v>44952</v>
      </c>
      <c r="C145" s="3" t="s">
        <v>36</v>
      </c>
      <c r="D145" s="4" t="s">
        <v>48</v>
      </c>
      <c r="E145" s="4" t="s">
        <v>38</v>
      </c>
      <c r="F145" s="6">
        <v>70</v>
      </c>
      <c r="G145" s="6">
        <v>60</v>
      </c>
      <c r="H145" s="6">
        <v>70</v>
      </c>
      <c r="I145" s="6" t="s">
        <v>272</v>
      </c>
      <c r="J145" s="6">
        <v>70</v>
      </c>
    </row>
    <row r="146" spans="1:10" ht="43.2" x14ac:dyDescent="0.3">
      <c r="A146" t="s">
        <v>68</v>
      </c>
      <c r="B146" s="2">
        <v>44952</v>
      </c>
      <c r="C146" s="7" t="s">
        <v>36</v>
      </c>
      <c r="D146" s="8" t="s">
        <v>49</v>
      </c>
      <c r="E146" s="8" t="s">
        <v>40</v>
      </c>
      <c r="F146" s="9"/>
      <c r="G146" s="10">
        <v>60</v>
      </c>
      <c r="H146" s="10">
        <v>70</v>
      </c>
      <c r="I146" s="10">
        <v>65</v>
      </c>
      <c r="J146" s="10">
        <v>65</v>
      </c>
    </row>
    <row r="147" spans="1:10" ht="43.2" x14ac:dyDescent="0.3">
      <c r="A147" t="s">
        <v>68</v>
      </c>
      <c r="B147" s="2">
        <v>44952</v>
      </c>
      <c r="C147" s="3" t="s">
        <v>36</v>
      </c>
      <c r="D147" s="4" t="s">
        <v>50</v>
      </c>
      <c r="E147" s="4" t="s">
        <v>38</v>
      </c>
      <c r="F147" s="6">
        <v>60</v>
      </c>
      <c r="G147" s="6">
        <v>40</v>
      </c>
      <c r="H147" s="6">
        <v>60</v>
      </c>
      <c r="I147" s="6">
        <v>53</v>
      </c>
      <c r="J147" s="6">
        <v>60</v>
      </c>
    </row>
    <row r="148" spans="1:10" ht="43.2" x14ac:dyDescent="0.3">
      <c r="A148" t="s">
        <v>68</v>
      </c>
      <c r="B148" s="2">
        <v>44952</v>
      </c>
      <c r="C148" s="7" t="s">
        <v>36</v>
      </c>
      <c r="D148" s="8" t="s">
        <v>51</v>
      </c>
      <c r="E148" s="8" t="s">
        <v>38</v>
      </c>
      <c r="F148" s="10">
        <v>70</v>
      </c>
      <c r="G148" s="10">
        <v>50</v>
      </c>
      <c r="H148" s="10">
        <v>90</v>
      </c>
      <c r="I148" s="10" t="s">
        <v>291</v>
      </c>
      <c r="J148" s="10">
        <v>70</v>
      </c>
    </row>
    <row r="149" spans="1:10" ht="43.2" x14ac:dyDescent="0.3">
      <c r="A149" t="s">
        <v>68</v>
      </c>
      <c r="B149" s="2">
        <v>44952</v>
      </c>
      <c r="C149" s="3" t="s">
        <v>36</v>
      </c>
      <c r="D149" s="4" t="s">
        <v>52</v>
      </c>
      <c r="E149" s="4" t="s">
        <v>42</v>
      </c>
      <c r="F149" s="6">
        <v>40</v>
      </c>
      <c r="G149" s="6">
        <v>35</v>
      </c>
      <c r="H149" s="6">
        <v>40</v>
      </c>
      <c r="I149" s="6" t="s">
        <v>292</v>
      </c>
      <c r="J149" s="6">
        <v>40</v>
      </c>
    </row>
    <row r="150" spans="1:10" ht="43.2" x14ac:dyDescent="0.3">
      <c r="A150" t="s">
        <v>68</v>
      </c>
      <c r="B150" s="2">
        <v>44952</v>
      </c>
      <c r="C150" s="7" t="s">
        <v>36</v>
      </c>
      <c r="D150" s="8" t="s">
        <v>53</v>
      </c>
      <c r="E150" s="8" t="s">
        <v>54</v>
      </c>
      <c r="F150" s="10">
        <v>80</v>
      </c>
      <c r="G150" s="10">
        <v>80</v>
      </c>
      <c r="H150" s="10">
        <v>100</v>
      </c>
      <c r="I150" s="10">
        <v>85</v>
      </c>
      <c r="J150" s="10">
        <v>80</v>
      </c>
    </row>
    <row r="151" spans="1:10" ht="43.2" x14ac:dyDescent="0.3">
      <c r="A151" t="s">
        <v>68</v>
      </c>
      <c r="B151" s="2">
        <v>44952</v>
      </c>
      <c r="C151" s="3" t="s">
        <v>36</v>
      </c>
      <c r="D151" s="4" t="s">
        <v>55</v>
      </c>
      <c r="E151" s="4" t="s">
        <v>38</v>
      </c>
      <c r="F151" s="6">
        <v>70</v>
      </c>
      <c r="G151" s="6">
        <v>70</v>
      </c>
      <c r="H151" s="6">
        <v>80</v>
      </c>
      <c r="I151" s="6" t="s">
        <v>281</v>
      </c>
      <c r="J151" s="6">
        <v>70</v>
      </c>
    </row>
    <row r="152" spans="1:10" ht="43.2" x14ac:dyDescent="0.3">
      <c r="A152" t="s">
        <v>68</v>
      </c>
      <c r="B152" s="2">
        <v>44952</v>
      </c>
      <c r="C152" s="7" t="s">
        <v>36</v>
      </c>
      <c r="D152" s="8" t="s">
        <v>56</v>
      </c>
      <c r="E152" s="8" t="s">
        <v>38</v>
      </c>
      <c r="F152" s="10">
        <v>100</v>
      </c>
      <c r="G152" s="10">
        <v>100</v>
      </c>
      <c r="H152" s="10">
        <v>120</v>
      </c>
      <c r="I152" s="10" t="s">
        <v>293</v>
      </c>
      <c r="J152" s="10">
        <v>105</v>
      </c>
    </row>
    <row r="153" spans="1:10" x14ac:dyDescent="0.3">
      <c r="A153" t="s">
        <v>68</v>
      </c>
      <c r="B153" s="2">
        <v>44952</v>
      </c>
      <c r="C153" s="3" t="s">
        <v>57</v>
      </c>
      <c r="D153" s="4" t="s">
        <v>58</v>
      </c>
      <c r="E153" s="4" t="s">
        <v>38</v>
      </c>
      <c r="F153" s="5"/>
      <c r="G153" s="5"/>
      <c r="H153" s="5"/>
      <c r="I153" s="5"/>
      <c r="J153" s="5"/>
    </row>
    <row r="154" spans="1:10" x14ac:dyDescent="0.3">
      <c r="A154" t="s">
        <v>68</v>
      </c>
      <c r="B154" s="2">
        <v>44952</v>
      </c>
      <c r="C154" s="7" t="s">
        <v>57</v>
      </c>
      <c r="D154" s="8" t="s">
        <v>59</v>
      </c>
      <c r="E154" s="8" t="s">
        <v>38</v>
      </c>
      <c r="F154" s="9"/>
      <c r="G154" s="9"/>
      <c r="H154" s="9"/>
      <c r="I154" s="9"/>
      <c r="J154" s="9"/>
    </row>
    <row r="155" spans="1:10" x14ac:dyDescent="0.3">
      <c r="A155" t="s">
        <v>68</v>
      </c>
      <c r="B155" s="2">
        <v>44952</v>
      </c>
      <c r="C155" s="3" t="s">
        <v>57</v>
      </c>
      <c r="D155" s="4" t="s">
        <v>60</v>
      </c>
      <c r="E155" s="4" t="s">
        <v>38</v>
      </c>
      <c r="F155" s="5"/>
      <c r="G155" s="5"/>
      <c r="H155" s="5"/>
      <c r="I155" s="5"/>
      <c r="J155" s="5"/>
    </row>
    <row r="156" spans="1:10" x14ac:dyDescent="0.3">
      <c r="A156" t="s">
        <v>68</v>
      </c>
      <c r="B156" s="2">
        <v>44952</v>
      </c>
      <c r="C156" s="7" t="s">
        <v>57</v>
      </c>
      <c r="D156" s="8" t="s">
        <v>61</v>
      </c>
      <c r="E156" s="8" t="s">
        <v>42</v>
      </c>
      <c r="F156" s="9"/>
      <c r="G156" s="9"/>
      <c r="H156" s="9"/>
      <c r="I156" s="9"/>
      <c r="J156" s="9"/>
    </row>
    <row r="157" spans="1:10" x14ac:dyDescent="0.3">
      <c r="A157" t="s">
        <v>68</v>
      </c>
      <c r="B157" s="2">
        <v>44952</v>
      </c>
      <c r="C157" s="3" t="s">
        <v>57</v>
      </c>
      <c r="D157" s="4" t="s">
        <v>62</v>
      </c>
      <c r="E157" s="4" t="s">
        <v>63</v>
      </c>
      <c r="F157" s="5"/>
      <c r="G157" s="5"/>
      <c r="H157" s="5"/>
      <c r="I157" s="5"/>
      <c r="J157" s="5"/>
    </row>
    <row r="158" spans="1:10" ht="28.8" x14ac:dyDescent="0.3">
      <c r="A158" t="s">
        <v>69</v>
      </c>
      <c r="B158" s="2">
        <v>44959</v>
      </c>
      <c r="C158" s="3" t="s">
        <v>11</v>
      </c>
      <c r="D158" s="4" t="s">
        <v>12</v>
      </c>
      <c r="E158" s="4" t="s">
        <v>13</v>
      </c>
      <c r="F158" s="6">
        <v>42</v>
      </c>
      <c r="G158" s="6">
        <v>42</v>
      </c>
      <c r="H158" s="6">
        <v>42</v>
      </c>
      <c r="I158" s="6">
        <v>42</v>
      </c>
      <c r="J158" s="6">
        <v>42</v>
      </c>
    </row>
    <row r="159" spans="1:10" ht="28.8" x14ac:dyDescent="0.3">
      <c r="A159" t="s">
        <v>69</v>
      </c>
      <c r="B159" s="2">
        <v>44959</v>
      </c>
      <c r="C159" s="7" t="s">
        <v>11</v>
      </c>
      <c r="D159" s="8" t="s">
        <v>14</v>
      </c>
      <c r="E159" s="8" t="s">
        <v>13</v>
      </c>
      <c r="F159" s="10">
        <v>60</v>
      </c>
      <c r="G159" s="10">
        <v>60</v>
      </c>
      <c r="H159" s="10">
        <v>60</v>
      </c>
      <c r="I159" s="10">
        <v>60</v>
      </c>
      <c r="J159" s="10">
        <v>60</v>
      </c>
    </row>
    <row r="160" spans="1:10" ht="28.8" x14ac:dyDescent="0.3">
      <c r="A160" t="s">
        <v>69</v>
      </c>
      <c r="B160" s="2">
        <v>44959</v>
      </c>
      <c r="C160" s="3" t="s">
        <v>11</v>
      </c>
      <c r="D160" s="4" t="s">
        <v>15</v>
      </c>
      <c r="E160" s="4" t="s">
        <v>13</v>
      </c>
      <c r="F160" s="6">
        <v>30</v>
      </c>
      <c r="G160" s="6">
        <v>30</v>
      </c>
      <c r="H160" s="6">
        <v>42</v>
      </c>
      <c r="I160" s="6" t="s">
        <v>294</v>
      </c>
      <c r="J160" s="6" t="s">
        <v>295</v>
      </c>
    </row>
    <row r="161" spans="1:10" ht="28.8" x14ac:dyDescent="0.3">
      <c r="A161" t="s">
        <v>69</v>
      </c>
      <c r="B161" s="2">
        <v>44959</v>
      </c>
      <c r="C161" s="7" t="s">
        <v>11</v>
      </c>
      <c r="D161" s="8" t="s">
        <v>16</v>
      </c>
      <c r="E161" s="8" t="s">
        <v>13</v>
      </c>
      <c r="F161" s="10">
        <v>18</v>
      </c>
      <c r="G161" s="10">
        <v>18</v>
      </c>
      <c r="H161" s="10">
        <v>24</v>
      </c>
      <c r="I161" s="10">
        <v>21</v>
      </c>
      <c r="J161" s="10">
        <v>21</v>
      </c>
    </row>
    <row r="162" spans="1:10" ht="28.8" x14ac:dyDescent="0.3">
      <c r="A162" t="s">
        <v>69</v>
      </c>
      <c r="B162" s="2">
        <v>44959</v>
      </c>
      <c r="C162" s="3" t="s">
        <v>11</v>
      </c>
      <c r="D162" s="4" t="s">
        <v>17</v>
      </c>
      <c r="E162" s="4" t="s">
        <v>13</v>
      </c>
      <c r="F162" s="6">
        <v>18</v>
      </c>
      <c r="G162" s="6">
        <v>18</v>
      </c>
      <c r="H162" s="6">
        <v>24</v>
      </c>
      <c r="I162" s="6">
        <v>21</v>
      </c>
      <c r="J162" s="6">
        <v>21</v>
      </c>
    </row>
    <row r="163" spans="1:10" ht="28.8" x14ac:dyDescent="0.3">
      <c r="A163" t="s">
        <v>69</v>
      </c>
      <c r="B163" s="2">
        <v>44959</v>
      </c>
      <c r="C163" s="7" t="s">
        <v>11</v>
      </c>
      <c r="D163" s="8" t="s">
        <v>18</v>
      </c>
      <c r="E163" s="8" t="s">
        <v>13</v>
      </c>
      <c r="F163" s="10">
        <v>42</v>
      </c>
      <c r="G163" s="10">
        <v>42</v>
      </c>
      <c r="H163" s="10">
        <v>48</v>
      </c>
      <c r="I163" s="10">
        <v>44</v>
      </c>
      <c r="J163" s="10">
        <v>42</v>
      </c>
    </row>
    <row r="164" spans="1:10" ht="28.8" x14ac:dyDescent="0.3">
      <c r="A164" t="s">
        <v>69</v>
      </c>
      <c r="B164" s="2">
        <v>44959</v>
      </c>
      <c r="C164" s="3" t="s">
        <v>11</v>
      </c>
      <c r="D164" s="4" t="s">
        <v>19</v>
      </c>
      <c r="E164" s="4" t="s">
        <v>13</v>
      </c>
      <c r="F164" s="5"/>
      <c r="G164" s="6">
        <v>72</v>
      </c>
      <c r="H164" s="6">
        <v>78</v>
      </c>
      <c r="I164" s="6">
        <v>75</v>
      </c>
      <c r="J164" s="6">
        <v>75</v>
      </c>
    </row>
    <row r="165" spans="1:10" ht="28.8" x14ac:dyDescent="0.3">
      <c r="A165" t="s">
        <v>69</v>
      </c>
      <c r="B165" s="2">
        <v>44959</v>
      </c>
      <c r="C165" s="7" t="s">
        <v>11</v>
      </c>
      <c r="D165" s="8" t="s">
        <v>20</v>
      </c>
      <c r="E165" s="8" t="s">
        <v>13</v>
      </c>
      <c r="F165" s="9"/>
      <c r="G165" s="10">
        <v>48</v>
      </c>
      <c r="H165" s="10">
        <v>60</v>
      </c>
      <c r="I165" s="10">
        <v>54</v>
      </c>
      <c r="J165" s="10">
        <v>54</v>
      </c>
    </row>
    <row r="166" spans="1:10" ht="28.8" x14ac:dyDescent="0.3">
      <c r="A166" t="s">
        <v>69</v>
      </c>
      <c r="B166" s="2">
        <v>44959</v>
      </c>
      <c r="C166" s="3" t="s">
        <v>11</v>
      </c>
      <c r="D166" s="4" t="s">
        <v>22</v>
      </c>
      <c r="E166" s="4"/>
      <c r="F166" s="5"/>
      <c r="G166" s="6">
        <v>18</v>
      </c>
      <c r="H166" s="6">
        <v>24</v>
      </c>
      <c r="I166" s="6" t="s">
        <v>276</v>
      </c>
      <c r="J166" s="6">
        <v>20</v>
      </c>
    </row>
    <row r="167" spans="1:10" ht="28.8" x14ac:dyDescent="0.3">
      <c r="A167" t="s">
        <v>69</v>
      </c>
      <c r="B167" s="2">
        <v>44959</v>
      </c>
      <c r="C167" s="7" t="s">
        <v>11</v>
      </c>
      <c r="D167" s="8" t="s">
        <v>22</v>
      </c>
      <c r="E167" s="8"/>
      <c r="F167" s="9"/>
      <c r="G167" s="10">
        <v>80</v>
      </c>
      <c r="H167" s="10">
        <v>80</v>
      </c>
      <c r="I167" s="10">
        <v>80</v>
      </c>
      <c r="J167" s="10">
        <v>80</v>
      </c>
    </row>
    <row r="168" spans="1:10" ht="28.8" x14ac:dyDescent="0.3">
      <c r="A168" t="s">
        <v>69</v>
      </c>
      <c r="B168" s="2">
        <v>44959</v>
      </c>
      <c r="C168" s="3" t="s">
        <v>11</v>
      </c>
      <c r="D168" s="4" t="s">
        <v>23</v>
      </c>
      <c r="E168" s="4" t="s">
        <v>13</v>
      </c>
      <c r="F168" s="6">
        <v>18</v>
      </c>
      <c r="G168" s="6">
        <v>18</v>
      </c>
      <c r="H168" s="6">
        <v>24</v>
      </c>
      <c r="I168" s="6">
        <v>21</v>
      </c>
      <c r="J168" s="6">
        <v>21</v>
      </c>
    </row>
    <row r="169" spans="1:10" ht="28.8" x14ac:dyDescent="0.3">
      <c r="A169" t="s">
        <v>69</v>
      </c>
      <c r="B169" s="2">
        <v>44959</v>
      </c>
      <c r="C169" s="7" t="s">
        <v>11</v>
      </c>
      <c r="D169" s="8" t="s">
        <v>24</v>
      </c>
      <c r="E169" s="8" t="s">
        <v>13</v>
      </c>
      <c r="F169" s="9"/>
      <c r="G169" s="10">
        <v>36</v>
      </c>
      <c r="H169" s="10">
        <v>60</v>
      </c>
      <c r="I169" s="10">
        <v>48</v>
      </c>
      <c r="J169" s="10">
        <v>48</v>
      </c>
    </row>
    <row r="170" spans="1:10" ht="28.8" x14ac:dyDescent="0.3">
      <c r="A170" t="s">
        <v>69</v>
      </c>
      <c r="B170" s="2">
        <v>44959</v>
      </c>
      <c r="C170" s="3" t="s">
        <v>11</v>
      </c>
      <c r="D170" s="4" t="s">
        <v>25</v>
      </c>
      <c r="E170" s="4" t="s">
        <v>26</v>
      </c>
      <c r="F170" s="5"/>
      <c r="G170" s="6">
        <v>36</v>
      </c>
      <c r="H170" s="6">
        <v>54</v>
      </c>
      <c r="I170" s="6">
        <v>46</v>
      </c>
      <c r="J170" s="6">
        <v>48</v>
      </c>
    </row>
    <row r="171" spans="1:10" ht="28.8" x14ac:dyDescent="0.3">
      <c r="A171" t="s">
        <v>69</v>
      </c>
      <c r="B171" s="2">
        <v>44959</v>
      </c>
      <c r="C171" s="7" t="s">
        <v>11</v>
      </c>
      <c r="D171" s="8" t="s">
        <v>27</v>
      </c>
      <c r="E171" s="8" t="s">
        <v>13</v>
      </c>
      <c r="F171" s="9"/>
      <c r="G171" s="10">
        <v>40</v>
      </c>
      <c r="H171" s="10">
        <v>40</v>
      </c>
      <c r="I171" s="10">
        <v>40</v>
      </c>
      <c r="J171" s="10">
        <v>40</v>
      </c>
    </row>
    <row r="172" spans="1:10" ht="28.8" x14ac:dyDescent="0.3">
      <c r="A172" t="s">
        <v>69</v>
      </c>
      <c r="B172" s="2">
        <v>44959</v>
      </c>
      <c r="C172" s="3" t="s">
        <v>11</v>
      </c>
      <c r="D172" s="4" t="s">
        <v>28</v>
      </c>
      <c r="E172" s="4" t="s">
        <v>13</v>
      </c>
      <c r="F172" s="5"/>
      <c r="G172" s="6">
        <v>25</v>
      </c>
      <c r="H172" s="6">
        <v>40</v>
      </c>
      <c r="I172" s="6" t="s">
        <v>296</v>
      </c>
      <c r="J172" s="6">
        <v>30</v>
      </c>
    </row>
    <row r="173" spans="1:10" ht="28.8" x14ac:dyDescent="0.3">
      <c r="A173" t="s">
        <v>69</v>
      </c>
      <c r="B173" s="2">
        <v>44959</v>
      </c>
      <c r="C173" s="7" t="s">
        <v>11</v>
      </c>
      <c r="D173" s="8" t="s">
        <v>29</v>
      </c>
      <c r="E173" s="8" t="s">
        <v>13</v>
      </c>
      <c r="F173" s="10">
        <v>36</v>
      </c>
      <c r="G173" s="10">
        <v>36</v>
      </c>
      <c r="H173" s="10">
        <v>42</v>
      </c>
      <c r="I173" s="10">
        <v>39</v>
      </c>
      <c r="J173" s="10">
        <v>39</v>
      </c>
    </row>
    <row r="174" spans="1:10" ht="28.8" x14ac:dyDescent="0.3">
      <c r="A174" t="s">
        <v>69</v>
      </c>
      <c r="B174" s="2">
        <v>44959</v>
      </c>
      <c r="C174" s="3" t="s">
        <v>30</v>
      </c>
      <c r="D174" s="4" t="s">
        <v>31</v>
      </c>
      <c r="E174" s="4" t="s">
        <v>32</v>
      </c>
      <c r="F174" s="5"/>
      <c r="G174" s="6" t="s">
        <v>263</v>
      </c>
      <c r="H174" s="6">
        <v>5</v>
      </c>
      <c r="I174" s="6" t="s">
        <v>297</v>
      </c>
      <c r="J174" s="6">
        <v>4</v>
      </c>
    </row>
    <row r="175" spans="1:10" ht="28.8" x14ac:dyDescent="0.3">
      <c r="A175" t="s">
        <v>69</v>
      </c>
      <c r="B175" s="2">
        <v>44959</v>
      </c>
      <c r="C175" s="7" t="s">
        <v>30</v>
      </c>
      <c r="D175" s="8" t="s">
        <v>33</v>
      </c>
      <c r="E175" s="8" t="s">
        <v>34</v>
      </c>
      <c r="F175" s="10">
        <v>20</v>
      </c>
      <c r="G175" s="10">
        <v>20</v>
      </c>
      <c r="H175" s="10">
        <v>22</v>
      </c>
      <c r="I175" s="10" t="s">
        <v>276</v>
      </c>
      <c r="J175" s="10">
        <v>20</v>
      </c>
    </row>
    <row r="176" spans="1:10" ht="28.8" x14ac:dyDescent="0.3">
      <c r="A176" t="s">
        <v>69</v>
      </c>
      <c r="B176" s="2">
        <v>44959</v>
      </c>
      <c r="C176" s="3" t="s">
        <v>30</v>
      </c>
      <c r="D176" s="4" t="s">
        <v>35</v>
      </c>
      <c r="E176" s="4" t="s">
        <v>34</v>
      </c>
      <c r="F176" s="6">
        <v>20</v>
      </c>
      <c r="G176" s="6">
        <v>20</v>
      </c>
      <c r="H176" s="6">
        <v>30</v>
      </c>
      <c r="I176" s="6" t="s">
        <v>298</v>
      </c>
      <c r="J176" s="6">
        <v>20</v>
      </c>
    </row>
    <row r="177" spans="1:10" ht="43.2" x14ac:dyDescent="0.3">
      <c r="A177" t="s">
        <v>69</v>
      </c>
      <c r="B177" s="2">
        <v>44959</v>
      </c>
      <c r="C177" s="7" t="s">
        <v>36</v>
      </c>
      <c r="D177" s="8" t="s">
        <v>37</v>
      </c>
      <c r="E177" s="8" t="s">
        <v>38</v>
      </c>
      <c r="F177" s="10">
        <v>35</v>
      </c>
      <c r="G177" s="10">
        <v>35</v>
      </c>
      <c r="H177" s="10">
        <v>65</v>
      </c>
      <c r="I177" s="10" t="s">
        <v>299</v>
      </c>
      <c r="J177" s="10">
        <v>50</v>
      </c>
    </row>
    <row r="178" spans="1:10" ht="43.2" x14ac:dyDescent="0.3">
      <c r="A178" t="s">
        <v>69</v>
      </c>
      <c r="B178" s="2">
        <v>44959</v>
      </c>
      <c r="C178" s="3" t="s">
        <v>36</v>
      </c>
      <c r="D178" s="4" t="s">
        <v>39</v>
      </c>
      <c r="E178" s="4" t="s">
        <v>40</v>
      </c>
      <c r="F178" s="6">
        <v>35</v>
      </c>
      <c r="G178" s="6">
        <v>35</v>
      </c>
      <c r="H178" s="6">
        <v>65</v>
      </c>
      <c r="I178" s="6" t="s">
        <v>300</v>
      </c>
      <c r="J178" s="6">
        <v>55</v>
      </c>
    </row>
    <row r="179" spans="1:10" ht="43.2" x14ac:dyDescent="0.3">
      <c r="A179" t="s">
        <v>69</v>
      </c>
      <c r="B179" s="2">
        <v>44959</v>
      </c>
      <c r="C179" s="7" t="s">
        <v>36</v>
      </c>
      <c r="D179" s="8" t="s">
        <v>41</v>
      </c>
      <c r="E179" s="8" t="s">
        <v>42</v>
      </c>
      <c r="F179" s="10">
        <v>35</v>
      </c>
      <c r="G179" s="10">
        <v>30</v>
      </c>
      <c r="H179" s="10">
        <v>50</v>
      </c>
      <c r="I179" s="10" t="s">
        <v>301</v>
      </c>
      <c r="J179" s="10">
        <v>35</v>
      </c>
    </row>
    <row r="180" spans="1:10" ht="43.2" x14ac:dyDescent="0.3">
      <c r="A180" t="s">
        <v>69</v>
      </c>
      <c r="B180" s="2">
        <v>44959</v>
      </c>
      <c r="C180" s="3" t="s">
        <v>36</v>
      </c>
      <c r="D180" s="4" t="s">
        <v>43</v>
      </c>
      <c r="E180" s="4" t="s">
        <v>42</v>
      </c>
      <c r="F180" s="6">
        <v>100</v>
      </c>
      <c r="G180" s="6">
        <v>100</v>
      </c>
      <c r="H180" s="6">
        <v>110</v>
      </c>
      <c r="I180" s="6" t="s">
        <v>302</v>
      </c>
      <c r="J180" s="6">
        <v>100</v>
      </c>
    </row>
    <row r="181" spans="1:10" ht="43.2" x14ac:dyDescent="0.3">
      <c r="A181" t="s">
        <v>69</v>
      </c>
      <c r="B181" s="2">
        <v>44959</v>
      </c>
      <c r="C181" s="7" t="s">
        <v>36</v>
      </c>
      <c r="D181" s="8" t="s">
        <v>44</v>
      </c>
      <c r="E181" s="8" t="s">
        <v>45</v>
      </c>
      <c r="F181" s="10">
        <v>50</v>
      </c>
      <c r="G181" s="10">
        <v>40</v>
      </c>
      <c r="H181" s="10">
        <v>55</v>
      </c>
      <c r="I181" s="10" t="s">
        <v>303</v>
      </c>
      <c r="J181" s="10">
        <v>50</v>
      </c>
    </row>
    <row r="182" spans="1:10" ht="43.2" x14ac:dyDescent="0.3">
      <c r="A182" t="s">
        <v>69</v>
      </c>
      <c r="B182" s="2">
        <v>44959</v>
      </c>
      <c r="C182" s="3" t="s">
        <v>36</v>
      </c>
      <c r="D182" s="4" t="s">
        <v>46</v>
      </c>
      <c r="E182" s="4" t="s">
        <v>40</v>
      </c>
      <c r="F182" s="6">
        <v>70</v>
      </c>
      <c r="G182" s="6">
        <v>60</v>
      </c>
      <c r="H182" s="6">
        <v>70</v>
      </c>
      <c r="I182" s="6" t="s">
        <v>290</v>
      </c>
      <c r="J182" s="6" t="s">
        <v>272</v>
      </c>
    </row>
    <row r="183" spans="1:10" ht="43.2" x14ac:dyDescent="0.3">
      <c r="A183" t="s">
        <v>69</v>
      </c>
      <c r="B183" s="2">
        <v>44959</v>
      </c>
      <c r="C183" s="7" t="s">
        <v>36</v>
      </c>
      <c r="D183" s="8" t="s">
        <v>47</v>
      </c>
      <c r="E183" s="8" t="s">
        <v>40</v>
      </c>
      <c r="F183" s="10">
        <v>70</v>
      </c>
      <c r="G183" s="10">
        <v>70</v>
      </c>
      <c r="H183" s="10">
        <v>75</v>
      </c>
      <c r="I183" s="10" t="s">
        <v>291</v>
      </c>
      <c r="J183" s="10">
        <v>70</v>
      </c>
    </row>
    <row r="184" spans="1:10" ht="43.2" x14ac:dyDescent="0.3">
      <c r="A184" t="s">
        <v>69</v>
      </c>
      <c r="B184" s="2">
        <v>44959</v>
      </c>
      <c r="C184" s="3" t="s">
        <v>36</v>
      </c>
      <c r="D184" s="4" t="s">
        <v>48</v>
      </c>
      <c r="E184" s="4" t="s">
        <v>38</v>
      </c>
      <c r="F184" s="6">
        <v>70</v>
      </c>
      <c r="G184" s="6">
        <v>60</v>
      </c>
      <c r="H184" s="6">
        <v>80</v>
      </c>
      <c r="I184" s="6">
        <v>70</v>
      </c>
      <c r="J184" s="6">
        <v>70</v>
      </c>
    </row>
    <row r="185" spans="1:10" ht="43.2" x14ac:dyDescent="0.3">
      <c r="A185" t="s">
        <v>69</v>
      </c>
      <c r="B185" s="2">
        <v>44959</v>
      </c>
      <c r="C185" s="7" t="s">
        <v>36</v>
      </c>
      <c r="D185" s="8" t="s">
        <v>49</v>
      </c>
      <c r="E185" s="8" t="s">
        <v>40</v>
      </c>
      <c r="F185" s="9"/>
      <c r="G185" s="10">
        <v>60</v>
      </c>
      <c r="H185" s="10">
        <v>60</v>
      </c>
      <c r="I185" s="10">
        <v>60</v>
      </c>
      <c r="J185" s="10">
        <v>60</v>
      </c>
    </row>
    <row r="186" spans="1:10" ht="43.2" x14ac:dyDescent="0.3">
      <c r="A186" t="s">
        <v>69</v>
      </c>
      <c r="B186" s="2">
        <v>44959</v>
      </c>
      <c r="C186" s="3" t="s">
        <v>36</v>
      </c>
      <c r="D186" s="4" t="s">
        <v>50</v>
      </c>
      <c r="E186" s="4" t="s">
        <v>38</v>
      </c>
      <c r="F186" s="6">
        <v>50</v>
      </c>
      <c r="G186" s="6">
        <v>40</v>
      </c>
      <c r="H186" s="6">
        <v>50</v>
      </c>
      <c r="I186" s="6" t="s">
        <v>279</v>
      </c>
      <c r="J186" s="6">
        <v>50</v>
      </c>
    </row>
    <row r="187" spans="1:10" ht="43.2" x14ac:dyDescent="0.3">
      <c r="A187" t="s">
        <v>69</v>
      </c>
      <c r="B187" s="2">
        <v>44959</v>
      </c>
      <c r="C187" s="7" t="s">
        <v>36</v>
      </c>
      <c r="D187" s="8" t="s">
        <v>51</v>
      </c>
      <c r="E187" s="8" t="s">
        <v>38</v>
      </c>
      <c r="F187" s="10">
        <v>80</v>
      </c>
      <c r="G187" s="10">
        <v>65</v>
      </c>
      <c r="H187" s="10">
        <v>80</v>
      </c>
      <c r="I187" s="10">
        <v>75</v>
      </c>
      <c r="J187" s="10">
        <v>80</v>
      </c>
    </row>
    <row r="188" spans="1:10" ht="43.2" x14ac:dyDescent="0.3">
      <c r="A188" t="s">
        <v>69</v>
      </c>
      <c r="B188" s="2">
        <v>44959</v>
      </c>
      <c r="C188" s="3" t="s">
        <v>36</v>
      </c>
      <c r="D188" s="4" t="s">
        <v>52</v>
      </c>
      <c r="E188" s="4" t="s">
        <v>42</v>
      </c>
      <c r="F188" s="6">
        <v>35</v>
      </c>
      <c r="G188" s="6">
        <v>30</v>
      </c>
      <c r="H188" s="6">
        <v>45</v>
      </c>
      <c r="I188" s="6" t="s">
        <v>304</v>
      </c>
      <c r="J188" s="6">
        <v>35</v>
      </c>
    </row>
    <row r="189" spans="1:10" ht="43.2" x14ac:dyDescent="0.3">
      <c r="A189" t="s">
        <v>69</v>
      </c>
      <c r="B189" s="2">
        <v>44959</v>
      </c>
      <c r="C189" s="7" t="s">
        <v>36</v>
      </c>
      <c r="D189" s="8" t="s">
        <v>53</v>
      </c>
      <c r="E189" s="8" t="s">
        <v>54</v>
      </c>
      <c r="F189" s="10">
        <v>70</v>
      </c>
      <c r="G189" s="10">
        <v>70</v>
      </c>
      <c r="H189" s="10">
        <v>100</v>
      </c>
      <c r="I189" s="10" t="s">
        <v>305</v>
      </c>
      <c r="J189" s="10">
        <v>70</v>
      </c>
    </row>
    <row r="190" spans="1:10" ht="43.2" x14ac:dyDescent="0.3">
      <c r="A190" t="s">
        <v>69</v>
      </c>
      <c r="B190" s="2">
        <v>44959</v>
      </c>
      <c r="C190" s="3" t="s">
        <v>36</v>
      </c>
      <c r="D190" s="4" t="s">
        <v>55</v>
      </c>
      <c r="E190" s="4" t="s">
        <v>38</v>
      </c>
      <c r="F190" s="6">
        <v>100</v>
      </c>
      <c r="G190" s="6">
        <v>90</v>
      </c>
      <c r="H190" s="6">
        <v>110</v>
      </c>
      <c r="I190" s="6" t="s">
        <v>270</v>
      </c>
      <c r="J190" s="6">
        <v>100</v>
      </c>
    </row>
    <row r="191" spans="1:10" ht="43.2" x14ac:dyDescent="0.3">
      <c r="A191" t="s">
        <v>69</v>
      </c>
      <c r="B191" s="2">
        <v>44959</v>
      </c>
      <c r="C191" s="7" t="s">
        <v>36</v>
      </c>
      <c r="D191" s="8" t="s">
        <v>56</v>
      </c>
      <c r="E191" s="8" t="s">
        <v>38</v>
      </c>
      <c r="F191" s="10">
        <v>35</v>
      </c>
      <c r="G191" s="10">
        <v>35</v>
      </c>
      <c r="H191" s="10">
        <v>65</v>
      </c>
      <c r="I191" s="10" t="s">
        <v>299</v>
      </c>
      <c r="J191" s="10">
        <v>50</v>
      </c>
    </row>
    <row r="192" spans="1:10" x14ac:dyDescent="0.3">
      <c r="A192" t="s">
        <v>69</v>
      </c>
      <c r="B192" s="2">
        <v>44959</v>
      </c>
      <c r="C192" s="3" t="s">
        <v>57</v>
      </c>
      <c r="D192" s="4" t="s">
        <v>58</v>
      </c>
      <c r="E192" s="4" t="s">
        <v>38</v>
      </c>
      <c r="F192" s="5"/>
      <c r="G192" s="5"/>
      <c r="H192" s="5"/>
      <c r="I192" s="5"/>
      <c r="J192" s="5"/>
    </row>
    <row r="193" spans="1:10" x14ac:dyDescent="0.3">
      <c r="A193" t="s">
        <v>69</v>
      </c>
      <c r="B193" s="2">
        <v>44959</v>
      </c>
      <c r="C193" s="7" t="s">
        <v>57</v>
      </c>
      <c r="D193" s="8" t="s">
        <v>59</v>
      </c>
      <c r="E193" s="8" t="s">
        <v>38</v>
      </c>
      <c r="F193" s="9"/>
      <c r="G193" s="9"/>
      <c r="H193" s="9"/>
      <c r="I193" s="9"/>
      <c r="J193" s="9"/>
    </row>
    <row r="194" spans="1:10" x14ac:dyDescent="0.3">
      <c r="A194" t="s">
        <v>69</v>
      </c>
      <c r="B194" s="2">
        <v>44959</v>
      </c>
      <c r="C194" s="3" t="s">
        <v>57</v>
      </c>
      <c r="D194" s="4" t="s">
        <v>60</v>
      </c>
      <c r="E194" s="4" t="s">
        <v>38</v>
      </c>
      <c r="F194" s="5"/>
      <c r="G194" s="5"/>
      <c r="H194" s="5"/>
      <c r="I194" s="5"/>
      <c r="J194" s="5"/>
    </row>
    <row r="195" spans="1:10" x14ac:dyDescent="0.3">
      <c r="A195" t="s">
        <v>69</v>
      </c>
      <c r="B195" s="2">
        <v>44959</v>
      </c>
      <c r="C195" s="7" t="s">
        <v>57</v>
      </c>
      <c r="D195" s="8" t="s">
        <v>61</v>
      </c>
      <c r="E195" s="8" t="s">
        <v>42</v>
      </c>
      <c r="F195" s="9"/>
      <c r="G195" s="9"/>
      <c r="H195" s="9"/>
      <c r="I195" s="9"/>
      <c r="J195" s="9"/>
    </row>
    <row r="196" spans="1:10" x14ac:dyDescent="0.3">
      <c r="A196" t="s">
        <v>69</v>
      </c>
      <c r="B196" s="2">
        <v>44959</v>
      </c>
      <c r="C196" s="3" t="s">
        <v>57</v>
      </c>
      <c r="D196" s="4" t="s">
        <v>62</v>
      </c>
      <c r="E196" s="4" t="s">
        <v>63</v>
      </c>
      <c r="F196" s="5"/>
      <c r="G196" s="5"/>
      <c r="H196" s="5"/>
      <c r="I196" s="5"/>
      <c r="J196" s="5"/>
    </row>
    <row r="197" spans="1:10" ht="28.8" x14ac:dyDescent="0.3">
      <c r="A197" t="s">
        <v>70</v>
      </c>
      <c r="B197" s="2">
        <v>44966</v>
      </c>
      <c r="C197" s="3" t="s">
        <v>11</v>
      </c>
      <c r="D197" s="4" t="s">
        <v>12</v>
      </c>
      <c r="E197" s="4" t="s">
        <v>13</v>
      </c>
      <c r="F197" s="5"/>
      <c r="G197" s="6">
        <v>42</v>
      </c>
      <c r="H197" s="6">
        <v>48</v>
      </c>
      <c r="I197" s="6">
        <v>45</v>
      </c>
      <c r="J197" s="6">
        <v>45</v>
      </c>
    </row>
    <row r="198" spans="1:10" ht="28.8" x14ac:dyDescent="0.3">
      <c r="A198" t="s">
        <v>70</v>
      </c>
      <c r="B198" s="2">
        <v>44966</v>
      </c>
      <c r="C198" s="7" t="s">
        <v>11</v>
      </c>
      <c r="D198" s="8" t="s">
        <v>14</v>
      </c>
      <c r="E198" s="8" t="s">
        <v>13</v>
      </c>
      <c r="F198" s="10">
        <v>60</v>
      </c>
      <c r="G198" s="10">
        <v>60</v>
      </c>
      <c r="H198" s="10">
        <v>60</v>
      </c>
      <c r="I198" s="10">
        <v>60</v>
      </c>
      <c r="J198" s="10">
        <v>60</v>
      </c>
    </row>
    <row r="199" spans="1:10" ht="28.8" x14ac:dyDescent="0.3">
      <c r="A199" t="s">
        <v>70</v>
      </c>
      <c r="B199" s="2">
        <v>44966</v>
      </c>
      <c r="C199" s="3" t="s">
        <v>11</v>
      </c>
      <c r="D199" s="4" t="s">
        <v>15</v>
      </c>
      <c r="E199" s="4" t="s">
        <v>13</v>
      </c>
      <c r="F199" s="5"/>
      <c r="G199" s="6">
        <v>24</v>
      </c>
      <c r="H199" s="6">
        <v>36</v>
      </c>
      <c r="I199" s="6">
        <v>30</v>
      </c>
      <c r="J199" s="6">
        <v>30</v>
      </c>
    </row>
    <row r="200" spans="1:10" ht="28.8" x14ac:dyDescent="0.3">
      <c r="A200" t="s">
        <v>70</v>
      </c>
      <c r="B200" s="2">
        <v>44966</v>
      </c>
      <c r="C200" s="7" t="s">
        <v>11</v>
      </c>
      <c r="D200" s="8" t="s">
        <v>16</v>
      </c>
      <c r="E200" s="8" t="s">
        <v>13</v>
      </c>
      <c r="F200" s="10">
        <v>18</v>
      </c>
      <c r="G200" s="10">
        <v>18</v>
      </c>
      <c r="H200" s="10">
        <v>26</v>
      </c>
      <c r="I200" s="10" t="s">
        <v>306</v>
      </c>
      <c r="J200" s="10">
        <v>22</v>
      </c>
    </row>
    <row r="201" spans="1:10" ht="28.8" x14ac:dyDescent="0.3">
      <c r="A201" t="s">
        <v>70</v>
      </c>
      <c r="B201" s="2">
        <v>44966</v>
      </c>
      <c r="C201" s="3" t="s">
        <v>11</v>
      </c>
      <c r="D201" s="4" t="s">
        <v>17</v>
      </c>
      <c r="E201" s="4" t="s">
        <v>13</v>
      </c>
      <c r="F201" s="5"/>
      <c r="G201" s="6">
        <v>18</v>
      </c>
      <c r="H201" s="6">
        <v>35</v>
      </c>
      <c r="I201" s="6" t="s">
        <v>307</v>
      </c>
      <c r="J201" s="6">
        <v>23</v>
      </c>
    </row>
    <row r="202" spans="1:10" ht="28.8" x14ac:dyDescent="0.3">
      <c r="A202" t="s">
        <v>70</v>
      </c>
      <c r="B202" s="2">
        <v>44966</v>
      </c>
      <c r="C202" s="7" t="s">
        <v>11</v>
      </c>
      <c r="D202" s="8" t="s">
        <v>18</v>
      </c>
      <c r="E202" s="8" t="s">
        <v>13</v>
      </c>
      <c r="F202" s="9"/>
      <c r="G202" s="10">
        <v>48</v>
      </c>
      <c r="H202" s="10">
        <v>48</v>
      </c>
      <c r="I202" s="10">
        <v>48</v>
      </c>
      <c r="J202" s="10">
        <v>48</v>
      </c>
    </row>
    <row r="203" spans="1:10" ht="28.8" x14ac:dyDescent="0.3">
      <c r="A203" t="s">
        <v>70</v>
      </c>
      <c r="B203" s="2">
        <v>44966</v>
      </c>
      <c r="C203" s="3" t="s">
        <v>11</v>
      </c>
      <c r="D203" s="4" t="s">
        <v>19</v>
      </c>
      <c r="E203" s="4" t="s">
        <v>13</v>
      </c>
      <c r="F203" s="6">
        <v>72</v>
      </c>
      <c r="G203" s="6">
        <v>48</v>
      </c>
      <c r="H203" s="6">
        <v>72</v>
      </c>
      <c r="I203" s="6">
        <v>64</v>
      </c>
      <c r="J203" s="6">
        <v>72</v>
      </c>
    </row>
    <row r="204" spans="1:10" ht="28.8" x14ac:dyDescent="0.3">
      <c r="A204" t="s">
        <v>70</v>
      </c>
      <c r="B204" s="2">
        <v>44966</v>
      </c>
      <c r="C204" s="7" t="s">
        <v>11</v>
      </c>
      <c r="D204" s="8" t="s">
        <v>20</v>
      </c>
      <c r="E204" s="8" t="s">
        <v>13</v>
      </c>
      <c r="F204" s="10">
        <v>72</v>
      </c>
      <c r="G204" s="10">
        <v>72</v>
      </c>
      <c r="H204" s="10">
        <v>72</v>
      </c>
      <c r="I204" s="10">
        <v>72</v>
      </c>
      <c r="J204" s="10">
        <v>72</v>
      </c>
    </row>
    <row r="205" spans="1:10" ht="28.8" x14ac:dyDescent="0.3">
      <c r="A205" t="s">
        <v>70</v>
      </c>
      <c r="B205" s="2">
        <v>44966</v>
      </c>
      <c r="C205" s="3" t="s">
        <v>11</v>
      </c>
      <c r="D205" s="4" t="s">
        <v>21</v>
      </c>
      <c r="E205" s="4" t="s">
        <v>13</v>
      </c>
      <c r="F205" s="6">
        <v>24</v>
      </c>
      <c r="G205" s="6">
        <v>15</v>
      </c>
      <c r="H205" s="6">
        <v>24</v>
      </c>
      <c r="I205" s="6" t="s">
        <v>308</v>
      </c>
      <c r="J205" s="6">
        <v>21</v>
      </c>
    </row>
    <row r="206" spans="1:10" ht="28.8" x14ac:dyDescent="0.3">
      <c r="A206" t="s">
        <v>70</v>
      </c>
      <c r="B206" s="2">
        <v>44966</v>
      </c>
      <c r="C206" s="7" t="s">
        <v>11</v>
      </c>
      <c r="D206" s="8" t="s">
        <v>22</v>
      </c>
      <c r="E206" s="8"/>
      <c r="F206" s="9"/>
      <c r="G206" s="10">
        <v>60</v>
      </c>
      <c r="H206" s="10">
        <v>78</v>
      </c>
      <c r="I206" s="10" t="s">
        <v>309</v>
      </c>
      <c r="J206" s="10">
        <v>70</v>
      </c>
    </row>
    <row r="207" spans="1:10" ht="28.8" x14ac:dyDescent="0.3">
      <c r="A207" t="s">
        <v>70</v>
      </c>
      <c r="B207" s="2">
        <v>44966</v>
      </c>
      <c r="C207" s="3" t="s">
        <v>11</v>
      </c>
      <c r="D207" s="4" t="s">
        <v>23</v>
      </c>
      <c r="E207" s="4" t="s">
        <v>13</v>
      </c>
      <c r="F207" s="6">
        <v>18</v>
      </c>
      <c r="G207" s="6">
        <v>18</v>
      </c>
      <c r="H207" s="6">
        <v>24</v>
      </c>
      <c r="I207" s="6" t="s">
        <v>310</v>
      </c>
      <c r="J207" s="6">
        <v>20</v>
      </c>
    </row>
    <row r="208" spans="1:10" ht="28.8" x14ac:dyDescent="0.3">
      <c r="A208" t="s">
        <v>70</v>
      </c>
      <c r="B208" s="2">
        <v>44966</v>
      </c>
      <c r="C208" s="7" t="s">
        <v>11</v>
      </c>
      <c r="D208" s="8" t="s">
        <v>24</v>
      </c>
      <c r="E208" s="8" t="s">
        <v>13</v>
      </c>
      <c r="F208" s="9"/>
      <c r="G208" s="10">
        <v>54</v>
      </c>
      <c r="H208" s="10">
        <v>60</v>
      </c>
      <c r="I208" s="10">
        <v>57</v>
      </c>
      <c r="J208" s="10">
        <v>57</v>
      </c>
    </row>
    <row r="209" spans="1:10" ht="28.8" x14ac:dyDescent="0.3">
      <c r="A209" t="s">
        <v>70</v>
      </c>
      <c r="B209" s="2">
        <v>44966</v>
      </c>
      <c r="C209" s="3" t="s">
        <v>11</v>
      </c>
      <c r="D209" s="4" t="s">
        <v>25</v>
      </c>
      <c r="E209" s="4" t="s">
        <v>26</v>
      </c>
      <c r="F209" s="5"/>
      <c r="G209" s="6">
        <v>60</v>
      </c>
      <c r="H209" s="6">
        <v>60</v>
      </c>
      <c r="I209" s="6">
        <v>60</v>
      </c>
      <c r="J209" s="6">
        <v>60</v>
      </c>
    </row>
    <row r="210" spans="1:10" ht="28.8" x14ac:dyDescent="0.3">
      <c r="A210" t="s">
        <v>70</v>
      </c>
      <c r="B210" s="2">
        <v>44966</v>
      </c>
      <c r="C210" s="7" t="s">
        <v>11</v>
      </c>
      <c r="D210" s="8" t="s">
        <v>27</v>
      </c>
      <c r="E210" s="8" t="s">
        <v>13</v>
      </c>
      <c r="F210" s="9"/>
      <c r="G210" s="10">
        <v>48</v>
      </c>
      <c r="H210" s="10">
        <v>60</v>
      </c>
      <c r="I210" s="10">
        <v>54</v>
      </c>
      <c r="J210" s="10">
        <v>54</v>
      </c>
    </row>
    <row r="211" spans="1:10" ht="28.8" x14ac:dyDescent="0.3">
      <c r="A211" t="s">
        <v>70</v>
      </c>
      <c r="B211" s="2">
        <v>44966</v>
      </c>
      <c r="C211" s="3" t="s">
        <v>11</v>
      </c>
      <c r="D211" s="4" t="s">
        <v>28</v>
      </c>
      <c r="E211" s="4" t="s">
        <v>13</v>
      </c>
      <c r="F211" s="6">
        <v>36</v>
      </c>
      <c r="G211" s="6">
        <v>35</v>
      </c>
      <c r="H211" s="6">
        <v>40</v>
      </c>
      <c r="I211" s="6" t="s">
        <v>311</v>
      </c>
      <c r="J211" s="6">
        <v>36</v>
      </c>
    </row>
    <row r="212" spans="1:10" ht="28.8" x14ac:dyDescent="0.3">
      <c r="A212" t="s">
        <v>70</v>
      </c>
      <c r="B212" s="2">
        <v>44966</v>
      </c>
      <c r="C212" s="7" t="s">
        <v>11</v>
      </c>
      <c r="D212" s="8" t="s">
        <v>29</v>
      </c>
      <c r="E212" s="8" t="s">
        <v>13</v>
      </c>
      <c r="F212" s="10">
        <v>42</v>
      </c>
      <c r="G212" s="10">
        <v>42</v>
      </c>
      <c r="H212" s="10">
        <v>42</v>
      </c>
      <c r="I212" s="10">
        <v>42</v>
      </c>
      <c r="J212" s="10">
        <v>42</v>
      </c>
    </row>
    <row r="213" spans="1:10" ht="28.8" x14ac:dyDescent="0.3">
      <c r="A213" t="s">
        <v>70</v>
      </c>
      <c r="B213" s="2">
        <v>44966</v>
      </c>
      <c r="C213" s="3" t="s">
        <v>30</v>
      </c>
      <c r="D213" s="4" t="s">
        <v>31</v>
      </c>
      <c r="E213" s="4" t="s">
        <v>32</v>
      </c>
      <c r="F213" s="6">
        <v>4</v>
      </c>
      <c r="G213" s="6">
        <v>4</v>
      </c>
      <c r="H213" s="6">
        <v>5</v>
      </c>
      <c r="I213" s="6" t="s">
        <v>312</v>
      </c>
      <c r="J213" s="6">
        <v>4</v>
      </c>
    </row>
    <row r="214" spans="1:10" ht="28.8" x14ac:dyDescent="0.3">
      <c r="A214" t="s">
        <v>70</v>
      </c>
      <c r="B214" s="2">
        <v>44966</v>
      </c>
      <c r="C214" s="7" t="s">
        <v>30</v>
      </c>
      <c r="D214" s="8" t="s">
        <v>33</v>
      </c>
      <c r="E214" s="8" t="s">
        <v>34</v>
      </c>
      <c r="F214" s="10">
        <v>25</v>
      </c>
      <c r="G214" s="10">
        <v>15</v>
      </c>
      <c r="H214" s="10">
        <v>25</v>
      </c>
      <c r="I214" s="10" t="s">
        <v>313</v>
      </c>
      <c r="J214" s="10">
        <v>22</v>
      </c>
    </row>
    <row r="215" spans="1:10" ht="28.8" x14ac:dyDescent="0.3">
      <c r="A215" t="s">
        <v>70</v>
      </c>
      <c r="B215" s="2">
        <v>44966</v>
      </c>
      <c r="C215" s="3" t="s">
        <v>30</v>
      </c>
      <c r="D215" s="4" t="s">
        <v>35</v>
      </c>
      <c r="E215" s="4" t="s">
        <v>34</v>
      </c>
      <c r="F215" s="6">
        <v>25</v>
      </c>
      <c r="G215" s="6">
        <v>25</v>
      </c>
      <c r="H215" s="6">
        <v>25</v>
      </c>
      <c r="I215" s="6">
        <v>25</v>
      </c>
      <c r="J215" s="6">
        <v>25</v>
      </c>
    </row>
    <row r="216" spans="1:10" ht="43.2" x14ac:dyDescent="0.3">
      <c r="A216" t="s">
        <v>70</v>
      </c>
      <c r="B216" s="2">
        <v>44966</v>
      </c>
      <c r="C216" s="7" t="s">
        <v>36</v>
      </c>
      <c r="D216" s="8" t="s">
        <v>37</v>
      </c>
      <c r="E216" s="8" t="s">
        <v>38</v>
      </c>
      <c r="F216" s="10">
        <v>70</v>
      </c>
      <c r="G216" s="10">
        <v>35</v>
      </c>
      <c r="H216" s="10">
        <v>70</v>
      </c>
      <c r="I216" s="10" t="s">
        <v>314</v>
      </c>
      <c r="J216" s="10">
        <v>60</v>
      </c>
    </row>
    <row r="217" spans="1:10" ht="43.2" x14ac:dyDescent="0.3">
      <c r="A217" t="s">
        <v>70</v>
      </c>
      <c r="B217" s="2">
        <v>44966</v>
      </c>
      <c r="C217" s="3" t="s">
        <v>36</v>
      </c>
      <c r="D217" s="4" t="s">
        <v>39</v>
      </c>
      <c r="E217" s="4" t="s">
        <v>40</v>
      </c>
      <c r="F217" s="6">
        <v>35</v>
      </c>
      <c r="G217" s="6">
        <v>35</v>
      </c>
      <c r="H217" s="6">
        <v>65</v>
      </c>
      <c r="I217" s="6" t="s">
        <v>315</v>
      </c>
      <c r="J217" s="6">
        <v>40</v>
      </c>
    </row>
    <row r="218" spans="1:10" ht="43.2" x14ac:dyDescent="0.3">
      <c r="A218" t="s">
        <v>70</v>
      </c>
      <c r="B218" s="2">
        <v>44966</v>
      </c>
      <c r="C218" s="7" t="s">
        <v>36</v>
      </c>
      <c r="D218" s="8" t="s">
        <v>41</v>
      </c>
      <c r="E218" s="8" t="s">
        <v>42</v>
      </c>
      <c r="F218" s="10">
        <v>40</v>
      </c>
      <c r="G218" s="10">
        <v>40</v>
      </c>
      <c r="H218" s="10">
        <v>40</v>
      </c>
      <c r="I218" s="10">
        <v>40</v>
      </c>
      <c r="J218" s="10">
        <v>40</v>
      </c>
    </row>
    <row r="219" spans="1:10" ht="43.2" x14ac:dyDescent="0.3">
      <c r="A219" t="s">
        <v>70</v>
      </c>
      <c r="B219" s="2">
        <v>44966</v>
      </c>
      <c r="C219" s="3" t="s">
        <v>36</v>
      </c>
      <c r="D219" s="4" t="s">
        <v>43</v>
      </c>
      <c r="E219" s="4" t="s">
        <v>42</v>
      </c>
      <c r="F219" s="6">
        <v>100</v>
      </c>
      <c r="G219" s="6">
        <v>100</v>
      </c>
      <c r="H219" s="6">
        <v>100</v>
      </c>
      <c r="I219" s="6">
        <v>100</v>
      </c>
      <c r="J219" s="6">
        <v>100</v>
      </c>
    </row>
    <row r="220" spans="1:10" ht="43.2" x14ac:dyDescent="0.3">
      <c r="A220" t="s">
        <v>70</v>
      </c>
      <c r="B220" s="2">
        <v>44966</v>
      </c>
      <c r="C220" s="7" t="s">
        <v>36</v>
      </c>
      <c r="D220" s="8" t="s">
        <v>44</v>
      </c>
      <c r="E220" s="8" t="s">
        <v>45</v>
      </c>
      <c r="F220" s="10">
        <v>40</v>
      </c>
      <c r="G220" s="10">
        <v>40</v>
      </c>
      <c r="H220" s="10">
        <v>60</v>
      </c>
      <c r="I220" s="10" t="s">
        <v>300</v>
      </c>
      <c r="J220" s="10">
        <v>50</v>
      </c>
    </row>
    <row r="221" spans="1:10" ht="43.2" x14ac:dyDescent="0.3">
      <c r="A221" t="s">
        <v>70</v>
      </c>
      <c r="B221" s="2">
        <v>44966</v>
      </c>
      <c r="C221" s="3" t="s">
        <v>36</v>
      </c>
      <c r="D221" s="4" t="s">
        <v>46</v>
      </c>
      <c r="E221" s="4" t="s">
        <v>40</v>
      </c>
      <c r="F221" s="6">
        <v>75</v>
      </c>
      <c r="G221" s="6">
        <v>45</v>
      </c>
      <c r="H221" s="6">
        <v>80</v>
      </c>
      <c r="I221" s="6" t="s">
        <v>316</v>
      </c>
      <c r="J221" s="6">
        <v>75</v>
      </c>
    </row>
    <row r="222" spans="1:10" ht="43.2" x14ac:dyDescent="0.3">
      <c r="A222" t="s">
        <v>70</v>
      </c>
      <c r="B222" s="2">
        <v>44966</v>
      </c>
      <c r="C222" s="7" t="s">
        <v>36</v>
      </c>
      <c r="D222" s="8" t="s">
        <v>47</v>
      </c>
      <c r="E222" s="8" t="s">
        <v>40</v>
      </c>
      <c r="F222" s="10">
        <v>55</v>
      </c>
      <c r="G222" s="10">
        <v>50</v>
      </c>
      <c r="H222" s="10">
        <v>70</v>
      </c>
      <c r="I222" s="10" t="s">
        <v>317</v>
      </c>
      <c r="J222" s="10" t="s">
        <v>256</v>
      </c>
    </row>
    <row r="223" spans="1:10" ht="43.2" x14ac:dyDescent="0.3">
      <c r="A223" t="s">
        <v>70</v>
      </c>
      <c r="B223" s="2">
        <v>44966</v>
      </c>
      <c r="C223" s="3" t="s">
        <v>36</v>
      </c>
      <c r="D223" s="4" t="s">
        <v>48</v>
      </c>
      <c r="E223" s="4" t="s">
        <v>38</v>
      </c>
      <c r="F223" s="6">
        <v>70</v>
      </c>
      <c r="G223" s="6">
        <v>50</v>
      </c>
      <c r="H223" s="6">
        <v>80</v>
      </c>
      <c r="I223" s="6" t="s">
        <v>318</v>
      </c>
      <c r="J223" s="6">
        <v>70</v>
      </c>
    </row>
    <row r="224" spans="1:10" ht="43.2" x14ac:dyDescent="0.3">
      <c r="A224" t="s">
        <v>70</v>
      </c>
      <c r="B224" s="2">
        <v>44966</v>
      </c>
      <c r="C224" s="7" t="s">
        <v>36</v>
      </c>
      <c r="D224" s="8" t="s">
        <v>49</v>
      </c>
      <c r="E224" s="8" t="s">
        <v>40</v>
      </c>
      <c r="F224" s="9"/>
      <c r="G224" s="10">
        <v>55</v>
      </c>
      <c r="H224" s="10">
        <v>70</v>
      </c>
      <c r="I224" s="10" t="s">
        <v>319</v>
      </c>
      <c r="J224" s="10">
        <v>60</v>
      </c>
    </row>
    <row r="225" spans="1:10" ht="43.2" x14ac:dyDescent="0.3">
      <c r="A225" t="s">
        <v>70</v>
      </c>
      <c r="B225" s="2">
        <v>44966</v>
      </c>
      <c r="C225" s="3" t="s">
        <v>36</v>
      </c>
      <c r="D225" s="4" t="s">
        <v>50</v>
      </c>
      <c r="E225" s="4" t="s">
        <v>38</v>
      </c>
      <c r="F225" s="5"/>
      <c r="G225" s="6">
        <v>45</v>
      </c>
      <c r="H225" s="6">
        <v>65</v>
      </c>
      <c r="I225" s="6">
        <v>55</v>
      </c>
      <c r="J225" s="6">
        <v>55</v>
      </c>
    </row>
    <row r="226" spans="1:10" ht="43.2" x14ac:dyDescent="0.3">
      <c r="A226" t="s">
        <v>70</v>
      </c>
      <c r="B226" s="2">
        <v>44966</v>
      </c>
      <c r="C226" s="7" t="s">
        <v>36</v>
      </c>
      <c r="D226" s="8" t="s">
        <v>51</v>
      </c>
      <c r="E226" s="8" t="s">
        <v>38</v>
      </c>
      <c r="F226" s="10">
        <v>85</v>
      </c>
      <c r="G226" s="10">
        <v>50</v>
      </c>
      <c r="H226" s="10">
        <v>85</v>
      </c>
      <c r="I226" s="10" t="s">
        <v>320</v>
      </c>
      <c r="J226" s="10">
        <v>75</v>
      </c>
    </row>
    <row r="227" spans="1:10" ht="43.2" x14ac:dyDescent="0.3">
      <c r="A227" t="s">
        <v>70</v>
      </c>
      <c r="B227" s="2">
        <v>44966</v>
      </c>
      <c r="C227" s="3" t="s">
        <v>36</v>
      </c>
      <c r="D227" s="4" t="s">
        <v>52</v>
      </c>
      <c r="E227" s="4" t="s">
        <v>42</v>
      </c>
      <c r="F227" s="6">
        <v>30</v>
      </c>
      <c r="G227" s="6">
        <v>20</v>
      </c>
      <c r="H227" s="6">
        <v>50</v>
      </c>
      <c r="I227" s="6">
        <v>35</v>
      </c>
      <c r="J227" s="6">
        <v>35</v>
      </c>
    </row>
    <row r="228" spans="1:10" ht="43.2" x14ac:dyDescent="0.3">
      <c r="A228" t="s">
        <v>70</v>
      </c>
      <c r="B228" s="2">
        <v>44966</v>
      </c>
      <c r="C228" s="7" t="s">
        <v>36</v>
      </c>
      <c r="D228" s="8" t="s">
        <v>53</v>
      </c>
      <c r="E228" s="8" t="s">
        <v>54</v>
      </c>
      <c r="F228" s="10">
        <v>80</v>
      </c>
      <c r="G228" s="10">
        <v>50</v>
      </c>
      <c r="H228" s="10">
        <v>80</v>
      </c>
      <c r="I228" s="10" t="s">
        <v>321</v>
      </c>
      <c r="J228" s="10" t="s">
        <v>322</v>
      </c>
    </row>
    <row r="229" spans="1:10" ht="43.2" x14ac:dyDescent="0.3">
      <c r="A229" t="s">
        <v>70</v>
      </c>
      <c r="B229" s="2">
        <v>44966</v>
      </c>
      <c r="C229" s="3" t="s">
        <v>36</v>
      </c>
      <c r="D229" s="4" t="s">
        <v>55</v>
      </c>
      <c r="E229" s="4" t="s">
        <v>38</v>
      </c>
      <c r="F229" s="6">
        <v>100</v>
      </c>
      <c r="G229" s="6">
        <v>75</v>
      </c>
      <c r="H229" s="6">
        <v>100</v>
      </c>
      <c r="I229" s="6">
        <v>90</v>
      </c>
      <c r="J229" s="6">
        <v>95</v>
      </c>
    </row>
    <row r="230" spans="1:10" ht="43.2" x14ac:dyDescent="0.3">
      <c r="A230" t="s">
        <v>70</v>
      </c>
      <c r="B230" s="2">
        <v>44966</v>
      </c>
      <c r="C230" s="7" t="s">
        <v>36</v>
      </c>
      <c r="D230" s="8" t="s">
        <v>56</v>
      </c>
      <c r="E230" s="8" t="s">
        <v>38</v>
      </c>
      <c r="F230" s="10">
        <v>120</v>
      </c>
      <c r="G230" s="10">
        <v>110</v>
      </c>
      <c r="H230" s="10">
        <v>130</v>
      </c>
      <c r="I230" s="10">
        <v>120</v>
      </c>
      <c r="J230" s="10">
        <v>120</v>
      </c>
    </row>
    <row r="231" spans="1:10" x14ac:dyDescent="0.3">
      <c r="A231" t="s">
        <v>70</v>
      </c>
      <c r="B231" s="2">
        <v>44966</v>
      </c>
      <c r="C231" s="3" t="s">
        <v>57</v>
      </c>
      <c r="D231" s="4" t="s">
        <v>58</v>
      </c>
      <c r="E231" s="4" t="s">
        <v>38</v>
      </c>
      <c r="F231" s="5"/>
      <c r="G231" s="5"/>
      <c r="H231" s="5"/>
      <c r="I231" s="5"/>
      <c r="J231" s="5"/>
    </row>
    <row r="232" spans="1:10" x14ac:dyDescent="0.3">
      <c r="A232" t="s">
        <v>70</v>
      </c>
      <c r="B232" s="2">
        <v>44966</v>
      </c>
      <c r="C232" s="7" t="s">
        <v>57</v>
      </c>
      <c r="D232" s="8" t="s">
        <v>59</v>
      </c>
      <c r="E232" s="8" t="s">
        <v>38</v>
      </c>
      <c r="F232" s="9"/>
      <c r="G232" s="9"/>
      <c r="H232" s="9"/>
      <c r="I232" s="9"/>
      <c r="J232" s="9"/>
    </row>
    <row r="233" spans="1:10" x14ac:dyDescent="0.3">
      <c r="A233" t="s">
        <v>70</v>
      </c>
      <c r="B233" s="2">
        <v>44966</v>
      </c>
      <c r="C233" s="3" t="s">
        <v>57</v>
      </c>
      <c r="D233" s="4" t="s">
        <v>60</v>
      </c>
      <c r="E233" s="4" t="s">
        <v>38</v>
      </c>
      <c r="F233" s="5"/>
      <c r="G233" s="5"/>
      <c r="H233" s="5"/>
      <c r="I233" s="5"/>
      <c r="J233" s="5"/>
    </row>
    <row r="234" spans="1:10" x14ac:dyDescent="0.3">
      <c r="A234" t="s">
        <v>70</v>
      </c>
      <c r="B234" s="2">
        <v>44966</v>
      </c>
      <c r="C234" s="7" t="s">
        <v>57</v>
      </c>
      <c r="D234" s="8" t="s">
        <v>62</v>
      </c>
      <c r="E234" s="8" t="s">
        <v>63</v>
      </c>
      <c r="F234" s="9"/>
      <c r="G234" s="9"/>
      <c r="H234" s="9"/>
      <c r="I234" s="9"/>
      <c r="J234" s="9"/>
    </row>
    <row r="235" spans="1:10" ht="28.8" x14ac:dyDescent="0.3">
      <c r="A235" t="s">
        <v>71</v>
      </c>
      <c r="B235" s="2">
        <v>44973</v>
      </c>
      <c r="C235" s="3" t="s">
        <v>11</v>
      </c>
      <c r="D235" s="4" t="s">
        <v>12</v>
      </c>
      <c r="E235" s="4" t="s">
        <v>13</v>
      </c>
      <c r="F235" s="6">
        <v>42</v>
      </c>
      <c r="G235" s="6">
        <v>36</v>
      </c>
      <c r="H235" s="6">
        <v>42</v>
      </c>
      <c r="I235" s="6">
        <v>40</v>
      </c>
      <c r="J235" s="6">
        <v>42</v>
      </c>
    </row>
    <row r="236" spans="1:10" ht="28.8" x14ac:dyDescent="0.3">
      <c r="A236" t="s">
        <v>71</v>
      </c>
      <c r="B236" s="2">
        <v>44973</v>
      </c>
      <c r="C236" s="7" t="s">
        <v>11</v>
      </c>
      <c r="D236" s="8" t="s">
        <v>14</v>
      </c>
      <c r="E236" s="8" t="s">
        <v>13</v>
      </c>
      <c r="F236" s="10">
        <v>60</v>
      </c>
      <c r="G236" s="10">
        <v>36</v>
      </c>
      <c r="H236" s="10">
        <v>60</v>
      </c>
      <c r="I236" s="10">
        <v>52</v>
      </c>
      <c r="J236" s="10">
        <v>60</v>
      </c>
    </row>
    <row r="237" spans="1:10" ht="28.8" x14ac:dyDescent="0.3">
      <c r="A237" t="s">
        <v>71</v>
      </c>
      <c r="B237" s="2">
        <v>44973</v>
      </c>
      <c r="C237" s="3" t="s">
        <v>11</v>
      </c>
      <c r="D237" s="4" t="s">
        <v>15</v>
      </c>
      <c r="E237" s="4" t="s">
        <v>13</v>
      </c>
      <c r="F237" s="6">
        <v>36</v>
      </c>
      <c r="G237" s="6">
        <v>36</v>
      </c>
      <c r="H237" s="6">
        <v>42</v>
      </c>
      <c r="I237" s="6">
        <v>38</v>
      </c>
      <c r="J237" s="6">
        <v>36</v>
      </c>
    </row>
    <row r="238" spans="1:10" ht="28.8" x14ac:dyDescent="0.3">
      <c r="A238" t="s">
        <v>71</v>
      </c>
      <c r="B238" s="2">
        <v>44973</v>
      </c>
      <c r="C238" s="7" t="s">
        <v>11</v>
      </c>
      <c r="D238" s="8" t="s">
        <v>16</v>
      </c>
      <c r="E238" s="8" t="s">
        <v>13</v>
      </c>
      <c r="F238" s="10">
        <v>24</v>
      </c>
      <c r="G238" s="10">
        <v>18</v>
      </c>
      <c r="H238" s="10">
        <v>24</v>
      </c>
      <c r="I238" s="10" t="s">
        <v>255</v>
      </c>
      <c r="J238" s="10">
        <v>24</v>
      </c>
    </row>
    <row r="239" spans="1:10" ht="28.8" x14ac:dyDescent="0.3">
      <c r="A239" t="s">
        <v>71</v>
      </c>
      <c r="B239" s="2">
        <v>44973</v>
      </c>
      <c r="C239" s="3" t="s">
        <v>11</v>
      </c>
      <c r="D239" s="4" t="s">
        <v>17</v>
      </c>
      <c r="E239" s="4" t="s">
        <v>13</v>
      </c>
      <c r="F239" s="6">
        <v>24</v>
      </c>
      <c r="G239" s="6">
        <v>18</v>
      </c>
      <c r="H239" s="6">
        <v>24</v>
      </c>
      <c r="I239" s="6">
        <v>21</v>
      </c>
      <c r="J239" s="6">
        <v>21</v>
      </c>
    </row>
    <row r="240" spans="1:10" ht="28.8" x14ac:dyDescent="0.3">
      <c r="A240" t="s">
        <v>71</v>
      </c>
      <c r="B240" s="2">
        <v>44973</v>
      </c>
      <c r="C240" s="7" t="s">
        <v>11</v>
      </c>
      <c r="D240" s="8" t="s">
        <v>18</v>
      </c>
      <c r="E240" s="8" t="s">
        <v>13</v>
      </c>
      <c r="F240" s="9"/>
      <c r="G240" s="10">
        <v>42</v>
      </c>
      <c r="H240" s="10">
        <v>48</v>
      </c>
      <c r="I240" s="10">
        <v>45</v>
      </c>
      <c r="J240" s="10">
        <v>45</v>
      </c>
    </row>
    <row r="241" spans="1:10" ht="28.8" x14ac:dyDescent="0.3">
      <c r="A241" t="s">
        <v>71</v>
      </c>
      <c r="B241" s="2">
        <v>44973</v>
      </c>
      <c r="C241" s="3" t="s">
        <v>11</v>
      </c>
      <c r="D241" s="4" t="s">
        <v>19</v>
      </c>
      <c r="E241" s="4" t="s">
        <v>13</v>
      </c>
      <c r="F241" s="6">
        <v>60</v>
      </c>
      <c r="G241" s="6">
        <v>60</v>
      </c>
      <c r="H241" s="6">
        <v>60</v>
      </c>
      <c r="I241" s="6">
        <v>60</v>
      </c>
      <c r="J241" s="6">
        <v>60</v>
      </c>
    </row>
    <row r="242" spans="1:10" ht="28.8" x14ac:dyDescent="0.3">
      <c r="A242" t="s">
        <v>71</v>
      </c>
      <c r="B242" s="2">
        <v>44973</v>
      </c>
      <c r="C242" s="7" t="s">
        <v>11</v>
      </c>
      <c r="D242" s="8" t="s">
        <v>20</v>
      </c>
      <c r="E242" s="8" t="s">
        <v>13</v>
      </c>
      <c r="F242" s="10">
        <v>60</v>
      </c>
      <c r="G242" s="10">
        <v>60</v>
      </c>
      <c r="H242" s="10">
        <v>72</v>
      </c>
      <c r="I242" s="10">
        <v>64</v>
      </c>
      <c r="J242" s="10">
        <v>60</v>
      </c>
    </row>
    <row r="243" spans="1:10" ht="28.8" x14ac:dyDescent="0.3">
      <c r="A243" t="s">
        <v>71</v>
      </c>
      <c r="B243" s="2">
        <v>44973</v>
      </c>
      <c r="C243" s="3" t="s">
        <v>11</v>
      </c>
      <c r="D243" s="4" t="s">
        <v>21</v>
      </c>
      <c r="E243" s="4" t="s">
        <v>13</v>
      </c>
      <c r="F243" s="6">
        <v>15</v>
      </c>
      <c r="G243" s="6">
        <v>15</v>
      </c>
      <c r="H243" s="6">
        <v>24</v>
      </c>
      <c r="I243" s="6">
        <v>18</v>
      </c>
      <c r="J243" s="6">
        <v>15</v>
      </c>
    </row>
    <row r="244" spans="1:10" ht="28.8" x14ac:dyDescent="0.3">
      <c r="A244" t="s">
        <v>71</v>
      </c>
      <c r="B244" s="2">
        <v>44973</v>
      </c>
      <c r="C244" s="7" t="s">
        <v>11</v>
      </c>
      <c r="D244" s="8" t="s">
        <v>65</v>
      </c>
      <c r="E244" s="8" t="s">
        <v>13</v>
      </c>
      <c r="F244" s="10">
        <v>60</v>
      </c>
      <c r="G244" s="10">
        <v>60</v>
      </c>
      <c r="H244" s="10">
        <v>60</v>
      </c>
      <c r="I244" s="10">
        <v>60</v>
      </c>
      <c r="J244" s="10">
        <v>60</v>
      </c>
    </row>
    <row r="245" spans="1:10" ht="28.8" x14ac:dyDescent="0.3">
      <c r="A245" t="s">
        <v>71</v>
      </c>
      <c r="B245" s="2">
        <v>44973</v>
      </c>
      <c r="C245" s="3" t="s">
        <v>11</v>
      </c>
      <c r="D245" s="4" t="s">
        <v>23</v>
      </c>
      <c r="E245" s="4" t="s">
        <v>13</v>
      </c>
      <c r="F245" s="6">
        <v>24</v>
      </c>
      <c r="G245" s="6">
        <v>24</v>
      </c>
      <c r="H245" s="6">
        <v>24</v>
      </c>
      <c r="I245" s="6">
        <v>24</v>
      </c>
      <c r="J245" s="6">
        <v>24</v>
      </c>
    </row>
    <row r="246" spans="1:10" ht="28.8" x14ac:dyDescent="0.3">
      <c r="A246" t="s">
        <v>71</v>
      </c>
      <c r="B246" s="2">
        <v>44973</v>
      </c>
      <c r="C246" s="7" t="s">
        <v>11</v>
      </c>
      <c r="D246" s="8" t="s">
        <v>24</v>
      </c>
      <c r="E246" s="8" t="s">
        <v>13</v>
      </c>
      <c r="F246" s="10">
        <v>42</v>
      </c>
      <c r="G246" s="10">
        <v>42</v>
      </c>
      <c r="H246" s="10">
        <v>42</v>
      </c>
      <c r="I246" s="10">
        <v>42</v>
      </c>
      <c r="J246" s="10">
        <v>42</v>
      </c>
    </row>
    <row r="247" spans="1:10" ht="28.8" x14ac:dyDescent="0.3">
      <c r="A247" t="s">
        <v>71</v>
      </c>
      <c r="B247" s="2">
        <v>44973</v>
      </c>
      <c r="C247" s="3" t="s">
        <v>11</v>
      </c>
      <c r="D247" s="4" t="s">
        <v>25</v>
      </c>
      <c r="E247" s="4" t="s">
        <v>26</v>
      </c>
      <c r="F247" s="5"/>
      <c r="G247" s="6">
        <v>42</v>
      </c>
      <c r="H247" s="6">
        <v>60</v>
      </c>
      <c r="I247" s="6">
        <v>51</v>
      </c>
      <c r="J247" s="6">
        <v>51</v>
      </c>
    </row>
    <row r="248" spans="1:10" ht="28.8" x14ac:dyDescent="0.3">
      <c r="A248" t="s">
        <v>71</v>
      </c>
      <c r="B248" s="2">
        <v>44973</v>
      </c>
      <c r="C248" s="7" t="s">
        <v>11</v>
      </c>
      <c r="D248" s="8" t="s">
        <v>27</v>
      </c>
      <c r="E248" s="8" t="s">
        <v>13</v>
      </c>
      <c r="F248" s="10">
        <v>36</v>
      </c>
      <c r="G248" s="10">
        <v>36</v>
      </c>
      <c r="H248" s="10">
        <v>48</v>
      </c>
      <c r="I248" s="10">
        <v>40</v>
      </c>
      <c r="J248" s="10">
        <v>36</v>
      </c>
    </row>
    <row r="249" spans="1:10" ht="28.8" x14ac:dyDescent="0.3">
      <c r="A249" t="s">
        <v>71</v>
      </c>
      <c r="B249" s="2">
        <v>44973</v>
      </c>
      <c r="C249" s="3" t="s">
        <v>11</v>
      </c>
      <c r="D249" s="4" t="s">
        <v>28</v>
      </c>
      <c r="E249" s="4" t="s">
        <v>13</v>
      </c>
      <c r="F249" s="6">
        <v>24</v>
      </c>
      <c r="G249" s="6">
        <v>18</v>
      </c>
      <c r="H249" s="6">
        <v>30</v>
      </c>
      <c r="I249" s="6">
        <v>24</v>
      </c>
      <c r="J249" s="6">
        <v>24</v>
      </c>
    </row>
    <row r="250" spans="1:10" ht="28.8" x14ac:dyDescent="0.3">
      <c r="A250" t="s">
        <v>71</v>
      </c>
      <c r="B250" s="2">
        <v>44973</v>
      </c>
      <c r="C250" s="7" t="s">
        <v>11</v>
      </c>
      <c r="D250" s="8" t="s">
        <v>29</v>
      </c>
      <c r="E250" s="8" t="s">
        <v>13</v>
      </c>
      <c r="F250" s="10">
        <v>42</v>
      </c>
      <c r="G250" s="10">
        <v>36</v>
      </c>
      <c r="H250" s="10">
        <v>42</v>
      </c>
      <c r="I250" s="10">
        <v>39</v>
      </c>
      <c r="J250" s="10">
        <v>39</v>
      </c>
    </row>
    <row r="251" spans="1:10" ht="28.8" x14ac:dyDescent="0.3">
      <c r="A251" t="s">
        <v>71</v>
      </c>
      <c r="B251" s="2">
        <v>44973</v>
      </c>
      <c r="C251" s="3" t="s">
        <v>30</v>
      </c>
      <c r="D251" s="4" t="s">
        <v>31</v>
      </c>
      <c r="E251" s="4" t="s">
        <v>32</v>
      </c>
      <c r="F251" s="6">
        <v>5</v>
      </c>
      <c r="G251" s="6" t="s">
        <v>263</v>
      </c>
      <c r="H251" s="6">
        <v>5</v>
      </c>
      <c r="I251" s="6" t="s">
        <v>323</v>
      </c>
      <c r="J251" s="6" t="s">
        <v>285</v>
      </c>
    </row>
    <row r="252" spans="1:10" ht="28.8" x14ac:dyDescent="0.3">
      <c r="A252" t="s">
        <v>71</v>
      </c>
      <c r="B252" s="2">
        <v>44973</v>
      </c>
      <c r="C252" s="7" t="s">
        <v>30</v>
      </c>
      <c r="D252" s="8" t="s">
        <v>33</v>
      </c>
      <c r="E252" s="8" t="s">
        <v>34</v>
      </c>
      <c r="F252" s="9"/>
      <c r="G252" s="10">
        <v>18</v>
      </c>
      <c r="H252" s="10">
        <v>25</v>
      </c>
      <c r="I252" s="10">
        <v>21</v>
      </c>
      <c r="J252" s="10">
        <v>20</v>
      </c>
    </row>
    <row r="253" spans="1:10" ht="28.8" x14ac:dyDescent="0.3">
      <c r="A253" t="s">
        <v>71</v>
      </c>
      <c r="B253" s="2">
        <v>44973</v>
      </c>
      <c r="C253" s="3" t="s">
        <v>30</v>
      </c>
      <c r="D253" s="4" t="s">
        <v>35</v>
      </c>
      <c r="E253" s="4" t="s">
        <v>34</v>
      </c>
      <c r="F253" s="6">
        <v>25</v>
      </c>
      <c r="G253" s="6">
        <v>25</v>
      </c>
      <c r="H253" s="6">
        <v>30</v>
      </c>
      <c r="I253" s="6" t="s">
        <v>324</v>
      </c>
      <c r="J253" s="6">
        <v>25</v>
      </c>
    </row>
    <row r="254" spans="1:10" ht="43.2" x14ac:dyDescent="0.3">
      <c r="A254" t="s">
        <v>71</v>
      </c>
      <c r="B254" s="2">
        <v>44973</v>
      </c>
      <c r="C254" s="7" t="s">
        <v>36</v>
      </c>
      <c r="D254" s="8" t="s">
        <v>37</v>
      </c>
      <c r="E254" s="8" t="s">
        <v>38</v>
      </c>
      <c r="F254" s="10">
        <v>60</v>
      </c>
      <c r="G254" s="10">
        <v>40</v>
      </c>
      <c r="H254" s="10">
        <v>60</v>
      </c>
      <c r="I254" s="10" t="s">
        <v>266</v>
      </c>
      <c r="J254" s="10">
        <v>55</v>
      </c>
    </row>
    <row r="255" spans="1:10" ht="43.2" x14ac:dyDescent="0.3">
      <c r="A255" t="s">
        <v>71</v>
      </c>
      <c r="B255" s="2">
        <v>44973</v>
      </c>
      <c r="C255" s="3" t="s">
        <v>36</v>
      </c>
      <c r="D255" s="4" t="s">
        <v>39</v>
      </c>
      <c r="E255" s="4" t="s">
        <v>40</v>
      </c>
      <c r="F255" s="6">
        <v>50</v>
      </c>
      <c r="G255" s="6">
        <v>45</v>
      </c>
      <c r="H255" s="6">
        <v>50</v>
      </c>
      <c r="I255" s="6" t="s">
        <v>325</v>
      </c>
      <c r="J255" s="6">
        <v>50</v>
      </c>
    </row>
    <row r="256" spans="1:10" ht="43.2" x14ac:dyDescent="0.3">
      <c r="A256" t="s">
        <v>71</v>
      </c>
      <c r="B256" s="2">
        <v>44973</v>
      </c>
      <c r="C256" s="7" t="s">
        <v>36</v>
      </c>
      <c r="D256" s="8" t="s">
        <v>41</v>
      </c>
      <c r="E256" s="8" t="s">
        <v>42</v>
      </c>
      <c r="F256" s="10">
        <v>50</v>
      </c>
      <c r="G256" s="10">
        <v>35</v>
      </c>
      <c r="H256" s="10">
        <v>50</v>
      </c>
      <c r="I256" s="10">
        <v>45</v>
      </c>
      <c r="J256" s="10" t="s">
        <v>279</v>
      </c>
    </row>
    <row r="257" spans="1:10" ht="43.2" x14ac:dyDescent="0.3">
      <c r="A257" t="s">
        <v>71</v>
      </c>
      <c r="B257" s="2">
        <v>44973</v>
      </c>
      <c r="C257" s="3" t="s">
        <v>36</v>
      </c>
      <c r="D257" s="4" t="s">
        <v>43</v>
      </c>
      <c r="E257" s="4" t="s">
        <v>42</v>
      </c>
      <c r="F257" s="5"/>
      <c r="G257" s="6">
        <v>60</v>
      </c>
      <c r="H257" s="6">
        <v>60</v>
      </c>
      <c r="I257" s="6">
        <v>60</v>
      </c>
      <c r="J257" s="6">
        <v>60</v>
      </c>
    </row>
    <row r="258" spans="1:10" ht="43.2" x14ac:dyDescent="0.3">
      <c r="A258" t="s">
        <v>71</v>
      </c>
      <c r="B258" s="2">
        <v>44973</v>
      </c>
      <c r="C258" s="7" t="s">
        <v>36</v>
      </c>
      <c r="D258" s="8" t="s">
        <v>44</v>
      </c>
      <c r="E258" s="8" t="s">
        <v>45</v>
      </c>
      <c r="F258" s="10">
        <v>60</v>
      </c>
      <c r="G258" s="10">
        <v>50</v>
      </c>
      <c r="H258" s="10">
        <v>70</v>
      </c>
      <c r="I258" s="10">
        <v>60</v>
      </c>
      <c r="J258" s="10">
        <v>60</v>
      </c>
    </row>
    <row r="259" spans="1:10" ht="43.2" x14ac:dyDescent="0.3">
      <c r="A259" t="s">
        <v>71</v>
      </c>
      <c r="B259" s="2">
        <v>44973</v>
      </c>
      <c r="C259" s="3" t="s">
        <v>36</v>
      </c>
      <c r="D259" s="4" t="s">
        <v>46</v>
      </c>
      <c r="E259" s="4" t="s">
        <v>40</v>
      </c>
      <c r="F259" s="6">
        <v>60</v>
      </c>
      <c r="G259" s="6">
        <v>40</v>
      </c>
      <c r="H259" s="6">
        <v>60</v>
      </c>
      <c r="I259" s="6">
        <v>54</v>
      </c>
      <c r="J259" s="6">
        <v>60</v>
      </c>
    </row>
    <row r="260" spans="1:10" ht="43.2" x14ac:dyDescent="0.3">
      <c r="A260" t="s">
        <v>71</v>
      </c>
      <c r="B260" s="2">
        <v>44973</v>
      </c>
      <c r="C260" s="7" t="s">
        <v>36</v>
      </c>
      <c r="D260" s="8" t="s">
        <v>47</v>
      </c>
      <c r="E260" s="8" t="s">
        <v>40</v>
      </c>
      <c r="F260" s="10">
        <v>50</v>
      </c>
      <c r="G260" s="10">
        <v>35</v>
      </c>
      <c r="H260" s="10">
        <v>50</v>
      </c>
      <c r="I260" s="10">
        <v>46</v>
      </c>
      <c r="J260" s="10">
        <v>50</v>
      </c>
    </row>
    <row r="261" spans="1:10" ht="43.2" x14ac:dyDescent="0.3">
      <c r="A261" t="s">
        <v>71</v>
      </c>
      <c r="B261" s="2">
        <v>44973</v>
      </c>
      <c r="C261" s="3" t="s">
        <v>36</v>
      </c>
      <c r="D261" s="4" t="s">
        <v>48</v>
      </c>
      <c r="E261" s="4" t="s">
        <v>38</v>
      </c>
      <c r="F261" s="6">
        <v>70</v>
      </c>
      <c r="G261" s="6">
        <v>50</v>
      </c>
      <c r="H261" s="6">
        <v>70</v>
      </c>
      <c r="I261" s="6" t="s">
        <v>268</v>
      </c>
      <c r="J261" s="6">
        <v>65</v>
      </c>
    </row>
    <row r="262" spans="1:10" ht="43.2" x14ac:dyDescent="0.3">
      <c r="A262" t="s">
        <v>71</v>
      </c>
      <c r="B262" s="2">
        <v>44973</v>
      </c>
      <c r="C262" s="7" t="s">
        <v>36</v>
      </c>
      <c r="D262" s="8" t="s">
        <v>49</v>
      </c>
      <c r="E262" s="8" t="s">
        <v>40</v>
      </c>
      <c r="F262" s="9"/>
      <c r="G262" s="10">
        <v>50</v>
      </c>
      <c r="H262" s="10">
        <v>55</v>
      </c>
      <c r="I262" s="10" t="s">
        <v>266</v>
      </c>
      <c r="J262" s="10" t="s">
        <v>266</v>
      </c>
    </row>
    <row r="263" spans="1:10" ht="43.2" x14ac:dyDescent="0.3">
      <c r="A263" t="s">
        <v>71</v>
      </c>
      <c r="B263" s="2">
        <v>44973</v>
      </c>
      <c r="C263" s="3" t="s">
        <v>36</v>
      </c>
      <c r="D263" s="4" t="s">
        <v>50</v>
      </c>
      <c r="E263" s="4" t="s">
        <v>38</v>
      </c>
      <c r="F263" s="5"/>
      <c r="G263" s="6">
        <v>45</v>
      </c>
      <c r="H263" s="6">
        <v>60</v>
      </c>
      <c r="I263" s="6" t="s">
        <v>326</v>
      </c>
      <c r="J263" s="6">
        <v>50</v>
      </c>
    </row>
    <row r="264" spans="1:10" ht="43.2" x14ac:dyDescent="0.3">
      <c r="A264" t="s">
        <v>71</v>
      </c>
      <c r="B264" s="2">
        <v>44973</v>
      </c>
      <c r="C264" s="7" t="s">
        <v>36</v>
      </c>
      <c r="D264" s="8" t="s">
        <v>51</v>
      </c>
      <c r="E264" s="8" t="s">
        <v>38</v>
      </c>
      <c r="F264" s="9"/>
      <c r="G264" s="10">
        <v>60</v>
      </c>
      <c r="H264" s="10">
        <v>100</v>
      </c>
      <c r="I264" s="10">
        <v>81</v>
      </c>
      <c r="J264" s="10">
        <v>80</v>
      </c>
    </row>
    <row r="265" spans="1:10" ht="43.2" x14ac:dyDescent="0.3">
      <c r="A265" t="s">
        <v>71</v>
      </c>
      <c r="B265" s="2">
        <v>44973</v>
      </c>
      <c r="C265" s="3" t="s">
        <v>36</v>
      </c>
      <c r="D265" s="4" t="s">
        <v>52</v>
      </c>
      <c r="E265" s="4" t="s">
        <v>42</v>
      </c>
      <c r="F265" s="6">
        <v>40</v>
      </c>
      <c r="G265" s="6">
        <v>35</v>
      </c>
      <c r="H265" s="6">
        <v>40</v>
      </c>
      <c r="I265" s="6" t="s">
        <v>327</v>
      </c>
      <c r="J265" s="6">
        <v>40</v>
      </c>
    </row>
    <row r="266" spans="1:10" ht="43.2" x14ac:dyDescent="0.3">
      <c r="A266" t="s">
        <v>71</v>
      </c>
      <c r="B266" s="2">
        <v>44973</v>
      </c>
      <c r="C266" s="7" t="s">
        <v>36</v>
      </c>
      <c r="D266" s="8" t="s">
        <v>53</v>
      </c>
      <c r="E266" s="8" t="s">
        <v>54</v>
      </c>
      <c r="F266" s="10">
        <v>70</v>
      </c>
      <c r="G266" s="10">
        <v>70</v>
      </c>
      <c r="H266" s="10">
        <v>100</v>
      </c>
      <c r="I266" s="10">
        <v>80</v>
      </c>
      <c r="J266" s="10">
        <v>75</v>
      </c>
    </row>
    <row r="267" spans="1:10" ht="43.2" x14ac:dyDescent="0.3">
      <c r="A267" t="s">
        <v>71</v>
      </c>
      <c r="B267" s="2">
        <v>44973</v>
      </c>
      <c r="C267" s="3" t="s">
        <v>36</v>
      </c>
      <c r="D267" s="4" t="s">
        <v>55</v>
      </c>
      <c r="E267" s="4" t="s">
        <v>38</v>
      </c>
      <c r="F267" s="6">
        <v>110</v>
      </c>
      <c r="G267" s="6">
        <v>100</v>
      </c>
      <c r="H267" s="6">
        <v>140</v>
      </c>
      <c r="I267" s="6">
        <v>115</v>
      </c>
      <c r="J267" s="6">
        <v>110</v>
      </c>
    </row>
    <row r="268" spans="1:10" ht="43.2" x14ac:dyDescent="0.3">
      <c r="A268" t="s">
        <v>71</v>
      </c>
      <c r="B268" s="2">
        <v>44973</v>
      </c>
      <c r="C268" s="7" t="s">
        <v>36</v>
      </c>
      <c r="D268" s="8" t="s">
        <v>56</v>
      </c>
      <c r="E268" s="8" t="s">
        <v>38</v>
      </c>
      <c r="F268" s="10">
        <v>120</v>
      </c>
      <c r="G268" s="10">
        <v>100</v>
      </c>
      <c r="H268" s="10">
        <v>130</v>
      </c>
      <c r="I268" s="10" t="s">
        <v>328</v>
      </c>
      <c r="J268" s="10">
        <v>120</v>
      </c>
    </row>
    <row r="269" spans="1:10" x14ac:dyDescent="0.3">
      <c r="A269" t="s">
        <v>71</v>
      </c>
      <c r="B269" s="2">
        <v>44973</v>
      </c>
      <c r="C269" s="3" t="s">
        <v>57</v>
      </c>
      <c r="D269" s="4" t="s">
        <v>58</v>
      </c>
      <c r="E269" s="4" t="s">
        <v>38</v>
      </c>
      <c r="F269" s="5"/>
      <c r="G269" s="5"/>
      <c r="H269" s="5"/>
      <c r="I269" s="5"/>
      <c r="J269" s="5"/>
    </row>
    <row r="270" spans="1:10" x14ac:dyDescent="0.3">
      <c r="A270" t="s">
        <v>71</v>
      </c>
      <c r="B270" s="2">
        <v>44973</v>
      </c>
      <c r="C270" s="7" t="s">
        <v>57</v>
      </c>
      <c r="D270" s="8" t="s">
        <v>59</v>
      </c>
      <c r="E270" s="8" t="s">
        <v>38</v>
      </c>
      <c r="F270" s="9"/>
      <c r="G270" s="9"/>
      <c r="H270" s="9"/>
      <c r="I270" s="9"/>
      <c r="J270" s="9"/>
    </row>
    <row r="271" spans="1:10" x14ac:dyDescent="0.3">
      <c r="A271" t="s">
        <v>71</v>
      </c>
      <c r="B271" s="2">
        <v>44973</v>
      </c>
      <c r="C271" s="3" t="s">
        <v>57</v>
      </c>
      <c r="D271" s="4" t="s">
        <v>60</v>
      </c>
      <c r="E271" s="4" t="s">
        <v>38</v>
      </c>
      <c r="F271" s="5"/>
      <c r="G271" s="5"/>
      <c r="H271" s="5"/>
      <c r="I271" s="5"/>
      <c r="J271" s="5"/>
    </row>
    <row r="272" spans="1:10" x14ac:dyDescent="0.3">
      <c r="A272" t="s">
        <v>71</v>
      </c>
      <c r="B272" s="2">
        <v>44973</v>
      </c>
      <c r="C272" s="7" t="s">
        <v>57</v>
      </c>
      <c r="D272" s="8" t="s">
        <v>61</v>
      </c>
      <c r="E272" s="8" t="s">
        <v>42</v>
      </c>
      <c r="F272" s="9"/>
      <c r="G272" s="9"/>
      <c r="H272" s="9"/>
      <c r="I272" s="9"/>
      <c r="J272" s="9"/>
    </row>
    <row r="273" spans="1:10" x14ac:dyDescent="0.3">
      <c r="A273" t="s">
        <v>71</v>
      </c>
      <c r="B273" s="2">
        <v>44973</v>
      </c>
      <c r="C273" s="3" t="s">
        <v>57</v>
      </c>
      <c r="D273" s="4" t="s">
        <v>62</v>
      </c>
      <c r="E273" s="4" t="s">
        <v>63</v>
      </c>
      <c r="F273" s="5"/>
      <c r="G273" s="5"/>
      <c r="H273" s="5"/>
      <c r="I273" s="5"/>
      <c r="J273" s="5"/>
    </row>
    <row r="274" spans="1:10" ht="28.8" x14ac:dyDescent="0.3">
      <c r="A274" t="s">
        <v>72</v>
      </c>
      <c r="B274" s="2">
        <v>45357</v>
      </c>
      <c r="C274" s="3" t="s">
        <v>11</v>
      </c>
      <c r="D274" s="4" t="s">
        <v>12</v>
      </c>
      <c r="E274" s="4" t="s">
        <v>13</v>
      </c>
      <c r="F274" s="6">
        <v>60</v>
      </c>
      <c r="G274" s="6">
        <v>48</v>
      </c>
      <c r="H274" s="6">
        <v>78</v>
      </c>
      <c r="I274" s="6" t="s">
        <v>329</v>
      </c>
      <c r="J274" s="6">
        <v>60</v>
      </c>
    </row>
    <row r="275" spans="1:10" ht="28.8" x14ac:dyDescent="0.3">
      <c r="A275" t="s">
        <v>72</v>
      </c>
      <c r="B275" s="2">
        <v>45357</v>
      </c>
      <c r="C275" s="7" t="s">
        <v>11</v>
      </c>
      <c r="D275" s="8" t="s">
        <v>14</v>
      </c>
      <c r="E275" s="8" t="s">
        <v>13</v>
      </c>
      <c r="F275" s="10">
        <v>84</v>
      </c>
      <c r="G275" s="10">
        <v>72</v>
      </c>
      <c r="H275" s="10">
        <v>84</v>
      </c>
      <c r="I275" s="10">
        <v>80</v>
      </c>
      <c r="J275" s="10">
        <v>84</v>
      </c>
    </row>
    <row r="276" spans="1:10" ht="28.8" x14ac:dyDescent="0.3">
      <c r="A276" t="s">
        <v>72</v>
      </c>
      <c r="B276" s="2">
        <v>45357</v>
      </c>
      <c r="C276" s="3" t="s">
        <v>11</v>
      </c>
      <c r="D276" s="4" t="s">
        <v>15</v>
      </c>
      <c r="E276" s="4" t="s">
        <v>13</v>
      </c>
      <c r="F276" s="5"/>
      <c r="G276" s="6">
        <v>45</v>
      </c>
      <c r="H276" s="6">
        <v>60</v>
      </c>
      <c r="I276" s="6" t="s">
        <v>330</v>
      </c>
      <c r="J276" s="6">
        <v>51</v>
      </c>
    </row>
    <row r="277" spans="1:10" ht="28.8" x14ac:dyDescent="0.3">
      <c r="A277" t="s">
        <v>72</v>
      </c>
      <c r="B277" s="2">
        <v>45357</v>
      </c>
      <c r="C277" s="7" t="s">
        <v>11</v>
      </c>
      <c r="D277" s="8" t="s">
        <v>16</v>
      </c>
      <c r="E277" s="8" t="s">
        <v>13</v>
      </c>
      <c r="F277" s="9"/>
      <c r="G277" s="10">
        <v>30</v>
      </c>
      <c r="H277" s="10">
        <v>50</v>
      </c>
      <c r="I277" s="10" t="s">
        <v>331</v>
      </c>
      <c r="J277" s="10">
        <v>36</v>
      </c>
    </row>
    <row r="278" spans="1:10" ht="28.8" x14ac:dyDescent="0.3">
      <c r="A278" t="s">
        <v>72</v>
      </c>
      <c r="B278" s="2">
        <v>45357</v>
      </c>
      <c r="C278" s="3" t="s">
        <v>11</v>
      </c>
      <c r="D278" s="4" t="s">
        <v>17</v>
      </c>
      <c r="E278" s="4" t="s">
        <v>13</v>
      </c>
      <c r="F278" s="5"/>
      <c r="G278" s="6">
        <v>30</v>
      </c>
      <c r="H278" s="6">
        <v>42</v>
      </c>
      <c r="I278" s="6" t="s">
        <v>332</v>
      </c>
      <c r="J278" s="6" t="s">
        <v>333</v>
      </c>
    </row>
    <row r="279" spans="1:10" ht="28.8" x14ac:dyDescent="0.3">
      <c r="A279" t="s">
        <v>72</v>
      </c>
      <c r="B279" s="2">
        <v>45357</v>
      </c>
      <c r="C279" s="7" t="s">
        <v>11</v>
      </c>
      <c r="D279" s="8" t="s">
        <v>18</v>
      </c>
      <c r="E279" s="8" t="s">
        <v>13</v>
      </c>
      <c r="F279" s="10">
        <v>60</v>
      </c>
      <c r="G279" s="10">
        <v>48</v>
      </c>
      <c r="H279" s="10">
        <v>60</v>
      </c>
      <c r="I279" s="10">
        <v>56</v>
      </c>
      <c r="J279" s="10">
        <v>60</v>
      </c>
    </row>
    <row r="280" spans="1:10" ht="28.8" x14ac:dyDescent="0.3">
      <c r="A280" t="s">
        <v>72</v>
      </c>
      <c r="B280" s="2">
        <v>45357</v>
      </c>
      <c r="C280" s="3" t="s">
        <v>11</v>
      </c>
      <c r="D280" s="4" t="s">
        <v>19</v>
      </c>
      <c r="E280" s="4" t="s">
        <v>13</v>
      </c>
      <c r="F280" s="6">
        <v>72</v>
      </c>
      <c r="G280" s="6">
        <v>60</v>
      </c>
      <c r="H280" s="6">
        <v>84</v>
      </c>
      <c r="I280" s="6">
        <v>72</v>
      </c>
      <c r="J280" s="6">
        <v>72</v>
      </c>
    </row>
    <row r="281" spans="1:10" ht="28.8" x14ac:dyDescent="0.3">
      <c r="A281" t="s">
        <v>72</v>
      </c>
      <c r="B281" s="2">
        <v>45357</v>
      </c>
      <c r="C281" s="7" t="s">
        <v>11</v>
      </c>
      <c r="D281" s="8" t="s">
        <v>20</v>
      </c>
      <c r="E281" s="8" t="s">
        <v>13</v>
      </c>
      <c r="F281" s="10">
        <v>84</v>
      </c>
      <c r="G281" s="10">
        <v>72</v>
      </c>
      <c r="H281" s="10">
        <v>96</v>
      </c>
      <c r="I281" s="10">
        <v>84</v>
      </c>
      <c r="J281" s="10">
        <v>84</v>
      </c>
    </row>
    <row r="282" spans="1:10" ht="28.8" x14ac:dyDescent="0.3">
      <c r="A282" t="s">
        <v>72</v>
      </c>
      <c r="B282" s="2">
        <v>45357</v>
      </c>
      <c r="C282" s="3" t="s">
        <v>11</v>
      </c>
      <c r="D282" s="4" t="s">
        <v>21</v>
      </c>
      <c r="E282" s="4" t="s">
        <v>13</v>
      </c>
      <c r="F282" s="6">
        <v>25</v>
      </c>
      <c r="G282" s="6">
        <v>24</v>
      </c>
      <c r="H282" s="6">
        <v>30</v>
      </c>
      <c r="I282" s="6">
        <v>26</v>
      </c>
      <c r="J282" s="6">
        <v>25</v>
      </c>
    </row>
    <row r="283" spans="1:10" ht="28.8" x14ac:dyDescent="0.3">
      <c r="A283" t="s">
        <v>72</v>
      </c>
      <c r="B283" s="2">
        <v>45357</v>
      </c>
      <c r="C283" s="7" t="s">
        <v>11</v>
      </c>
      <c r="D283" s="8" t="s">
        <v>65</v>
      </c>
      <c r="E283" s="8" t="s">
        <v>13</v>
      </c>
      <c r="F283" s="10">
        <v>84</v>
      </c>
      <c r="G283" s="10">
        <v>84</v>
      </c>
      <c r="H283" s="10">
        <v>108</v>
      </c>
      <c r="I283" s="10" t="s">
        <v>334</v>
      </c>
      <c r="J283" s="10">
        <v>96</v>
      </c>
    </row>
    <row r="284" spans="1:10" ht="28.8" x14ac:dyDescent="0.3">
      <c r="A284" t="s">
        <v>72</v>
      </c>
      <c r="B284" s="2">
        <v>45357</v>
      </c>
      <c r="C284" s="3" t="s">
        <v>11</v>
      </c>
      <c r="D284" s="4" t="s">
        <v>23</v>
      </c>
      <c r="E284" s="4" t="s">
        <v>13</v>
      </c>
      <c r="F284" s="5"/>
      <c r="G284" s="6">
        <v>25</v>
      </c>
      <c r="H284" s="6">
        <v>42</v>
      </c>
      <c r="I284" s="6" t="s">
        <v>335</v>
      </c>
      <c r="J284" s="6">
        <v>33</v>
      </c>
    </row>
    <row r="285" spans="1:10" ht="28.8" x14ac:dyDescent="0.3">
      <c r="A285" t="s">
        <v>72</v>
      </c>
      <c r="B285" s="2">
        <v>45357</v>
      </c>
      <c r="C285" s="7" t="s">
        <v>11</v>
      </c>
      <c r="D285" s="8" t="s">
        <v>24</v>
      </c>
      <c r="E285" s="8" t="s">
        <v>13</v>
      </c>
      <c r="F285" s="10">
        <v>60</v>
      </c>
      <c r="G285" s="10">
        <v>60</v>
      </c>
      <c r="H285" s="10">
        <v>72</v>
      </c>
      <c r="I285" s="10">
        <v>64</v>
      </c>
      <c r="J285" s="10">
        <v>60</v>
      </c>
    </row>
    <row r="286" spans="1:10" ht="28.8" x14ac:dyDescent="0.3">
      <c r="A286" t="s">
        <v>72</v>
      </c>
      <c r="B286" s="2">
        <v>45357</v>
      </c>
      <c r="C286" s="3" t="s">
        <v>11</v>
      </c>
      <c r="D286" s="4" t="s">
        <v>25</v>
      </c>
      <c r="E286" s="4" t="s">
        <v>26</v>
      </c>
      <c r="F286" s="6">
        <v>60</v>
      </c>
      <c r="G286" s="6">
        <v>48</v>
      </c>
      <c r="H286" s="6">
        <v>72</v>
      </c>
      <c r="I286" s="6">
        <v>60</v>
      </c>
      <c r="J286" s="6">
        <v>60</v>
      </c>
    </row>
    <row r="287" spans="1:10" ht="28.8" x14ac:dyDescent="0.3">
      <c r="A287" t="s">
        <v>72</v>
      </c>
      <c r="B287" s="2">
        <v>45357</v>
      </c>
      <c r="C287" s="7" t="s">
        <v>11</v>
      </c>
      <c r="D287" s="8" t="s">
        <v>27</v>
      </c>
      <c r="E287" s="8" t="s">
        <v>13</v>
      </c>
      <c r="F287" s="10">
        <v>84</v>
      </c>
      <c r="G287" s="10">
        <v>60</v>
      </c>
      <c r="H287" s="10">
        <v>84</v>
      </c>
      <c r="I287" s="10">
        <v>75</v>
      </c>
      <c r="J287" s="10">
        <v>78</v>
      </c>
    </row>
    <row r="288" spans="1:10" ht="28.8" x14ac:dyDescent="0.3">
      <c r="A288" t="s">
        <v>72</v>
      </c>
      <c r="B288" s="2">
        <v>45357</v>
      </c>
      <c r="C288" s="3" t="s">
        <v>11</v>
      </c>
      <c r="D288" s="4" t="s">
        <v>28</v>
      </c>
      <c r="E288" s="4" t="s">
        <v>13</v>
      </c>
      <c r="F288" s="6">
        <v>60</v>
      </c>
      <c r="G288" s="6">
        <v>48</v>
      </c>
      <c r="H288" s="6">
        <v>78</v>
      </c>
      <c r="I288" s="6" t="s">
        <v>336</v>
      </c>
      <c r="J288" s="6">
        <v>60</v>
      </c>
    </row>
    <row r="289" spans="1:10" ht="28.8" x14ac:dyDescent="0.3">
      <c r="A289" t="s">
        <v>72</v>
      </c>
      <c r="B289" s="2">
        <v>45357</v>
      </c>
      <c r="C289" s="7" t="s">
        <v>11</v>
      </c>
      <c r="D289" s="8" t="s">
        <v>29</v>
      </c>
      <c r="E289" s="8" t="s">
        <v>13</v>
      </c>
      <c r="F289" s="9"/>
      <c r="G289" s="10">
        <v>42</v>
      </c>
      <c r="H289" s="10">
        <v>54</v>
      </c>
      <c r="I289" s="10">
        <v>48</v>
      </c>
      <c r="J289" s="10">
        <v>48</v>
      </c>
    </row>
    <row r="290" spans="1:10" ht="28.8" x14ac:dyDescent="0.3">
      <c r="A290" t="s">
        <v>72</v>
      </c>
      <c r="B290" s="2">
        <v>45357</v>
      </c>
      <c r="C290" s="3" t="s">
        <v>30</v>
      </c>
      <c r="D290" s="4" t="s">
        <v>31</v>
      </c>
      <c r="E290" s="4" t="s">
        <v>32</v>
      </c>
      <c r="F290" s="6">
        <v>5</v>
      </c>
      <c r="G290" s="6">
        <v>4</v>
      </c>
      <c r="H290" s="6">
        <v>5</v>
      </c>
      <c r="I290" s="6" t="s">
        <v>337</v>
      </c>
      <c r="J290" s="6" t="s">
        <v>338</v>
      </c>
    </row>
    <row r="291" spans="1:10" ht="28.8" x14ac:dyDescent="0.3">
      <c r="A291" t="s">
        <v>72</v>
      </c>
      <c r="B291" s="2">
        <v>45357</v>
      </c>
      <c r="C291" s="7" t="s">
        <v>30</v>
      </c>
      <c r="D291" s="8" t="s">
        <v>33</v>
      </c>
      <c r="E291" s="8" t="s">
        <v>34</v>
      </c>
      <c r="F291" s="10">
        <v>20</v>
      </c>
      <c r="G291" s="10">
        <v>20</v>
      </c>
      <c r="H291" s="10">
        <v>40</v>
      </c>
      <c r="I291" s="10" t="s">
        <v>339</v>
      </c>
      <c r="J291" s="10" t="s">
        <v>255</v>
      </c>
    </row>
    <row r="292" spans="1:10" ht="28.8" x14ac:dyDescent="0.3">
      <c r="A292" t="s">
        <v>72</v>
      </c>
      <c r="B292" s="2">
        <v>45357</v>
      </c>
      <c r="C292" s="3" t="s">
        <v>30</v>
      </c>
      <c r="D292" s="4" t="s">
        <v>35</v>
      </c>
      <c r="E292" s="4" t="s">
        <v>34</v>
      </c>
      <c r="F292" s="6">
        <v>25</v>
      </c>
      <c r="G292" s="6">
        <v>25</v>
      </c>
      <c r="H292" s="6">
        <v>30</v>
      </c>
      <c r="I292" s="6" t="s">
        <v>340</v>
      </c>
      <c r="J292" s="6">
        <v>28</v>
      </c>
    </row>
    <row r="293" spans="1:10" ht="43.2" x14ac:dyDescent="0.3">
      <c r="A293" t="s">
        <v>72</v>
      </c>
      <c r="B293" s="2">
        <v>45357</v>
      </c>
      <c r="C293" s="7" t="s">
        <v>36</v>
      </c>
      <c r="D293" s="8" t="s">
        <v>73</v>
      </c>
      <c r="E293" s="8" t="s">
        <v>74</v>
      </c>
      <c r="F293" s="9"/>
      <c r="G293" s="10">
        <v>10</v>
      </c>
      <c r="H293" s="10">
        <v>110</v>
      </c>
      <c r="I293" s="10" t="s">
        <v>341</v>
      </c>
      <c r="J293" s="10" t="s">
        <v>342</v>
      </c>
    </row>
    <row r="294" spans="1:10" ht="43.2" x14ac:dyDescent="0.3">
      <c r="A294" t="s">
        <v>72</v>
      </c>
      <c r="B294" s="2">
        <v>45357</v>
      </c>
      <c r="C294" s="3" t="s">
        <v>36</v>
      </c>
      <c r="D294" s="4" t="s">
        <v>37</v>
      </c>
      <c r="E294" s="4" t="s">
        <v>38</v>
      </c>
      <c r="F294" s="6">
        <v>100</v>
      </c>
      <c r="G294" s="6">
        <v>78</v>
      </c>
      <c r="H294" s="6">
        <v>100</v>
      </c>
      <c r="I294" s="6" t="s">
        <v>343</v>
      </c>
      <c r="J294" s="6">
        <v>90</v>
      </c>
    </row>
    <row r="295" spans="1:10" ht="43.2" x14ac:dyDescent="0.3">
      <c r="A295" t="s">
        <v>72</v>
      </c>
      <c r="B295" s="2">
        <v>45357</v>
      </c>
      <c r="C295" s="7" t="s">
        <v>36</v>
      </c>
      <c r="D295" s="8" t="s">
        <v>39</v>
      </c>
      <c r="E295" s="8" t="s">
        <v>40</v>
      </c>
      <c r="F295" s="9"/>
      <c r="G295" s="10">
        <v>50</v>
      </c>
      <c r="H295" s="10">
        <v>80</v>
      </c>
      <c r="I295" s="10">
        <v>66</v>
      </c>
      <c r="J295" s="10">
        <v>70</v>
      </c>
    </row>
    <row r="296" spans="1:10" ht="43.2" x14ac:dyDescent="0.3">
      <c r="A296" t="s">
        <v>72</v>
      </c>
      <c r="B296" s="2">
        <v>45357</v>
      </c>
      <c r="C296" s="3" t="s">
        <v>36</v>
      </c>
      <c r="D296" s="4" t="s">
        <v>41</v>
      </c>
      <c r="E296" s="4" t="s">
        <v>42</v>
      </c>
      <c r="F296" s="6">
        <v>40</v>
      </c>
      <c r="G296" s="6">
        <v>30</v>
      </c>
      <c r="H296" s="6">
        <v>50</v>
      </c>
      <c r="I296" s="6">
        <v>40</v>
      </c>
      <c r="J296" s="6">
        <v>40</v>
      </c>
    </row>
    <row r="297" spans="1:10" ht="43.2" x14ac:dyDescent="0.3">
      <c r="A297" t="s">
        <v>72</v>
      </c>
      <c r="B297" s="2">
        <v>45357</v>
      </c>
      <c r="C297" s="7" t="s">
        <v>36</v>
      </c>
      <c r="D297" s="8" t="s">
        <v>43</v>
      </c>
      <c r="E297" s="8" t="s">
        <v>42</v>
      </c>
      <c r="F297" s="9"/>
      <c r="G297" s="10">
        <v>95</v>
      </c>
      <c r="H297" s="10">
        <v>100</v>
      </c>
      <c r="I297" s="10" t="s">
        <v>342</v>
      </c>
      <c r="J297" s="10" t="s">
        <v>342</v>
      </c>
    </row>
    <row r="298" spans="1:10" ht="43.2" x14ac:dyDescent="0.3">
      <c r="A298" t="s">
        <v>72</v>
      </c>
      <c r="B298" s="2">
        <v>45357</v>
      </c>
      <c r="C298" s="3" t="s">
        <v>36</v>
      </c>
      <c r="D298" s="4" t="s">
        <v>44</v>
      </c>
      <c r="E298" s="4" t="s">
        <v>45</v>
      </c>
      <c r="F298" s="6">
        <v>95</v>
      </c>
      <c r="G298" s="6">
        <v>70</v>
      </c>
      <c r="H298" s="6">
        <v>120</v>
      </c>
      <c r="I298" s="6">
        <v>92</v>
      </c>
      <c r="J298" s="6">
        <v>95</v>
      </c>
    </row>
    <row r="299" spans="1:10" ht="43.2" x14ac:dyDescent="0.3">
      <c r="A299" t="s">
        <v>72</v>
      </c>
      <c r="B299" s="2">
        <v>45357</v>
      </c>
      <c r="C299" s="7" t="s">
        <v>36</v>
      </c>
      <c r="D299" s="8" t="s">
        <v>46</v>
      </c>
      <c r="E299" s="8" t="s">
        <v>40</v>
      </c>
      <c r="F299" s="10">
        <v>130</v>
      </c>
      <c r="G299" s="10">
        <v>80</v>
      </c>
      <c r="H299" s="10">
        <v>130</v>
      </c>
      <c r="I299" s="10">
        <v>110</v>
      </c>
      <c r="J299" s="10">
        <v>130</v>
      </c>
    </row>
    <row r="300" spans="1:10" ht="43.2" x14ac:dyDescent="0.3">
      <c r="A300" t="s">
        <v>72</v>
      </c>
      <c r="B300" s="2">
        <v>45357</v>
      </c>
      <c r="C300" s="3" t="s">
        <v>36</v>
      </c>
      <c r="D300" s="4" t="s">
        <v>47</v>
      </c>
      <c r="E300" s="4" t="s">
        <v>40</v>
      </c>
      <c r="F300" s="6">
        <v>60</v>
      </c>
      <c r="G300" s="6">
        <v>50</v>
      </c>
      <c r="H300" s="6">
        <v>80</v>
      </c>
      <c r="I300" s="6">
        <v>64</v>
      </c>
      <c r="J300" s="6">
        <v>60</v>
      </c>
    </row>
    <row r="301" spans="1:10" ht="43.2" x14ac:dyDescent="0.3">
      <c r="A301" t="s">
        <v>72</v>
      </c>
      <c r="B301" s="2">
        <v>45357</v>
      </c>
      <c r="C301" s="7" t="s">
        <v>36</v>
      </c>
      <c r="D301" s="8" t="s">
        <v>48</v>
      </c>
      <c r="E301" s="8" t="s">
        <v>38</v>
      </c>
      <c r="F301" s="10">
        <v>80</v>
      </c>
      <c r="G301" s="10">
        <v>40</v>
      </c>
      <c r="H301" s="10">
        <v>100</v>
      </c>
      <c r="I301" s="10" t="s">
        <v>291</v>
      </c>
      <c r="J301" s="10" t="s">
        <v>322</v>
      </c>
    </row>
    <row r="302" spans="1:10" ht="43.2" x14ac:dyDescent="0.3">
      <c r="A302" t="s">
        <v>72</v>
      </c>
      <c r="B302" s="2">
        <v>45357</v>
      </c>
      <c r="C302" s="3" t="s">
        <v>36</v>
      </c>
      <c r="D302" s="4" t="s">
        <v>49</v>
      </c>
      <c r="E302" s="4" t="s">
        <v>40</v>
      </c>
      <c r="F302" s="5"/>
      <c r="G302" s="6">
        <v>80</v>
      </c>
      <c r="H302" s="6">
        <v>80</v>
      </c>
      <c r="I302" s="6">
        <v>80</v>
      </c>
      <c r="J302" s="6">
        <v>80</v>
      </c>
    </row>
    <row r="303" spans="1:10" ht="43.2" x14ac:dyDescent="0.3">
      <c r="A303" t="s">
        <v>72</v>
      </c>
      <c r="B303" s="2">
        <v>45357</v>
      </c>
      <c r="C303" s="7" t="s">
        <v>36</v>
      </c>
      <c r="D303" s="8" t="s">
        <v>50</v>
      </c>
      <c r="E303" s="8" t="s">
        <v>38</v>
      </c>
      <c r="F303" s="10">
        <v>80</v>
      </c>
      <c r="G303" s="10">
        <v>70</v>
      </c>
      <c r="H303" s="10">
        <v>80</v>
      </c>
      <c r="I303" s="10" t="s">
        <v>344</v>
      </c>
      <c r="J303" s="10">
        <v>80</v>
      </c>
    </row>
    <row r="304" spans="1:10" ht="43.2" x14ac:dyDescent="0.3">
      <c r="A304" t="s">
        <v>72</v>
      </c>
      <c r="B304" s="2">
        <v>45357</v>
      </c>
      <c r="C304" s="3" t="s">
        <v>36</v>
      </c>
      <c r="D304" s="4" t="s">
        <v>51</v>
      </c>
      <c r="E304" s="4" t="s">
        <v>38</v>
      </c>
      <c r="F304" s="6">
        <v>100</v>
      </c>
      <c r="G304" s="6">
        <v>70</v>
      </c>
      <c r="H304" s="6">
        <v>120</v>
      </c>
      <c r="I304" s="6" t="s">
        <v>342</v>
      </c>
      <c r="J304" s="6">
        <v>100</v>
      </c>
    </row>
    <row r="305" spans="1:10" ht="43.2" x14ac:dyDescent="0.3">
      <c r="A305" t="s">
        <v>72</v>
      </c>
      <c r="B305" s="2">
        <v>45357</v>
      </c>
      <c r="C305" s="7" t="s">
        <v>36</v>
      </c>
      <c r="D305" s="8" t="s">
        <v>52</v>
      </c>
      <c r="E305" s="8" t="s">
        <v>42</v>
      </c>
      <c r="F305" s="10">
        <v>50</v>
      </c>
      <c r="G305" s="10">
        <v>40</v>
      </c>
      <c r="H305" s="10">
        <v>60</v>
      </c>
      <c r="I305" s="10" t="s">
        <v>345</v>
      </c>
      <c r="J305" s="10">
        <v>50</v>
      </c>
    </row>
    <row r="306" spans="1:10" ht="43.2" x14ac:dyDescent="0.3">
      <c r="A306" t="s">
        <v>72</v>
      </c>
      <c r="B306" s="2">
        <v>45357</v>
      </c>
      <c r="C306" s="3" t="s">
        <v>36</v>
      </c>
      <c r="D306" s="4" t="s">
        <v>53</v>
      </c>
      <c r="E306" s="4" t="s">
        <v>54</v>
      </c>
      <c r="F306" s="6">
        <v>70</v>
      </c>
      <c r="G306" s="6">
        <v>60</v>
      </c>
      <c r="H306" s="6">
        <v>90</v>
      </c>
      <c r="I306" s="6" t="s">
        <v>281</v>
      </c>
      <c r="J306" s="6">
        <v>70</v>
      </c>
    </row>
    <row r="307" spans="1:10" ht="43.2" x14ac:dyDescent="0.3">
      <c r="A307" t="s">
        <v>72</v>
      </c>
      <c r="B307" s="2">
        <v>45357</v>
      </c>
      <c r="C307" s="7" t="s">
        <v>36</v>
      </c>
      <c r="D307" s="8" t="s">
        <v>55</v>
      </c>
      <c r="E307" s="8" t="s">
        <v>38</v>
      </c>
      <c r="F307" s="10">
        <v>130</v>
      </c>
      <c r="G307" s="10">
        <v>100</v>
      </c>
      <c r="H307" s="10">
        <v>130</v>
      </c>
      <c r="I307" s="10" t="s">
        <v>346</v>
      </c>
      <c r="J307" s="10">
        <v>120</v>
      </c>
    </row>
    <row r="308" spans="1:10" ht="43.2" x14ac:dyDescent="0.3">
      <c r="A308" t="s">
        <v>72</v>
      </c>
      <c r="B308" s="2">
        <v>45357</v>
      </c>
      <c r="C308" s="3" t="s">
        <v>36</v>
      </c>
      <c r="D308" s="4" t="s">
        <v>56</v>
      </c>
      <c r="E308" s="4" t="s">
        <v>38</v>
      </c>
      <c r="F308" s="6">
        <v>120</v>
      </c>
      <c r="G308" s="6">
        <v>110</v>
      </c>
      <c r="H308" s="6">
        <v>150</v>
      </c>
      <c r="I308" s="6">
        <v>128</v>
      </c>
      <c r="J308" s="6">
        <v>120</v>
      </c>
    </row>
    <row r="309" spans="1:10" x14ac:dyDescent="0.3">
      <c r="A309" t="s">
        <v>72</v>
      </c>
      <c r="B309" s="2">
        <v>45357</v>
      </c>
      <c r="C309" s="7" t="s">
        <v>57</v>
      </c>
      <c r="D309" s="8" t="s">
        <v>58</v>
      </c>
      <c r="E309" s="8" t="s">
        <v>42</v>
      </c>
      <c r="F309" s="9"/>
      <c r="G309" s="10">
        <v>80</v>
      </c>
      <c r="H309" s="10">
        <v>80</v>
      </c>
      <c r="I309" s="10">
        <v>80</v>
      </c>
      <c r="J309" s="10">
        <v>80</v>
      </c>
    </row>
    <row r="310" spans="1:10" x14ac:dyDescent="0.3">
      <c r="A310" t="s">
        <v>72</v>
      </c>
      <c r="B310" s="2">
        <v>45357</v>
      </c>
      <c r="C310" s="3" t="s">
        <v>57</v>
      </c>
      <c r="D310" s="4" t="s">
        <v>59</v>
      </c>
      <c r="E310" s="4" t="s">
        <v>42</v>
      </c>
      <c r="F310" s="5"/>
      <c r="G310" s="6">
        <v>60</v>
      </c>
      <c r="H310" s="6">
        <v>60</v>
      </c>
      <c r="I310" s="6">
        <v>60</v>
      </c>
      <c r="J310" s="6">
        <v>60</v>
      </c>
    </row>
    <row r="311" spans="1:10" x14ac:dyDescent="0.3">
      <c r="A311" t="s">
        <v>72</v>
      </c>
      <c r="B311" s="2">
        <v>45357</v>
      </c>
      <c r="C311" s="7" t="s">
        <v>57</v>
      </c>
      <c r="D311" s="8" t="s">
        <v>60</v>
      </c>
      <c r="E311" s="8" t="s">
        <v>42</v>
      </c>
      <c r="F311" s="9"/>
      <c r="G311" s="10">
        <v>40</v>
      </c>
      <c r="H311" s="10">
        <v>40</v>
      </c>
      <c r="I311" s="10">
        <v>40</v>
      </c>
      <c r="J311" s="10">
        <v>40</v>
      </c>
    </row>
    <row r="312" spans="1:10" x14ac:dyDescent="0.3">
      <c r="A312" t="s">
        <v>72</v>
      </c>
      <c r="B312" s="2">
        <v>45357</v>
      </c>
      <c r="C312" s="3" t="s">
        <v>57</v>
      </c>
      <c r="D312" s="4" t="s">
        <v>61</v>
      </c>
      <c r="E312" s="4" t="s">
        <v>42</v>
      </c>
      <c r="F312" s="5"/>
      <c r="G312" s="5"/>
      <c r="H312" s="5"/>
      <c r="I312" s="5"/>
      <c r="J312" s="5"/>
    </row>
    <row r="313" spans="1:10" x14ac:dyDescent="0.3">
      <c r="A313" t="s">
        <v>72</v>
      </c>
      <c r="B313" s="2">
        <v>45357</v>
      </c>
      <c r="C313" s="7" t="s">
        <v>57</v>
      </c>
      <c r="D313" s="8" t="s">
        <v>62</v>
      </c>
      <c r="E313" s="8" t="s">
        <v>63</v>
      </c>
      <c r="F313" s="9"/>
      <c r="G313" s="9"/>
      <c r="H313" s="9"/>
      <c r="I313" s="9"/>
      <c r="J313" s="9"/>
    </row>
    <row r="314" spans="1:10" ht="28.8" x14ac:dyDescent="0.3">
      <c r="A314" t="s">
        <v>75</v>
      </c>
      <c r="B314" s="2">
        <v>45364</v>
      </c>
      <c r="C314" s="3" t="s">
        <v>11</v>
      </c>
      <c r="D314" s="4" t="s">
        <v>12</v>
      </c>
      <c r="E314" s="4" t="s">
        <v>13</v>
      </c>
      <c r="F314" s="5"/>
      <c r="G314" s="6">
        <v>60</v>
      </c>
      <c r="H314" s="6">
        <v>78</v>
      </c>
      <c r="I314" s="6">
        <v>69</v>
      </c>
      <c r="J314" s="6">
        <v>69</v>
      </c>
    </row>
    <row r="315" spans="1:10" ht="28.8" x14ac:dyDescent="0.3">
      <c r="A315" t="s">
        <v>75</v>
      </c>
      <c r="B315" s="2">
        <v>45364</v>
      </c>
      <c r="C315" s="7" t="s">
        <v>11</v>
      </c>
      <c r="D315" s="8" t="s">
        <v>14</v>
      </c>
      <c r="E315" s="8" t="s">
        <v>13</v>
      </c>
      <c r="F315" s="10">
        <v>84</v>
      </c>
      <c r="G315" s="10">
        <v>84</v>
      </c>
      <c r="H315" s="10">
        <v>84</v>
      </c>
      <c r="I315" s="10">
        <v>84</v>
      </c>
      <c r="J315" s="10">
        <v>84</v>
      </c>
    </row>
    <row r="316" spans="1:10" ht="28.8" x14ac:dyDescent="0.3">
      <c r="A316" t="s">
        <v>75</v>
      </c>
      <c r="B316" s="2">
        <v>45364</v>
      </c>
      <c r="C316" s="3" t="s">
        <v>11</v>
      </c>
      <c r="D316" s="4" t="s">
        <v>15</v>
      </c>
      <c r="E316" s="4" t="s">
        <v>13</v>
      </c>
      <c r="F316" s="5"/>
      <c r="G316" s="6">
        <v>50</v>
      </c>
      <c r="H316" s="6">
        <v>60</v>
      </c>
      <c r="I316" s="6" t="s">
        <v>347</v>
      </c>
      <c r="J316" s="6">
        <v>54</v>
      </c>
    </row>
    <row r="317" spans="1:10" ht="28.8" x14ac:dyDescent="0.3">
      <c r="A317" t="s">
        <v>75</v>
      </c>
      <c r="B317" s="2">
        <v>45364</v>
      </c>
      <c r="C317" s="7" t="s">
        <v>11</v>
      </c>
      <c r="D317" s="8" t="s">
        <v>16</v>
      </c>
      <c r="E317" s="8" t="s">
        <v>13</v>
      </c>
      <c r="F317" s="9"/>
      <c r="G317" s="10">
        <v>30</v>
      </c>
      <c r="H317" s="10">
        <v>42</v>
      </c>
      <c r="I317" s="10">
        <v>36</v>
      </c>
      <c r="J317" s="10">
        <v>36</v>
      </c>
    </row>
    <row r="318" spans="1:10" ht="28.8" x14ac:dyDescent="0.3">
      <c r="A318" t="s">
        <v>75</v>
      </c>
      <c r="B318" s="2">
        <v>45364</v>
      </c>
      <c r="C318" s="3" t="s">
        <v>11</v>
      </c>
      <c r="D318" s="4" t="s">
        <v>17</v>
      </c>
      <c r="E318" s="4" t="s">
        <v>13</v>
      </c>
      <c r="F318" s="5"/>
      <c r="G318" s="6">
        <v>36</v>
      </c>
      <c r="H318" s="6">
        <v>42</v>
      </c>
      <c r="I318" s="6">
        <v>39</v>
      </c>
      <c r="J318" s="6">
        <v>39</v>
      </c>
    </row>
    <row r="319" spans="1:10" ht="28.8" x14ac:dyDescent="0.3">
      <c r="A319" t="s">
        <v>75</v>
      </c>
      <c r="B319" s="2">
        <v>45364</v>
      </c>
      <c r="C319" s="7" t="s">
        <v>11</v>
      </c>
      <c r="D319" s="8" t="s">
        <v>18</v>
      </c>
      <c r="E319" s="8" t="s">
        <v>13</v>
      </c>
      <c r="F319" s="10">
        <v>60</v>
      </c>
      <c r="G319" s="10">
        <v>60</v>
      </c>
      <c r="H319" s="10">
        <v>60</v>
      </c>
      <c r="I319" s="10">
        <v>60</v>
      </c>
      <c r="J319" s="10">
        <v>60</v>
      </c>
    </row>
    <row r="320" spans="1:10" ht="28.8" x14ac:dyDescent="0.3">
      <c r="A320" t="s">
        <v>75</v>
      </c>
      <c r="B320" s="2">
        <v>45364</v>
      </c>
      <c r="C320" s="3" t="s">
        <v>11</v>
      </c>
      <c r="D320" s="4" t="s">
        <v>19</v>
      </c>
      <c r="E320" s="4" t="s">
        <v>13</v>
      </c>
      <c r="F320" s="5"/>
      <c r="G320" s="6">
        <v>78</v>
      </c>
      <c r="H320" s="6">
        <v>84</v>
      </c>
      <c r="I320" s="6">
        <v>81</v>
      </c>
      <c r="J320" s="6">
        <v>81</v>
      </c>
    </row>
    <row r="321" spans="1:10" ht="28.8" x14ac:dyDescent="0.3">
      <c r="A321" t="s">
        <v>75</v>
      </c>
      <c r="B321" s="2">
        <v>45364</v>
      </c>
      <c r="C321" s="7" t="s">
        <v>11</v>
      </c>
      <c r="D321" s="8" t="s">
        <v>20</v>
      </c>
      <c r="E321" s="8" t="s">
        <v>13</v>
      </c>
      <c r="F321" s="9"/>
      <c r="G321" s="10">
        <v>96</v>
      </c>
      <c r="H321" s="10">
        <v>96</v>
      </c>
      <c r="I321" s="10">
        <v>96</v>
      </c>
      <c r="J321" s="10">
        <v>96</v>
      </c>
    </row>
    <row r="322" spans="1:10" ht="28.8" x14ac:dyDescent="0.3">
      <c r="A322" t="s">
        <v>75</v>
      </c>
      <c r="B322" s="2">
        <v>45364</v>
      </c>
      <c r="C322" s="3" t="s">
        <v>11</v>
      </c>
      <c r="D322" s="4" t="s">
        <v>21</v>
      </c>
      <c r="E322" s="4" t="s">
        <v>13</v>
      </c>
      <c r="F322" s="5"/>
      <c r="G322" s="6">
        <v>25</v>
      </c>
      <c r="H322" s="6">
        <v>36</v>
      </c>
      <c r="I322" s="6" t="s">
        <v>348</v>
      </c>
      <c r="J322" s="6" t="s">
        <v>348</v>
      </c>
    </row>
    <row r="323" spans="1:10" ht="28.8" x14ac:dyDescent="0.3">
      <c r="A323" t="s">
        <v>75</v>
      </c>
      <c r="B323" s="2">
        <v>45364</v>
      </c>
      <c r="C323" s="7" t="s">
        <v>11</v>
      </c>
      <c r="D323" s="8" t="s">
        <v>65</v>
      </c>
      <c r="E323" s="8" t="s">
        <v>13</v>
      </c>
      <c r="F323" s="9"/>
      <c r="G323" s="10">
        <v>84</v>
      </c>
      <c r="H323" s="10">
        <v>120</v>
      </c>
      <c r="I323" s="10">
        <v>102</v>
      </c>
      <c r="J323" s="10">
        <v>102</v>
      </c>
    </row>
    <row r="324" spans="1:10" ht="28.8" x14ac:dyDescent="0.3">
      <c r="A324" t="s">
        <v>75</v>
      </c>
      <c r="B324" s="2">
        <v>45364</v>
      </c>
      <c r="C324" s="3" t="s">
        <v>11</v>
      </c>
      <c r="D324" s="4" t="s">
        <v>23</v>
      </c>
      <c r="E324" s="4" t="s">
        <v>13</v>
      </c>
      <c r="F324" s="5"/>
      <c r="G324" s="6">
        <v>36</v>
      </c>
      <c r="H324" s="6">
        <v>42</v>
      </c>
      <c r="I324" s="6">
        <v>39</v>
      </c>
      <c r="J324" s="6">
        <v>39</v>
      </c>
    </row>
    <row r="325" spans="1:10" ht="28.8" x14ac:dyDescent="0.3">
      <c r="A325" t="s">
        <v>75</v>
      </c>
      <c r="B325" s="2">
        <v>45364</v>
      </c>
      <c r="C325" s="7" t="s">
        <v>11</v>
      </c>
      <c r="D325" s="8" t="s">
        <v>24</v>
      </c>
      <c r="E325" s="8" t="s">
        <v>13</v>
      </c>
      <c r="F325" s="9"/>
      <c r="G325" s="10">
        <v>54</v>
      </c>
      <c r="H325" s="10">
        <v>60</v>
      </c>
      <c r="I325" s="10">
        <v>57</v>
      </c>
      <c r="J325" s="10">
        <v>57</v>
      </c>
    </row>
    <row r="326" spans="1:10" ht="28.8" x14ac:dyDescent="0.3">
      <c r="A326" t="s">
        <v>75</v>
      </c>
      <c r="B326" s="2">
        <v>45364</v>
      </c>
      <c r="C326" s="3" t="s">
        <v>11</v>
      </c>
      <c r="D326" s="4" t="s">
        <v>25</v>
      </c>
      <c r="E326" s="4" t="s">
        <v>26</v>
      </c>
      <c r="F326" s="5"/>
      <c r="G326" s="6">
        <v>60</v>
      </c>
      <c r="H326" s="6">
        <v>78</v>
      </c>
      <c r="I326" s="6">
        <v>69</v>
      </c>
      <c r="J326" s="6">
        <v>69</v>
      </c>
    </row>
    <row r="327" spans="1:10" ht="28.8" x14ac:dyDescent="0.3">
      <c r="A327" t="s">
        <v>75</v>
      </c>
      <c r="B327" s="2">
        <v>45364</v>
      </c>
      <c r="C327" s="7" t="s">
        <v>11</v>
      </c>
      <c r="D327" s="8" t="s">
        <v>27</v>
      </c>
      <c r="E327" s="8" t="s">
        <v>13</v>
      </c>
      <c r="F327" s="9"/>
      <c r="G327" s="10">
        <v>72</v>
      </c>
      <c r="H327" s="10">
        <v>102</v>
      </c>
      <c r="I327" s="10">
        <v>87</v>
      </c>
      <c r="J327" s="10">
        <v>87</v>
      </c>
    </row>
    <row r="328" spans="1:10" ht="28.8" x14ac:dyDescent="0.3">
      <c r="A328" t="s">
        <v>75</v>
      </c>
      <c r="B328" s="2">
        <v>45364</v>
      </c>
      <c r="C328" s="3" t="s">
        <v>11</v>
      </c>
      <c r="D328" s="4" t="s">
        <v>28</v>
      </c>
      <c r="E328" s="4" t="s">
        <v>13</v>
      </c>
      <c r="F328" s="5"/>
      <c r="G328" s="6">
        <v>55</v>
      </c>
      <c r="H328" s="6">
        <v>84</v>
      </c>
      <c r="I328" s="6" t="s">
        <v>349</v>
      </c>
      <c r="J328" s="6">
        <v>60</v>
      </c>
    </row>
    <row r="329" spans="1:10" ht="28.8" x14ac:dyDescent="0.3">
      <c r="A329" t="s">
        <v>75</v>
      </c>
      <c r="B329" s="2">
        <v>45364</v>
      </c>
      <c r="C329" s="7" t="s">
        <v>11</v>
      </c>
      <c r="D329" s="8" t="s">
        <v>29</v>
      </c>
      <c r="E329" s="8" t="s">
        <v>13</v>
      </c>
      <c r="F329" s="10">
        <v>54</v>
      </c>
      <c r="G329" s="10">
        <v>54</v>
      </c>
      <c r="H329" s="10">
        <v>54</v>
      </c>
      <c r="I329" s="10">
        <v>54</v>
      </c>
      <c r="J329" s="10">
        <v>54</v>
      </c>
    </row>
    <row r="330" spans="1:10" ht="28.8" x14ac:dyDescent="0.3">
      <c r="A330" t="s">
        <v>75</v>
      </c>
      <c r="B330" s="2">
        <v>45364</v>
      </c>
      <c r="C330" s="3" t="s">
        <v>30</v>
      </c>
      <c r="D330" s="4" t="s">
        <v>31</v>
      </c>
      <c r="E330" s="4" t="s">
        <v>32</v>
      </c>
      <c r="F330" s="6">
        <v>5</v>
      </c>
      <c r="G330" s="6" t="s">
        <v>285</v>
      </c>
      <c r="H330" s="6">
        <v>5</v>
      </c>
      <c r="I330" s="6" t="s">
        <v>350</v>
      </c>
      <c r="J330" s="6">
        <v>5</v>
      </c>
    </row>
    <row r="331" spans="1:10" ht="28.8" x14ac:dyDescent="0.3">
      <c r="A331" t="s">
        <v>75</v>
      </c>
      <c r="B331" s="2">
        <v>45364</v>
      </c>
      <c r="C331" s="7" t="s">
        <v>30</v>
      </c>
      <c r="D331" s="8" t="s">
        <v>33</v>
      </c>
      <c r="E331" s="8" t="s">
        <v>34</v>
      </c>
      <c r="F331" s="9"/>
      <c r="G331" s="10">
        <v>20</v>
      </c>
      <c r="H331" s="10">
        <v>35</v>
      </c>
      <c r="I331" s="10" t="s">
        <v>324</v>
      </c>
      <c r="J331" s="10">
        <v>25</v>
      </c>
    </row>
    <row r="332" spans="1:10" ht="28.8" x14ac:dyDescent="0.3">
      <c r="A332" t="s">
        <v>75</v>
      </c>
      <c r="B332" s="2">
        <v>45364</v>
      </c>
      <c r="C332" s="3" t="s">
        <v>30</v>
      </c>
      <c r="D332" s="4" t="s">
        <v>35</v>
      </c>
      <c r="E332" s="4" t="s">
        <v>34</v>
      </c>
      <c r="F332" s="5"/>
      <c r="G332" s="6">
        <v>30</v>
      </c>
      <c r="H332" s="6">
        <v>40</v>
      </c>
      <c r="I332" s="6">
        <v>35</v>
      </c>
      <c r="J332" s="6">
        <v>35</v>
      </c>
    </row>
    <row r="333" spans="1:10" ht="43.2" x14ac:dyDescent="0.3">
      <c r="A333" t="s">
        <v>75</v>
      </c>
      <c r="B333" s="2">
        <v>45364</v>
      </c>
      <c r="C333" s="7" t="s">
        <v>36</v>
      </c>
      <c r="D333" s="8" t="s">
        <v>73</v>
      </c>
      <c r="E333" s="8" t="s">
        <v>74</v>
      </c>
      <c r="F333" s="9"/>
      <c r="G333" s="9"/>
      <c r="H333" s="9"/>
      <c r="I333" s="9"/>
      <c r="J333" s="9"/>
    </row>
    <row r="334" spans="1:10" ht="43.2" x14ac:dyDescent="0.3">
      <c r="A334" t="s">
        <v>75</v>
      </c>
      <c r="B334" s="2">
        <v>45364</v>
      </c>
      <c r="C334" s="3" t="s">
        <v>36</v>
      </c>
      <c r="D334" s="4" t="s">
        <v>37</v>
      </c>
      <c r="E334" s="4" t="s">
        <v>38</v>
      </c>
      <c r="F334" s="6">
        <v>80</v>
      </c>
      <c r="G334" s="6">
        <v>70</v>
      </c>
      <c r="H334" s="6">
        <v>85</v>
      </c>
      <c r="I334" s="6" t="s">
        <v>341</v>
      </c>
      <c r="J334" s="6">
        <v>80</v>
      </c>
    </row>
    <row r="335" spans="1:10" ht="43.2" x14ac:dyDescent="0.3">
      <c r="A335" t="s">
        <v>75</v>
      </c>
      <c r="B335" s="2">
        <v>45364</v>
      </c>
      <c r="C335" s="7" t="s">
        <v>36</v>
      </c>
      <c r="D335" s="8" t="s">
        <v>39</v>
      </c>
      <c r="E335" s="8" t="s">
        <v>40</v>
      </c>
      <c r="F335" s="10">
        <v>75</v>
      </c>
      <c r="G335" s="10">
        <v>55</v>
      </c>
      <c r="H335" s="10">
        <v>75</v>
      </c>
      <c r="I335" s="10">
        <v>70</v>
      </c>
      <c r="J335" s="10">
        <v>75</v>
      </c>
    </row>
    <row r="336" spans="1:10" ht="43.2" x14ac:dyDescent="0.3">
      <c r="A336" t="s">
        <v>75</v>
      </c>
      <c r="B336" s="2">
        <v>45364</v>
      </c>
      <c r="C336" s="3" t="s">
        <v>36</v>
      </c>
      <c r="D336" s="4" t="s">
        <v>41</v>
      </c>
      <c r="E336" s="4" t="s">
        <v>42</v>
      </c>
      <c r="F336" s="6">
        <v>50</v>
      </c>
      <c r="G336" s="6">
        <v>30</v>
      </c>
      <c r="H336" s="6">
        <v>50</v>
      </c>
      <c r="I336" s="6">
        <v>44</v>
      </c>
      <c r="J336" s="6">
        <v>50</v>
      </c>
    </row>
    <row r="337" spans="1:10" ht="43.2" x14ac:dyDescent="0.3">
      <c r="A337" t="s">
        <v>75</v>
      </c>
      <c r="B337" s="2">
        <v>45364</v>
      </c>
      <c r="C337" s="7" t="s">
        <v>36</v>
      </c>
      <c r="D337" s="8" t="s">
        <v>43</v>
      </c>
      <c r="E337" s="8" t="s">
        <v>42</v>
      </c>
      <c r="F337" s="9"/>
      <c r="G337" s="10">
        <v>80</v>
      </c>
      <c r="H337" s="10">
        <v>80</v>
      </c>
      <c r="I337" s="10">
        <v>80</v>
      </c>
      <c r="J337" s="10">
        <v>80</v>
      </c>
    </row>
    <row r="338" spans="1:10" ht="43.2" x14ac:dyDescent="0.3">
      <c r="A338" t="s">
        <v>75</v>
      </c>
      <c r="B338" s="2">
        <v>45364</v>
      </c>
      <c r="C338" s="3" t="s">
        <v>36</v>
      </c>
      <c r="D338" s="4" t="s">
        <v>44</v>
      </c>
      <c r="E338" s="4" t="s">
        <v>45</v>
      </c>
      <c r="F338" s="6">
        <v>100</v>
      </c>
      <c r="G338" s="6">
        <v>100</v>
      </c>
      <c r="H338" s="6">
        <v>130</v>
      </c>
      <c r="I338" s="6" t="s">
        <v>351</v>
      </c>
      <c r="J338" s="6" t="s">
        <v>352</v>
      </c>
    </row>
    <row r="339" spans="1:10" ht="43.2" x14ac:dyDescent="0.3">
      <c r="A339" t="s">
        <v>75</v>
      </c>
      <c r="B339" s="2">
        <v>45364</v>
      </c>
      <c r="C339" s="7" t="s">
        <v>36</v>
      </c>
      <c r="D339" s="8" t="s">
        <v>46</v>
      </c>
      <c r="E339" s="8" t="s">
        <v>40</v>
      </c>
      <c r="F339" s="10">
        <v>130</v>
      </c>
      <c r="G339" s="10">
        <v>90</v>
      </c>
      <c r="H339" s="10">
        <v>140</v>
      </c>
      <c r="I339" s="10" t="s">
        <v>353</v>
      </c>
      <c r="J339" s="10">
        <v>130</v>
      </c>
    </row>
    <row r="340" spans="1:10" ht="43.2" x14ac:dyDescent="0.3">
      <c r="A340" t="s">
        <v>75</v>
      </c>
      <c r="B340" s="2">
        <v>45364</v>
      </c>
      <c r="C340" s="3" t="s">
        <v>36</v>
      </c>
      <c r="D340" s="4" t="s">
        <v>47</v>
      </c>
      <c r="E340" s="4" t="s">
        <v>40</v>
      </c>
      <c r="F340" s="6">
        <v>70</v>
      </c>
      <c r="G340" s="6">
        <v>70</v>
      </c>
      <c r="H340" s="6">
        <v>90</v>
      </c>
      <c r="I340" s="6">
        <v>75</v>
      </c>
      <c r="J340" s="6">
        <v>70</v>
      </c>
    </row>
    <row r="341" spans="1:10" ht="43.2" x14ac:dyDescent="0.3">
      <c r="A341" t="s">
        <v>75</v>
      </c>
      <c r="B341" s="2">
        <v>45364</v>
      </c>
      <c r="C341" s="7" t="s">
        <v>36</v>
      </c>
      <c r="D341" s="8" t="s">
        <v>48</v>
      </c>
      <c r="E341" s="8" t="s">
        <v>38</v>
      </c>
      <c r="F341" s="9"/>
      <c r="G341" s="10">
        <v>80</v>
      </c>
      <c r="H341" s="10">
        <v>85</v>
      </c>
      <c r="I341" s="10" t="s">
        <v>354</v>
      </c>
      <c r="J341" s="10" t="s">
        <v>354</v>
      </c>
    </row>
    <row r="342" spans="1:10" ht="43.2" x14ac:dyDescent="0.3">
      <c r="A342" t="s">
        <v>75</v>
      </c>
      <c r="B342" s="2">
        <v>45364</v>
      </c>
      <c r="C342" s="3" t="s">
        <v>36</v>
      </c>
      <c r="D342" s="4" t="s">
        <v>49</v>
      </c>
      <c r="E342" s="4" t="s">
        <v>40</v>
      </c>
      <c r="F342" s="6">
        <v>60</v>
      </c>
      <c r="G342" s="6">
        <v>60</v>
      </c>
      <c r="H342" s="6">
        <v>60</v>
      </c>
      <c r="I342" s="6">
        <v>60</v>
      </c>
      <c r="J342" s="6">
        <v>60</v>
      </c>
    </row>
    <row r="343" spans="1:10" ht="43.2" x14ac:dyDescent="0.3">
      <c r="A343" t="s">
        <v>75</v>
      </c>
      <c r="B343" s="2">
        <v>45364</v>
      </c>
      <c r="C343" s="7" t="s">
        <v>36</v>
      </c>
      <c r="D343" s="8" t="s">
        <v>50</v>
      </c>
      <c r="E343" s="8" t="s">
        <v>38</v>
      </c>
      <c r="F343" s="10">
        <v>70</v>
      </c>
      <c r="G343" s="10">
        <v>70</v>
      </c>
      <c r="H343" s="10">
        <v>70</v>
      </c>
      <c r="I343" s="10">
        <v>70</v>
      </c>
      <c r="J343" s="10">
        <v>70</v>
      </c>
    </row>
    <row r="344" spans="1:10" ht="43.2" x14ac:dyDescent="0.3">
      <c r="A344" t="s">
        <v>75</v>
      </c>
      <c r="B344" s="2">
        <v>45364</v>
      </c>
      <c r="C344" s="3" t="s">
        <v>36</v>
      </c>
      <c r="D344" s="4" t="s">
        <v>51</v>
      </c>
      <c r="E344" s="4" t="s">
        <v>38</v>
      </c>
      <c r="F344" s="5"/>
      <c r="G344" s="6">
        <v>80</v>
      </c>
      <c r="H344" s="6">
        <v>135</v>
      </c>
      <c r="I344" s="6" t="s">
        <v>355</v>
      </c>
      <c r="J344" s="6">
        <v>105</v>
      </c>
    </row>
    <row r="345" spans="1:10" ht="43.2" x14ac:dyDescent="0.3">
      <c r="A345" t="s">
        <v>75</v>
      </c>
      <c r="B345" s="2">
        <v>45364</v>
      </c>
      <c r="C345" s="7" t="s">
        <v>36</v>
      </c>
      <c r="D345" s="8" t="s">
        <v>52</v>
      </c>
      <c r="E345" s="8" t="s">
        <v>42</v>
      </c>
      <c r="F345" s="10">
        <v>60</v>
      </c>
      <c r="G345" s="10">
        <v>45</v>
      </c>
      <c r="H345" s="10">
        <v>70</v>
      </c>
      <c r="I345" s="10" t="s">
        <v>289</v>
      </c>
      <c r="J345" s="10">
        <v>60</v>
      </c>
    </row>
    <row r="346" spans="1:10" ht="43.2" x14ac:dyDescent="0.3">
      <c r="A346" t="s">
        <v>75</v>
      </c>
      <c r="B346" s="2">
        <v>45364</v>
      </c>
      <c r="C346" s="3" t="s">
        <v>36</v>
      </c>
      <c r="D346" s="4" t="s">
        <v>53</v>
      </c>
      <c r="E346" s="4" t="s">
        <v>54</v>
      </c>
      <c r="F346" s="5"/>
      <c r="G346" s="6">
        <v>50</v>
      </c>
      <c r="H346" s="6">
        <v>70</v>
      </c>
      <c r="I346" s="6">
        <v>60</v>
      </c>
      <c r="J346" s="6">
        <v>60</v>
      </c>
    </row>
    <row r="347" spans="1:10" ht="43.2" x14ac:dyDescent="0.3">
      <c r="A347" t="s">
        <v>75</v>
      </c>
      <c r="B347" s="2">
        <v>45364</v>
      </c>
      <c r="C347" s="7" t="s">
        <v>36</v>
      </c>
      <c r="D347" s="8" t="s">
        <v>55</v>
      </c>
      <c r="E347" s="8" t="s">
        <v>38</v>
      </c>
      <c r="F347" s="10">
        <v>150</v>
      </c>
      <c r="G347" s="10">
        <v>110</v>
      </c>
      <c r="H347" s="10">
        <v>150</v>
      </c>
      <c r="I347" s="10" t="s">
        <v>356</v>
      </c>
      <c r="J347" s="10">
        <v>145</v>
      </c>
    </row>
    <row r="348" spans="1:10" ht="43.2" x14ac:dyDescent="0.3">
      <c r="A348" t="s">
        <v>75</v>
      </c>
      <c r="B348" s="2">
        <v>45364</v>
      </c>
      <c r="C348" s="3" t="s">
        <v>36</v>
      </c>
      <c r="D348" s="4" t="s">
        <v>56</v>
      </c>
      <c r="E348" s="4" t="s">
        <v>38</v>
      </c>
      <c r="F348" s="5"/>
      <c r="G348" s="6">
        <v>120</v>
      </c>
      <c r="H348" s="6">
        <v>150</v>
      </c>
      <c r="I348" s="6" t="s">
        <v>357</v>
      </c>
      <c r="J348" s="6">
        <v>140</v>
      </c>
    </row>
    <row r="349" spans="1:10" x14ac:dyDescent="0.3">
      <c r="A349" t="s">
        <v>75</v>
      </c>
      <c r="B349" s="2">
        <v>45364</v>
      </c>
      <c r="C349" s="7" t="s">
        <v>57</v>
      </c>
      <c r="D349" s="8" t="s">
        <v>58</v>
      </c>
      <c r="E349" s="8" t="s">
        <v>42</v>
      </c>
      <c r="F349" s="9"/>
      <c r="G349" s="10">
        <v>110</v>
      </c>
      <c r="H349" s="10">
        <v>110</v>
      </c>
      <c r="I349" s="10">
        <v>110</v>
      </c>
      <c r="J349" s="10">
        <v>110</v>
      </c>
    </row>
    <row r="350" spans="1:10" x14ac:dyDescent="0.3">
      <c r="A350" t="s">
        <v>75</v>
      </c>
      <c r="B350" s="2">
        <v>45364</v>
      </c>
      <c r="C350" s="3" t="s">
        <v>57</v>
      </c>
      <c r="D350" s="4" t="s">
        <v>59</v>
      </c>
      <c r="E350" s="4" t="s">
        <v>42</v>
      </c>
      <c r="F350" s="5"/>
      <c r="G350" s="6">
        <v>70</v>
      </c>
      <c r="H350" s="6">
        <v>70</v>
      </c>
      <c r="I350" s="6">
        <v>70</v>
      </c>
      <c r="J350" s="6">
        <v>70</v>
      </c>
    </row>
    <row r="351" spans="1:10" x14ac:dyDescent="0.3">
      <c r="A351" t="s">
        <v>75</v>
      </c>
      <c r="B351" s="2">
        <v>45364</v>
      </c>
      <c r="C351" s="7" t="s">
        <v>57</v>
      </c>
      <c r="D351" s="8" t="s">
        <v>60</v>
      </c>
      <c r="E351" s="8" t="s">
        <v>42</v>
      </c>
      <c r="F351" s="9"/>
      <c r="G351" s="10">
        <v>40</v>
      </c>
      <c r="H351" s="10">
        <v>40</v>
      </c>
      <c r="I351" s="10">
        <v>40</v>
      </c>
      <c r="J351" s="10">
        <v>40</v>
      </c>
    </row>
    <row r="352" spans="1:10" x14ac:dyDescent="0.3">
      <c r="A352" t="s">
        <v>75</v>
      </c>
      <c r="B352" s="2">
        <v>45364</v>
      </c>
      <c r="C352" s="3" t="s">
        <v>57</v>
      </c>
      <c r="D352" s="4" t="s">
        <v>61</v>
      </c>
      <c r="E352" s="4" t="s">
        <v>42</v>
      </c>
      <c r="F352" s="5"/>
      <c r="G352" s="6">
        <v>50</v>
      </c>
      <c r="H352" s="6">
        <v>50</v>
      </c>
      <c r="I352" s="6">
        <v>50</v>
      </c>
      <c r="J352" s="6">
        <v>50</v>
      </c>
    </row>
    <row r="353" spans="1:10" x14ac:dyDescent="0.3">
      <c r="A353" t="s">
        <v>75</v>
      </c>
      <c r="B353" s="2">
        <v>45364</v>
      </c>
      <c r="C353" s="7" t="s">
        <v>57</v>
      </c>
      <c r="D353" s="8" t="s">
        <v>62</v>
      </c>
      <c r="E353" s="8" t="s">
        <v>63</v>
      </c>
      <c r="F353" s="9"/>
      <c r="G353" s="9"/>
      <c r="H353" s="9"/>
      <c r="I353" s="9"/>
      <c r="J353" s="9"/>
    </row>
    <row r="354" spans="1:10" ht="28.8" x14ac:dyDescent="0.3">
      <c r="A354" t="s">
        <v>76</v>
      </c>
      <c r="B354" s="2">
        <v>45371</v>
      </c>
      <c r="C354" s="3" t="s">
        <v>11</v>
      </c>
      <c r="D354" s="4" t="s">
        <v>12</v>
      </c>
      <c r="E354" s="4" t="s">
        <v>13</v>
      </c>
      <c r="F354" s="6">
        <v>60</v>
      </c>
      <c r="G354" s="6">
        <v>60</v>
      </c>
      <c r="H354" s="6">
        <v>84</v>
      </c>
      <c r="I354" s="6">
        <v>68</v>
      </c>
      <c r="J354" s="6">
        <v>60</v>
      </c>
    </row>
    <row r="355" spans="1:10" ht="28.8" x14ac:dyDescent="0.3">
      <c r="A355" t="s">
        <v>76</v>
      </c>
      <c r="B355" s="2">
        <v>45371</v>
      </c>
      <c r="C355" s="7" t="s">
        <v>11</v>
      </c>
      <c r="D355" s="8" t="s">
        <v>14</v>
      </c>
      <c r="E355" s="8" t="s">
        <v>13</v>
      </c>
      <c r="F355" s="9"/>
      <c r="G355" s="10">
        <v>32</v>
      </c>
      <c r="H355" s="10">
        <v>84</v>
      </c>
      <c r="I355" s="10" t="s">
        <v>358</v>
      </c>
      <c r="J355" s="10">
        <v>72</v>
      </c>
    </row>
    <row r="356" spans="1:10" ht="28.8" x14ac:dyDescent="0.3">
      <c r="A356" t="s">
        <v>76</v>
      </c>
      <c r="B356" s="2">
        <v>45371</v>
      </c>
      <c r="C356" s="3" t="s">
        <v>11</v>
      </c>
      <c r="D356" s="4" t="s">
        <v>15</v>
      </c>
      <c r="E356" s="4" t="s">
        <v>13</v>
      </c>
      <c r="F356" s="6">
        <v>45</v>
      </c>
      <c r="G356" s="6">
        <v>45</v>
      </c>
      <c r="H356" s="6">
        <v>60</v>
      </c>
      <c r="I356" s="6" t="s">
        <v>359</v>
      </c>
      <c r="J356" s="6" t="s">
        <v>360</v>
      </c>
    </row>
    <row r="357" spans="1:10" ht="28.8" x14ac:dyDescent="0.3">
      <c r="A357" t="s">
        <v>76</v>
      </c>
      <c r="B357" s="2">
        <v>45371</v>
      </c>
      <c r="C357" s="7" t="s">
        <v>11</v>
      </c>
      <c r="D357" s="8" t="s">
        <v>16</v>
      </c>
      <c r="E357" s="8" t="s">
        <v>13</v>
      </c>
      <c r="F357" s="9"/>
      <c r="G357" s="10">
        <v>30</v>
      </c>
      <c r="H357" s="10">
        <v>60</v>
      </c>
      <c r="I357" s="10" t="s">
        <v>361</v>
      </c>
      <c r="J357" s="10" t="s">
        <v>362</v>
      </c>
    </row>
    <row r="358" spans="1:10" ht="28.8" x14ac:dyDescent="0.3">
      <c r="A358" t="s">
        <v>76</v>
      </c>
      <c r="B358" s="2">
        <v>45371</v>
      </c>
      <c r="C358" s="3" t="s">
        <v>11</v>
      </c>
      <c r="D358" s="4" t="s">
        <v>17</v>
      </c>
      <c r="E358" s="4" t="s">
        <v>13</v>
      </c>
      <c r="F358" s="5"/>
      <c r="G358" s="6">
        <v>35</v>
      </c>
      <c r="H358" s="6">
        <v>60</v>
      </c>
      <c r="I358" s="6" t="s">
        <v>363</v>
      </c>
      <c r="J358" s="6">
        <v>42</v>
      </c>
    </row>
    <row r="359" spans="1:10" ht="28.8" x14ac:dyDescent="0.3">
      <c r="A359" t="s">
        <v>76</v>
      </c>
      <c r="B359" s="2">
        <v>45371</v>
      </c>
      <c r="C359" s="7" t="s">
        <v>11</v>
      </c>
      <c r="D359" s="8" t="s">
        <v>18</v>
      </c>
      <c r="E359" s="8" t="s">
        <v>13</v>
      </c>
      <c r="F359" s="10">
        <v>60</v>
      </c>
      <c r="G359" s="10">
        <v>54</v>
      </c>
      <c r="H359" s="10">
        <v>60</v>
      </c>
      <c r="I359" s="10">
        <v>58</v>
      </c>
      <c r="J359" s="10">
        <v>60</v>
      </c>
    </row>
    <row r="360" spans="1:10" ht="28.8" x14ac:dyDescent="0.3">
      <c r="A360" t="s">
        <v>76</v>
      </c>
      <c r="B360" s="2">
        <v>45371</v>
      </c>
      <c r="C360" s="3" t="s">
        <v>11</v>
      </c>
      <c r="D360" s="4" t="s">
        <v>19</v>
      </c>
      <c r="E360" s="4" t="s">
        <v>13</v>
      </c>
      <c r="F360" s="6">
        <v>60</v>
      </c>
      <c r="G360" s="6">
        <v>60</v>
      </c>
      <c r="H360" s="6">
        <v>78</v>
      </c>
      <c r="I360" s="6" t="s">
        <v>364</v>
      </c>
      <c r="J360" s="6">
        <v>60</v>
      </c>
    </row>
    <row r="361" spans="1:10" ht="28.8" x14ac:dyDescent="0.3">
      <c r="A361" t="s">
        <v>76</v>
      </c>
      <c r="B361" s="2">
        <v>45371</v>
      </c>
      <c r="C361" s="7" t="s">
        <v>11</v>
      </c>
      <c r="D361" s="8" t="s">
        <v>20</v>
      </c>
      <c r="E361" s="8" t="s">
        <v>13</v>
      </c>
      <c r="F361" s="10">
        <v>84</v>
      </c>
      <c r="G361" s="10">
        <v>72</v>
      </c>
      <c r="H361" s="10">
        <v>96</v>
      </c>
      <c r="I361" s="10">
        <v>84</v>
      </c>
      <c r="J361" s="10">
        <v>84</v>
      </c>
    </row>
    <row r="362" spans="1:10" ht="28.8" x14ac:dyDescent="0.3">
      <c r="A362" t="s">
        <v>76</v>
      </c>
      <c r="B362" s="2">
        <v>45371</v>
      </c>
      <c r="C362" s="3" t="s">
        <v>11</v>
      </c>
      <c r="D362" s="4" t="s">
        <v>21</v>
      </c>
      <c r="E362" s="4" t="s">
        <v>13</v>
      </c>
      <c r="F362" s="6">
        <v>30</v>
      </c>
      <c r="G362" s="6">
        <v>24</v>
      </c>
      <c r="H362" s="6">
        <v>30</v>
      </c>
      <c r="I362" s="6" t="s">
        <v>365</v>
      </c>
      <c r="J362" s="6">
        <v>30</v>
      </c>
    </row>
    <row r="363" spans="1:10" ht="28.8" x14ac:dyDescent="0.3">
      <c r="A363" t="s">
        <v>76</v>
      </c>
      <c r="B363" s="2">
        <v>45371</v>
      </c>
      <c r="C363" s="7" t="s">
        <v>11</v>
      </c>
      <c r="D363" s="8" t="s">
        <v>65</v>
      </c>
      <c r="E363" s="8" t="s">
        <v>13</v>
      </c>
      <c r="F363" s="9"/>
      <c r="G363" s="10">
        <v>84</v>
      </c>
      <c r="H363" s="10">
        <v>120</v>
      </c>
      <c r="I363" s="10">
        <v>100</v>
      </c>
      <c r="J363" s="10">
        <v>96</v>
      </c>
    </row>
    <row r="364" spans="1:10" ht="28.8" x14ac:dyDescent="0.3">
      <c r="A364" t="s">
        <v>76</v>
      </c>
      <c r="B364" s="2">
        <v>45371</v>
      </c>
      <c r="C364" s="3" t="s">
        <v>11</v>
      </c>
      <c r="D364" s="4" t="s">
        <v>23</v>
      </c>
      <c r="E364" s="4" t="s">
        <v>13</v>
      </c>
      <c r="F364" s="5"/>
      <c r="G364" s="6">
        <v>30</v>
      </c>
      <c r="H364" s="6">
        <v>42</v>
      </c>
      <c r="I364" s="6" t="s">
        <v>366</v>
      </c>
      <c r="J364" s="6">
        <v>35</v>
      </c>
    </row>
    <row r="365" spans="1:10" ht="28.8" x14ac:dyDescent="0.3">
      <c r="A365" t="s">
        <v>76</v>
      </c>
      <c r="B365" s="2">
        <v>45371</v>
      </c>
      <c r="C365" s="7" t="s">
        <v>11</v>
      </c>
      <c r="D365" s="8" t="s">
        <v>24</v>
      </c>
      <c r="E365" s="8" t="s">
        <v>13</v>
      </c>
      <c r="F365" s="10">
        <v>84</v>
      </c>
      <c r="G365" s="10">
        <v>72</v>
      </c>
      <c r="H365" s="10">
        <v>84</v>
      </c>
      <c r="I365" s="10">
        <v>80</v>
      </c>
      <c r="J365" s="10">
        <v>84</v>
      </c>
    </row>
    <row r="366" spans="1:10" ht="28.8" x14ac:dyDescent="0.3">
      <c r="A366" t="s">
        <v>76</v>
      </c>
      <c r="B366" s="2">
        <v>45371</v>
      </c>
      <c r="C366" s="3" t="s">
        <v>11</v>
      </c>
      <c r="D366" s="4" t="s">
        <v>25</v>
      </c>
      <c r="E366" s="4" t="s">
        <v>26</v>
      </c>
      <c r="F366" s="5"/>
      <c r="G366" s="6">
        <v>48</v>
      </c>
      <c r="H366" s="6">
        <v>78</v>
      </c>
      <c r="I366" s="6" t="s">
        <v>364</v>
      </c>
      <c r="J366" s="6">
        <v>66</v>
      </c>
    </row>
    <row r="367" spans="1:10" ht="28.8" x14ac:dyDescent="0.3">
      <c r="A367" t="s">
        <v>76</v>
      </c>
      <c r="B367" s="2">
        <v>45371</v>
      </c>
      <c r="C367" s="7" t="s">
        <v>11</v>
      </c>
      <c r="D367" s="8" t="s">
        <v>27</v>
      </c>
      <c r="E367" s="8" t="s">
        <v>13</v>
      </c>
      <c r="F367" s="9"/>
      <c r="G367" s="10">
        <v>50</v>
      </c>
      <c r="H367" s="10">
        <v>80</v>
      </c>
      <c r="I367" s="10" t="s">
        <v>367</v>
      </c>
      <c r="J367" s="10">
        <v>72</v>
      </c>
    </row>
    <row r="368" spans="1:10" ht="28.8" x14ac:dyDescent="0.3">
      <c r="A368" t="s">
        <v>76</v>
      </c>
      <c r="B368" s="2">
        <v>45371</v>
      </c>
      <c r="C368" s="3" t="s">
        <v>11</v>
      </c>
      <c r="D368" s="4" t="s">
        <v>28</v>
      </c>
      <c r="E368" s="4" t="s">
        <v>13</v>
      </c>
      <c r="F368" s="6">
        <v>50</v>
      </c>
      <c r="G368" s="6">
        <v>50</v>
      </c>
      <c r="H368" s="6">
        <v>60</v>
      </c>
      <c r="I368" s="6">
        <v>55</v>
      </c>
      <c r="J368" s="6">
        <v>55</v>
      </c>
    </row>
    <row r="369" spans="1:10" ht="28.8" x14ac:dyDescent="0.3">
      <c r="A369" t="s">
        <v>76</v>
      </c>
      <c r="B369" s="2">
        <v>45371</v>
      </c>
      <c r="C369" s="7" t="s">
        <v>11</v>
      </c>
      <c r="D369" s="8" t="s">
        <v>29</v>
      </c>
      <c r="E369" s="8" t="s">
        <v>13</v>
      </c>
      <c r="F369" s="9"/>
      <c r="G369" s="10">
        <v>42</v>
      </c>
      <c r="H369" s="10">
        <v>54</v>
      </c>
      <c r="I369" s="10">
        <v>48</v>
      </c>
      <c r="J369" s="10">
        <v>48</v>
      </c>
    </row>
    <row r="370" spans="1:10" ht="28.8" x14ac:dyDescent="0.3">
      <c r="A370" t="s">
        <v>76</v>
      </c>
      <c r="B370" s="2">
        <v>45371</v>
      </c>
      <c r="C370" s="3" t="s">
        <v>30</v>
      </c>
      <c r="D370" s="4" t="s">
        <v>31</v>
      </c>
      <c r="E370" s="4" t="s">
        <v>32</v>
      </c>
      <c r="F370" s="6">
        <v>5</v>
      </c>
      <c r="G370" s="6">
        <v>4</v>
      </c>
      <c r="H370" s="6">
        <v>5</v>
      </c>
      <c r="I370" s="6" t="s">
        <v>337</v>
      </c>
      <c r="J370" s="6" t="s">
        <v>338</v>
      </c>
    </row>
    <row r="371" spans="1:10" ht="28.8" x14ac:dyDescent="0.3">
      <c r="A371" t="s">
        <v>76</v>
      </c>
      <c r="B371" s="2">
        <v>45371</v>
      </c>
      <c r="C371" s="7" t="s">
        <v>30</v>
      </c>
      <c r="D371" s="8" t="s">
        <v>33</v>
      </c>
      <c r="E371" s="8" t="s">
        <v>34</v>
      </c>
      <c r="F371" s="10">
        <v>20</v>
      </c>
      <c r="G371" s="10">
        <v>15</v>
      </c>
      <c r="H371" s="10">
        <v>25</v>
      </c>
      <c r="I371" s="10" t="s">
        <v>368</v>
      </c>
      <c r="J371" s="10">
        <v>20</v>
      </c>
    </row>
    <row r="372" spans="1:10" ht="28.8" x14ac:dyDescent="0.3">
      <c r="A372" t="s">
        <v>76</v>
      </c>
      <c r="B372" s="2">
        <v>45371</v>
      </c>
      <c r="C372" s="3" t="s">
        <v>30</v>
      </c>
      <c r="D372" s="4" t="s">
        <v>35</v>
      </c>
      <c r="E372" s="4" t="s">
        <v>34</v>
      </c>
      <c r="F372" s="5"/>
      <c r="G372" s="6">
        <v>30</v>
      </c>
      <c r="H372" s="6">
        <v>45</v>
      </c>
      <c r="I372" s="6" t="s">
        <v>274</v>
      </c>
      <c r="J372" s="6" t="s">
        <v>274</v>
      </c>
    </row>
    <row r="373" spans="1:10" ht="43.2" x14ac:dyDescent="0.3">
      <c r="A373" t="s">
        <v>76</v>
      </c>
      <c r="B373" s="2">
        <v>45371</v>
      </c>
      <c r="C373" s="7" t="s">
        <v>36</v>
      </c>
      <c r="D373" s="8" t="s">
        <v>73</v>
      </c>
      <c r="E373" s="8" t="s">
        <v>74</v>
      </c>
      <c r="F373" s="9"/>
      <c r="G373" s="10">
        <v>100</v>
      </c>
      <c r="H373" s="10">
        <v>105</v>
      </c>
      <c r="I373" s="10" t="s">
        <v>369</v>
      </c>
      <c r="J373" s="10" t="s">
        <v>369</v>
      </c>
    </row>
    <row r="374" spans="1:10" ht="43.2" x14ac:dyDescent="0.3">
      <c r="A374" t="s">
        <v>76</v>
      </c>
      <c r="B374" s="2">
        <v>45371</v>
      </c>
      <c r="C374" s="3" t="s">
        <v>36</v>
      </c>
      <c r="D374" s="4" t="s">
        <v>37</v>
      </c>
      <c r="E374" s="4" t="s">
        <v>38</v>
      </c>
      <c r="F374" s="6">
        <v>70</v>
      </c>
      <c r="G374" s="6">
        <v>50</v>
      </c>
      <c r="H374" s="6">
        <v>80</v>
      </c>
      <c r="I374" s="6" t="s">
        <v>272</v>
      </c>
      <c r="J374" s="6">
        <v>70</v>
      </c>
    </row>
    <row r="375" spans="1:10" ht="43.2" x14ac:dyDescent="0.3">
      <c r="A375" t="s">
        <v>76</v>
      </c>
      <c r="B375" s="2">
        <v>45371</v>
      </c>
      <c r="C375" s="7" t="s">
        <v>36</v>
      </c>
      <c r="D375" s="8" t="s">
        <v>39</v>
      </c>
      <c r="E375" s="8" t="s">
        <v>40</v>
      </c>
      <c r="F375" s="10">
        <v>70</v>
      </c>
      <c r="G375" s="10">
        <v>50</v>
      </c>
      <c r="H375" s="10">
        <v>75</v>
      </c>
      <c r="I375" s="10">
        <v>65</v>
      </c>
      <c r="J375" s="10">
        <v>70</v>
      </c>
    </row>
    <row r="376" spans="1:10" ht="43.2" x14ac:dyDescent="0.3">
      <c r="A376" t="s">
        <v>76</v>
      </c>
      <c r="B376" s="2">
        <v>45371</v>
      </c>
      <c r="C376" s="3" t="s">
        <v>36</v>
      </c>
      <c r="D376" s="4" t="s">
        <v>41</v>
      </c>
      <c r="E376" s="4" t="s">
        <v>42</v>
      </c>
      <c r="F376" s="6">
        <v>35</v>
      </c>
      <c r="G376" s="6">
        <v>35</v>
      </c>
      <c r="H376" s="6">
        <v>50</v>
      </c>
      <c r="I376" s="6" t="s">
        <v>258</v>
      </c>
      <c r="J376" s="6" t="s">
        <v>258</v>
      </c>
    </row>
    <row r="377" spans="1:10" ht="43.2" x14ac:dyDescent="0.3">
      <c r="A377" t="s">
        <v>76</v>
      </c>
      <c r="B377" s="2">
        <v>45371</v>
      </c>
      <c r="C377" s="7" t="s">
        <v>36</v>
      </c>
      <c r="D377" s="8" t="s">
        <v>43</v>
      </c>
      <c r="E377" s="8" t="s">
        <v>42</v>
      </c>
      <c r="F377" s="9"/>
      <c r="G377" s="10">
        <v>100</v>
      </c>
      <c r="H377" s="10">
        <v>120</v>
      </c>
      <c r="I377" s="10">
        <v>110</v>
      </c>
      <c r="J377" s="10">
        <v>110</v>
      </c>
    </row>
    <row r="378" spans="1:10" ht="43.2" x14ac:dyDescent="0.3">
      <c r="A378" t="s">
        <v>76</v>
      </c>
      <c r="B378" s="2">
        <v>45371</v>
      </c>
      <c r="C378" s="3" t="s">
        <v>36</v>
      </c>
      <c r="D378" s="4" t="s">
        <v>44</v>
      </c>
      <c r="E378" s="4" t="s">
        <v>45</v>
      </c>
      <c r="F378" s="6">
        <v>100</v>
      </c>
      <c r="G378" s="6">
        <v>70</v>
      </c>
      <c r="H378" s="6">
        <v>130</v>
      </c>
      <c r="I378" s="6">
        <v>106</v>
      </c>
      <c r="J378" s="6">
        <v>100</v>
      </c>
    </row>
    <row r="379" spans="1:10" ht="43.2" x14ac:dyDescent="0.3">
      <c r="A379" t="s">
        <v>76</v>
      </c>
      <c r="B379" s="2">
        <v>45371</v>
      </c>
      <c r="C379" s="7" t="s">
        <v>36</v>
      </c>
      <c r="D379" s="8" t="s">
        <v>46</v>
      </c>
      <c r="E379" s="8" t="s">
        <v>40</v>
      </c>
      <c r="F379" s="9"/>
      <c r="G379" s="10">
        <v>60</v>
      </c>
      <c r="H379" s="10">
        <v>140</v>
      </c>
      <c r="I379" s="10" t="s">
        <v>370</v>
      </c>
      <c r="J379" s="10">
        <v>90</v>
      </c>
    </row>
    <row r="380" spans="1:10" ht="43.2" x14ac:dyDescent="0.3">
      <c r="A380" t="s">
        <v>76</v>
      </c>
      <c r="B380" s="2">
        <v>45371</v>
      </c>
      <c r="C380" s="3" t="s">
        <v>36</v>
      </c>
      <c r="D380" s="4" t="s">
        <v>47</v>
      </c>
      <c r="E380" s="4" t="s">
        <v>40</v>
      </c>
      <c r="F380" s="5"/>
      <c r="G380" s="6">
        <v>50</v>
      </c>
      <c r="H380" s="6">
        <v>95</v>
      </c>
      <c r="I380" s="6">
        <v>68</v>
      </c>
      <c r="J380" s="6">
        <v>65</v>
      </c>
    </row>
    <row r="381" spans="1:10" ht="43.2" x14ac:dyDescent="0.3">
      <c r="A381" t="s">
        <v>76</v>
      </c>
      <c r="B381" s="2">
        <v>45371</v>
      </c>
      <c r="C381" s="7" t="s">
        <v>36</v>
      </c>
      <c r="D381" s="8" t="s">
        <v>48</v>
      </c>
      <c r="E381" s="8" t="s">
        <v>38</v>
      </c>
      <c r="F381" s="9"/>
      <c r="G381" s="10">
        <v>90</v>
      </c>
      <c r="H381" s="10">
        <v>90</v>
      </c>
      <c r="I381" s="10">
        <v>90</v>
      </c>
      <c r="J381" s="10">
        <v>90</v>
      </c>
    </row>
    <row r="382" spans="1:10" ht="43.2" x14ac:dyDescent="0.3">
      <c r="A382" t="s">
        <v>76</v>
      </c>
      <c r="B382" s="2">
        <v>45371</v>
      </c>
      <c r="C382" s="3" t="s">
        <v>36</v>
      </c>
      <c r="D382" s="4" t="s">
        <v>49</v>
      </c>
      <c r="E382" s="4" t="s">
        <v>40</v>
      </c>
      <c r="F382" s="5"/>
      <c r="G382" s="6">
        <v>80</v>
      </c>
      <c r="H382" s="6">
        <v>90</v>
      </c>
      <c r="I382" s="6">
        <v>85</v>
      </c>
      <c r="J382" s="6">
        <v>85</v>
      </c>
    </row>
    <row r="383" spans="1:10" ht="43.2" x14ac:dyDescent="0.3">
      <c r="A383" t="s">
        <v>76</v>
      </c>
      <c r="B383" s="2">
        <v>45371</v>
      </c>
      <c r="C383" s="7" t="s">
        <v>36</v>
      </c>
      <c r="D383" s="8" t="s">
        <v>50</v>
      </c>
      <c r="E383" s="8" t="s">
        <v>38</v>
      </c>
      <c r="F383" s="9"/>
      <c r="G383" s="10">
        <v>42</v>
      </c>
      <c r="H383" s="10">
        <v>110</v>
      </c>
      <c r="I383" s="10">
        <v>84</v>
      </c>
      <c r="J383" s="10">
        <v>100</v>
      </c>
    </row>
    <row r="384" spans="1:10" ht="43.2" x14ac:dyDescent="0.3">
      <c r="A384" t="s">
        <v>76</v>
      </c>
      <c r="B384" s="2">
        <v>45371</v>
      </c>
      <c r="C384" s="3" t="s">
        <v>36</v>
      </c>
      <c r="D384" s="4" t="s">
        <v>51</v>
      </c>
      <c r="E384" s="4" t="s">
        <v>38</v>
      </c>
      <c r="F384" s="6">
        <v>100</v>
      </c>
      <c r="G384" s="6">
        <v>75</v>
      </c>
      <c r="H384" s="6">
        <v>120</v>
      </c>
      <c r="I384" s="6">
        <v>95</v>
      </c>
      <c r="J384" s="6">
        <v>100</v>
      </c>
    </row>
    <row r="385" spans="1:10" ht="43.2" x14ac:dyDescent="0.3">
      <c r="A385" t="s">
        <v>76</v>
      </c>
      <c r="B385" s="2">
        <v>45371</v>
      </c>
      <c r="C385" s="7" t="s">
        <v>36</v>
      </c>
      <c r="D385" s="8" t="s">
        <v>52</v>
      </c>
      <c r="E385" s="8" t="s">
        <v>42</v>
      </c>
      <c r="F385" s="10">
        <v>60</v>
      </c>
      <c r="G385" s="10">
        <v>40</v>
      </c>
      <c r="H385" s="10">
        <v>80</v>
      </c>
      <c r="I385" s="10">
        <v>60</v>
      </c>
      <c r="J385" s="10">
        <v>60</v>
      </c>
    </row>
    <row r="386" spans="1:10" ht="43.2" x14ac:dyDescent="0.3">
      <c r="A386" t="s">
        <v>76</v>
      </c>
      <c r="B386" s="2">
        <v>45371</v>
      </c>
      <c r="C386" s="3" t="s">
        <v>36</v>
      </c>
      <c r="D386" s="4" t="s">
        <v>53</v>
      </c>
      <c r="E386" s="4" t="s">
        <v>54</v>
      </c>
      <c r="F386" s="6">
        <v>60</v>
      </c>
      <c r="G386" s="6">
        <v>60</v>
      </c>
      <c r="H386" s="6">
        <v>130</v>
      </c>
      <c r="I386" s="6">
        <v>77</v>
      </c>
      <c r="J386" s="6">
        <v>65</v>
      </c>
    </row>
    <row r="387" spans="1:10" ht="43.2" x14ac:dyDescent="0.3">
      <c r="A387" t="s">
        <v>76</v>
      </c>
      <c r="B387" s="2">
        <v>45371</v>
      </c>
      <c r="C387" s="7" t="s">
        <v>36</v>
      </c>
      <c r="D387" s="8" t="s">
        <v>55</v>
      </c>
      <c r="E387" s="8" t="s">
        <v>38</v>
      </c>
      <c r="F387" s="9"/>
      <c r="G387" s="10">
        <v>65</v>
      </c>
      <c r="H387" s="10">
        <v>140</v>
      </c>
      <c r="I387" s="10">
        <v>107</v>
      </c>
      <c r="J387" s="10">
        <v>110</v>
      </c>
    </row>
    <row r="388" spans="1:10" ht="43.2" x14ac:dyDescent="0.3">
      <c r="A388" t="s">
        <v>76</v>
      </c>
      <c r="B388" s="2">
        <v>45371</v>
      </c>
      <c r="C388" s="3" t="s">
        <v>36</v>
      </c>
      <c r="D388" s="4" t="s">
        <v>56</v>
      </c>
      <c r="E388" s="4" t="s">
        <v>38</v>
      </c>
      <c r="F388" s="6">
        <v>120</v>
      </c>
      <c r="G388" s="6">
        <v>100</v>
      </c>
      <c r="H388" s="6">
        <v>120</v>
      </c>
      <c r="I388" s="6">
        <v>115</v>
      </c>
      <c r="J388" s="6">
        <v>120</v>
      </c>
    </row>
    <row r="389" spans="1:10" x14ac:dyDescent="0.3">
      <c r="A389" t="s">
        <v>76</v>
      </c>
      <c r="B389" s="2">
        <v>45371</v>
      </c>
      <c r="C389" s="7" t="s">
        <v>57</v>
      </c>
      <c r="D389" s="8" t="s">
        <v>58</v>
      </c>
      <c r="E389" s="8" t="s">
        <v>42</v>
      </c>
      <c r="F389" s="9"/>
      <c r="G389" s="10">
        <v>80</v>
      </c>
      <c r="H389" s="10">
        <v>80</v>
      </c>
      <c r="I389" s="10">
        <v>80</v>
      </c>
      <c r="J389" s="10">
        <v>80</v>
      </c>
    </row>
    <row r="390" spans="1:10" x14ac:dyDescent="0.3">
      <c r="A390" t="s">
        <v>76</v>
      </c>
      <c r="B390" s="2">
        <v>45371</v>
      </c>
      <c r="C390" s="3" t="s">
        <v>57</v>
      </c>
      <c r="D390" s="4" t="s">
        <v>59</v>
      </c>
      <c r="E390" s="4" t="s">
        <v>42</v>
      </c>
      <c r="F390" s="5"/>
      <c r="G390" s="6">
        <v>60</v>
      </c>
      <c r="H390" s="6">
        <v>60</v>
      </c>
      <c r="I390" s="6">
        <v>60</v>
      </c>
      <c r="J390" s="6">
        <v>60</v>
      </c>
    </row>
    <row r="391" spans="1:10" x14ac:dyDescent="0.3">
      <c r="A391" t="s">
        <v>76</v>
      </c>
      <c r="B391" s="2">
        <v>45371</v>
      </c>
      <c r="C391" s="7" t="s">
        <v>57</v>
      </c>
      <c r="D391" s="8" t="s">
        <v>60</v>
      </c>
      <c r="E391" s="8" t="s">
        <v>42</v>
      </c>
      <c r="F391" s="9"/>
      <c r="G391" s="10">
        <v>45</v>
      </c>
      <c r="H391" s="10">
        <v>60</v>
      </c>
      <c r="I391" s="10" t="s">
        <v>266</v>
      </c>
      <c r="J391" s="10" t="s">
        <v>266</v>
      </c>
    </row>
    <row r="392" spans="1:10" x14ac:dyDescent="0.3">
      <c r="A392" t="s">
        <v>76</v>
      </c>
      <c r="B392" s="2">
        <v>45371</v>
      </c>
      <c r="C392" s="3" t="s">
        <v>57</v>
      </c>
      <c r="D392" s="4" t="s">
        <v>61</v>
      </c>
      <c r="E392" s="4" t="s">
        <v>42</v>
      </c>
      <c r="F392" s="5"/>
      <c r="G392" s="6">
        <v>48</v>
      </c>
      <c r="H392" s="6">
        <v>48</v>
      </c>
      <c r="I392" s="6">
        <v>48</v>
      </c>
      <c r="J392" s="6">
        <v>48</v>
      </c>
    </row>
    <row r="393" spans="1:10" x14ac:dyDescent="0.3">
      <c r="A393" t="s">
        <v>76</v>
      </c>
      <c r="B393" s="2">
        <v>45371</v>
      </c>
      <c r="C393" s="7" t="s">
        <v>57</v>
      </c>
      <c r="D393" s="8" t="s">
        <v>62</v>
      </c>
      <c r="E393" s="8" t="s">
        <v>63</v>
      </c>
      <c r="F393" s="10">
        <v>90</v>
      </c>
      <c r="G393" s="10">
        <v>90</v>
      </c>
      <c r="H393" s="10">
        <v>90</v>
      </c>
      <c r="I393" s="10">
        <v>90</v>
      </c>
      <c r="J393" s="10">
        <v>90</v>
      </c>
    </row>
    <row r="394" spans="1:10" ht="28.8" x14ac:dyDescent="0.3">
      <c r="A394" t="s">
        <v>77</v>
      </c>
      <c r="B394" s="2">
        <v>45385</v>
      </c>
      <c r="C394" s="3" t="s">
        <v>11</v>
      </c>
      <c r="D394" s="4" t="s">
        <v>12</v>
      </c>
      <c r="E394" s="4" t="s">
        <v>13</v>
      </c>
      <c r="F394" s="5"/>
      <c r="G394" s="6">
        <v>48</v>
      </c>
      <c r="H394" s="6">
        <v>60</v>
      </c>
      <c r="I394" s="6">
        <v>54</v>
      </c>
      <c r="J394" s="6">
        <v>54</v>
      </c>
    </row>
    <row r="395" spans="1:10" ht="28.8" x14ac:dyDescent="0.3">
      <c r="A395" t="s">
        <v>77</v>
      </c>
      <c r="B395" s="2">
        <v>45385</v>
      </c>
      <c r="C395" s="7" t="s">
        <v>11</v>
      </c>
      <c r="D395" s="8" t="s">
        <v>14</v>
      </c>
      <c r="E395" s="8" t="s">
        <v>13</v>
      </c>
      <c r="F395" s="10">
        <v>72</v>
      </c>
      <c r="G395" s="10">
        <v>72</v>
      </c>
      <c r="H395" s="10">
        <v>84</v>
      </c>
      <c r="I395" s="10">
        <v>76</v>
      </c>
      <c r="J395" s="10">
        <v>72</v>
      </c>
    </row>
    <row r="396" spans="1:10" ht="28.8" x14ac:dyDescent="0.3">
      <c r="A396" t="s">
        <v>77</v>
      </c>
      <c r="B396" s="2">
        <v>45385</v>
      </c>
      <c r="C396" s="3" t="s">
        <v>11</v>
      </c>
      <c r="D396" s="4" t="s">
        <v>15</v>
      </c>
      <c r="E396" s="4" t="s">
        <v>13</v>
      </c>
      <c r="F396" s="6">
        <v>48</v>
      </c>
      <c r="G396" s="6">
        <v>48</v>
      </c>
      <c r="H396" s="6">
        <v>60</v>
      </c>
      <c r="I396" s="6">
        <v>52</v>
      </c>
      <c r="J396" s="6">
        <v>48</v>
      </c>
    </row>
    <row r="397" spans="1:10" ht="28.8" x14ac:dyDescent="0.3">
      <c r="A397" t="s">
        <v>77</v>
      </c>
      <c r="B397" s="2">
        <v>45385</v>
      </c>
      <c r="C397" s="7" t="s">
        <v>11</v>
      </c>
      <c r="D397" s="8" t="s">
        <v>16</v>
      </c>
      <c r="E397" s="8" t="s">
        <v>13</v>
      </c>
      <c r="F397" s="9"/>
      <c r="G397" s="10">
        <v>35</v>
      </c>
      <c r="H397" s="10">
        <v>50</v>
      </c>
      <c r="I397" s="10" t="s">
        <v>371</v>
      </c>
      <c r="J397" s="10">
        <v>42</v>
      </c>
    </row>
    <row r="398" spans="1:10" ht="28.8" x14ac:dyDescent="0.3">
      <c r="A398" t="s">
        <v>77</v>
      </c>
      <c r="B398" s="2">
        <v>45385</v>
      </c>
      <c r="C398" s="3" t="s">
        <v>11</v>
      </c>
      <c r="D398" s="4" t="s">
        <v>17</v>
      </c>
      <c r="E398" s="4" t="s">
        <v>13</v>
      </c>
      <c r="F398" s="5"/>
      <c r="G398" s="6">
        <v>35</v>
      </c>
      <c r="H398" s="6">
        <v>50</v>
      </c>
      <c r="I398" s="6" t="s">
        <v>371</v>
      </c>
      <c r="J398" s="6">
        <v>42</v>
      </c>
    </row>
    <row r="399" spans="1:10" ht="28.8" x14ac:dyDescent="0.3">
      <c r="A399" t="s">
        <v>77</v>
      </c>
      <c r="B399" s="2">
        <v>45385</v>
      </c>
      <c r="C399" s="7" t="s">
        <v>11</v>
      </c>
      <c r="D399" s="8" t="s">
        <v>18</v>
      </c>
      <c r="E399" s="8" t="s">
        <v>13</v>
      </c>
      <c r="F399" s="10">
        <v>72</v>
      </c>
      <c r="G399" s="10">
        <v>60</v>
      </c>
      <c r="H399" s="10">
        <v>72</v>
      </c>
      <c r="I399" s="10">
        <v>68</v>
      </c>
      <c r="J399" s="10">
        <v>72</v>
      </c>
    </row>
    <row r="400" spans="1:10" ht="28.8" x14ac:dyDescent="0.3">
      <c r="A400" t="s">
        <v>77</v>
      </c>
      <c r="B400" s="2">
        <v>45385</v>
      </c>
      <c r="C400" s="3" t="s">
        <v>11</v>
      </c>
      <c r="D400" s="4" t="s">
        <v>19</v>
      </c>
      <c r="E400" s="4" t="s">
        <v>13</v>
      </c>
      <c r="F400" s="5"/>
      <c r="G400" s="6">
        <v>72</v>
      </c>
      <c r="H400" s="6">
        <v>96</v>
      </c>
      <c r="I400" s="6">
        <v>86</v>
      </c>
      <c r="J400" s="6">
        <v>90</v>
      </c>
    </row>
    <row r="401" spans="1:10" ht="28.8" x14ac:dyDescent="0.3">
      <c r="A401" t="s">
        <v>77</v>
      </c>
      <c r="B401" s="2">
        <v>45385</v>
      </c>
      <c r="C401" s="7" t="s">
        <v>11</v>
      </c>
      <c r="D401" s="8" t="s">
        <v>20</v>
      </c>
      <c r="E401" s="8" t="s">
        <v>13</v>
      </c>
      <c r="F401" s="9"/>
      <c r="G401" s="10">
        <v>120</v>
      </c>
      <c r="H401" s="10">
        <v>120</v>
      </c>
      <c r="I401" s="10">
        <v>120</v>
      </c>
      <c r="J401" s="10">
        <v>120</v>
      </c>
    </row>
    <row r="402" spans="1:10" ht="28.8" x14ac:dyDescent="0.3">
      <c r="A402" t="s">
        <v>77</v>
      </c>
      <c r="B402" s="2">
        <v>45385</v>
      </c>
      <c r="C402" s="3" t="s">
        <v>11</v>
      </c>
      <c r="D402" s="4" t="s">
        <v>21</v>
      </c>
      <c r="E402" s="4" t="s">
        <v>13</v>
      </c>
      <c r="F402" s="6">
        <v>30</v>
      </c>
      <c r="G402" s="6">
        <v>30</v>
      </c>
      <c r="H402" s="6">
        <v>36</v>
      </c>
      <c r="I402" s="6">
        <v>32</v>
      </c>
      <c r="J402" s="6">
        <v>30</v>
      </c>
    </row>
    <row r="403" spans="1:10" ht="28.8" x14ac:dyDescent="0.3">
      <c r="A403" t="s">
        <v>77</v>
      </c>
      <c r="B403" s="2">
        <v>45385</v>
      </c>
      <c r="C403" s="7" t="s">
        <v>11</v>
      </c>
      <c r="D403" s="8" t="s">
        <v>65</v>
      </c>
      <c r="E403" s="8" t="s">
        <v>13</v>
      </c>
      <c r="F403" s="10">
        <v>120</v>
      </c>
      <c r="G403" s="10">
        <v>120</v>
      </c>
      <c r="H403" s="10">
        <v>120</v>
      </c>
      <c r="I403" s="10">
        <v>120</v>
      </c>
      <c r="J403" s="10">
        <v>120</v>
      </c>
    </row>
    <row r="404" spans="1:10" ht="28.8" x14ac:dyDescent="0.3">
      <c r="A404" t="s">
        <v>77</v>
      </c>
      <c r="B404" s="2">
        <v>45385</v>
      </c>
      <c r="C404" s="3" t="s">
        <v>11</v>
      </c>
      <c r="D404" s="4" t="s">
        <v>23</v>
      </c>
      <c r="E404" s="4" t="s">
        <v>13</v>
      </c>
      <c r="F404" s="5"/>
      <c r="G404" s="6">
        <v>30</v>
      </c>
      <c r="H404" s="6">
        <v>42</v>
      </c>
      <c r="I404" s="6">
        <v>36</v>
      </c>
      <c r="J404" s="6">
        <v>36</v>
      </c>
    </row>
    <row r="405" spans="1:10" ht="28.8" x14ac:dyDescent="0.3">
      <c r="A405" t="s">
        <v>77</v>
      </c>
      <c r="B405" s="2">
        <v>45385</v>
      </c>
      <c r="C405" s="7" t="s">
        <v>11</v>
      </c>
      <c r="D405" s="8" t="s">
        <v>24</v>
      </c>
      <c r="E405" s="8" t="s">
        <v>13</v>
      </c>
      <c r="F405" s="9"/>
      <c r="G405" s="10">
        <v>78</v>
      </c>
      <c r="H405" s="10">
        <v>96</v>
      </c>
      <c r="I405" s="10">
        <v>86</v>
      </c>
      <c r="J405" s="10">
        <v>84</v>
      </c>
    </row>
    <row r="406" spans="1:10" ht="28.8" x14ac:dyDescent="0.3">
      <c r="A406" t="s">
        <v>77</v>
      </c>
      <c r="B406" s="2">
        <v>45385</v>
      </c>
      <c r="C406" s="3" t="s">
        <v>11</v>
      </c>
      <c r="D406" s="4" t="s">
        <v>25</v>
      </c>
      <c r="E406" s="4" t="s">
        <v>26</v>
      </c>
      <c r="F406" s="5"/>
      <c r="G406" s="6">
        <v>60</v>
      </c>
      <c r="H406" s="6">
        <v>78</v>
      </c>
      <c r="I406" s="6">
        <v>70</v>
      </c>
      <c r="J406" s="6">
        <v>72</v>
      </c>
    </row>
    <row r="407" spans="1:10" ht="28.8" x14ac:dyDescent="0.3">
      <c r="A407" t="s">
        <v>77</v>
      </c>
      <c r="B407" s="2">
        <v>45385</v>
      </c>
      <c r="C407" s="7" t="s">
        <v>11</v>
      </c>
      <c r="D407" s="8" t="s">
        <v>27</v>
      </c>
      <c r="E407" s="8" t="s">
        <v>13</v>
      </c>
      <c r="F407" s="9"/>
      <c r="G407" s="10">
        <v>60</v>
      </c>
      <c r="H407" s="10">
        <v>120</v>
      </c>
      <c r="I407" s="10" t="s">
        <v>372</v>
      </c>
      <c r="J407" s="10">
        <v>75</v>
      </c>
    </row>
    <row r="408" spans="1:10" ht="28.8" x14ac:dyDescent="0.3">
      <c r="A408" t="s">
        <v>77</v>
      </c>
      <c r="B408" s="2">
        <v>45385</v>
      </c>
      <c r="C408" s="3" t="s">
        <v>11</v>
      </c>
      <c r="D408" s="4" t="s">
        <v>28</v>
      </c>
      <c r="E408" s="4" t="s">
        <v>13</v>
      </c>
      <c r="F408" s="6">
        <v>60</v>
      </c>
      <c r="G408" s="6">
        <v>50</v>
      </c>
      <c r="H408" s="6">
        <v>84</v>
      </c>
      <c r="I408" s="6" t="s">
        <v>373</v>
      </c>
      <c r="J408" s="6">
        <v>60</v>
      </c>
    </row>
    <row r="409" spans="1:10" ht="28.8" x14ac:dyDescent="0.3">
      <c r="A409" t="s">
        <v>77</v>
      </c>
      <c r="B409" s="2">
        <v>45385</v>
      </c>
      <c r="C409" s="7" t="s">
        <v>11</v>
      </c>
      <c r="D409" s="8" t="s">
        <v>29</v>
      </c>
      <c r="E409" s="8" t="s">
        <v>13</v>
      </c>
      <c r="F409" s="10">
        <v>54</v>
      </c>
      <c r="G409" s="10">
        <v>48</v>
      </c>
      <c r="H409" s="10">
        <v>54</v>
      </c>
      <c r="I409" s="10">
        <v>52</v>
      </c>
      <c r="J409" s="10">
        <v>54</v>
      </c>
    </row>
    <row r="410" spans="1:10" ht="28.8" x14ac:dyDescent="0.3">
      <c r="A410" t="s">
        <v>77</v>
      </c>
      <c r="B410" s="2">
        <v>45385</v>
      </c>
      <c r="C410" s="3" t="s">
        <v>30</v>
      </c>
      <c r="D410" s="4" t="s">
        <v>31</v>
      </c>
      <c r="E410" s="4" t="s">
        <v>32</v>
      </c>
      <c r="F410" s="5"/>
      <c r="G410" s="6" t="s">
        <v>285</v>
      </c>
      <c r="H410" s="6">
        <v>5</v>
      </c>
      <c r="I410" s="6" t="s">
        <v>338</v>
      </c>
      <c r="J410" s="6" t="s">
        <v>338</v>
      </c>
    </row>
    <row r="411" spans="1:10" ht="28.8" x14ac:dyDescent="0.3">
      <c r="A411" t="s">
        <v>77</v>
      </c>
      <c r="B411" s="2">
        <v>45385</v>
      </c>
      <c r="C411" s="7" t="s">
        <v>30</v>
      </c>
      <c r="D411" s="8" t="s">
        <v>33</v>
      </c>
      <c r="E411" s="8" t="s">
        <v>34</v>
      </c>
      <c r="F411" s="9"/>
      <c r="G411" s="10">
        <v>25</v>
      </c>
      <c r="H411" s="10">
        <v>40</v>
      </c>
      <c r="I411" s="10" t="s">
        <v>295</v>
      </c>
      <c r="J411" s="10" t="s">
        <v>295</v>
      </c>
    </row>
    <row r="412" spans="1:10" ht="28.8" x14ac:dyDescent="0.3">
      <c r="A412" t="s">
        <v>77</v>
      </c>
      <c r="B412" s="2">
        <v>45385</v>
      </c>
      <c r="C412" s="3" t="s">
        <v>30</v>
      </c>
      <c r="D412" s="4" t="s">
        <v>35</v>
      </c>
      <c r="E412" s="4" t="s">
        <v>34</v>
      </c>
      <c r="F412" s="5"/>
      <c r="G412" s="6">
        <v>40</v>
      </c>
      <c r="H412" s="6">
        <v>45</v>
      </c>
      <c r="I412" s="6" t="s">
        <v>258</v>
      </c>
      <c r="J412" s="6" t="s">
        <v>258</v>
      </c>
    </row>
    <row r="413" spans="1:10" ht="43.2" x14ac:dyDescent="0.3">
      <c r="A413" t="s">
        <v>77</v>
      </c>
      <c r="B413" s="2">
        <v>45385</v>
      </c>
      <c r="C413" s="7" t="s">
        <v>36</v>
      </c>
      <c r="D413" s="8" t="s">
        <v>73</v>
      </c>
      <c r="E413" s="8" t="s">
        <v>74</v>
      </c>
      <c r="F413" s="10">
        <v>120</v>
      </c>
      <c r="G413" s="10">
        <v>110</v>
      </c>
      <c r="H413" s="10">
        <v>120</v>
      </c>
      <c r="I413" s="10" t="s">
        <v>374</v>
      </c>
      <c r="J413" s="10" t="s">
        <v>328</v>
      </c>
    </row>
    <row r="414" spans="1:10" ht="43.2" x14ac:dyDescent="0.3">
      <c r="A414" t="s">
        <v>77</v>
      </c>
      <c r="B414" s="2">
        <v>45385</v>
      </c>
      <c r="C414" s="3" t="s">
        <v>36</v>
      </c>
      <c r="D414" s="4" t="s">
        <v>37</v>
      </c>
      <c r="E414" s="4" t="s">
        <v>38</v>
      </c>
      <c r="F414" s="6">
        <v>90</v>
      </c>
      <c r="G414" s="6">
        <v>70</v>
      </c>
      <c r="H414" s="6">
        <v>100</v>
      </c>
      <c r="I414" s="6" t="s">
        <v>375</v>
      </c>
      <c r="J414" s="6">
        <v>90</v>
      </c>
    </row>
    <row r="415" spans="1:10" ht="43.2" x14ac:dyDescent="0.3">
      <c r="A415" t="s">
        <v>77</v>
      </c>
      <c r="B415" s="2">
        <v>45385</v>
      </c>
      <c r="C415" s="7" t="s">
        <v>36</v>
      </c>
      <c r="D415" s="8" t="s">
        <v>39</v>
      </c>
      <c r="E415" s="8" t="s">
        <v>40</v>
      </c>
      <c r="F415" s="10">
        <v>50</v>
      </c>
      <c r="G415" s="10">
        <v>50</v>
      </c>
      <c r="H415" s="10">
        <v>80</v>
      </c>
      <c r="I415" s="10" t="s">
        <v>318</v>
      </c>
      <c r="J415" s="10">
        <v>75</v>
      </c>
    </row>
    <row r="416" spans="1:10" ht="43.2" x14ac:dyDescent="0.3">
      <c r="A416" t="s">
        <v>77</v>
      </c>
      <c r="B416" s="2">
        <v>45385</v>
      </c>
      <c r="C416" s="3" t="s">
        <v>36</v>
      </c>
      <c r="D416" s="4" t="s">
        <v>41</v>
      </c>
      <c r="E416" s="4" t="s">
        <v>42</v>
      </c>
      <c r="F416" s="6">
        <v>50</v>
      </c>
      <c r="G416" s="6">
        <v>35</v>
      </c>
      <c r="H416" s="6">
        <v>60</v>
      </c>
      <c r="I416" s="6">
        <v>45</v>
      </c>
      <c r="J416" s="6">
        <v>45</v>
      </c>
    </row>
    <row r="417" spans="1:10" ht="43.2" x14ac:dyDescent="0.3">
      <c r="A417" t="s">
        <v>77</v>
      </c>
      <c r="B417" s="2">
        <v>45385</v>
      </c>
      <c r="C417" s="7" t="s">
        <v>36</v>
      </c>
      <c r="D417" s="8" t="s">
        <v>43</v>
      </c>
      <c r="E417" s="8" t="s">
        <v>42</v>
      </c>
      <c r="F417" s="9"/>
      <c r="G417" s="10">
        <v>65</v>
      </c>
      <c r="H417" s="10">
        <v>120</v>
      </c>
      <c r="I417" s="10">
        <v>95</v>
      </c>
      <c r="J417" s="10">
        <v>100</v>
      </c>
    </row>
    <row r="418" spans="1:10" ht="43.2" x14ac:dyDescent="0.3">
      <c r="A418" t="s">
        <v>77</v>
      </c>
      <c r="B418" s="2">
        <v>45385</v>
      </c>
      <c r="C418" s="3" t="s">
        <v>36</v>
      </c>
      <c r="D418" s="4" t="s">
        <v>44</v>
      </c>
      <c r="E418" s="4" t="s">
        <v>45</v>
      </c>
      <c r="F418" s="6">
        <v>100</v>
      </c>
      <c r="G418" s="6">
        <v>80</v>
      </c>
      <c r="H418" s="6">
        <v>130</v>
      </c>
      <c r="I418" s="6">
        <v>110</v>
      </c>
      <c r="J418" s="6">
        <v>110</v>
      </c>
    </row>
    <row r="419" spans="1:10" ht="43.2" x14ac:dyDescent="0.3">
      <c r="A419" t="s">
        <v>77</v>
      </c>
      <c r="B419" s="2">
        <v>45385</v>
      </c>
      <c r="C419" s="7" t="s">
        <v>36</v>
      </c>
      <c r="D419" s="8" t="s">
        <v>46</v>
      </c>
      <c r="E419" s="8" t="s">
        <v>40</v>
      </c>
      <c r="F419" s="10">
        <v>80</v>
      </c>
      <c r="G419" s="10">
        <v>80</v>
      </c>
      <c r="H419" s="10">
        <v>150</v>
      </c>
      <c r="I419" s="10" t="s">
        <v>376</v>
      </c>
      <c r="J419" s="10">
        <v>120</v>
      </c>
    </row>
    <row r="420" spans="1:10" ht="43.2" x14ac:dyDescent="0.3">
      <c r="A420" t="s">
        <v>77</v>
      </c>
      <c r="B420" s="2">
        <v>45385</v>
      </c>
      <c r="C420" s="3" t="s">
        <v>36</v>
      </c>
      <c r="D420" s="4" t="s">
        <v>47</v>
      </c>
      <c r="E420" s="4" t="s">
        <v>40</v>
      </c>
      <c r="F420" s="6">
        <v>60</v>
      </c>
      <c r="G420" s="6">
        <v>50</v>
      </c>
      <c r="H420" s="6">
        <v>70</v>
      </c>
      <c r="I420" s="6">
        <v>60</v>
      </c>
      <c r="J420" s="6">
        <v>60</v>
      </c>
    </row>
    <row r="421" spans="1:10" ht="43.2" x14ac:dyDescent="0.3">
      <c r="A421" t="s">
        <v>77</v>
      </c>
      <c r="B421" s="2">
        <v>45385</v>
      </c>
      <c r="C421" s="7" t="s">
        <v>36</v>
      </c>
      <c r="D421" s="8" t="s">
        <v>48</v>
      </c>
      <c r="E421" s="8" t="s">
        <v>38</v>
      </c>
      <c r="F421" s="10">
        <v>100</v>
      </c>
      <c r="G421" s="10">
        <v>80</v>
      </c>
      <c r="H421" s="10">
        <v>100</v>
      </c>
      <c r="I421" s="10">
        <v>94</v>
      </c>
      <c r="J421" s="10">
        <v>100</v>
      </c>
    </row>
    <row r="422" spans="1:10" ht="43.2" x14ac:dyDescent="0.3">
      <c r="A422" t="s">
        <v>77</v>
      </c>
      <c r="B422" s="2">
        <v>45385</v>
      </c>
      <c r="C422" s="3" t="s">
        <v>36</v>
      </c>
      <c r="D422" s="4" t="s">
        <v>49</v>
      </c>
      <c r="E422" s="4" t="s">
        <v>40</v>
      </c>
      <c r="F422" s="5"/>
      <c r="G422" s="6">
        <v>60</v>
      </c>
      <c r="H422" s="6">
        <v>75</v>
      </c>
      <c r="I422" s="6" t="s">
        <v>272</v>
      </c>
      <c r="J422" s="6" t="s">
        <v>272</v>
      </c>
    </row>
    <row r="423" spans="1:10" ht="43.2" x14ac:dyDescent="0.3">
      <c r="A423" t="s">
        <v>77</v>
      </c>
      <c r="B423" s="2">
        <v>45385</v>
      </c>
      <c r="C423" s="7" t="s">
        <v>36</v>
      </c>
      <c r="D423" s="8" t="s">
        <v>50</v>
      </c>
      <c r="E423" s="8" t="s">
        <v>38</v>
      </c>
      <c r="F423" s="10">
        <v>80</v>
      </c>
      <c r="G423" s="10">
        <v>60</v>
      </c>
      <c r="H423" s="10">
        <v>100</v>
      </c>
      <c r="I423" s="10" t="s">
        <v>377</v>
      </c>
      <c r="J423" s="10">
        <v>80</v>
      </c>
    </row>
    <row r="424" spans="1:10" ht="43.2" x14ac:dyDescent="0.3">
      <c r="A424" t="s">
        <v>77</v>
      </c>
      <c r="B424" s="2">
        <v>45385</v>
      </c>
      <c r="C424" s="3" t="s">
        <v>36</v>
      </c>
      <c r="D424" s="4" t="s">
        <v>51</v>
      </c>
      <c r="E424" s="4" t="s">
        <v>38</v>
      </c>
      <c r="F424" s="6">
        <v>120</v>
      </c>
      <c r="G424" s="6">
        <v>80</v>
      </c>
      <c r="H424" s="6">
        <v>140</v>
      </c>
      <c r="I424" s="6">
        <v>115</v>
      </c>
      <c r="J424" s="6">
        <v>120</v>
      </c>
    </row>
    <row r="425" spans="1:10" ht="43.2" x14ac:dyDescent="0.3">
      <c r="A425" t="s">
        <v>77</v>
      </c>
      <c r="B425" s="2">
        <v>45385</v>
      </c>
      <c r="C425" s="7" t="s">
        <v>36</v>
      </c>
      <c r="D425" s="8" t="s">
        <v>52</v>
      </c>
      <c r="E425" s="8" t="s">
        <v>42</v>
      </c>
      <c r="F425" s="10">
        <v>80</v>
      </c>
      <c r="G425" s="10">
        <v>60</v>
      </c>
      <c r="H425" s="10">
        <v>100</v>
      </c>
      <c r="I425" s="10" t="s">
        <v>378</v>
      </c>
      <c r="J425" s="10">
        <v>80</v>
      </c>
    </row>
    <row r="426" spans="1:10" ht="43.2" x14ac:dyDescent="0.3">
      <c r="A426" t="s">
        <v>77</v>
      </c>
      <c r="B426" s="2">
        <v>45385</v>
      </c>
      <c r="C426" s="3" t="s">
        <v>36</v>
      </c>
      <c r="D426" s="4" t="s">
        <v>53</v>
      </c>
      <c r="E426" s="4" t="s">
        <v>54</v>
      </c>
      <c r="F426" s="6">
        <v>150</v>
      </c>
      <c r="G426" s="6">
        <v>100</v>
      </c>
      <c r="H426" s="6">
        <v>150</v>
      </c>
      <c r="I426" s="6">
        <v>130</v>
      </c>
      <c r="J426" s="6">
        <v>130</v>
      </c>
    </row>
    <row r="427" spans="1:10" ht="43.2" x14ac:dyDescent="0.3">
      <c r="A427" t="s">
        <v>77</v>
      </c>
      <c r="B427" s="2">
        <v>45385</v>
      </c>
      <c r="C427" s="7" t="s">
        <v>36</v>
      </c>
      <c r="D427" s="8" t="s">
        <v>55</v>
      </c>
      <c r="E427" s="8" t="s">
        <v>38</v>
      </c>
      <c r="F427" s="10">
        <v>220</v>
      </c>
      <c r="G427" s="10">
        <v>150</v>
      </c>
      <c r="H427" s="10">
        <v>250</v>
      </c>
      <c r="I427" s="10" t="s">
        <v>379</v>
      </c>
      <c r="J427" s="10">
        <v>230</v>
      </c>
    </row>
    <row r="428" spans="1:10" ht="43.2" x14ac:dyDescent="0.3">
      <c r="A428" t="s">
        <v>77</v>
      </c>
      <c r="B428" s="2">
        <v>45385</v>
      </c>
      <c r="C428" s="3" t="s">
        <v>36</v>
      </c>
      <c r="D428" s="4" t="s">
        <v>56</v>
      </c>
      <c r="E428" s="4" t="s">
        <v>38</v>
      </c>
      <c r="F428" s="6">
        <v>140</v>
      </c>
      <c r="G428" s="6">
        <v>120</v>
      </c>
      <c r="H428" s="6">
        <v>200</v>
      </c>
      <c r="I428" s="6" t="s">
        <v>380</v>
      </c>
      <c r="J428" s="6">
        <v>140</v>
      </c>
    </row>
    <row r="429" spans="1:10" x14ac:dyDescent="0.3">
      <c r="A429" t="s">
        <v>77</v>
      </c>
      <c r="B429" s="2">
        <v>45385</v>
      </c>
      <c r="C429" s="7" t="s">
        <v>57</v>
      </c>
      <c r="D429" s="8" t="s">
        <v>58</v>
      </c>
      <c r="E429" s="8" t="s">
        <v>42</v>
      </c>
      <c r="F429" s="10">
        <v>100</v>
      </c>
      <c r="G429" s="10">
        <v>100</v>
      </c>
      <c r="H429" s="10">
        <v>100</v>
      </c>
      <c r="I429" s="10">
        <v>100</v>
      </c>
      <c r="J429" s="10">
        <v>100</v>
      </c>
    </row>
    <row r="430" spans="1:10" x14ac:dyDescent="0.3">
      <c r="A430" t="s">
        <v>77</v>
      </c>
      <c r="B430" s="2">
        <v>45385</v>
      </c>
      <c r="C430" s="3" t="s">
        <v>57</v>
      </c>
      <c r="D430" s="4" t="s">
        <v>59</v>
      </c>
      <c r="E430" s="4" t="s">
        <v>42</v>
      </c>
      <c r="F430" s="6">
        <v>80</v>
      </c>
      <c r="G430" s="6">
        <v>80</v>
      </c>
      <c r="H430" s="6">
        <v>80</v>
      </c>
      <c r="I430" s="6">
        <v>80</v>
      </c>
      <c r="J430" s="6">
        <v>80</v>
      </c>
    </row>
    <row r="431" spans="1:10" x14ac:dyDescent="0.3">
      <c r="A431" t="s">
        <v>77</v>
      </c>
      <c r="B431" s="2">
        <v>45385</v>
      </c>
      <c r="C431" s="7" t="s">
        <v>57</v>
      </c>
      <c r="D431" s="8" t="s">
        <v>60</v>
      </c>
      <c r="E431" s="8" t="s">
        <v>42</v>
      </c>
      <c r="F431" s="10">
        <v>45</v>
      </c>
      <c r="G431" s="10">
        <v>45</v>
      </c>
      <c r="H431" s="10">
        <v>45</v>
      </c>
      <c r="I431" s="10">
        <v>45</v>
      </c>
      <c r="J431" s="10">
        <v>45</v>
      </c>
    </row>
    <row r="432" spans="1:10" x14ac:dyDescent="0.3">
      <c r="A432" t="s">
        <v>77</v>
      </c>
      <c r="B432" s="2">
        <v>45385</v>
      </c>
      <c r="C432" s="3" t="s">
        <v>57</v>
      </c>
      <c r="D432" s="4" t="s">
        <v>61</v>
      </c>
      <c r="E432" s="4" t="s">
        <v>42</v>
      </c>
      <c r="F432" s="6">
        <v>45</v>
      </c>
      <c r="G432" s="6">
        <v>45</v>
      </c>
      <c r="H432" s="6">
        <v>45</v>
      </c>
      <c r="I432" s="6">
        <v>45</v>
      </c>
      <c r="J432" s="6">
        <v>45</v>
      </c>
    </row>
    <row r="433" spans="1:10" x14ac:dyDescent="0.3">
      <c r="A433" t="s">
        <v>77</v>
      </c>
      <c r="B433" s="2">
        <v>45385</v>
      </c>
      <c r="C433" s="7" t="s">
        <v>57</v>
      </c>
      <c r="D433" s="8" t="s">
        <v>62</v>
      </c>
      <c r="E433" s="8" t="s">
        <v>63</v>
      </c>
      <c r="F433" s="10">
        <v>85</v>
      </c>
      <c r="G433" s="10">
        <v>85</v>
      </c>
      <c r="H433" s="10">
        <v>85</v>
      </c>
      <c r="I433" s="10">
        <v>85</v>
      </c>
      <c r="J433" s="10">
        <v>85</v>
      </c>
    </row>
    <row r="434" spans="1:10" ht="28.8" x14ac:dyDescent="0.3">
      <c r="A434" t="s">
        <v>78</v>
      </c>
      <c r="B434" s="2">
        <v>45392</v>
      </c>
      <c r="C434" s="3" t="s">
        <v>11</v>
      </c>
      <c r="D434" s="4" t="s">
        <v>12</v>
      </c>
      <c r="E434" s="4" t="s">
        <v>13</v>
      </c>
      <c r="F434" s="6">
        <v>60</v>
      </c>
      <c r="G434" s="6">
        <v>60</v>
      </c>
      <c r="H434" s="6">
        <v>78</v>
      </c>
      <c r="I434" s="6">
        <v>66</v>
      </c>
      <c r="J434" s="6">
        <v>60</v>
      </c>
    </row>
    <row r="435" spans="1:10" ht="28.8" x14ac:dyDescent="0.3">
      <c r="A435" t="s">
        <v>78</v>
      </c>
      <c r="B435" s="2">
        <v>45392</v>
      </c>
      <c r="C435" s="7" t="s">
        <v>11</v>
      </c>
      <c r="D435" s="8" t="s">
        <v>14</v>
      </c>
      <c r="E435" s="8" t="s">
        <v>13</v>
      </c>
      <c r="F435" s="9"/>
      <c r="G435" s="10">
        <v>44</v>
      </c>
      <c r="H435" s="10">
        <v>78</v>
      </c>
      <c r="I435" s="10" t="s">
        <v>271</v>
      </c>
      <c r="J435" s="10">
        <v>72</v>
      </c>
    </row>
    <row r="436" spans="1:10" ht="28.8" x14ac:dyDescent="0.3">
      <c r="A436" t="s">
        <v>78</v>
      </c>
      <c r="B436" s="2">
        <v>45392</v>
      </c>
      <c r="C436" s="3" t="s">
        <v>11</v>
      </c>
      <c r="D436" s="4" t="s">
        <v>15</v>
      </c>
      <c r="E436" s="4" t="s">
        <v>13</v>
      </c>
      <c r="F436" s="5"/>
      <c r="G436" s="6">
        <v>42</v>
      </c>
      <c r="H436" s="6">
        <v>60</v>
      </c>
      <c r="I436" s="6">
        <v>50</v>
      </c>
      <c r="J436" s="6">
        <v>48</v>
      </c>
    </row>
    <row r="437" spans="1:10" ht="28.8" x14ac:dyDescent="0.3">
      <c r="A437" t="s">
        <v>78</v>
      </c>
      <c r="B437" s="2">
        <v>45392</v>
      </c>
      <c r="C437" s="7" t="s">
        <v>11</v>
      </c>
      <c r="D437" s="8" t="s">
        <v>16</v>
      </c>
      <c r="E437" s="8" t="s">
        <v>13</v>
      </c>
      <c r="F437" s="9"/>
      <c r="G437" s="10">
        <v>30</v>
      </c>
      <c r="H437" s="10">
        <v>42</v>
      </c>
      <c r="I437" s="10" t="s">
        <v>366</v>
      </c>
      <c r="J437" s="10">
        <v>35</v>
      </c>
    </row>
    <row r="438" spans="1:10" ht="28.8" x14ac:dyDescent="0.3">
      <c r="A438" t="s">
        <v>78</v>
      </c>
      <c r="B438" s="2">
        <v>45392</v>
      </c>
      <c r="C438" s="3" t="s">
        <v>11</v>
      </c>
      <c r="D438" s="4" t="s">
        <v>17</v>
      </c>
      <c r="E438" s="4" t="s">
        <v>13</v>
      </c>
      <c r="F438" s="5"/>
      <c r="G438" s="6">
        <v>30</v>
      </c>
      <c r="H438" s="6">
        <v>42</v>
      </c>
      <c r="I438" s="6" t="s">
        <v>366</v>
      </c>
      <c r="J438" s="6">
        <v>35</v>
      </c>
    </row>
    <row r="439" spans="1:10" ht="28.8" x14ac:dyDescent="0.3">
      <c r="A439" t="s">
        <v>78</v>
      </c>
      <c r="B439" s="2">
        <v>45392</v>
      </c>
      <c r="C439" s="7" t="s">
        <v>11</v>
      </c>
      <c r="D439" s="8" t="s">
        <v>18</v>
      </c>
      <c r="E439" s="8" t="s">
        <v>13</v>
      </c>
      <c r="F439" s="9"/>
      <c r="G439" s="10">
        <v>48</v>
      </c>
      <c r="H439" s="10">
        <v>96</v>
      </c>
      <c r="I439" s="10">
        <v>69</v>
      </c>
      <c r="J439" s="10">
        <v>66</v>
      </c>
    </row>
    <row r="440" spans="1:10" ht="28.8" x14ac:dyDescent="0.3">
      <c r="A440" t="s">
        <v>78</v>
      </c>
      <c r="B440" s="2">
        <v>45392</v>
      </c>
      <c r="C440" s="3" t="s">
        <v>11</v>
      </c>
      <c r="D440" s="4" t="s">
        <v>19</v>
      </c>
      <c r="E440" s="4" t="s">
        <v>13</v>
      </c>
      <c r="F440" s="5"/>
      <c r="G440" s="6">
        <v>96</v>
      </c>
      <c r="H440" s="6">
        <v>108</v>
      </c>
      <c r="I440" s="6" t="s">
        <v>381</v>
      </c>
      <c r="J440" s="6">
        <v>100</v>
      </c>
    </row>
    <row r="441" spans="1:10" ht="28.8" x14ac:dyDescent="0.3">
      <c r="A441" t="s">
        <v>78</v>
      </c>
      <c r="B441" s="2">
        <v>45392</v>
      </c>
      <c r="C441" s="7" t="s">
        <v>11</v>
      </c>
      <c r="D441" s="8" t="s">
        <v>20</v>
      </c>
      <c r="E441" s="8" t="s">
        <v>13</v>
      </c>
      <c r="F441" s="9"/>
      <c r="G441" s="10">
        <v>84</v>
      </c>
      <c r="H441" s="10">
        <v>100</v>
      </c>
      <c r="I441" s="10" t="s">
        <v>382</v>
      </c>
      <c r="J441" s="10">
        <v>96</v>
      </c>
    </row>
    <row r="442" spans="1:10" ht="28.8" x14ac:dyDescent="0.3">
      <c r="A442" t="s">
        <v>78</v>
      </c>
      <c r="B442" s="2">
        <v>45392</v>
      </c>
      <c r="C442" s="3" t="s">
        <v>11</v>
      </c>
      <c r="D442" s="4" t="s">
        <v>21</v>
      </c>
      <c r="E442" s="4" t="s">
        <v>13</v>
      </c>
      <c r="F442" s="6">
        <v>30</v>
      </c>
      <c r="G442" s="6">
        <v>30</v>
      </c>
      <c r="H442" s="6">
        <v>96</v>
      </c>
      <c r="I442" s="6">
        <v>48</v>
      </c>
      <c r="J442" s="6">
        <v>33</v>
      </c>
    </row>
    <row r="443" spans="1:10" ht="28.8" x14ac:dyDescent="0.3">
      <c r="A443" t="s">
        <v>78</v>
      </c>
      <c r="B443" s="2">
        <v>45392</v>
      </c>
      <c r="C443" s="7" t="s">
        <v>11</v>
      </c>
      <c r="D443" s="8" t="s">
        <v>65</v>
      </c>
      <c r="E443" s="8" t="s">
        <v>13</v>
      </c>
      <c r="F443" s="9"/>
      <c r="G443" s="10">
        <v>108</v>
      </c>
      <c r="H443" s="10">
        <v>120</v>
      </c>
      <c r="I443" s="10">
        <v>114</v>
      </c>
      <c r="J443" s="10">
        <v>114</v>
      </c>
    </row>
    <row r="444" spans="1:10" ht="28.8" x14ac:dyDescent="0.3">
      <c r="A444" t="s">
        <v>78</v>
      </c>
      <c r="B444" s="2">
        <v>45392</v>
      </c>
      <c r="C444" s="3" t="s">
        <v>11</v>
      </c>
      <c r="D444" s="4" t="s">
        <v>23</v>
      </c>
      <c r="E444" s="4" t="s">
        <v>13</v>
      </c>
      <c r="F444" s="5"/>
      <c r="G444" s="6">
        <v>30</v>
      </c>
      <c r="H444" s="6">
        <v>42</v>
      </c>
      <c r="I444" s="6">
        <v>36</v>
      </c>
      <c r="J444" s="6">
        <v>36</v>
      </c>
    </row>
    <row r="445" spans="1:10" ht="28.8" x14ac:dyDescent="0.3">
      <c r="A445" t="s">
        <v>78</v>
      </c>
      <c r="B445" s="2">
        <v>45392</v>
      </c>
      <c r="C445" s="7" t="s">
        <v>11</v>
      </c>
      <c r="D445" s="8" t="s">
        <v>24</v>
      </c>
      <c r="E445" s="8" t="s">
        <v>13</v>
      </c>
      <c r="F445" s="9"/>
      <c r="G445" s="10">
        <v>72</v>
      </c>
      <c r="H445" s="10">
        <v>84</v>
      </c>
      <c r="I445" s="10">
        <v>78</v>
      </c>
      <c r="J445" s="10">
        <v>78</v>
      </c>
    </row>
    <row r="446" spans="1:10" ht="28.8" x14ac:dyDescent="0.3">
      <c r="A446" t="s">
        <v>78</v>
      </c>
      <c r="B446" s="2">
        <v>45392</v>
      </c>
      <c r="C446" s="3" t="s">
        <v>11</v>
      </c>
      <c r="D446" s="4" t="s">
        <v>25</v>
      </c>
      <c r="E446" s="4" t="s">
        <v>26</v>
      </c>
      <c r="F446" s="5"/>
      <c r="G446" s="6">
        <v>32</v>
      </c>
      <c r="H446" s="6">
        <v>84</v>
      </c>
      <c r="I446" s="6" t="s">
        <v>358</v>
      </c>
      <c r="J446" s="6">
        <v>72</v>
      </c>
    </row>
    <row r="447" spans="1:10" ht="28.8" x14ac:dyDescent="0.3">
      <c r="A447" t="s">
        <v>78</v>
      </c>
      <c r="B447" s="2">
        <v>45392</v>
      </c>
      <c r="C447" s="7" t="s">
        <v>11</v>
      </c>
      <c r="D447" s="8" t="s">
        <v>27</v>
      </c>
      <c r="E447" s="8" t="s">
        <v>13</v>
      </c>
      <c r="F447" s="10">
        <v>60</v>
      </c>
      <c r="G447" s="10">
        <v>60</v>
      </c>
      <c r="H447" s="10">
        <v>80</v>
      </c>
      <c r="I447" s="10" t="s">
        <v>290</v>
      </c>
      <c r="J447" s="10">
        <v>60</v>
      </c>
    </row>
    <row r="448" spans="1:10" ht="28.8" x14ac:dyDescent="0.3">
      <c r="A448" t="s">
        <v>78</v>
      </c>
      <c r="B448" s="2">
        <v>45392</v>
      </c>
      <c r="C448" s="3" t="s">
        <v>11</v>
      </c>
      <c r="D448" s="4" t="s">
        <v>28</v>
      </c>
      <c r="E448" s="4" t="s">
        <v>13</v>
      </c>
      <c r="F448" s="5"/>
      <c r="G448" s="6">
        <v>50</v>
      </c>
      <c r="H448" s="6">
        <v>75</v>
      </c>
      <c r="I448" s="6" t="s">
        <v>383</v>
      </c>
      <c r="J448" s="6">
        <v>54</v>
      </c>
    </row>
    <row r="449" spans="1:10" ht="28.8" x14ac:dyDescent="0.3">
      <c r="A449" t="s">
        <v>78</v>
      </c>
      <c r="B449" s="2">
        <v>45392</v>
      </c>
      <c r="C449" s="7" t="s">
        <v>11</v>
      </c>
      <c r="D449" s="8" t="s">
        <v>29</v>
      </c>
      <c r="E449" s="8" t="s">
        <v>13</v>
      </c>
      <c r="F449" s="9"/>
      <c r="G449" s="10">
        <v>42</v>
      </c>
      <c r="H449" s="10">
        <v>54</v>
      </c>
      <c r="I449" s="10">
        <v>48</v>
      </c>
      <c r="J449" s="10">
        <v>48</v>
      </c>
    </row>
    <row r="450" spans="1:10" ht="28.8" x14ac:dyDescent="0.3">
      <c r="A450" t="s">
        <v>78</v>
      </c>
      <c r="B450" s="2">
        <v>45392</v>
      </c>
      <c r="C450" s="3" t="s">
        <v>30</v>
      </c>
      <c r="D450" s="4" t="s">
        <v>31</v>
      </c>
      <c r="E450" s="4" t="s">
        <v>32</v>
      </c>
      <c r="F450" s="6">
        <v>5</v>
      </c>
      <c r="G450" s="6" t="s">
        <v>285</v>
      </c>
      <c r="H450" s="6">
        <v>5</v>
      </c>
      <c r="I450" s="6" t="s">
        <v>350</v>
      </c>
      <c r="J450" s="6">
        <v>5</v>
      </c>
    </row>
    <row r="451" spans="1:10" ht="28.8" x14ac:dyDescent="0.3">
      <c r="A451" t="s">
        <v>78</v>
      </c>
      <c r="B451" s="2">
        <v>45392</v>
      </c>
      <c r="C451" s="7" t="s">
        <v>30</v>
      </c>
      <c r="D451" s="8" t="s">
        <v>33</v>
      </c>
      <c r="E451" s="8" t="s">
        <v>34</v>
      </c>
      <c r="F451" s="9"/>
      <c r="G451" s="10">
        <v>20</v>
      </c>
      <c r="H451" s="10">
        <v>30</v>
      </c>
      <c r="I451" s="10">
        <v>25</v>
      </c>
      <c r="J451" s="10">
        <v>25</v>
      </c>
    </row>
    <row r="452" spans="1:10" ht="28.8" x14ac:dyDescent="0.3">
      <c r="A452" t="s">
        <v>78</v>
      </c>
      <c r="B452" s="2">
        <v>45392</v>
      </c>
      <c r="C452" s="3" t="s">
        <v>30</v>
      </c>
      <c r="D452" s="4" t="s">
        <v>35</v>
      </c>
      <c r="E452" s="4" t="s">
        <v>34</v>
      </c>
      <c r="F452" s="5"/>
      <c r="G452" s="6">
        <v>30</v>
      </c>
      <c r="H452" s="6">
        <v>40</v>
      </c>
      <c r="I452" s="6">
        <v>35</v>
      </c>
      <c r="J452" s="6">
        <v>35</v>
      </c>
    </row>
    <row r="453" spans="1:10" ht="43.2" x14ac:dyDescent="0.3">
      <c r="A453" t="s">
        <v>78</v>
      </c>
      <c r="B453" s="2">
        <v>45392</v>
      </c>
      <c r="C453" s="7" t="s">
        <v>36</v>
      </c>
      <c r="D453" s="8" t="s">
        <v>73</v>
      </c>
      <c r="E453" s="8" t="s">
        <v>74</v>
      </c>
      <c r="F453" s="10">
        <v>120</v>
      </c>
      <c r="G453" s="10">
        <v>115</v>
      </c>
      <c r="H453" s="10">
        <v>120</v>
      </c>
      <c r="I453" s="10" t="s">
        <v>384</v>
      </c>
      <c r="J453" s="10">
        <v>120</v>
      </c>
    </row>
    <row r="454" spans="1:10" ht="43.2" x14ac:dyDescent="0.3">
      <c r="A454" t="s">
        <v>78</v>
      </c>
      <c r="B454" s="2">
        <v>45392</v>
      </c>
      <c r="C454" s="3" t="s">
        <v>36</v>
      </c>
      <c r="D454" s="4" t="s">
        <v>37</v>
      </c>
      <c r="E454" s="4" t="s">
        <v>38</v>
      </c>
      <c r="F454" s="5"/>
      <c r="G454" s="6">
        <v>80</v>
      </c>
      <c r="H454" s="6">
        <v>100</v>
      </c>
      <c r="I454" s="6">
        <v>90</v>
      </c>
      <c r="J454" s="6">
        <v>90</v>
      </c>
    </row>
    <row r="455" spans="1:10" ht="43.2" x14ac:dyDescent="0.3">
      <c r="A455" t="s">
        <v>78</v>
      </c>
      <c r="B455" s="2">
        <v>45392</v>
      </c>
      <c r="C455" s="7" t="s">
        <v>36</v>
      </c>
      <c r="D455" s="8" t="s">
        <v>39</v>
      </c>
      <c r="E455" s="8" t="s">
        <v>40</v>
      </c>
      <c r="F455" s="10">
        <v>75</v>
      </c>
      <c r="G455" s="10">
        <v>45</v>
      </c>
      <c r="H455" s="10">
        <v>80</v>
      </c>
      <c r="I455" s="10" t="s">
        <v>385</v>
      </c>
      <c r="J455" s="10" t="s">
        <v>386</v>
      </c>
    </row>
    <row r="456" spans="1:10" ht="43.2" x14ac:dyDescent="0.3">
      <c r="A456" t="s">
        <v>78</v>
      </c>
      <c r="B456" s="2">
        <v>45392</v>
      </c>
      <c r="C456" s="3" t="s">
        <v>36</v>
      </c>
      <c r="D456" s="4" t="s">
        <v>41</v>
      </c>
      <c r="E456" s="4" t="s">
        <v>42</v>
      </c>
      <c r="F456" s="6">
        <v>50</v>
      </c>
      <c r="G456" s="6">
        <v>35</v>
      </c>
      <c r="H456" s="6">
        <v>50</v>
      </c>
      <c r="I456" s="6" t="s">
        <v>286</v>
      </c>
      <c r="J456" s="6" t="s">
        <v>258</v>
      </c>
    </row>
    <row r="457" spans="1:10" ht="43.2" x14ac:dyDescent="0.3">
      <c r="A457" t="s">
        <v>78</v>
      </c>
      <c r="B457" s="2">
        <v>45392</v>
      </c>
      <c r="C457" s="7" t="s">
        <v>36</v>
      </c>
      <c r="D457" s="8" t="s">
        <v>43</v>
      </c>
      <c r="E457" s="8" t="s">
        <v>42</v>
      </c>
      <c r="F457" s="9"/>
      <c r="G457" s="10">
        <v>65</v>
      </c>
      <c r="H457" s="10">
        <v>65</v>
      </c>
      <c r="I457" s="10">
        <v>65</v>
      </c>
      <c r="J457" s="10">
        <v>65</v>
      </c>
    </row>
    <row r="458" spans="1:10" ht="43.2" x14ac:dyDescent="0.3">
      <c r="A458" t="s">
        <v>78</v>
      </c>
      <c r="B458" s="2">
        <v>45392</v>
      </c>
      <c r="C458" s="3" t="s">
        <v>36</v>
      </c>
      <c r="D458" s="4" t="s">
        <v>44</v>
      </c>
      <c r="E458" s="4" t="s">
        <v>45</v>
      </c>
      <c r="F458" s="6">
        <v>130</v>
      </c>
      <c r="G458" s="6">
        <v>100</v>
      </c>
      <c r="H458" s="6">
        <v>130</v>
      </c>
      <c r="I458" s="6" t="s">
        <v>387</v>
      </c>
      <c r="J458" s="6">
        <v>115</v>
      </c>
    </row>
    <row r="459" spans="1:10" ht="43.2" x14ac:dyDescent="0.3">
      <c r="A459" t="s">
        <v>78</v>
      </c>
      <c r="B459" s="2">
        <v>45392</v>
      </c>
      <c r="C459" s="7" t="s">
        <v>36</v>
      </c>
      <c r="D459" s="8" t="s">
        <v>46</v>
      </c>
      <c r="E459" s="8" t="s">
        <v>40</v>
      </c>
      <c r="F459" s="10">
        <v>90</v>
      </c>
      <c r="G459" s="10">
        <v>90</v>
      </c>
      <c r="H459" s="10">
        <v>150</v>
      </c>
      <c r="I459" s="10">
        <v>122</v>
      </c>
      <c r="J459" s="10">
        <v>140</v>
      </c>
    </row>
    <row r="460" spans="1:10" ht="43.2" x14ac:dyDescent="0.3">
      <c r="A460" t="s">
        <v>78</v>
      </c>
      <c r="B460" s="2">
        <v>45392</v>
      </c>
      <c r="C460" s="3" t="s">
        <v>36</v>
      </c>
      <c r="D460" s="4" t="s">
        <v>47</v>
      </c>
      <c r="E460" s="4" t="s">
        <v>40</v>
      </c>
      <c r="F460" s="6">
        <v>60</v>
      </c>
      <c r="G460" s="6">
        <v>50</v>
      </c>
      <c r="H460" s="6">
        <v>60</v>
      </c>
      <c r="I460" s="6" t="s">
        <v>388</v>
      </c>
      <c r="J460" s="6">
        <v>59</v>
      </c>
    </row>
    <row r="461" spans="1:10" ht="43.2" x14ac:dyDescent="0.3">
      <c r="A461" t="s">
        <v>78</v>
      </c>
      <c r="B461" s="2">
        <v>45392</v>
      </c>
      <c r="C461" s="7" t="s">
        <v>36</v>
      </c>
      <c r="D461" s="8" t="s">
        <v>48</v>
      </c>
      <c r="E461" s="8" t="s">
        <v>38</v>
      </c>
      <c r="F461" s="10">
        <v>100</v>
      </c>
      <c r="G461" s="10">
        <v>100</v>
      </c>
      <c r="H461" s="10">
        <v>110</v>
      </c>
      <c r="I461" s="10" t="s">
        <v>302</v>
      </c>
      <c r="J461" s="10">
        <v>100</v>
      </c>
    </row>
    <row r="462" spans="1:10" ht="43.2" x14ac:dyDescent="0.3">
      <c r="A462" t="s">
        <v>78</v>
      </c>
      <c r="B462" s="2">
        <v>45392</v>
      </c>
      <c r="C462" s="3" t="s">
        <v>36</v>
      </c>
      <c r="D462" s="4" t="s">
        <v>49</v>
      </c>
      <c r="E462" s="4" t="s">
        <v>40</v>
      </c>
      <c r="F462" s="5"/>
      <c r="G462" s="6">
        <v>50</v>
      </c>
      <c r="H462" s="6">
        <v>78</v>
      </c>
      <c r="I462" s="6">
        <v>64</v>
      </c>
      <c r="J462" s="6">
        <v>64</v>
      </c>
    </row>
    <row r="463" spans="1:10" ht="43.2" x14ac:dyDescent="0.3">
      <c r="A463" t="s">
        <v>78</v>
      </c>
      <c r="B463" s="2">
        <v>45392</v>
      </c>
      <c r="C463" s="7" t="s">
        <v>36</v>
      </c>
      <c r="D463" s="8" t="s">
        <v>50</v>
      </c>
      <c r="E463" s="8" t="s">
        <v>38</v>
      </c>
      <c r="F463" s="10">
        <v>70</v>
      </c>
      <c r="G463" s="10">
        <v>70</v>
      </c>
      <c r="H463" s="10">
        <v>85</v>
      </c>
      <c r="I463" s="10">
        <v>75</v>
      </c>
      <c r="J463" s="10" t="s">
        <v>386</v>
      </c>
    </row>
    <row r="464" spans="1:10" ht="43.2" x14ac:dyDescent="0.3">
      <c r="A464" t="s">
        <v>78</v>
      </c>
      <c r="B464" s="2">
        <v>45392</v>
      </c>
      <c r="C464" s="3" t="s">
        <v>36</v>
      </c>
      <c r="D464" s="4" t="s">
        <v>51</v>
      </c>
      <c r="E464" s="4" t="s">
        <v>38</v>
      </c>
      <c r="F464" s="6">
        <v>100</v>
      </c>
      <c r="G464" s="6">
        <v>90</v>
      </c>
      <c r="H464" s="6">
        <v>110</v>
      </c>
      <c r="I464" s="6" t="s">
        <v>389</v>
      </c>
      <c r="J464" s="6">
        <v>100</v>
      </c>
    </row>
    <row r="465" spans="1:10" ht="43.2" x14ac:dyDescent="0.3">
      <c r="A465" t="s">
        <v>78</v>
      </c>
      <c r="B465" s="2">
        <v>45392</v>
      </c>
      <c r="C465" s="7" t="s">
        <v>36</v>
      </c>
      <c r="D465" s="8" t="s">
        <v>52</v>
      </c>
      <c r="E465" s="8" t="s">
        <v>42</v>
      </c>
      <c r="F465" s="10">
        <v>70</v>
      </c>
      <c r="G465" s="10">
        <v>60</v>
      </c>
      <c r="H465" s="10">
        <v>90</v>
      </c>
      <c r="I465" s="10">
        <v>74</v>
      </c>
      <c r="J465" s="10">
        <v>70</v>
      </c>
    </row>
    <row r="466" spans="1:10" ht="43.2" x14ac:dyDescent="0.3">
      <c r="A466" t="s">
        <v>78</v>
      </c>
      <c r="B466" s="2">
        <v>45392</v>
      </c>
      <c r="C466" s="3" t="s">
        <v>36</v>
      </c>
      <c r="D466" s="4" t="s">
        <v>53</v>
      </c>
      <c r="E466" s="4" t="s">
        <v>54</v>
      </c>
      <c r="F466" s="6">
        <v>120</v>
      </c>
      <c r="G466" s="6">
        <v>100</v>
      </c>
      <c r="H466" s="6">
        <v>130</v>
      </c>
      <c r="I466" s="6" t="s">
        <v>328</v>
      </c>
      <c r="J466" s="6">
        <v>120</v>
      </c>
    </row>
    <row r="467" spans="1:10" ht="43.2" x14ac:dyDescent="0.3">
      <c r="A467" t="s">
        <v>78</v>
      </c>
      <c r="B467" s="2">
        <v>45392</v>
      </c>
      <c r="C467" s="7" t="s">
        <v>36</v>
      </c>
      <c r="D467" s="8" t="s">
        <v>55</v>
      </c>
      <c r="E467" s="8" t="s">
        <v>38</v>
      </c>
      <c r="F467" s="10">
        <v>150</v>
      </c>
      <c r="G467" s="10">
        <v>100</v>
      </c>
      <c r="H467" s="10">
        <v>190</v>
      </c>
      <c r="I467" s="10">
        <v>150</v>
      </c>
      <c r="J467" s="10">
        <v>150</v>
      </c>
    </row>
    <row r="468" spans="1:10" ht="43.2" x14ac:dyDescent="0.3">
      <c r="A468" t="s">
        <v>78</v>
      </c>
      <c r="B468" s="2">
        <v>45392</v>
      </c>
      <c r="C468" s="3" t="s">
        <v>36</v>
      </c>
      <c r="D468" s="4" t="s">
        <v>56</v>
      </c>
      <c r="E468" s="4" t="s">
        <v>38</v>
      </c>
      <c r="F468" s="6">
        <v>180</v>
      </c>
      <c r="G468" s="6">
        <v>160</v>
      </c>
      <c r="H468" s="6">
        <v>180</v>
      </c>
      <c r="I468" s="6" t="s">
        <v>390</v>
      </c>
      <c r="J468" s="6">
        <v>175</v>
      </c>
    </row>
    <row r="469" spans="1:10" x14ac:dyDescent="0.3">
      <c r="A469" t="s">
        <v>78</v>
      </c>
      <c r="B469" s="2">
        <v>45392</v>
      </c>
      <c r="C469" s="7" t="s">
        <v>57</v>
      </c>
      <c r="D469" s="8" t="s">
        <v>58</v>
      </c>
      <c r="E469" s="8" t="s">
        <v>42</v>
      </c>
      <c r="F469" s="9"/>
      <c r="G469" s="10">
        <v>130</v>
      </c>
      <c r="H469" s="10">
        <v>130</v>
      </c>
      <c r="I469" s="10">
        <v>130</v>
      </c>
      <c r="J469" s="10">
        <v>130</v>
      </c>
    </row>
    <row r="470" spans="1:10" x14ac:dyDescent="0.3">
      <c r="A470" t="s">
        <v>78</v>
      </c>
      <c r="B470" s="2">
        <v>45392</v>
      </c>
      <c r="C470" s="3" t="s">
        <v>57</v>
      </c>
      <c r="D470" s="4" t="s">
        <v>59</v>
      </c>
      <c r="E470" s="4" t="s">
        <v>42</v>
      </c>
      <c r="F470" s="5"/>
      <c r="G470" s="6">
        <v>60</v>
      </c>
      <c r="H470" s="6">
        <v>75</v>
      </c>
      <c r="I470" s="6" t="s">
        <v>272</v>
      </c>
      <c r="J470" s="6" t="s">
        <v>272</v>
      </c>
    </row>
    <row r="471" spans="1:10" x14ac:dyDescent="0.3">
      <c r="A471" t="s">
        <v>78</v>
      </c>
      <c r="B471" s="2">
        <v>45392</v>
      </c>
      <c r="C471" s="7" t="s">
        <v>57</v>
      </c>
      <c r="D471" s="8" t="s">
        <v>60</v>
      </c>
      <c r="E471" s="8" t="s">
        <v>42</v>
      </c>
      <c r="F471" s="9"/>
      <c r="G471" s="10">
        <v>40</v>
      </c>
      <c r="H471" s="10">
        <v>45</v>
      </c>
      <c r="I471" s="10" t="s">
        <v>258</v>
      </c>
      <c r="J471" s="10" t="s">
        <v>258</v>
      </c>
    </row>
    <row r="472" spans="1:10" x14ac:dyDescent="0.3">
      <c r="A472" t="s">
        <v>78</v>
      </c>
      <c r="B472" s="2">
        <v>45392</v>
      </c>
      <c r="C472" s="3" t="s">
        <v>57</v>
      </c>
      <c r="D472" s="4" t="s">
        <v>61</v>
      </c>
      <c r="E472" s="4" t="s">
        <v>42</v>
      </c>
      <c r="F472" s="5"/>
      <c r="G472" s="6">
        <v>48</v>
      </c>
      <c r="H472" s="6">
        <v>48</v>
      </c>
      <c r="I472" s="6">
        <v>48</v>
      </c>
      <c r="J472" s="6">
        <v>48</v>
      </c>
    </row>
    <row r="473" spans="1:10" x14ac:dyDescent="0.3">
      <c r="A473" t="s">
        <v>78</v>
      </c>
      <c r="B473" s="2">
        <v>45392</v>
      </c>
      <c r="C473" s="7" t="s">
        <v>57</v>
      </c>
      <c r="D473" s="8" t="s">
        <v>62</v>
      </c>
      <c r="E473" s="8" t="s">
        <v>63</v>
      </c>
      <c r="F473" s="9"/>
      <c r="G473" s="10">
        <v>75</v>
      </c>
      <c r="H473" s="10">
        <v>75</v>
      </c>
      <c r="I473" s="10">
        <v>75</v>
      </c>
      <c r="J473" s="10">
        <v>75</v>
      </c>
    </row>
    <row r="474" spans="1:10" ht="28.8" x14ac:dyDescent="0.3">
      <c r="A474" t="s">
        <v>79</v>
      </c>
      <c r="B474" s="2">
        <v>45399</v>
      </c>
      <c r="C474" s="3" t="s">
        <v>11</v>
      </c>
      <c r="D474" s="4" t="s">
        <v>12</v>
      </c>
      <c r="E474" s="4" t="s">
        <v>13</v>
      </c>
      <c r="F474" s="6">
        <v>60</v>
      </c>
      <c r="G474" s="6">
        <v>28</v>
      </c>
      <c r="H474" s="6">
        <v>60</v>
      </c>
      <c r="I474" s="6" t="s">
        <v>391</v>
      </c>
      <c r="J474" s="6">
        <v>60</v>
      </c>
    </row>
    <row r="475" spans="1:10" ht="28.8" x14ac:dyDescent="0.3">
      <c r="A475" t="s">
        <v>79</v>
      </c>
      <c r="B475" s="2">
        <v>45399</v>
      </c>
      <c r="C475" s="7" t="s">
        <v>11</v>
      </c>
      <c r="D475" s="8" t="s">
        <v>14</v>
      </c>
      <c r="E475" s="8" t="s">
        <v>13</v>
      </c>
      <c r="F475" s="9"/>
      <c r="G475" s="10">
        <v>72</v>
      </c>
      <c r="H475" s="10">
        <v>84</v>
      </c>
      <c r="I475" s="10" t="s">
        <v>392</v>
      </c>
      <c r="J475" s="10">
        <v>80</v>
      </c>
    </row>
    <row r="476" spans="1:10" ht="28.8" x14ac:dyDescent="0.3">
      <c r="A476" t="s">
        <v>79</v>
      </c>
      <c r="B476" s="2">
        <v>45399</v>
      </c>
      <c r="C476" s="3" t="s">
        <v>11</v>
      </c>
      <c r="D476" s="4" t="s">
        <v>15</v>
      </c>
      <c r="E476" s="4" t="s">
        <v>13</v>
      </c>
      <c r="F476" s="5"/>
      <c r="G476" s="6">
        <v>42</v>
      </c>
      <c r="H476" s="6">
        <v>60</v>
      </c>
      <c r="I476" s="6">
        <v>50</v>
      </c>
      <c r="J476" s="6">
        <v>48</v>
      </c>
    </row>
    <row r="477" spans="1:10" ht="28.8" x14ac:dyDescent="0.3">
      <c r="A477" t="s">
        <v>79</v>
      </c>
      <c r="B477" s="2">
        <v>45399</v>
      </c>
      <c r="C477" s="7" t="s">
        <v>11</v>
      </c>
      <c r="D477" s="8" t="s">
        <v>16</v>
      </c>
      <c r="E477" s="8" t="s">
        <v>13</v>
      </c>
      <c r="F477" s="10">
        <v>30</v>
      </c>
      <c r="G477" s="10">
        <v>30</v>
      </c>
      <c r="H477" s="10">
        <v>36</v>
      </c>
      <c r="I477" s="10" t="s">
        <v>393</v>
      </c>
      <c r="J477" s="10" t="s">
        <v>295</v>
      </c>
    </row>
    <row r="478" spans="1:10" ht="28.8" x14ac:dyDescent="0.3">
      <c r="A478" t="s">
        <v>79</v>
      </c>
      <c r="B478" s="2">
        <v>45399</v>
      </c>
      <c r="C478" s="3" t="s">
        <v>11</v>
      </c>
      <c r="D478" s="4" t="s">
        <v>17</v>
      </c>
      <c r="E478" s="4" t="s">
        <v>13</v>
      </c>
      <c r="F478" s="5"/>
      <c r="G478" s="6">
        <v>30</v>
      </c>
      <c r="H478" s="6">
        <v>36</v>
      </c>
      <c r="I478" s="6" t="s">
        <v>394</v>
      </c>
      <c r="J478" s="6">
        <v>35</v>
      </c>
    </row>
    <row r="479" spans="1:10" ht="28.8" x14ac:dyDescent="0.3">
      <c r="A479" t="s">
        <v>79</v>
      </c>
      <c r="B479" s="2">
        <v>45399</v>
      </c>
      <c r="C479" s="7" t="s">
        <v>11</v>
      </c>
      <c r="D479" s="8" t="s">
        <v>18</v>
      </c>
      <c r="E479" s="8" t="s">
        <v>13</v>
      </c>
      <c r="F479" s="10">
        <v>60</v>
      </c>
      <c r="G479" s="10">
        <v>60</v>
      </c>
      <c r="H479" s="10">
        <v>60</v>
      </c>
      <c r="I479" s="10">
        <v>60</v>
      </c>
      <c r="J479" s="10">
        <v>60</v>
      </c>
    </row>
    <row r="480" spans="1:10" ht="28.8" x14ac:dyDescent="0.3">
      <c r="A480" t="s">
        <v>79</v>
      </c>
      <c r="B480" s="2">
        <v>45399</v>
      </c>
      <c r="C480" s="3" t="s">
        <v>11</v>
      </c>
      <c r="D480" s="4" t="s">
        <v>19</v>
      </c>
      <c r="E480" s="4" t="s">
        <v>13</v>
      </c>
      <c r="F480" s="6">
        <v>84</v>
      </c>
      <c r="G480" s="6">
        <v>84</v>
      </c>
      <c r="H480" s="6">
        <v>96</v>
      </c>
      <c r="I480" s="6">
        <v>88</v>
      </c>
      <c r="J480" s="6">
        <v>84</v>
      </c>
    </row>
    <row r="481" spans="1:10" ht="28.8" x14ac:dyDescent="0.3">
      <c r="A481" t="s">
        <v>79</v>
      </c>
      <c r="B481" s="2">
        <v>45399</v>
      </c>
      <c r="C481" s="7" t="s">
        <v>11</v>
      </c>
      <c r="D481" s="8" t="s">
        <v>20</v>
      </c>
      <c r="E481" s="8" t="s">
        <v>13</v>
      </c>
      <c r="F481" s="10">
        <v>96</v>
      </c>
      <c r="G481" s="10">
        <v>96</v>
      </c>
      <c r="H481" s="10">
        <v>96</v>
      </c>
      <c r="I481" s="10">
        <v>96</v>
      </c>
      <c r="J481" s="10">
        <v>96</v>
      </c>
    </row>
    <row r="482" spans="1:10" ht="28.8" x14ac:dyDescent="0.3">
      <c r="A482" t="s">
        <v>79</v>
      </c>
      <c r="B482" s="2">
        <v>45399</v>
      </c>
      <c r="C482" s="3" t="s">
        <v>11</v>
      </c>
      <c r="D482" s="4" t="s">
        <v>21</v>
      </c>
      <c r="E482" s="4" t="s">
        <v>13</v>
      </c>
      <c r="F482" s="6">
        <v>30</v>
      </c>
      <c r="G482" s="6">
        <v>30</v>
      </c>
      <c r="H482" s="6">
        <v>36</v>
      </c>
      <c r="I482" s="6" t="s">
        <v>395</v>
      </c>
      <c r="J482" s="6">
        <v>30</v>
      </c>
    </row>
    <row r="483" spans="1:10" ht="28.8" x14ac:dyDescent="0.3">
      <c r="A483" t="s">
        <v>79</v>
      </c>
      <c r="B483" s="2">
        <v>45399</v>
      </c>
      <c r="C483" s="7" t="s">
        <v>11</v>
      </c>
      <c r="D483" s="8" t="s">
        <v>65</v>
      </c>
      <c r="E483" s="8" t="s">
        <v>13</v>
      </c>
      <c r="F483" s="9"/>
      <c r="G483" s="10">
        <v>90</v>
      </c>
      <c r="H483" s="10">
        <v>108</v>
      </c>
      <c r="I483" s="10">
        <v>98</v>
      </c>
      <c r="J483" s="10">
        <v>96</v>
      </c>
    </row>
    <row r="484" spans="1:10" ht="28.8" x14ac:dyDescent="0.3">
      <c r="A484" t="s">
        <v>79</v>
      </c>
      <c r="B484" s="2">
        <v>45399</v>
      </c>
      <c r="C484" s="3" t="s">
        <v>11</v>
      </c>
      <c r="D484" s="4" t="s">
        <v>23</v>
      </c>
      <c r="E484" s="4" t="s">
        <v>13</v>
      </c>
      <c r="F484" s="5"/>
      <c r="G484" s="6">
        <v>30</v>
      </c>
      <c r="H484" s="6">
        <v>36</v>
      </c>
      <c r="I484" s="6" t="s">
        <v>394</v>
      </c>
      <c r="J484" s="6">
        <v>35</v>
      </c>
    </row>
    <row r="485" spans="1:10" ht="28.8" x14ac:dyDescent="0.3">
      <c r="A485" t="s">
        <v>79</v>
      </c>
      <c r="B485" s="2">
        <v>45399</v>
      </c>
      <c r="C485" s="7" t="s">
        <v>11</v>
      </c>
      <c r="D485" s="8" t="s">
        <v>24</v>
      </c>
      <c r="E485" s="8" t="s">
        <v>13</v>
      </c>
      <c r="F485" s="10">
        <v>84</v>
      </c>
      <c r="G485" s="10">
        <v>84</v>
      </c>
      <c r="H485" s="10">
        <v>84</v>
      </c>
      <c r="I485" s="10">
        <v>84</v>
      </c>
      <c r="J485" s="10">
        <v>84</v>
      </c>
    </row>
    <row r="486" spans="1:10" ht="28.8" x14ac:dyDescent="0.3">
      <c r="A486" t="s">
        <v>79</v>
      </c>
      <c r="B486" s="2">
        <v>45399</v>
      </c>
      <c r="C486" s="3" t="s">
        <v>11</v>
      </c>
      <c r="D486" s="4" t="s">
        <v>25</v>
      </c>
      <c r="E486" s="4" t="s">
        <v>26</v>
      </c>
      <c r="F486" s="5"/>
      <c r="G486" s="6">
        <v>60</v>
      </c>
      <c r="H486" s="6">
        <v>72</v>
      </c>
      <c r="I486" s="6" t="s">
        <v>271</v>
      </c>
      <c r="J486" s="6">
        <v>62</v>
      </c>
    </row>
    <row r="487" spans="1:10" ht="28.8" x14ac:dyDescent="0.3">
      <c r="A487" t="s">
        <v>79</v>
      </c>
      <c r="B487" s="2">
        <v>45399</v>
      </c>
      <c r="C487" s="7" t="s">
        <v>11</v>
      </c>
      <c r="D487" s="8" t="s">
        <v>27</v>
      </c>
      <c r="E487" s="8" t="s">
        <v>13</v>
      </c>
      <c r="F487" s="9"/>
      <c r="G487" s="10">
        <v>60</v>
      </c>
      <c r="H487" s="10">
        <v>100</v>
      </c>
      <c r="I487" s="10" t="s">
        <v>344</v>
      </c>
      <c r="J487" s="10">
        <v>70</v>
      </c>
    </row>
    <row r="488" spans="1:10" ht="28.8" x14ac:dyDescent="0.3">
      <c r="A488" t="s">
        <v>79</v>
      </c>
      <c r="B488" s="2">
        <v>45399</v>
      </c>
      <c r="C488" s="3" t="s">
        <v>11</v>
      </c>
      <c r="D488" s="4" t="s">
        <v>28</v>
      </c>
      <c r="E488" s="4" t="s">
        <v>13</v>
      </c>
      <c r="F488" s="5"/>
      <c r="G488" s="6">
        <v>48</v>
      </c>
      <c r="H488" s="6">
        <v>60</v>
      </c>
      <c r="I488" s="6" t="s">
        <v>396</v>
      </c>
      <c r="J488" s="6">
        <v>55</v>
      </c>
    </row>
    <row r="489" spans="1:10" ht="28.8" x14ac:dyDescent="0.3">
      <c r="A489" t="s">
        <v>79</v>
      </c>
      <c r="B489" s="2">
        <v>45399</v>
      </c>
      <c r="C489" s="7" t="s">
        <v>11</v>
      </c>
      <c r="D489" s="8" t="s">
        <v>29</v>
      </c>
      <c r="E489" s="8" t="s">
        <v>13</v>
      </c>
      <c r="F489" s="9"/>
      <c r="G489" s="10">
        <v>42</v>
      </c>
      <c r="H489" s="10">
        <v>54</v>
      </c>
      <c r="I489" s="10">
        <v>48</v>
      </c>
      <c r="J489" s="10">
        <v>48</v>
      </c>
    </row>
    <row r="490" spans="1:10" ht="28.8" x14ac:dyDescent="0.3">
      <c r="A490" t="s">
        <v>79</v>
      </c>
      <c r="B490" s="2">
        <v>45399</v>
      </c>
      <c r="C490" s="3" t="s">
        <v>30</v>
      </c>
      <c r="D490" s="4" t="s">
        <v>31</v>
      </c>
      <c r="E490" s="4" t="s">
        <v>32</v>
      </c>
      <c r="F490" s="6">
        <v>6</v>
      </c>
      <c r="G490" s="6" t="s">
        <v>285</v>
      </c>
      <c r="H490" s="6">
        <v>6</v>
      </c>
      <c r="I490" s="6" t="s">
        <v>397</v>
      </c>
      <c r="J490" s="6" t="s">
        <v>398</v>
      </c>
    </row>
    <row r="491" spans="1:10" ht="28.8" x14ac:dyDescent="0.3">
      <c r="A491" t="s">
        <v>79</v>
      </c>
      <c r="B491" s="2">
        <v>45399</v>
      </c>
      <c r="C491" s="7" t="s">
        <v>30</v>
      </c>
      <c r="D491" s="8" t="s">
        <v>33</v>
      </c>
      <c r="E491" s="8" t="s">
        <v>34</v>
      </c>
      <c r="F491" s="10">
        <v>30</v>
      </c>
      <c r="G491" s="10">
        <v>20</v>
      </c>
      <c r="H491" s="10">
        <v>30</v>
      </c>
      <c r="I491" s="10">
        <v>27</v>
      </c>
      <c r="J491" s="10">
        <v>29</v>
      </c>
    </row>
    <row r="492" spans="1:10" ht="28.8" x14ac:dyDescent="0.3">
      <c r="A492" t="s">
        <v>79</v>
      </c>
      <c r="B492" s="2">
        <v>45399</v>
      </c>
      <c r="C492" s="3" t="s">
        <v>30</v>
      </c>
      <c r="D492" s="4" t="s">
        <v>35</v>
      </c>
      <c r="E492" s="4" t="s">
        <v>34</v>
      </c>
      <c r="F492" s="6">
        <v>30</v>
      </c>
      <c r="G492" s="6">
        <v>30</v>
      </c>
      <c r="H492" s="6">
        <v>40</v>
      </c>
      <c r="I492" s="6" t="s">
        <v>399</v>
      </c>
      <c r="J492" s="6" t="s">
        <v>295</v>
      </c>
    </row>
    <row r="493" spans="1:10" ht="43.2" x14ac:dyDescent="0.3">
      <c r="A493" t="s">
        <v>79</v>
      </c>
      <c r="B493" s="2">
        <v>45399</v>
      </c>
      <c r="C493" s="7" t="s">
        <v>36</v>
      </c>
      <c r="D493" s="8" t="s">
        <v>73</v>
      </c>
      <c r="E493" s="8" t="s">
        <v>74</v>
      </c>
      <c r="F493" s="10">
        <v>110</v>
      </c>
      <c r="G493" s="10">
        <v>110</v>
      </c>
      <c r="H493" s="10">
        <v>120</v>
      </c>
      <c r="I493" s="10" t="s">
        <v>400</v>
      </c>
      <c r="J493" s="10">
        <v>110</v>
      </c>
    </row>
    <row r="494" spans="1:10" ht="43.2" x14ac:dyDescent="0.3">
      <c r="A494" t="s">
        <v>79</v>
      </c>
      <c r="B494" s="2">
        <v>45399</v>
      </c>
      <c r="C494" s="3" t="s">
        <v>36</v>
      </c>
      <c r="D494" s="4" t="s">
        <v>37</v>
      </c>
      <c r="E494" s="4" t="s">
        <v>38</v>
      </c>
      <c r="F494" s="5"/>
      <c r="G494" s="6">
        <v>60</v>
      </c>
      <c r="H494" s="6">
        <v>80</v>
      </c>
      <c r="I494" s="6" t="s">
        <v>282</v>
      </c>
      <c r="J494" s="6" t="s">
        <v>272</v>
      </c>
    </row>
    <row r="495" spans="1:10" ht="43.2" x14ac:dyDescent="0.3">
      <c r="A495" t="s">
        <v>79</v>
      </c>
      <c r="B495" s="2">
        <v>45399</v>
      </c>
      <c r="C495" s="7" t="s">
        <v>36</v>
      </c>
      <c r="D495" s="8" t="s">
        <v>39</v>
      </c>
      <c r="E495" s="8" t="s">
        <v>40</v>
      </c>
      <c r="F495" s="10">
        <v>75</v>
      </c>
      <c r="G495" s="10">
        <v>50</v>
      </c>
      <c r="H495" s="10">
        <v>75</v>
      </c>
      <c r="I495" s="10">
        <v>69</v>
      </c>
      <c r="J495" s="10">
        <v>75</v>
      </c>
    </row>
    <row r="496" spans="1:10" ht="43.2" x14ac:dyDescent="0.3">
      <c r="A496" t="s">
        <v>79</v>
      </c>
      <c r="B496" s="2">
        <v>45399</v>
      </c>
      <c r="C496" s="3" t="s">
        <v>36</v>
      </c>
      <c r="D496" s="4" t="s">
        <v>41</v>
      </c>
      <c r="E496" s="4" t="s">
        <v>42</v>
      </c>
      <c r="F496" s="6">
        <v>45</v>
      </c>
      <c r="G496" s="6">
        <v>30</v>
      </c>
      <c r="H496" s="6">
        <v>50</v>
      </c>
      <c r="I496" s="6">
        <v>44</v>
      </c>
      <c r="J496" s="6">
        <v>45</v>
      </c>
    </row>
    <row r="497" spans="1:10" ht="43.2" x14ac:dyDescent="0.3">
      <c r="A497" t="s">
        <v>79</v>
      </c>
      <c r="B497" s="2">
        <v>45399</v>
      </c>
      <c r="C497" s="7" t="s">
        <v>36</v>
      </c>
      <c r="D497" s="8" t="s">
        <v>43</v>
      </c>
      <c r="E497" s="8" t="s">
        <v>42</v>
      </c>
      <c r="F497" s="9"/>
      <c r="G497" s="10">
        <v>110</v>
      </c>
      <c r="H497" s="10">
        <v>110</v>
      </c>
      <c r="I497" s="10">
        <v>110</v>
      </c>
      <c r="J497" s="10">
        <v>110</v>
      </c>
    </row>
    <row r="498" spans="1:10" ht="43.2" x14ac:dyDescent="0.3">
      <c r="A498" t="s">
        <v>79</v>
      </c>
      <c r="B498" s="2">
        <v>45399</v>
      </c>
      <c r="C498" s="3" t="s">
        <v>36</v>
      </c>
      <c r="D498" s="4" t="s">
        <v>44</v>
      </c>
      <c r="E498" s="4" t="s">
        <v>45</v>
      </c>
      <c r="F498" s="6">
        <v>130</v>
      </c>
      <c r="G498" s="6">
        <v>80</v>
      </c>
      <c r="H498" s="6">
        <v>150</v>
      </c>
      <c r="I498" s="6" t="s">
        <v>353</v>
      </c>
      <c r="J498" s="6">
        <v>130</v>
      </c>
    </row>
    <row r="499" spans="1:10" ht="43.2" x14ac:dyDescent="0.3">
      <c r="A499" t="s">
        <v>79</v>
      </c>
      <c r="B499" s="2">
        <v>45399</v>
      </c>
      <c r="C499" s="7" t="s">
        <v>36</v>
      </c>
      <c r="D499" s="8" t="s">
        <v>46</v>
      </c>
      <c r="E499" s="8" t="s">
        <v>40</v>
      </c>
      <c r="F499" s="10">
        <v>140</v>
      </c>
      <c r="G499" s="10">
        <v>80</v>
      </c>
      <c r="H499" s="10">
        <v>170</v>
      </c>
      <c r="I499" s="10">
        <v>138</v>
      </c>
      <c r="J499" s="10">
        <v>140</v>
      </c>
    </row>
    <row r="500" spans="1:10" ht="43.2" x14ac:dyDescent="0.3">
      <c r="A500" t="s">
        <v>79</v>
      </c>
      <c r="B500" s="2">
        <v>45399</v>
      </c>
      <c r="C500" s="3" t="s">
        <v>36</v>
      </c>
      <c r="D500" s="4" t="s">
        <v>47</v>
      </c>
      <c r="E500" s="4" t="s">
        <v>40</v>
      </c>
      <c r="F500" s="6">
        <v>60</v>
      </c>
      <c r="G500" s="6">
        <v>50</v>
      </c>
      <c r="H500" s="6">
        <v>70</v>
      </c>
      <c r="I500" s="6">
        <v>59</v>
      </c>
      <c r="J500" s="6">
        <v>60</v>
      </c>
    </row>
    <row r="501" spans="1:10" ht="43.2" x14ac:dyDescent="0.3">
      <c r="A501" t="s">
        <v>79</v>
      </c>
      <c r="B501" s="2">
        <v>45399</v>
      </c>
      <c r="C501" s="7" t="s">
        <v>36</v>
      </c>
      <c r="D501" s="8" t="s">
        <v>48</v>
      </c>
      <c r="E501" s="8" t="s">
        <v>38</v>
      </c>
      <c r="F501" s="9"/>
      <c r="G501" s="10">
        <v>80</v>
      </c>
      <c r="H501" s="10">
        <v>120</v>
      </c>
      <c r="I501" s="10" t="s">
        <v>370</v>
      </c>
      <c r="J501" s="10">
        <v>90</v>
      </c>
    </row>
    <row r="502" spans="1:10" ht="43.2" x14ac:dyDescent="0.3">
      <c r="A502" t="s">
        <v>79</v>
      </c>
      <c r="B502" s="2">
        <v>45399</v>
      </c>
      <c r="C502" s="3" t="s">
        <v>36</v>
      </c>
      <c r="D502" s="4" t="s">
        <v>49</v>
      </c>
      <c r="E502" s="4" t="s">
        <v>40</v>
      </c>
      <c r="F502" s="5"/>
      <c r="G502" s="5"/>
      <c r="H502" s="5"/>
      <c r="I502" s="5"/>
      <c r="J502" s="5"/>
    </row>
    <row r="503" spans="1:10" ht="43.2" x14ac:dyDescent="0.3">
      <c r="A503" t="s">
        <v>79</v>
      </c>
      <c r="B503" s="2">
        <v>45399</v>
      </c>
      <c r="C503" s="7" t="s">
        <v>36</v>
      </c>
      <c r="D503" s="8" t="s">
        <v>50</v>
      </c>
      <c r="E503" s="8" t="s">
        <v>38</v>
      </c>
      <c r="F503" s="10">
        <v>70</v>
      </c>
      <c r="G503" s="10">
        <v>60</v>
      </c>
      <c r="H503" s="10">
        <v>80</v>
      </c>
      <c r="I503" s="10">
        <v>70</v>
      </c>
      <c r="J503" s="10">
        <v>70</v>
      </c>
    </row>
    <row r="504" spans="1:10" ht="43.2" x14ac:dyDescent="0.3">
      <c r="A504" t="s">
        <v>79</v>
      </c>
      <c r="B504" s="2">
        <v>45399</v>
      </c>
      <c r="C504" s="3" t="s">
        <v>36</v>
      </c>
      <c r="D504" s="4" t="s">
        <v>51</v>
      </c>
      <c r="E504" s="4" t="s">
        <v>38</v>
      </c>
      <c r="F504" s="6">
        <v>90</v>
      </c>
      <c r="G504" s="6">
        <v>80</v>
      </c>
      <c r="H504" s="6">
        <v>100</v>
      </c>
      <c r="I504" s="6">
        <v>89</v>
      </c>
      <c r="J504" s="6">
        <v>90</v>
      </c>
    </row>
    <row r="505" spans="1:10" ht="43.2" x14ac:dyDescent="0.3">
      <c r="A505" t="s">
        <v>79</v>
      </c>
      <c r="B505" s="2">
        <v>45399</v>
      </c>
      <c r="C505" s="7" t="s">
        <v>36</v>
      </c>
      <c r="D505" s="8" t="s">
        <v>52</v>
      </c>
      <c r="E505" s="8" t="s">
        <v>42</v>
      </c>
      <c r="F505" s="10">
        <v>70</v>
      </c>
      <c r="G505" s="10">
        <v>45</v>
      </c>
      <c r="H505" s="10">
        <v>100</v>
      </c>
      <c r="I505" s="10" t="s">
        <v>401</v>
      </c>
      <c r="J505" s="10">
        <v>70</v>
      </c>
    </row>
    <row r="506" spans="1:10" ht="43.2" x14ac:dyDescent="0.3">
      <c r="A506" t="s">
        <v>79</v>
      </c>
      <c r="B506" s="2">
        <v>45399</v>
      </c>
      <c r="C506" s="3" t="s">
        <v>36</v>
      </c>
      <c r="D506" s="4" t="s">
        <v>53</v>
      </c>
      <c r="E506" s="4" t="s">
        <v>54</v>
      </c>
      <c r="F506" s="6">
        <v>120</v>
      </c>
      <c r="G506" s="6">
        <v>100</v>
      </c>
      <c r="H506" s="6">
        <v>120</v>
      </c>
      <c r="I506" s="6">
        <v>112</v>
      </c>
      <c r="J506" s="6">
        <v>120</v>
      </c>
    </row>
    <row r="507" spans="1:10" ht="43.2" x14ac:dyDescent="0.3">
      <c r="A507" t="s">
        <v>79</v>
      </c>
      <c r="B507" s="2">
        <v>45399</v>
      </c>
      <c r="C507" s="7" t="s">
        <v>36</v>
      </c>
      <c r="D507" s="8" t="s">
        <v>55</v>
      </c>
      <c r="E507" s="8" t="s">
        <v>38</v>
      </c>
      <c r="F507" s="9"/>
      <c r="G507" s="10">
        <v>65</v>
      </c>
      <c r="H507" s="10">
        <v>130</v>
      </c>
      <c r="I507" s="10" t="s">
        <v>402</v>
      </c>
      <c r="J507" s="10">
        <v>85</v>
      </c>
    </row>
    <row r="508" spans="1:10" ht="43.2" x14ac:dyDescent="0.3">
      <c r="A508" t="s">
        <v>79</v>
      </c>
      <c r="B508" s="2">
        <v>45399</v>
      </c>
      <c r="C508" s="3" t="s">
        <v>36</v>
      </c>
      <c r="D508" s="4" t="s">
        <v>56</v>
      </c>
      <c r="E508" s="4" t="s">
        <v>38</v>
      </c>
      <c r="F508" s="6">
        <v>130</v>
      </c>
      <c r="G508" s="6">
        <v>130</v>
      </c>
      <c r="H508" s="6">
        <v>150</v>
      </c>
      <c r="I508" s="6" t="s">
        <v>357</v>
      </c>
      <c r="J508" s="6">
        <v>130</v>
      </c>
    </row>
    <row r="509" spans="1:10" x14ac:dyDescent="0.3">
      <c r="A509" t="s">
        <v>79</v>
      </c>
      <c r="B509" s="2">
        <v>45399</v>
      </c>
      <c r="C509" s="7" t="s">
        <v>57</v>
      </c>
      <c r="D509" s="8" t="s">
        <v>58</v>
      </c>
      <c r="E509" s="8" t="s">
        <v>42</v>
      </c>
      <c r="F509" s="9"/>
      <c r="G509" s="10">
        <v>65</v>
      </c>
      <c r="H509" s="10">
        <v>65</v>
      </c>
      <c r="I509" s="10">
        <v>65</v>
      </c>
      <c r="J509" s="10">
        <v>65</v>
      </c>
    </row>
    <row r="510" spans="1:10" x14ac:dyDescent="0.3">
      <c r="A510" t="s">
        <v>79</v>
      </c>
      <c r="B510" s="2">
        <v>45399</v>
      </c>
      <c r="C510" s="3" t="s">
        <v>57</v>
      </c>
      <c r="D510" s="4" t="s">
        <v>59</v>
      </c>
      <c r="E510" s="4" t="s">
        <v>42</v>
      </c>
      <c r="F510" s="5"/>
      <c r="G510" s="6">
        <v>75</v>
      </c>
      <c r="H510" s="6">
        <v>124</v>
      </c>
      <c r="I510" s="6" t="s">
        <v>403</v>
      </c>
      <c r="J510" s="6" t="s">
        <v>403</v>
      </c>
    </row>
    <row r="511" spans="1:10" x14ac:dyDescent="0.3">
      <c r="A511" t="s">
        <v>79</v>
      </c>
      <c r="B511" s="2">
        <v>45399</v>
      </c>
      <c r="C511" s="7" t="s">
        <v>57</v>
      </c>
      <c r="D511" s="8" t="s">
        <v>60</v>
      </c>
      <c r="E511" s="8" t="s">
        <v>42</v>
      </c>
      <c r="F511" s="9"/>
      <c r="G511" s="10">
        <v>45</v>
      </c>
      <c r="H511" s="10">
        <v>70</v>
      </c>
      <c r="I511" s="10" t="s">
        <v>256</v>
      </c>
      <c r="J511" s="10" t="s">
        <v>256</v>
      </c>
    </row>
    <row r="512" spans="1:10" x14ac:dyDescent="0.3">
      <c r="A512" t="s">
        <v>79</v>
      </c>
      <c r="B512" s="2">
        <v>45399</v>
      </c>
      <c r="C512" s="3" t="s">
        <v>57</v>
      </c>
      <c r="D512" s="4" t="s">
        <v>61</v>
      </c>
      <c r="E512" s="4" t="s">
        <v>42</v>
      </c>
      <c r="F512" s="5"/>
      <c r="G512" s="6">
        <v>50</v>
      </c>
      <c r="H512" s="6">
        <v>50</v>
      </c>
      <c r="I512" s="6">
        <v>50</v>
      </c>
      <c r="J512" s="6">
        <v>50</v>
      </c>
    </row>
    <row r="513" spans="1:10" x14ac:dyDescent="0.3">
      <c r="A513" t="s">
        <v>79</v>
      </c>
      <c r="B513" s="2">
        <v>45399</v>
      </c>
      <c r="C513" s="7" t="s">
        <v>57</v>
      </c>
      <c r="D513" s="8" t="s">
        <v>62</v>
      </c>
      <c r="E513" s="8" t="s">
        <v>63</v>
      </c>
      <c r="F513" s="9"/>
      <c r="G513" s="10">
        <v>75</v>
      </c>
      <c r="H513" s="10">
        <v>88</v>
      </c>
      <c r="I513" s="10" t="s">
        <v>404</v>
      </c>
      <c r="J513" s="10" t="s">
        <v>404</v>
      </c>
    </row>
    <row r="514" spans="1:10" ht="28.8" x14ac:dyDescent="0.3">
      <c r="A514" t="s">
        <v>80</v>
      </c>
      <c r="B514" s="2">
        <v>45406</v>
      </c>
      <c r="C514" s="3" t="s">
        <v>11</v>
      </c>
      <c r="D514" s="4" t="s">
        <v>12</v>
      </c>
      <c r="E514" s="4" t="s">
        <v>13</v>
      </c>
      <c r="F514" s="5"/>
      <c r="G514" s="6">
        <v>48</v>
      </c>
      <c r="H514" s="6">
        <v>72</v>
      </c>
      <c r="I514" s="6">
        <v>60</v>
      </c>
      <c r="J514" s="6">
        <v>60</v>
      </c>
    </row>
    <row r="515" spans="1:10" ht="28.8" x14ac:dyDescent="0.3">
      <c r="A515" t="s">
        <v>80</v>
      </c>
      <c r="B515" s="2">
        <v>45406</v>
      </c>
      <c r="C515" s="7" t="s">
        <v>11</v>
      </c>
      <c r="D515" s="8" t="s">
        <v>14</v>
      </c>
      <c r="E515" s="8" t="s">
        <v>13</v>
      </c>
      <c r="F515" s="10">
        <v>84</v>
      </c>
      <c r="G515" s="10">
        <v>72</v>
      </c>
      <c r="H515" s="10">
        <v>84</v>
      </c>
      <c r="I515" s="10">
        <v>80</v>
      </c>
      <c r="J515" s="10">
        <v>84</v>
      </c>
    </row>
    <row r="516" spans="1:10" ht="28.8" x14ac:dyDescent="0.3">
      <c r="A516" t="s">
        <v>80</v>
      </c>
      <c r="B516" s="2">
        <v>45406</v>
      </c>
      <c r="C516" s="3" t="s">
        <v>11</v>
      </c>
      <c r="D516" s="4" t="s">
        <v>15</v>
      </c>
      <c r="E516" s="4" t="s">
        <v>13</v>
      </c>
      <c r="F516" s="5"/>
      <c r="G516" s="6">
        <v>42</v>
      </c>
      <c r="H516" s="6">
        <v>60</v>
      </c>
      <c r="I516" s="6">
        <v>50</v>
      </c>
      <c r="J516" s="6">
        <v>48</v>
      </c>
    </row>
    <row r="517" spans="1:10" ht="28.8" x14ac:dyDescent="0.3">
      <c r="A517" t="s">
        <v>80</v>
      </c>
      <c r="B517" s="2">
        <v>45406</v>
      </c>
      <c r="C517" s="7" t="s">
        <v>11</v>
      </c>
      <c r="D517" s="8" t="s">
        <v>16</v>
      </c>
      <c r="E517" s="8" t="s">
        <v>13</v>
      </c>
      <c r="F517" s="10">
        <v>36</v>
      </c>
      <c r="G517" s="10">
        <v>30</v>
      </c>
      <c r="H517" s="10">
        <v>36</v>
      </c>
      <c r="I517" s="10">
        <v>34</v>
      </c>
      <c r="J517" s="10">
        <v>36</v>
      </c>
    </row>
    <row r="518" spans="1:10" ht="28.8" x14ac:dyDescent="0.3">
      <c r="A518" t="s">
        <v>80</v>
      </c>
      <c r="B518" s="2">
        <v>45406</v>
      </c>
      <c r="C518" s="3" t="s">
        <v>11</v>
      </c>
      <c r="D518" s="4" t="s">
        <v>17</v>
      </c>
      <c r="E518" s="4" t="s">
        <v>13</v>
      </c>
      <c r="F518" s="6">
        <v>36</v>
      </c>
      <c r="G518" s="6">
        <v>30</v>
      </c>
      <c r="H518" s="6">
        <v>36</v>
      </c>
      <c r="I518" s="6">
        <v>34</v>
      </c>
      <c r="J518" s="6">
        <v>36</v>
      </c>
    </row>
    <row r="519" spans="1:10" ht="28.8" x14ac:dyDescent="0.3">
      <c r="A519" t="s">
        <v>80</v>
      </c>
      <c r="B519" s="2">
        <v>45406</v>
      </c>
      <c r="C519" s="7" t="s">
        <v>11</v>
      </c>
      <c r="D519" s="8" t="s">
        <v>18</v>
      </c>
      <c r="E519" s="8" t="s">
        <v>13</v>
      </c>
      <c r="F519" s="10">
        <v>72</v>
      </c>
      <c r="G519" s="10">
        <v>48</v>
      </c>
      <c r="H519" s="10">
        <v>72</v>
      </c>
      <c r="I519" s="10">
        <v>64</v>
      </c>
      <c r="J519" s="10">
        <v>72</v>
      </c>
    </row>
    <row r="520" spans="1:10" ht="28.8" x14ac:dyDescent="0.3">
      <c r="A520" t="s">
        <v>80</v>
      </c>
      <c r="B520" s="2">
        <v>45406</v>
      </c>
      <c r="C520" s="3" t="s">
        <v>11</v>
      </c>
      <c r="D520" s="4" t="s">
        <v>19</v>
      </c>
      <c r="E520" s="4" t="s">
        <v>13</v>
      </c>
      <c r="F520" s="5"/>
      <c r="G520" s="6">
        <v>72</v>
      </c>
      <c r="H520" s="6">
        <v>96</v>
      </c>
      <c r="I520" s="6">
        <v>82</v>
      </c>
      <c r="J520" s="6">
        <v>78</v>
      </c>
    </row>
    <row r="521" spans="1:10" ht="28.8" x14ac:dyDescent="0.3">
      <c r="A521" t="s">
        <v>80</v>
      </c>
      <c r="B521" s="2">
        <v>45406</v>
      </c>
      <c r="C521" s="7" t="s">
        <v>11</v>
      </c>
      <c r="D521" s="8" t="s">
        <v>20</v>
      </c>
      <c r="E521" s="8" t="s">
        <v>13</v>
      </c>
      <c r="F521" s="10">
        <v>96</v>
      </c>
      <c r="G521" s="10">
        <v>96</v>
      </c>
      <c r="H521" s="10">
        <v>96</v>
      </c>
      <c r="I521" s="10">
        <v>96</v>
      </c>
      <c r="J521" s="10">
        <v>96</v>
      </c>
    </row>
    <row r="522" spans="1:10" ht="28.8" x14ac:dyDescent="0.3">
      <c r="A522" t="s">
        <v>80</v>
      </c>
      <c r="B522" s="2">
        <v>45406</v>
      </c>
      <c r="C522" s="3" t="s">
        <v>11</v>
      </c>
      <c r="D522" s="4" t="s">
        <v>21</v>
      </c>
      <c r="E522" s="4" t="s">
        <v>13</v>
      </c>
      <c r="F522" s="5"/>
      <c r="G522" s="6">
        <v>24</v>
      </c>
      <c r="H522" s="6">
        <v>36</v>
      </c>
      <c r="I522" s="6">
        <v>30</v>
      </c>
      <c r="J522" s="6">
        <v>30</v>
      </c>
    </row>
    <row r="523" spans="1:10" ht="28.8" x14ac:dyDescent="0.3">
      <c r="A523" t="s">
        <v>80</v>
      </c>
      <c r="B523" s="2">
        <v>45406</v>
      </c>
      <c r="C523" s="7" t="s">
        <v>11</v>
      </c>
      <c r="D523" s="8" t="s">
        <v>65</v>
      </c>
      <c r="E523" s="8" t="s">
        <v>13</v>
      </c>
      <c r="F523" s="10">
        <v>96</v>
      </c>
      <c r="G523" s="10">
        <v>96</v>
      </c>
      <c r="H523" s="10">
        <v>108</v>
      </c>
      <c r="I523" s="10">
        <v>100</v>
      </c>
      <c r="J523" s="10">
        <v>96</v>
      </c>
    </row>
    <row r="524" spans="1:10" ht="28.8" x14ac:dyDescent="0.3">
      <c r="A524" t="s">
        <v>80</v>
      </c>
      <c r="B524" s="2">
        <v>45406</v>
      </c>
      <c r="C524" s="3" t="s">
        <v>11</v>
      </c>
      <c r="D524" s="4" t="s">
        <v>23</v>
      </c>
      <c r="E524" s="4" t="s">
        <v>13</v>
      </c>
      <c r="F524" s="6">
        <v>36</v>
      </c>
      <c r="G524" s="6">
        <v>24</v>
      </c>
      <c r="H524" s="6">
        <v>36</v>
      </c>
      <c r="I524" s="6">
        <v>32</v>
      </c>
      <c r="J524" s="6">
        <v>36</v>
      </c>
    </row>
    <row r="525" spans="1:10" ht="28.8" x14ac:dyDescent="0.3">
      <c r="A525" t="s">
        <v>80</v>
      </c>
      <c r="B525" s="2">
        <v>45406</v>
      </c>
      <c r="C525" s="7" t="s">
        <v>11</v>
      </c>
      <c r="D525" s="8" t="s">
        <v>24</v>
      </c>
      <c r="E525" s="8" t="s">
        <v>13</v>
      </c>
      <c r="F525" s="10">
        <v>84</v>
      </c>
      <c r="G525" s="10">
        <v>84</v>
      </c>
      <c r="H525" s="10">
        <v>84</v>
      </c>
      <c r="I525" s="10">
        <v>84</v>
      </c>
      <c r="J525" s="10">
        <v>84</v>
      </c>
    </row>
    <row r="526" spans="1:10" ht="28.8" x14ac:dyDescent="0.3">
      <c r="A526" t="s">
        <v>80</v>
      </c>
      <c r="B526" s="2">
        <v>45406</v>
      </c>
      <c r="C526" s="3" t="s">
        <v>11</v>
      </c>
      <c r="D526" s="4" t="s">
        <v>25</v>
      </c>
      <c r="E526" s="4" t="s">
        <v>26</v>
      </c>
      <c r="F526" s="6">
        <v>72</v>
      </c>
      <c r="G526" s="6">
        <v>72</v>
      </c>
      <c r="H526" s="6">
        <v>84</v>
      </c>
      <c r="I526" s="6">
        <v>76</v>
      </c>
      <c r="J526" s="6">
        <v>72</v>
      </c>
    </row>
    <row r="527" spans="1:10" ht="28.8" x14ac:dyDescent="0.3">
      <c r="A527" t="s">
        <v>80</v>
      </c>
      <c r="B527" s="2">
        <v>45406</v>
      </c>
      <c r="C527" s="7" t="s">
        <v>11</v>
      </c>
      <c r="D527" s="8" t="s">
        <v>27</v>
      </c>
      <c r="E527" s="8" t="s">
        <v>13</v>
      </c>
      <c r="F527" s="10">
        <v>60</v>
      </c>
      <c r="G527" s="10">
        <v>60</v>
      </c>
      <c r="H527" s="10">
        <v>96</v>
      </c>
      <c r="I527" s="10">
        <v>72</v>
      </c>
      <c r="J527" s="10">
        <v>60</v>
      </c>
    </row>
    <row r="528" spans="1:10" ht="28.8" x14ac:dyDescent="0.3">
      <c r="A528" t="s">
        <v>80</v>
      </c>
      <c r="B528" s="2">
        <v>45406</v>
      </c>
      <c r="C528" s="3" t="s">
        <v>11</v>
      </c>
      <c r="D528" s="4" t="s">
        <v>28</v>
      </c>
      <c r="E528" s="4" t="s">
        <v>13</v>
      </c>
      <c r="F528" s="5"/>
      <c r="G528" s="6">
        <v>48</v>
      </c>
      <c r="H528" s="6">
        <v>70</v>
      </c>
      <c r="I528" s="6" t="s">
        <v>405</v>
      </c>
      <c r="J528" s="6">
        <v>60</v>
      </c>
    </row>
    <row r="529" spans="1:10" ht="28.8" x14ac:dyDescent="0.3">
      <c r="A529" t="s">
        <v>80</v>
      </c>
      <c r="B529" s="2">
        <v>45406</v>
      </c>
      <c r="C529" s="7" t="s">
        <v>11</v>
      </c>
      <c r="D529" s="8" t="s">
        <v>29</v>
      </c>
      <c r="E529" s="8" t="s">
        <v>13</v>
      </c>
      <c r="F529" s="10">
        <v>54</v>
      </c>
      <c r="G529" s="10">
        <v>48</v>
      </c>
      <c r="H529" s="10">
        <v>54</v>
      </c>
      <c r="I529" s="10">
        <v>52</v>
      </c>
      <c r="J529" s="10">
        <v>54</v>
      </c>
    </row>
    <row r="530" spans="1:10" ht="28.8" x14ac:dyDescent="0.3">
      <c r="A530" t="s">
        <v>80</v>
      </c>
      <c r="B530" s="2">
        <v>45406</v>
      </c>
      <c r="C530" s="3" t="s">
        <v>30</v>
      </c>
      <c r="D530" s="4" t="s">
        <v>31</v>
      </c>
      <c r="E530" s="4" t="s">
        <v>32</v>
      </c>
      <c r="F530" s="6">
        <v>5</v>
      </c>
      <c r="G530" s="6">
        <v>5</v>
      </c>
      <c r="H530" s="6">
        <v>5</v>
      </c>
      <c r="I530" s="6">
        <v>5</v>
      </c>
      <c r="J530" s="6">
        <v>5</v>
      </c>
    </row>
    <row r="531" spans="1:10" ht="28.8" x14ac:dyDescent="0.3">
      <c r="A531" t="s">
        <v>80</v>
      </c>
      <c r="B531" s="2">
        <v>45406</v>
      </c>
      <c r="C531" s="7" t="s">
        <v>30</v>
      </c>
      <c r="D531" s="8" t="s">
        <v>33</v>
      </c>
      <c r="E531" s="8" t="s">
        <v>34</v>
      </c>
      <c r="F531" s="9"/>
      <c r="G531" s="10">
        <v>25</v>
      </c>
      <c r="H531" s="10">
        <v>30</v>
      </c>
      <c r="I531" s="10" t="s">
        <v>406</v>
      </c>
      <c r="J531" s="10">
        <v>28</v>
      </c>
    </row>
    <row r="532" spans="1:10" ht="28.8" x14ac:dyDescent="0.3">
      <c r="A532" t="s">
        <v>80</v>
      </c>
      <c r="B532" s="2">
        <v>45406</v>
      </c>
      <c r="C532" s="3" t="s">
        <v>30</v>
      </c>
      <c r="D532" s="4" t="s">
        <v>35</v>
      </c>
      <c r="E532" s="4" t="s">
        <v>34</v>
      </c>
      <c r="F532" s="6">
        <v>35</v>
      </c>
      <c r="G532" s="6">
        <v>30</v>
      </c>
      <c r="H532" s="6">
        <v>35</v>
      </c>
      <c r="I532" s="6" t="s">
        <v>407</v>
      </c>
      <c r="J532" s="6">
        <v>35</v>
      </c>
    </row>
    <row r="533" spans="1:10" ht="43.2" x14ac:dyDescent="0.3">
      <c r="A533" t="s">
        <v>80</v>
      </c>
      <c r="B533" s="2">
        <v>45406</v>
      </c>
      <c r="C533" s="7" t="s">
        <v>36</v>
      </c>
      <c r="D533" s="8" t="s">
        <v>73</v>
      </c>
      <c r="E533" s="8" t="s">
        <v>74</v>
      </c>
      <c r="F533" s="10">
        <v>110</v>
      </c>
      <c r="G533" s="10">
        <v>80</v>
      </c>
      <c r="H533" s="10">
        <v>110</v>
      </c>
      <c r="I533" s="10">
        <v>98</v>
      </c>
      <c r="J533" s="10">
        <v>100</v>
      </c>
    </row>
    <row r="534" spans="1:10" ht="43.2" x14ac:dyDescent="0.3">
      <c r="A534" t="s">
        <v>80</v>
      </c>
      <c r="B534" s="2">
        <v>45406</v>
      </c>
      <c r="C534" s="3" t="s">
        <v>36</v>
      </c>
      <c r="D534" s="4" t="s">
        <v>37</v>
      </c>
      <c r="E534" s="4" t="s">
        <v>38</v>
      </c>
      <c r="F534" s="6">
        <v>80</v>
      </c>
      <c r="G534" s="6">
        <v>70</v>
      </c>
      <c r="H534" s="6">
        <v>90</v>
      </c>
      <c r="I534" s="6" t="s">
        <v>341</v>
      </c>
      <c r="J534" s="6">
        <v>80</v>
      </c>
    </row>
    <row r="535" spans="1:10" ht="43.2" x14ac:dyDescent="0.3">
      <c r="A535" t="s">
        <v>80</v>
      </c>
      <c r="B535" s="2">
        <v>45406</v>
      </c>
      <c r="C535" s="7" t="s">
        <v>36</v>
      </c>
      <c r="D535" s="8" t="s">
        <v>39</v>
      </c>
      <c r="E535" s="8" t="s">
        <v>40</v>
      </c>
      <c r="F535" s="10">
        <v>70</v>
      </c>
      <c r="G535" s="10">
        <v>40</v>
      </c>
      <c r="H535" s="10">
        <v>75</v>
      </c>
      <c r="I535" s="10" t="s">
        <v>408</v>
      </c>
      <c r="J535" s="10">
        <v>70</v>
      </c>
    </row>
    <row r="536" spans="1:10" ht="43.2" x14ac:dyDescent="0.3">
      <c r="A536" t="s">
        <v>80</v>
      </c>
      <c r="B536" s="2">
        <v>45406</v>
      </c>
      <c r="C536" s="3" t="s">
        <v>36</v>
      </c>
      <c r="D536" s="4" t="s">
        <v>41</v>
      </c>
      <c r="E536" s="4" t="s">
        <v>42</v>
      </c>
      <c r="F536" s="6">
        <v>50</v>
      </c>
      <c r="G536" s="6">
        <v>35</v>
      </c>
      <c r="H536" s="6">
        <v>55</v>
      </c>
      <c r="I536" s="6" t="s">
        <v>409</v>
      </c>
      <c r="J536" s="6">
        <v>45</v>
      </c>
    </row>
    <row r="537" spans="1:10" ht="43.2" x14ac:dyDescent="0.3">
      <c r="A537" t="s">
        <v>80</v>
      </c>
      <c r="B537" s="2">
        <v>45406</v>
      </c>
      <c r="C537" s="7" t="s">
        <v>36</v>
      </c>
      <c r="D537" s="8" t="s">
        <v>43</v>
      </c>
      <c r="E537" s="8" t="s">
        <v>42</v>
      </c>
      <c r="F537" s="9"/>
      <c r="G537" s="10">
        <v>90</v>
      </c>
      <c r="H537" s="10">
        <v>115</v>
      </c>
      <c r="I537" s="10">
        <v>105</v>
      </c>
      <c r="J537" s="10">
        <v>110</v>
      </c>
    </row>
    <row r="538" spans="1:10" ht="43.2" x14ac:dyDescent="0.3">
      <c r="A538" t="s">
        <v>80</v>
      </c>
      <c r="B538" s="2">
        <v>45406</v>
      </c>
      <c r="C538" s="3" t="s">
        <v>36</v>
      </c>
      <c r="D538" s="4" t="s">
        <v>44</v>
      </c>
      <c r="E538" s="4" t="s">
        <v>45</v>
      </c>
      <c r="F538" s="6">
        <v>150</v>
      </c>
      <c r="G538" s="6">
        <v>100</v>
      </c>
      <c r="H538" s="6">
        <v>150</v>
      </c>
      <c r="I538" s="6" t="s">
        <v>410</v>
      </c>
      <c r="J538" s="6">
        <v>130</v>
      </c>
    </row>
    <row r="539" spans="1:10" ht="43.2" x14ac:dyDescent="0.3">
      <c r="A539" t="s">
        <v>80</v>
      </c>
      <c r="B539" s="2">
        <v>45406</v>
      </c>
      <c r="C539" s="7" t="s">
        <v>36</v>
      </c>
      <c r="D539" s="8" t="s">
        <v>46</v>
      </c>
      <c r="E539" s="8" t="s">
        <v>40</v>
      </c>
      <c r="F539" s="10">
        <v>140</v>
      </c>
      <c r="G539" s="10">
        <v>80</v>
      </c>
      <c r="H539" s="10">
        <v>170</v>
      </c>
      <c r="I539" s="10">
        <v>130</v>
      </c>
      <c r="J539" s="10">
        <v>130</v>
      </c>
    </row>
    <row r="540" spans="1:10" ht="43.2" x14ac:dyDescent="0.3">
      <c r="A540" t="s">
        <v>80</v>
      </c>
      <c r="B540" s="2">
        <v>45406</v>
      </c>
      <c r="C540" s="3" t="s">
        <v>36</v>
      </c>
      <c r="D540" s="4" t="s">
        <v>47</v>
      </c>
      <c r="E540" s="4" t="s">
        <v>40</v>
      </c>
      <c r="F540" s="6">
        <v>60</v>
      </c>
      <c r="G540" s="6">
        <v>40</v>
      </c>
      <c r="H540" s="6">
        <v>80</v>
      </c>
      <c r="I540" s="6" t="s">
        <v>411</v>
      </c>
      <c r="J540" s="6">
        <v>60</v>
      </c>
    </row>
    <row r="541" spans="1:10" ht="43.2" x14ac:dyDescent="0.3">
      <c r="A541" t="s">
        <v>80</v>
      </c>
      <c r="B541" s="2">
        <v>45406</v>
      </c>
      <c r="C541" s="7" t="s">
        <v>36</v>
      </c>
      <c r="D541" s="8" t="s">
        <v>48</v>
      </c>
      <c r="E541" s="8" t="s">
        <v>38</v>
      </c>
      <c r="F541" s="10">
        <v>100</v>
      </c>
      <c r="G541" s="10">
        <v>60</v>
      </c>
      <c r="H541" s="10">
        <v>120</v>
      </c>
      <c r="I541" s="10" t="s">
        <v>412</v>
      </c>
      <c r="J541" s="10">
        <v>100</v>
      </c>
    </row>
    <row r="542" spans="1:10" ht="43.2" x14ac:dyDescent="0.3">
      <c r="A542" t="s">
        <v>80</v>
      </c>
      <c r="B542" s="2">
        <v>45406</v>
      </c>
      <c r="C542" s="3" t="s">
        <v>36</v>
      </c>
      <c r="D542" s="4" t="s">
        <v>49</v>
      </c>
      <c r="E542" s="4" t="s">
        <v>40</v>
      </c>
      <c r="F542" s="5"/>
      <c r="G542" s="6">
        <v>50</v>
      </c>
      <c r="H542" s="6">
        <v>78</v>
      </c>
      <c r="I542" s="6" t="s">
        <v>358</v>
      </c>
      <c r="J542" s="6">
        <v>60</v>
      </c>
    </row>
    <row r="543" spans="1:10" ht="43.2" x14ac:dyDescent="0.3">
      <c r="A543" t="s">
        <v>80</v>
      </c>
      <c r="B543" s="2">
        <v>45406</v>
      </c>
      <c r="C543" s="7" t="s">
        <v>36</v>
      </c>
      <c r="D543" s="8" t="s">
        <v>50</v>
      </c>
      <c r="E543" s="8" t="s">
        <v>38</v>
      </c>
      <c r="F543" s="10">
        <v>70</v>
      </c>
      <c r="G543" s="10">
        <v>50</v>
      </c>
      <c r="H543" s="10">
        <v>75</v>
      </c>
      <c r="I543" s="10" t="s">
        <v>290</v>
      </c>
      <c r="J543" s="10">
        <v>70</v>
      </c>
    </row>
    <row r="544" spans="1:10" ht="43.2" x14ac:dyDescent="0.3">
      <c r="A544" t="s">
        <v>80</v>
      </c>
      <c r="B544" s="2">
        <v>45406</v>
      </c>
      <c r="C544" s="3" t="s">
        <v>36</v>
      </c>
      <c r="D544" s="4" t="s">
        <v>51</v>
      </c>
      <c r="E544" s="4" t="s">
        <v>38</v>
      </c>
      <c r="F544" s="6">
        <v>100</v>
      </c>
      <c r="G544" s="6">
        <v>70</v>
      </c>
      <c r="H544" s="6">
        <v>110</v>
      </c>
      <c r="I544" s="6" t="s">
        <v>413</v>
      </c>
      <c r="J544" s="6">
        <v>100</v>
      </c>
    </row>
    <row r="545" spans="1:10" ht="43.2" x14ac:dyDescent="0.3">
      <c r="A545" t="s">
        <v>80</v>
      </c>
      <c r="B545" s="2">
        <v>45406</v>
      </c>
      <c r="C545" s="7" t="s">
        <v>36</v>
      </c>
      <c r="D545" s="8" t="s">
        <v>52</v>
      </c>
      <c r="E545" s="8" t="s">
        <v>42</v>
      </c>
      <c r="F545" s="10">
        <v>70</v>
      </c>
      <c r="G545" s="10">
        <v>70</v>
      </c>
      <c r="H545" s="10">
        <v>80</v>
      </c>
      <c r="I545" s="10" t="s">
        <v>414</v>
      </c>
      <c r="J545" s="10">
        <v>75</v>
      </c>
    </row>
    <row r="546" spans="1:10" ht="43.2" x14ac:dyDescent="0.3">
      <c r="A546" t="s">
        <v>80</v>
      </c>
      <c r="B546" s="2">
        <v>45406</v>
      </c>
      <c r="C546" s="3" t="s">
        <v>36</v>
      </c>
      <c r="D546" s="4" t="s">
        <v>53</v>
      </c>
      <c r="E546" s="4" t="s">
        <v>54</v>
      </c>
      <c r="F546" s="6">
        <v>120</v>
      </c>
      <c r="G546" s="6">
        <v>100</v>
      </c>
      <c r="H546" s="6">
        <v>140</v>
      </c>
      <c r="I546" s="6" t="s">
        <v>346</v>
      </c>
      <c r="J546" s="6">
        <v>120</v>
      </c>
    </row>
    <row r="547" spans="1:10" ht="43.2" x14ac:dyDescent="0.3">
      <c r="A547" t="s">
        <v>80</v>
      </c>
      <c r="B547" s="2">
        <v>45406</v>
      </c>
      <c r="C547" s="7" t="s">
        <v>36</v>
      </c>
      <c r="D547" s="8" t="s">
        <v>55</v>
      </c>
      <c r="E547" s="8" t="s">
        <v>38</v>
      </c>
      <c r="F547" s="10">
        <v>90</v>
      </c>
      <c r="G547" s="10">
        <v>90</v>
      </c>
      <c r="H547" s="10">
        <v>120</v>
      </c>
      <c r="I547" s="10" t="s">
        <v>270</v>
      </c>
      <c r="J547" s="10">
        <v>100</v>
      </c>
    </row>
    <row r="548" spans="1:10" ht="43.2" x14ac:dyDescent="0.3">
      <c r="A548" t="s">
        <v>80</v>
      </c>
      <c r="B548" s="2">
        <v>45406</v>
      </c>
      <c r="C548" s="3" t="s">
        <v>36</v>
      </c>
      <c r="D548" s="4" t="s">
        <v>56</v>
      </c>
      <c r="E548" s="4" t="s">
        <v>38</v>
      </c>
      <c r="F548" s="6">
        <v>80</v>
      </c>
      <c r="G548" s="6">
        <v>70</v>
      </c>
      <c r="H548" s="6">
        <v>120</v>
      </c>
      <c r="I548" s="6" t="s">
        <v>415</v>
      </c>
      <c r="J548" s="6">
        <v>95</v>
      </c>
    </row>
    <row r="549" spans="1:10" x14ac:dyDescent="0.3">
      <c r="A549" t="s">
        <v>80</v>
      </c>
      <c r="B549" s="2">
        <v>45406</v>
      </c>
      <c r="C549" s="7" t="s">
        <v>57</v>
      </c>
      <c r="D549" s="8" t="s">
        <v>58</v>
      </c>
      <c r="E549" s="8" t="s">
        <v>42</v>
      </c>
      <c r="F549" s="9"/>
      <c r="G549" s="10">
        <v>85</v>
      </c>
      <c r="H549" s="10">
        <v>85</v>
      </c>
      <c r="I549" s="10">
        <v>85</v>
      </c>
      <c r="J549" s="10">
        <v>85</v>
      </c>
    </row>
    <row r="550" spans="1:10" x14ac:dyDescent="0.3">
      <c r="A550" t="s">
        <v>80</v>
      </c>
      <c r="B550" s="2">
        <v>45406</v>
      </c>
      <c r="C550" s="3" t="s">
        <v>57</v>
      </c>
      <c r="D550" s="4" t="s">
        <v>59</v>
      </c>
      <c r="E550" s="4" t="s">
        <v>42</v>
      </c>
      <c r="F550" s="5"/>
      <c r="G550" s="6">
        <v>70</v>
      </c>
      <c r="H550" s="6">
        <v>80</v>
      </c>
      <c r="I550" s="6">
        <v>75</v>
      </c>
      <c r="J550" s="6">
        <v>75</v>
      </c>
    </row>
    <row r="551" spans="1:10" x14ac:dyDescent="0.3">
      <c r="A551" t="s">
        <v>80</v>
      </c>
      <c r="B551" s="2">
        <v>45406</v>
      </c>
      <c r="C551" s="7" t="s">
        <v>57</v>
      </c>
      <c r="D551" s="8" t="s">
        <v>60</v>
      </c>
      <c r="E551" s="8" t="s">
        <v>42</v>
      </c>
      <c r="F551" s="10">
        <v>45</v>
      </c>
      <c r="G551" s="10">
        <v>45</v>
      </c>
      <c r="H551" s="10">
        <v>45</v>
      </c>
      <c r="I551" s="10">
        <v>45</v>
      </c>
      <c r="J551" s="10">
        <v>45</v>
      </c>
    </row>
    <row r="552" spans="1:10" x14ac:dyDescent="0.3">
      <c r="A552" t="s">
        <v>80</v>
      </c>
      <c r="B552" s="2">
        <v>45406</v>
      </c>
      <c r="C552" s="3" t="s">
        <v>57</v>
      </c>
      <c r="D552" s="4" t="s">
        <v>61</v>
      </c>
      <c r="E552" s="4" t="s">
        <v>42</v>
      </c>
      <c r="F552" s="5"/>
      <c r="G552" s="6">
        <v>60</v>
      </c>
      <c r="H552" s="6">
        <v>60</v>
      </c>
      <c r="I552" s="6">
        <v>60</v>
      </c>
      <c r="J552" s="6">
        <v>60</v>
      </c>
    </row>
    <row r="553" spans="1:10" x14ac:dyDescent="0.3">
      <c r="A553" t="s">
        <v>80</v>
      </c>
      <c r="B553" s="2">
        <v>45406</v>
      </c>
      <c r="C553" s="7" t="s">
        <v>57</v>
      </c>
      <c r="D553" s="8" t="s">
        <v>62</v>
      </c>
      <c r="E553" s="8" t="s">
        <v>63</v>
      </c>
      <c r="F553" s="9"/>
      <c r="G553" s="10">
        <v>60</v>
      </c>
      <c r="H553" s="10">
        <v>60</v>
      </c>
      <c r="I553" s="10">
        <v>60</v>
      </c>
      <c r="J553" s="10">
        <v>60</v>
      </c>
    </row>
    <row r="554" spans="1:10" ht="28.8" x14ac:dyDescent="0.3">
      <c r="A554" t="s">
        <v>81</v>
      </c>
      <c r="B554" s="2">
        <v>45420</v>
      </c>
      <c r="C554" s="3" t="s">
        <v>11</v>
      </c>
      <c r="D554" s="4" t="s">
        <v>12</v>
      </c>
      <c r="E554" s="4" t="s">
        <v>13</v>
      </c>
      <c r="F554" s="5"/>
      <c r="G554" s="6">
        <v>48</v>
      </c>
      <c r="H554" s="6">
        <v>78</v>
      </c>
      <c r="I554" s="6">
        <v>60</v>
      </c>
      <c r="J554" s="6">
        <v>54</v>
      </c>
    </row>
    <row r="555" spans="1:10" ht="28.8" x14ac:dyDescent="0.3">
      <c r="A555" t="s">
        <v>81</v>
      </c>
      <c r="B555" s="2">
        <v>45420</v>
      </c>
      <c r="C555" s="7" t="s">
        <v>11</v>
      </c>
      <c r="D555" s="8" t="s">
        <v>14</v>
      </c>
      <c r="E555" s="8" t="s">
        <v>13</v>
      </c>
      <c r="F555" s="10">
        <v>72</v>
      </c>
      <c r="G555" s="10">
        <v>72</v>
      </c>
      <c r="H555" s="10">
        <v>84</v>
      </c>
      <c r="I555" s="10">
        <v>76</v>
      </c>
      <c r="J555" s="10">
        <v>72</v>
      </c>
    </row>
    <row r="556" spans="1:10" ht="28.8" x14ac:dyDescent="0.3">
      <c r="A556" t="s">
        <v>81</v>
      </c>
      <c r="B556" s="2">
        <v>45420</v>
      </c>
      <c r="C556" s="3" t="s">
        <v>11</v>
      </c>
      <c r="D556" s="4" t="s">
        <v>15</v>
      </c>
      <c r="E556" s="4" t="s">
        <v>13</v>
      </c>
      <c r="F556" s="5"/>
      <c r="G556" s="6">
        <v>48</v>
      </c>
      <c r="H556" s="6">
        <v>84</v>
      </c>
      <c r="I556" s="6">
        <v>68</v>
      </c>
      <c r="J556" s="6">
        <v>72</v>
      </c>
    </row>
    <row r="557" spans="1:10" ht="28.8" x14ac:dyDescent="0.3">
      <c r="A557" t="s">
        <v>81</v>
      </c>
      <c r="B557" s="2">
        <v>45420</v>
      </c>
      <c r="C557" s="7" t="s">
        <v>11</v>
      </c>
      <c r="D557" s="8" t="s">
        <v>16</v>
      </c>
      <c r="E557" s="8" t="s">
        <v>13</v>
      </c>
      <c r="F557" s="10">
        <v>30</v>
      </c>
      <c r="G557" s="10">
        <v>25</v>
      </c>
      <c r="H557" s="10">
        <v>30</v>
      </c>
      <c r="I557" s="10" t="s">
        <v>273</v>
      </c>
      <c r="J557" s="10">
        <v>30</v>
      </c>
    </row>
    <row r="558" spans="1:10" ht="28.8" x14ac:dyDescent="0.3">
      <c r="A558" t="s">
        <v>81</v>
      </c>
      <c r="B558" s="2">
        <v>45420</v>
      </c>
      <c r="C558" s="3" t="s">
        <v>11</v>
      </c>
      <c r="D558" s="4" t="s">
        <v>17</v>
      </c>
      <c r="E558" s="4" t="s">
        <v>13</v>
      </c>
      <c r="F558" s="6">
        <v>30</v>
      </c>
      <c r="G558" s="6">
        <v>25</v>
      </c>
      <c r="H558" s="6">
        <v>30</v>
      </c>
      <c r="I558" s="6" t="s">
        <v>273</v>
      </c>
      <c r="J558" s="6">
        <v>30</v>
      </c>
    </row>
    <row r="559" spans="1:10" ht="28.8" x14ac:dyDescent="0.3">
      <c r="A559" t="s">
        <v>81</v>
      </c>
      <c r="B559" s="2">
        <v>45420</v>
      </c>
      <c r="C559" s="7" t="s">
        <v>11</v>
      </c>
      <c r="D559" s="8" t="s">
        <v>18</v>
      </c>
      <c r="E559" s="8" t="s">
        <v>13</v>
      </c>
      <c r="F559" s="10">
        <v>60</v>
      </c>
      <c r="G559" s="10">
        <v>54</v>
      </c>
      <c r="H559" s="10">
        <v>60</v>
      </c>
      <c r="I559" s="10">
        <v>58</v>
      </c>
      <c r="J559" s="10">
        <v>60</v>
      </c>
    </row>
    <row r="560" spans="1:10" ht="28.8" x14ac:dyDescent="0.3">
      <c r="A560" t="s">
        <v>81</v>
      </c>
      <c r="B560" s="2">
        <v>45420</v>
      </c>
      <c r="C560" s="3" t="s">
        <v>11</v>
      </c>
      <c r="D560" s="4" t="s">
        <v>19</v>
      </c>
      <c r="E560" s="4" t="s">
        <v>13</v>
      </c>
      <c r="F560" s="6">
        <v>72</v>
      </c>
      <c r="G560" s="6">
        <v>72</v>
      </c>
      <c r="H560" s="6">
        <v>84</v>
      </c>
      <c r="I560" s="6">
        <v>76</v>
      </c>
      <c r="J560" s="6">
        <v>72</v>
      </c>
    </row>
    <row r="561" spans="1:10" ht="28.8" x14ac:dyDescent="0.3">
      <c r="A561" t="s">
        <v>81</v>
      </c>
      <c r="B561" s="2">
        <v>45420</v>
      </c>
      <c r="C561" s="7" t="s">
        <v>11</v>
      </c>
      <c r="D561" s="8" t="s">
        <v>20</v>
      </c>
      <c r="E561" s="8" t="s">
        <v>13</v>
      </c>
      <c r="F561" s="9"/>
      <c r="G561" s="10">
        <v>84</v>
      </c>
      <c r="H561" s="10">
        <v>96</v>
      </c>
      <c r="I561" s="10" t="s">
        <v>416</v>
      </c>
      <c r="J561" s="10">
        <v>95</v>
      </c>
    </row>
    <row r="562" spans="1:10" ht="28.8" x14ac:dyDescent="0.3">
      <c r="A562" t="s">
        <v>81</v>
      </c>
      <c r="B562" s="2">
        <v>45420</v>
      </c>
      <c r="C562" s="3" t="s">
        <v>11</v>
      </c>
      <c r="D562" s="4" t="s">
        <v>21</v>
      </c>
      <c r="E562" s="4" t="s">
        <v>13</v>
      </c>
      <c r="F562" s="6">
        <v>30</v>
      </c>
      <c r="G562" s="6">
        <v>24</v>
      </c>
      <c r="H562" s="6">
        <v>30</v>
      </c>
      <c r="I562" s="6">
        <v>28</v>
      </c>
      <c r="J562" s="6">
        <v>30</v>
      </c>
    </row>
    <row r="563" spans="1:10" ht="28.8" x14ac:dyDescent="0.3">
      <c r="A563" t="s">
        <v>81</v>
      </c>
      <c r="B563" s="2">
        <v>45420</v>
      </c>
      <c r="C563" s="7" t="s">
        <v>11</v>
      </c>
      <c r="D563" s="8" t="s">
        <v>65</v>
      </c>
      <c r="E563" s="8" t="s">
        <v>13</v>
      </c>
      <c r="F563" s="9"/>
      <c r="G563" s="10">
        <v>95</v>
      </c>
      <c r="H563" s="10">
        <v>108</v>
      </c>
      <c r="I563" s="10" t="s">
        <v>417</v>
      </c>
      <c r="J563" s="10">
        <v>96</v>
      </c>
    </row>
    <row r="564" spans="1:10" ht="28.8" x14ac:dyDescent="0.3">
      <c r="A564" t="s">
        <v>81</v>
      </c>
      <c r="B564" s="2">
        <v>45420</v>
      </c>
      <c r="C564" s="3" t="s">
        <v>11</v>
      </c>
      <c r="D564" s="4" t="s">
        <v>23</v>
      </c>
      <c r="E564" s="4" t="s">
        <v>13</v>
      </c>
      <c r="F564" s="6">
        <v>30</v>
      </c>
      <c r="G564" s="6">
        <v>25</v>
      </c>
      <c r="H564" s="6">
        <v>30</v>
      </c>
      <c r="I564" s="6" t="s">
        <v>273</v>
      </c>
      <c r="J564" s="6">
        <v>30</v>
      </c>
    </row>
    <row r="565" spans="1:10" ht="28.8" x14ac:dyDescent="0.3">
      <c r="A565" t="s">
        <v>81</v>
      </c>
      <c r="B565" s="2">
        <v>45420</v>
      </c>
      <c r="C565" s="7" t="s">
        <v>11</v>
      </c>
      <c r="D565" s="8" t="s">
        <v>24</v>
      </c>
      <c r="E565" s="8" t="s">
        <v>13</v>
      </c>
      <c r="F565" s="10">
        <v>84</v>
      </c>
      <c r="G565" s="10">
        <v>78</v>
      </c>
      <c r="H565" s="10">
        <v>84</v>
      </c>
      <c r="I565" s="10">
        <v>82</v>
      </c>
      <c r="J565" s="10">
        <v>84</v>
      </c>
    </row>
    <row r="566" spans="1:10" ht="28.8" x14ac:dyDescent="0.3">
      <c r="A566" t="s">
        <v>81</v>
      </c>
      <c r="B566" s="2">
        <v>45420</v>
      </c>
      <c r="C566" s="3" t="s">
        <v>11</v>
      </c>
      <c r="D566" s="4" t="s">
        <v>25</v>
      </c>
      <c r="E566" s="4" t="s">
        <v>26</v>
      </c>
      <c r="F566" s="6">
        <v>60</v>
      </c>
      <c r="G566" s="6">
        <v>60</v>
      </c>
      <c r="H566" s="6">
        <v>84</v>
      </c>
      <c r="I566" s="6">
        <v>68</v>
      </c>
      <c r="J566" s="6">
        <v>60</v>
      </c>
    </row>
    <row r="567" spans="1:10" ht="28.8" x14ac:dyDescent="0.3">
      <c r="A567" t="s">
        <v>81</v>
      </c>
      <c r="B567" s="2">
        <v>45420</v>
      </c>
      <c r="C567" s="7" t="s">
        <v>11</v>
      </c>
      <c r="D567" s="8" t="s">
        <v>27</v>
      </c>
      <c r="E567" s="8" t="s">
        <v>13</v>
      </c>
      <c r="F567" s="9"/>
      <c r="G567" s="10">
        <v>55</v>
      </c>
      <c r="H567" s="10">
        <v>84</v>
      </c>
      <c r="I567" s="10" t="s">
        <v>418</v>
      </c>
      <c r="J567" s="10">
        <v>72</v>
      </c>
    </row>
    <row r="568" spans="1:10" ht="28.8" x14ac:dyDescent="0.3">
      <c r="A568" t="s">
        <v>81</v>
      </c>
      <c r="B568" s="2">
        <v>45420</v>
      </c>
      <c r="C568" s="3" t="s">
        <v>11</v>
      </c>
      <c r="D568" s="4" t="s">
        <v>28</v>
      </c>
      <c r="E568" s="4" t="s">
        <v>13</v>
      </c>
      <c r="F568" s="5"/>
      <c r="G568" s="6">
        <v>48</v>
      </c>
      <c r="H568" s="6">
        <v>70</v>
      </c>
      <c r="I568" s="6">
        <v>56</v>
      </c>
      <c r="J568" s="6">
        <v>50</v>
      </c>
    </row>
    <row r="569" spans="1:10" ht="28.8" x14ac:dyDescent="0.3">
      <c r="A569" t="s">
        <v>81</v>
      </c>
      <c r="B569" s="2">
        <v>45420</v>
      </c>
      <c r="C569" s="7" t="s">
        <v>11</v>
      </c>
      <c r="D569" s="8" t="s">
        <v>29</v>
      </c>
      <c r="E569" s="8" t="s">
        <v>13</v>
      </c>
      <c r="F569" s="10">
        <v>54</v>
      </c>
      <c r="G569" s="10">
        <v>48</v>
      </c>
      <c r="H569" s="10">
        <v>54</v>
      </c>
      <c r="I569" s="10">
        <v>52</v>
      </c>
      <c r="J569" s="10">
        <v>54</v>
      </c>
    </row>
    <row r="570" spans="1:10" ht="28.8" x14ac:dyDescent="0.3">
      <c r="A570" t="s">
        <v>81</v>
      </c>
      <c r="B570" s="2">
        <v>45420</v>
      </c>
      <c r="C570" s="3" t="s">
        <v>30</v>
      </c>
      <c r="D570" s="4" t="s">
        <v>31</v>
      </c>
      <c r="E570" s="4" t="s">
        <v>32</v>
      </c>
      <c r="F570" s="6">
        <v>60</v>
      </c>
      <c r="G570" s="6">
        <v>60</v>
      </c>
      <c r="H570" s="6">
        <v>72</v>
      </c>
      <c r="I570" s="6">
        <v>64</v>
      </c>
      <c r="J570" s="6">
        <v>60</v>
      </c>
    </row>
    <row r="571" spans="1:10" ht="28.8" x14ac:dyDescent="0.3">
      <c r="A571" t="s">
        <v>81</v>
      </c>
      <c r="B571" s="2">
        <v>45420</v>
      </c>
      <c r="C571" s="7" t="s">
        <v>30</v>
      </c>
      <c r="D571" s="8" t="s">
        <v>33</v>
      </c>
      <c r="E571" s="8" t="s">
        <v>34</v>
      </c>
      <c r="F571" s="9"/>
      <c r="G571" s="10">
        <v>20</v>
      </c>
      <c r="H571" s="10">
        <v>30</v>
      </c>
      <c r="I571" s="10">
        <v>25</v>
      </c>
      <c r="J571" s="10">
        <v>25</v>
      </c>
    </row>
    <row r="572" spans="1:10" ht="28.8" x14ac:dyDescent="0.3">
      <c r="A572" t="s">
        <v>81</v>
      </c>
      <c r="B572" s="2">
        <v>45420</v>
      </c>
      <c r="C572" s="3" t="s">
        <v>30</v>
      </c>
      <c r="D572" s="4" t="s">
        <v>35</v>
      </c>
      <c r="E572" s="4" t="s">
        <v>34</v>
      </c>
      <c r="F572" s="6">
        <v>30</v>
      </c>
      <c r="G572" s="6">
        <v>30</v>
      </c>
      <c r="H572" s="6">
        <v>35</v>
      </c>
      <c r="I572" s="6" t="s">
        <v>296</v>
      </c>
      <c r="J572" s="6">
        <v>30</v>
      </c>
    </row>
    <row r="573" spans="1:10" ht="43.2" x14ac:dyDescent="0.3">
      <c r="A573" t="s">
        <v>81</v>
      </c>
      <c r="B573" s="2">
        <v>45420</v>
      </c>
      <c r="C573" s="7" t="s">
        <v>36</v>
      </c>
      <c r="D573" s="8" t="s">
        <v>73</v>
      </c>
      <c r="E573" s="8" t="s">
        <v>74</v>
      </c>
      <c r="F573" s="9"/>
      <c r="G573" s="10">
        <v>90</v>
      </c>
      <c r="H573" s="10">
        <v>90</v>
      </c>
      <c r="I573" s="10">
        <v>90</v>
      </c>
      <c r="J573" s="10">
        <v>90</v>
      </c>
    </row>
    <row r="574" spans="1:10" ht="43.2" x14ac:dyDescent="0.3">
      <c r="A574" t="s">
        <v>81</v>
      </c>
      <c r="B574" s="2">
        <v>45420</v>
      </c>
      <c r="C574" s="3" t="s">
        <v>36</v>
      </c>
      <c r="D574" s="4" t="s">
        <v>37</v>
      </c>
      <c r="E574" s="4" t="s">
        <v>38</v>
      </c>
      <c r="F574" s="6">
        <v>70</v>
      </c>
      <c r="G574" s="6">
        <v>60</v>
      </c>
      <c r="H574" s="6">
        <v>70</v>
      </c>
      <c r="I574" s="6">
        <v>65</v>
      </c>
      <c r="J574" s="6">
        <v>65</v>
      </c>
    </row>
    <row r="575" spans="1:10" ht="43.2" x14ac:dyDescent="0.3">
      <c r="A575" t="s">
        <v>81</v>
      </c>
      <c r="B575" s="2">
        <v>45420</v>
      </c>
      <c r="C575" s="7" t="s">
        <v>36</v>
      </c>
      <c r="D575" s="8" t="s">
        <v>39</v>
      </c>
      <c r="E575" s="8" t="s">
        <v>40</v>
      </c>
      <c r="F575" s="9"/>
      <c r="G575" s="10">
        <v>45</v>
      </c>
      <c r="H575" s="10">
        <v>70</v>
      </c>
      <c r="I575" s="10">
        <v>60</v>
      </c>
      <c r="J575" s="10" t="s">
        <v>268</v>
      </c>
    </row>
    <row r="576" spans="1:10" ht="43.2" x14ac:dyDescent="0.3">
      <c r="A576" t="s">
        <v>81</v>
      </c>
      <c r="B576" s="2">
        <v>45420</v>
      </c>
      <c r="C576" s="3" t="s">
        <v>36</v>
      </c>
      <c r="D576" s="4" t="s">
        <v>41</v>
      </c>
      <c r="E576" s="4" t="s">
        <v>42</v>
      </c>
      <c r="F576" s="6">
        <v>40</v>
      </c>
      <c r="G576" s="6">
        <v>40</v>
      </c>
      <c r="H576" s="6">
        <v>50</v>
      </c>
      <c r="I576" s="6" t="s">
        <v>419</v>
      </c>
      <c r="J576" s="6" t="s">
        <v>258</v>
      </c>
    </row>
    <row r="577" spans="1:10" ht="43.2" x14ac:dyDescent="0.3">
      <c r="A577" t="s">
        <v>81</v>
      </c>
      <c r="B577" s="2">
        <v>45420</v>
      </c>
      <c r="C577" s="7" t="s">
        <v>36</v>
      </c>
      <c r="D577" s="8" t="s">
        <v>43</v>
      </c>
      <c r="E577" s="8" t="s">
        <v>42</v>
      </c>
      <c r="F577" s="9"/>
      <c r="G577" s="10">
        <v>90</v>
      </c>
      <c r="H577" s="10">
        <v>110</v>
      </c>
      <c r="I577" s="10">
        <v>100</v>
      </c>
      <c r="J577" s="10">
        <v>100</v>
      </c>
    </row>
    <row r="578" spans="1:10" ht="43.2" x14ac:dyDescent="0.3">
      <c r="A578" t="s">
        <v>81</v>
      </c>
      <c r="B578" s="2">
        <v>45420</v>
      </c>
      <c r="C578" s="3" t="s">
        <v>36</v>
      </c>
      <c r="D578" s="4" t="s">
        <v>44</v>
      </c>
      <c r="E578" s="4" t="s">
        <v>45</v>
      </c>
      <c r="F578" s="5"/>
      <c r="G578" s="6">
        <v>100</v>
      </c>
      <c r="H578" s="6">
        <v>160</v>
      </c>
      <c r="I578" s="6" t="s">
        <v>420</v>
      </c>
      <c r="J578" s="6">
        <v>135</v>
      </c>
    </row>
    <row r="579" spans="1:10" ht="43.2" x14ac:dyDescent="0.3">
      <c r="A579" t="s">
        <v>81</v>
      </c>
      <c r="B579" s="2">
        <v>45420</v>
      </c>
      <c r="C579" s="7" t="s">
        <v>36</v>
      </c>
      <c r="D579" s="8" t="s">
        <v>46</v>
      </c>
      <c r="E579" s="8" t="s">
        <v>40</v>
      </c>
      <c r="F579" s="10">
        <v>160</v>
      </c>
      <c r="G579" s="10">
        <v>80</v>
      </c>
      <c r="H579" s="10">
        <v>170</v>
      </c>
      <c r="I579" s="10">
        <v>142</v>
      </c>
      <c r="J579" s="10">
        <v>160</v>
      </c>
    </row>
    <row r="580" spans="1:10" ht="43.2" x14ac:dyDescent="0.3">
      <c r="A580" t="s">
        <v>81</v>
      </c>
      <c r="B580" s="2">
        <v>45420</v>
      </c>
      <c r="C580" s="3" t="s">
        <v>36</v>
      </c>
      <c r="D580" s="4" t="s">
        <v>47</v>
      </c>
      <c r="E580" s="4" t="s">
        <v>40</v>
      </c>
      <c r="F580" s="6">
        <v>60</v>
      </c>
      <c r="G580" s="6">
        <v>45</v>
      </c>
      <c r="H580" s="6">
        <v>60</v>
      </c>
      <c r="I580" s="6" t="s">
        <v>421</v>
      </c>
      <c r="J580" s="6">
        <v>60</v>
      </c>
    </row>
    <row r="581" spans="1:10" ht="43.2" x14ac:dyDescent="0.3">
      <c r="A581" t="s">
        <v>81</v>
      </c>
      <c r="B581" s="2">
        <v>45420</v>
      </c>
      <c r="C581" s="7" t="s">
        <v>36</v>
      </c>
      <c r="D581" s="8" t="s">
        <v>48</v>
      </c>
      <c r="E581" s="8" t="s">
        <v>38</v>
      </c>
      <c r="F581" s="9"/>
      <c r="G581" s="10">
        <v>120</v>
      </c>
      <c r="H581" s="10">
        <v>120</v>
      </c>
      <c r="I581" s="10">
        <v>120</v>
      </c>
      <c r="J581" s="10">
        <v>120</v>
      </c>
    </row>
    <row r="582" spans="1:10" ht="43.2" x14ac:dyDescent="0.3">
      <c r="A582" t="s">
        <v>81</v>
      </c>
      <c r="B582" s="2">
        <v>45420</v>
      </c>
      <c r="C582" s="3" t="s">
        <v>36</v>
      </c>
      <c r="D582" s="4" t="s">
        <v>49</v>
      </c>
      <c r="E582" s="4" t="s">
        <v>40</v>
      </c>
      <c r="F582" s="5"/>
      <c r="G582" s="5"/>
      <c r="H582" s="5"/>
      <c r="I582" s="5"/>
      <c r="J582" s="5"/>
    </row>
    <row r="583" spans="1:10" ht="43.2" x14ac:dyDescent="0.3">
      <c r="A583" t="s">
        <v>81</v>
      </c>
      <c r="B583" s="2">
        <v>45420</v>
      </c>
      <c r="C583" s="7" t="s">
        <v>36</v>
      </c>
      <c r="D583" s="8" t="s">
        <v>50</v>
      </c>
      <c r="E583" s="8" t="s">
        <v>38</v>
      </c>
      <c r="F583" s="9"/>
      <c r="G583" s="10">
        <v>75</v>
      </c>
      <c r="H583" s="10">
        <v>75</v>
      </c>
      <c r="I583" s="10">
        <v>75</v>
      </c>
      <c r="J583" s="10">
        <v>75</v>
      </c>
    </row>
    <row r="584" spans="1:10" ht="43.2" x14ac:dyDescent="0.3">
      <c r="A584" t="s">
        <v>81</v>
      </c>
      <c r="B584" s="2">
        <v>45420</v>
      </c>
      <c r="C584" s="3" t="s">
        <v>36</v>
      </c>
      <c r="D584" s="4" t="s">
        <v>51</v>
      </c>
      <c r="E584" s="4" t="s">
        <v>38</v>
      </c>
      <c r="F584" s="5"/>
      <c r="G584" s="6">
        <v>60</v>
      </c>
      <c r="H584" s="6">
        <v>90</v>
      </c>
      <c r="I584" s="6" t="s">
        <v>341</v>
      </c>
      <c r="J584" s="6" t="s">
        <v>354</v>
      </c>
    </row>
    <row r="585" spans="1:10" ht="43.2" x14ac:dyDescent="0.3">
      <c r="A585" t="s">
        <v>81</v>
      </c>
      <c r="B585" s="2">
        <v>45420</v>
      </c>
      <c r="C585" s="7" t="s">
        <v>36</v>
      </c>
      <c r="D585" s="8" t="s">
        <v>52</v>
      </c>
      <c r="E585" s="8" t="s">
        <v>42</v>
      </c>
      <c r="F585" s="9"/>
      <c r="G585" s="10">
        <v>55</v>
      </c>
      <c r="H585" s="10">
        <v>75</v>
      </c>
      <c r="I585" s="10">
        <v>65</v>
      </c>
      <c r="J585" s="10">
        <v>65</v>
      </c>
    </row>
    <row r="586" spans="1:10" ht="43.2" x14ac:dyDescent="0.3">
      <c r="A586" t="s">
        <v>81</v>
      </c>
      <c r="B586" s="2">
        <v>45420</v>
      </c>
      <c r="C586" s="3" t="s">
        <v>36</v>
      </c>
      <c r="D586" s="4" t="s">
        <v>53</v>
      </c>
      <c r="E586" s="4" t="s">
        <v>54</v>
      </c>
      <c r="F586" s="6">
        <v>120</v>
      </c>
      <c r="G586" s="6">
        <v>120</v>
      </c>
      <c r="H586" s="6">
        <v>120</v>
      </c>
      <c r="I586" s="6">
        <v>120</v>
      </c>
      <c r="J586" s="6">
        <v>120</v>
      </c>
    </row>
    <row r="587" spans="1:10" ht="43.2" x14ac:dyDescent="0.3">
      <c r="A587" t="s">
        <v>81</v>
      </c>
      <c r="B587" s="2">
        <v>45420</v>
      </c>
      <c r="C587" s="7" t="s">
        <v>36</v>
      </c>
      <c r="D587" s="8" t="s">
        <v>55</v>
      </c>
      <c r="E587" s="8" t="s">
        <v>38</v>
      </c>
      <c r="F587" s="9"/>
      <c r="G587" s="10">
        <v>110</v>
      </c>
      <c r="H587" s="10">
        <v>160</v>
      </c>
      <c r="I587" s="10">
        <v>140</v>
      </c>
      <c r="J587" s="10">
        <v>145</v>
      </c>
    </row>
    <row r="588" spans="1:10" ht="43.2" x14ac:dyDescent="0.3">
      <c r="A588" t="s">
        <v>81</v>
      </c>
      <c r="B588" s="2">
        <v>45420</v>
      </c>
      <c r="C588" s="3" t="s">
        <v>36</v>
      </c>
      <c r="D588" s="4" t="s">
        <v>56</v>
      </c>
      <c r="E588" s="4" t="s">
        <v>38</v>
      </c>
      <c r="F588" s="5"/>
      <c r="G588" s="6">
        <v>110</v>
      </c>
      <c r="H588" s="6">
        <v>180</v>
      </c>
      <c r="I588" s="6">
        <v>145</v>
      </c>
      <c r="J588" s="6">
        <v>145</v>
      </c>
    </row>
    <row r="589" spans="1:10" x14ac:dyDescent="0.3">
      <c r="A589" t="s">
        <v>81</v>
      </c>
      <c r="B589" s="2">
        <v>45420</v>
      </c>
      <c r="C589" s="7" t="s">
        <v>57</v>
      </c>
      <c r="D589" s="8" t="s">
        <v>58</v>
      </c>
      <c r="E589" s="8" t="s">
        <v>42</v>
      </c>
      <c r="F589" s="9"/>
      <c r="G589" s="10">
        <v>110</v>
      </c>
      <c r="H589" s="10">
        <v>110</v>
      </c>
      <c r="I589" s="10">
        <v>110</v>
      </c>
      <c r="J589" s="10">
        <v>110</v>
      </c>
    </row>
    <row r="590" spans="1:10" x14ac:dyDescent="0.3">
      <c r="A590" t="s">
        <v>81</v>
      </c>
      <c r="B590" s="2">
        <v>45420</v>
      </c>
      <c r="C590" s="3" t="s">
        <v>57</v>
      </c>
      <c r="D590" s="4" t="s">
        <v>59</v>
      </c>
      <c r="E590" s="4" t="s">
        <v>42</v>
      </c>
      <c r="F590" s="6">
        <v>70</v>
      </c>
      <c r="G590" s="6">
        <v>70</v>
      </c>
      <c r="H590" s="6">
        <v>70</v>
      </c>
      <c r="I590" s="6">
        <v>70</v>
      </c>
      <c r="J590" s="6">
        <v>70</v>
      </c>
    </row>
    <row r="591" spans="1:10" x14ac:dyDescent="0.3">
      <c r="A591" t="s">
        <v>81</v>
      </c>
      <c r="B591" s="2">
        <v>45420</v>
      </c>
      <c r="C591" s="7" t="s">
        <v>57</v>
      </c>
      <c r="D591" s="8" t="s">
        <v>60</v>
      </c>
      <c r="E591" s="8" t="s">
        <v>42</v>
      </c>
      <c r="F591" s="9"/>
      <c r="G591" s="10">
        <v>50</v>
      </c>
      <c r="H591" s="10">
        <v>60</v>
      </c>
      <c r="I591" s="10">
        <v>55</v>
      </c>
      <c r="J591" s="10">
        <v>55</v>
      </c>
    </row>
    <row r="592" spans="1:10" x14ac:dyDescent="0.3">
      <c r="A592" t="s">
        <v>81</v>
      </c>
      <c r="B592" s="2">
        <v>45420</v>
      </c>
      <c r="C592" s="3" t="s">
        <v>57</v>
      </c>
      <c r="D592" s="4" t="s">
        <v>61</v>
      </c>
      <c r="E592" s="4" t="s">
        <v>42</v>
      </c>
      <c r="F592" s="5"/>
      <c r="G592" s="6">
        <v>55</v>
      </c>
      <c r="H592" s="6">
        <v>55</v>
      </c>
      <c r="I592" s="6">
        <v>55</v>
      </c>
      <c r="J592" s="6">
        <v>55</v>
      </c>
    </row>
    <row r="593" spans="1:10" x14ac:dyDescent="0.3">
      <c r="A593" t="s">
        <v>81</v>
      </c>
      <c r="B593" s="2">
        <v>45420</v>
      </c>
      <c r="C593" s="7" t="s">
        <v>57</v>
      </c>
      <c r="D593" s="8" t="s">
        <v>62</v>
      </c>
      <c r="E593" s="8" t="s">
        <v>63</v>
      </c>
      <c r="F593" s="9"/>
      <c r="G593" s="10">
        <v>40</v>
      </c>
      <c r="H593" s="10">
        <v>55</v>
      </c>
      <c r="I593" s="10" t="s">
        <v>279</v>
      </c>
      <c r="J593" s="10" t="s">
        <v>279</v>
      </c>
    </row>
    <row r="594" spans="1:10" ht="28.8" x14ac:dyDescent="0.3">
      <c r="A594" t="s">
        <v>82</v>
      </c>
      <c r="B594" s="2">
        <v>45427</v>
      </c>
      <c r="C594" s="3" t="s">
        <v>11</v>
      </c>
      <c r="D594" s="4" t="s">
        <v>12</v>
      </c>
      <c r="E594" s="4" t="s">
        <v>13</v>
      </c>
      <c r="F594" s="5"/>
      <c r="G594" s="6">
        <v>60</v>
      </c>
      <c r="H594" s="6">
        <v>72</v>
      </c>
      <c r="I594" s="6">
        <v>66</v>
      </c>
      <c r="J594" s="6">
        <v>66</v>
      </c>
    </row>
    <row r="595" spans="1:10" ht="28.8" x14ac:dyDescent="0.3">
      <c r="A595" t="s">
        <v>82</v>
      </c>
      <c r="B595" s="2">
        <v>45427</v>
      </c>
      <c r="C595" s="7" t="s">
        <v>11</v>
      </c>
      <c r="D595" s="8" t="s">
        <v>14</v>
      </c>
      <c r="E595" s="8" t="s">
        <v>13</v>
      </c>
      <c r="F595" s="10">
        <v>84</v>
      </c>
      <c r="G595" s="10">
        <v>72</v>
      </c>
      <c r="H595" s="10">
        <v>84</v>
      </c>
      <c r="I595" s="10">
        <v>80</v>
      </c>
      <c r="J595" s="10">
        <v>84</v>
      </c>
    </row>
    <row r="596" spans="1:10" ht="28.8" x14ac:dyDescent="0.3">
      <c r="A596" t="s">
        <v>82</v>
      </c>
      <c r="B596" s="2">
        <v>45427</v>
      </c>
      <c r="C596" s="3" t="s">
        <v>11</v>
      </c>
      <c r="D596" s="4" t="s">
        <v>15</v>
      </c>
      <c r="E596" s="4" t="s">
        <v>13</v>
      </c>
      <c r="F596" s="5"/>
      <c r="G596" s="6">
        <v>42</v>
      </c>
      <c r="H596" s="6">
        <v>54</v>
      </c>
      <c r="I596" s="6">
        <v>47</v>
      </c>
      <c r="J596" s="6">
        <v>45</v>
      </c>
    </row>
    <row r="597" spans="1:10" ht="28.8" x14ac:dyDescent="0.3">
      <c r="A597" t="s">
        <v>82</v>
      </c>
      <c r="B597" s="2">
        <v>45427</v>
      </c>
      <c r="C597" s="7" t="s">
        <v>11</v>
      </c>
      <c r="D597" s="8" t="s">
        <v>16</v>
      </c>
      <c r="E597" s="8" t="s">
        <v>13</v>
      </c>
      <c r="F597" s="10">
        <v>24</v>
      </c>
      <c r="G597" s="10">
        <v>20</v>
      </c>
      <c r="H597" s="10">
        <v>33</v>
      </c>
      <c r="I597" s="10" t="s">
        <v>422</v>
      </c>
      <c r="J597" s="10">
        <v>24</v>
      </c>
    </row>
    <row r="598" spans="1:10" ht="28.8" x14ac:dyDescent="0.3">
      <c r="A598" t="s">
        <v>82</v>
      </c>
      <c r="B598" s="2">
        <v>45427</v>
      </c>
      <c r="C598" s="3" t="s">
        <v>11</v>
      </c>
      <c r="D598" s="4" t="s">
        <v>17</v>
      </c>
      <c r="E598" s="4" t="s">
        <v>13</v>
      </c>
      <c r="F598" s="5"/>
      <c r="G598" s="6">
        <v>20</v>
      </c>
      <c r="H598" s="6">
        <v>33</v>
      </c>
      <c r="I598" s="6" t="s">
        <v>423</v>
      </c>
      <c r="J598" s="6">
        <v>24</v>
      </c>
    </row>
    <row r="599" spans="1:10" ht="28.8" x14ac:dyDescent="0.3">
      <c r="A599" t="s">
        <v>82</v>
      </c>
      <c r="B599" s="2">
        <v>45427</v>
      </c>
      <c r="C599" s="7" t="s">
        <v>11</v>
      </c>
      <c r="D599" s="8" t="s">
        <v>18</v>
      </c>
      <c r="E599" s="8" t="s">
        <v>13</v>
      </c>
      <c r="F599" s="10">
        <v>60</v>
      </c>
      <c r="G599" s="10">
        <v>60</v>
      </c>
      <c r="H599" s="10">
        <v>60</v>
      </c>
      <c r="I599" s="10">
        <v>60</v>
      </c>
      <c r="J599" s="10">
        <v>60</v>
      </c>
    </row>
    <row r="600" spans="1:10" ht="28.8" x14ac:dyDescent="0.3">
      <c r="A600" t="s">
        <v>82</v>
      </c>
      <c r="B600" s="2">
        <v>45427</v>
      </c>
      <c r="C600" s="3" t="s">
        <v>11</v>
      </c>
      <c r="D600" s="4" t="s">
        <v>19</v>
      </c>
      <c r="E600" s="4" t="s">
        <v>13</v>
      </c>
      <c r="F600" s="6">
        <v>72</v>
      </c>
      <c r="G600" s="6">
        <v>72</v>
      </c>
      <c r="H600" s="6">
        <v>84</v>
      </c>
      <c r="I600" s="6">
        <v>76</v>
      </c>
      <c r="J600" s="6">
        <v>72</v>
      </c>
    </row>
    <row r="601" spans="1:10" ht="28.8" x14ac:dyDescent="0.3">
      <c r="A601" t="s">
        <v>82</v>
      </c>
      <c r="B601" s="2">
        <v>45427</v>
      </c>
      <c r="C601" s="7" t="s">
        <v>11</v>
      </c>
      <c r="D601" s="8" t="s">
        <v>20</v>
      </c>
      <c r="E601" s="8" t="s">
        <v>13</v>
      </c>
      <c r="F601" s="9"/>
      <c r="G601" s="10">
        <v>84</v>
      </c>
      <c r="H601" s="10">
        <v>96</v>
      </c>
      <c r="I601" s="10" t="s">
        <v>416</v>
      </c>
      <c r="J601" s="10">
        <v>95</v>
      </c>
    </row>
    <row r="602" spans="1:10" ht="28.8" x14ac:dyDescent="0.3">
      <c r="A602" t="s">
        <v>82</v>
      </c>
      <c r="B602" s="2">
        <v>45427</v>
      </c>
      <c r="C602" s="3" t="s">
        <v>11</v>
      </c>
      <c r="D602" s="4" t="s">
        <v>21</v>
      </c>
      <c r="E602" s="4" t="s">
        <v>13</v>
      </c>
      <c r="F602" s="6">
        <v>24</v>
      </c>
      <c r="G602" s="6">
        <v>6</v>
      </c>
      <c r="H602" s="6">
        <v>30</v>
      </c>
      <c r="I602" s="6">
        <v>21</v>
      </c>
      <c r="J602" s="6">
        <v>24</v>
      </c>
    </row>
    <row r="603" spans="1:10" ht="28.8" x14ac:dyDescent="0.3">
      <c r="A603" t="s">
        <v>82</v>
      </c>
      <c r="B603" s="2">
        <v>45427</v>
      </c>
      <c r="C603" s="7" t="s">
        <v>11</v>
      </c>
      <c r="D603" s="8" t="s">
        <v>65</v>
      </c>
      <c r="E603" s="8" t="s">
        <v>13</v>
      </c>
      <c r="F603" s="10">
        <v>96</v>
      </c>
      <c r="G603" s="10">
        <v>90</v>
      </c>
      <c r="H603" s="10">
        <v>96</v>
      </c>
      <c r="I603" s="10">
        <v>94</v>
      </c>
      <c r="J603" s="10">
        <v>96</v>
      </c>
    </row>
    <row r="604" spans="1:10" ht="28.8" x14ac:dyDescent="0.3">
      <c r="A604" t="s">
        <v>82</v>
      </c>
      <c r="B604" s="2">
        <v>45427</v>
      </c>
      <c r="C604" s="3" t="s">
        <v>11</v>
      </c>
      <c r="D604" s="4" t="s">
        <v>23</v>
      </c>
      <c r="E604" s="4" t="s">
        <v>13</v>
      </c>
      <c r="F604" s="5"/>
      <c r="G604" s="6">
        <v>20</v>
      </c>
      <c r="H604" s="6">
        <v>33</v>
      </c>
      <c r="I604" s="6" t="s">
        <v>406</v>
      </c>
      <c r="J604" s="6">
        <v>30</v>
      </c>
    </row>
    <row r="605" spans="1:10" ht="28.8" x14ac:dyDescent="0.3">
      <c r="A605" t="s">
        <v>82</v>
      </c>
      <c r="B605" s="2">
        <v>45427</v>
      </c>
      <c r="C605" s="7" t="s">
        <v>11</v>
      </c>
      <c r="D605" s="8" t="s">
        <v>24</v>
      </c>
      <c r="E605" s="8" t="s">
        <v>13</v>
      </c>
      <c r="F605" s="10">
        <v>78</v>
      </c>
      <c r="G605" s="10">
        <v>78</v>
      </c>
      <c r="H605" s="10">
        <v>84</v>
      </c>
      <c r="I605" s="10">
        <v>80</v>
      </c>
      <c r="J605" s="10">
        <v>78</v>
      </c>
    </row>
    <row r="606" spans="1:10" ht="28.8" x14ac:dyDescent="0.3">
      <c r="A606" t="s">
        <v>82</v>
      </c>
      <c r="B606" s="2">
        <v>45427</v>
      </c>
      <c r="C606" s="3" t="s">
        <v>11</v>
      </c>
      <c r="D606" s="4" t="s">
        <v>25</v>
      </c>
      <c r="E606" s="4" t="s">
        <v>26</v>
      </c>
      <c r="F606" s="6">
        <v>72</v>
      </c>
      <c r="G606" s="6">
        <v>72</v>
      </c>
      <c r="H606" s="6">
        <v>78</v>
      </c>
      <c r="I606" s="6">
        <v>74</v>
      </c>
      <c r="J606" s="6">
        <v>72</v>
      </c>
    </row>
    <row r="607" spans="1:10" ht="28.8" x14ac:dyDescent="0.3">
      <c r="A607" t="s">
        <v>82</v>
      </c>
      <c r="B607" s="2">
        <v>45427</v>
      </c>
      <c r="C607" s="7" t="s">
        <v>11</v>
      </c>
      <c r="D607" s="8" t="s">
        <v>27</v>
      </c>
      <c r="E607" s="8" t="s">
        <v>13</v>
      </c>
      <c r="F607" s="9"/>
      <c r="G607" s="10">
        <v>55</v>
      </c>
      <c r="H607" s="10">
        <v>86</v>
      </c>
      <c r="I607" s="10">
        <v>75</v>
      </c>
      <c r="J607" s="10">
        <v>84</v>
      </c>
    </row>
    <row r="608" spans="1:10" ht="28.8" x14ac:dyDescent="0.3">
      <c r="A608" t="s">
        <v>82</v>
      </c>
      <c r="B608" s="2">
        <v>45427</v>
      </c>
      <c r="C608" s="3" t="s">
        <v>11</v>
      </c>
      <c r="D608" s="4" t="s">
        <v>28</v>
      </c>
      <c r="E608" s="4" t="s">
        <v>13</v>
      </c>
      <c r="F608" s="6">
        <v>60</v>
      </c>
      <c r="G608" s="6">
        <v>50</v>
      </c>
      <c r="H608" s="6">
        <v>72</v>
      </c>
      <c r="I608" s="6" t="s">
        <v>424</v>
      </c>
      <c r="J608" s="6">
        <v>60</v>
      </c>
    </row>
    <row r="609" spans="1:10" ht="28.8" x14ac:dyDescent="0.3">
      <c r="A609" t="s">
        <v>82</v>
      </c>
      <c r="B609" s="2">
        <v>45427</v>
      </c>
      <c r="C609" s="7" t="s">
        <v>11</v>
      </c>
      <c r="D609" s="8" t="s">
        <v>29</v>
      </c>
      <c r="E609" s="8" t="s">
        <v>13</v>
      </c>
      <c r="F609" s="10">
        <v>54</v>
      </c>
      <c r="G609" s="10">
        <v>48</v>
      </c>
      <c r="H609" s="10">
        <v>54</v>
      </c>
      <c r="I609" s="10">
        <v>52</v>
      </c>
      <c r="J609" s="10">
        <v>54</v>
      </c>
    </row>
    <row r="610" spans="1:10" ht="28.8" x14ac:dyDescent="0.3">
      <c r="A610" t="s">
        <v>82</v>
      </c>
      <c r="B610" s="2">
        <v>45427</v>
      </c>
      <c r="C610" s="3" t="s">
        <v>30</v>
      </c>
      <c r="D610" s="4" t="s">
        <v>31</v>
      </c>
      <c r="E610" s="4" t="s">
        <v>32</v>
      </c>
      <c r="F610" s="6">
        <v>5</v>
      </c>
      <c r="G610" s="6">
        <v>5</v>
      </c>
      <c r="H610" s="6">
        <v>5</v>
      </c>
      <c r="I610" s="6">
        <v>5</v>
      </c>
      <c r="J610" s="6">
        <v>5</v>
      </c>
    </row>
    <row r="611" spans="1:10" ht="28.8" x14ac:dyDescent="0.3">
      <c r="A611" t="s">
        <v>82</v>
      </c>
      <c r="B611" s="2">
        <v>45427</v>
      </c>
      <c r="C611" s="7" t="s">
        <v>30</v>
      </c>
      <c r="D611" s="8" t="s">
        <v>33</v>
      </c>
      <c r="E611" s="8" t="s">
        <v>34</v>
      </c>
      <c r="F611" s="10">
        <v>25</v>
      </c>
      <c r="G611" s="10">
        <v>25</v>
      </c>
      <c r="H611" s="10">
        <v>28</v>
      </c>
      <c r="I611" s="10">
        <v>26</v>
      </c>
      <c r="J611" s="10">
        <v>25</v>
      </c>
    </row>
    <row r="612" spans="1:10" ht="28.8" x14ac:dyDescent="0.3">
      <c r="A612" t="s">
        <v>82</v>
      </c>
      <c r="B612" s="2">
        <v>45427</v>
      </c>
      <c r="C612" s="3" t="s">
        <v>30</v>
      </c>
      <c r="D612" s="4" t="s">
        <v>35</v>
      </c>
      <c r="E612" s="4" t="s">
        <v>34</v>
      </c>
      <c r="F612" s="6">
        <v>30</v>
      </c>
      <c r="G612" s="6">
        <v>30</v>
      </c>
      <c r="H612" s="6">
        <v>35</v>
      </c>
      <c r="I612" s="6" t="s">
        <v>296</v>
      </c>
      <c r="J612" s="6">
        <v>30</v>
      </c>
    </row>
    <row r="613" spans="1:10" ht="43.2" x14ac:dyDescent="0.3">
      <c r="A613" t="s">
        <v>82</v>
      </c>
      <c r="B613" s="2">
        <v>45427</v>
      </c>
      <c r="C613" s="7" t="s">
        <v>36</v>
      </c>
      <c r="D613" s="8" t="s">
        <v>73</v>
      </c>
      <c r="E613" s="8" t="s">
        <v>74</v>
      </c>
      <c r="F613" s="9"/>
      <c r="G613" s="10">
        <v>85</v>
      </c>
      <c r="H613" s="10">
        <v>90</v>
      </c>
      <c r="I613" s="10" t="s">
        <v>425</v>
      </c>
      <c r="J613" s="10" t="s">
        <v>425</v>
      </c>
    </row>
    <row r="614" spans="1:10" ht="43.2" x14ac:dyDescent="0.3">
      <c r="A614" t="s">
        <v>82</v>
      </c>
      <c r="B614" s="2">
        <v>45427</v>
      </c>
      <c r="C614" s="3" t="s">
        <v>36</v>
      </c>
      <c r="D614" s="4" t="s">
        <v>37</v>
      </c>
      <c r="E614" s="4" t="s">
        <v>38</v>
      </c>
      <c r="F614" s="6">
        <v>50</v>
      </c>
      <c r="G614" s="6">
        <v>50</v>
      </c>
      <c r="H614" s="6">
        <v>80</v>
      </c>
      <c r="I614" s="6">
        <v>60</v>
      </c>
      <c r="J614" s="6">
        <v>55</v>
      </c>
    </row>
    <row r="615" spans="1:10" ht="43.2" x14ac:dyDescent="0.3">
      <c r="A615" t="s">
        <v>82</v>
      </c>
      <c r="B615" s="2">
        <v>45427</v>
      </c>
      <c r="C615" s="7" t="s">
        <v>36</v>
      </c>
      <c r="D615" s="8" t="s">
        <v>39</v>
      </c>
      <c r="E615" s="8" t="s">
        <v>40</v>
      </c>
      <c r="F615" s="10">
        <v>70</v>
      </c>
      <c r="G615" s="10">
        <v>45</v>
      </c>
      <c r="H615" s="10">
        <v>70</v>
      </c>
      <c r="I615" s="10" t="s">
        <v>289</v>
      </c>
      <c r="J615" s="10">
        <v>60</v>
      </c>
    </row>
    <row r="616" spans="1:10" ht="43.2" x14ac:dyDescent="0.3">
      <c r="A616" t="s">
        <v>82</v>
      </c>
      <c r="B616" s="2">
        <v>45427</v>
      </c>
      <c r="C616" s="3" t="s">
        <v>36</v>
      </c>
      <c r="D616" s="4" t="s">
        <v>41</v>
      </c>
      <c r="E616" s="4" t="s">
        <v>42</v>
      </c>
      <c r="F616" s="5"/>
      <c r="G616" s="6">
        <v>35</v>
      </c>
      <c r="H616" s="6">
        <v>60</v>
      </c>
      <c r="I616" s="6" t="s">
        <v>279</v>
      </c>
      <c r="J616" s="6" t="s">
        <v>279</v>
      </c>
    </row>
    <row r="617" spans="1:10" ht="43.2" x14ac:dyDescent="0.3">
      <c r="A617" t="s">
        <v>82</v>
      </c>
      <c r="B617" s="2">
        <v>45427</v>
      </c>
      <c r="C617" s="7" t="s">
        <v>36</v>
      </c>
      <c r="D617" s="8" t="s">
        <v>43</v>
      </c>
      <c r="E617" s="8" t="s">
        <v>42</v>
      </c>
      <c r="F617" s="10">
        <v>110</v>
      </c>
      <c r="G617" s="10">
        <v>110</v>
      </c>
      <c r="H617" s="10">
        <v>110</v>
      </c>
      <c r="I617" s="10">
        <v>110</v>
      </c>
      <c r="J617" s="10">
        <v>110</v>
      </c>
    </row>
    <row r="618" spans="1:10" ht="43.2" x14ac:dyDescent="0.3">
      <c r="A618" t="s">
        <v>82</v>
      </c>
      <c r="B618" s="2">
        <v>45427</v>
      </c>
      <c r="C618" s="3" t="s">
        <v>36</v>
      </c>
      <c r="D618" s="4" t="s">
        <v>44</v>
      </c>
      <c r="E618" s="4" t="s">
        <v>45</v>
      </c>
      <c r="F618" s="5"/>
      <c r="G618" s="6">
        <v>90</v>
      </c>
      <c r="H618" s="6">
        <v>160</v>
      </c>
      <c r="I618" s="6" t="s">
        <v>426</v>
      </c>
      <c r="J618" s="6">
        <v>130</v>
      </c>
    </row>
    <row r="619" spans="1:10" ht="43.2" x14ac:dyDescent="0.3">
      <c r="A619" t="s">
        <v>82</v>
      </c>
      <c r="B619" s="2">
        <v>45427</v>
      </c>
      <c r="C619" s="7" t="s">
        <v>36</v>
      </c>
      <c r="D619" s="8" t="s">
        <v>46</v>
      </c>
      <c r="E619" s="8" t="s">
        <v>40</v>
      </c>
      <c r="F619" s="9"/>
      <c r="G619" s="10">
        <v>100</v>
      </c>
      <c r="H619" s="10">
        <v>170</v>
      </c>
      <c r="I619" s="10" t="s">
        <v>356</v>
      </c>
      <c r="J619" s="10">
        <v>140</v>
      </c>
    </row>
    <row r="620" spans="1:10" ht="43.2" x14ac:dyDescent="0.3">
      <c r="A620" t="s">
        <v>82</v>
      </c>
      <c r="B620" s="2">
        <v>45427</v>
      </c>
      <c r="C620" s="3" t="s">
        <v>36</v>
      </c>
      <c r="D620" s="4" t="s">
        <v>47</v>
      </c>
      <c r="E620" s="4" t="s">
        <v>40</v>
      </c>
      <c r="F620" s="6">
        <v>60</v>
      </c>
      <c r="G620" s="6">
        <v>50</v>
      </c>
      <c r="H620" s="6">
        <v>60</v>
      </c>
      <c r="I620" s="6" t="s">
        <v>256</v>
      </c>
      <c r="J620" s="6">
        <v>60</v>
      </c>
    </row>
    <row r="621" spans="1:10" ht="43.2" x14ac:dyDescent="0.3">
      <c r="A621" t="s">
        <v>82</v>
      </c>
      <c r="B621" s="2">
        <v>45427</v>
      </c>
      <c r="C621" s="7" t="s">
        <v>36</v>
      </c>
      <c r="D621" s="8" t="s">
        <v>48</v>
      </c>
      <c r="E621" s="8" t="s">
        <v>38</v>
      </c>
      <c r="F621" s="9"/>
      <c r="G621" s="10">
        <v>60</v>
      </c>
      <c r="H621" s="10">
        <v>110</v>
      </c>
      <c r="I621" s="10">
        <v>90</v>
      </c>
      <c r="J621" s="10">
        <v>95</v>
      </c>
    </row>
    <row r="622" spans="1:10" ht="43.2" x14ac:dyDescent="0.3">
      <c r="A622" t="s">
        <v>82</v>
      </c>
      <c r="B622" s="2">
        <v>45427</v>
      </c>
      <c r="C622" s="3" t="s">
        <v>36</v>
      </c>
      <c r="D622" s="4" t="s">
        <v>49</v>
      </c>
      <c r="E622" s="4" t="s">
        <v>40</v>
      </c>
      <c r="F622" s="5"/>
      <c r="G622" s="6">
        <v>80</v>
      </c>
      <c r="H622" s="6">
        <v>80</v>
      </c>
      <c r="I622" s="6">
        <v>80</v>
      </c>
      <c r="J622" s="6">
        <v>80</v>
      </c>
    </row>
    <row r="623" spans="1:10" ht="43.2" x14ac:dyDescent="0.3">
      <c r="A623" t="s">
        <v>82</v>
      </c>
      <c r="B623" s="2">
        <v>45427</v>
      </c>
      <c r="C623" s="7" t="s">
        <v>36</v>
      </c>
      <c r="D623" s="8" t="s">
        <v>50</v>
      </c>
      <c r="E623" s="8" t="s">
        <v>38</v>
      </c>
      <c r="F623" s="10">
        <v>60</v>
      </c>
      <c r="G623" s="10">
        <v>60</v>
      </c>
      <c r="H623" s="10">
        <v>60</v>
      </c>
      <c r="I623" s="10">
        <v>60</v>
      </c>
      <c r="J623" s="10">
        <v>60</v>
      </c>
    </row>
    <row r="624" spans="1:10" ht="43.2" x14ac:dyDescent="0.3">
      <c r="A624" t="s">
        <v>82</v>
      </c>
      <c r="B624" s="2">
        <v>45427</v>
      </c>
      <c r="C624" s="3" t="s">
        <v>36</v>
      </c>
      <c r="D624" s="4" t="s">
        <v>51</v>
      </c>
      <c r="E624" s="4" t="s">
        <v>38</v>
      </c>
      <c r="F624" s="6">
        <v>90</v>
      </c>
      <c r="G624" s="6">
        <v>80</v>
      </c>
      <c r="H624" s="6">
        <v>90</v>
      </c>
      <c r="I624" s="6" t="s">
        <v>425</v>
      </c>
      <c r="J624" s="6">
        <v>90</v>
      </c>
    </row>
    <row r="625" spans="1:10" ht="43.2" x14ac:dyDescent="0.3">
      <c r="A625" t="s">
        <v>82</v>
      </c>
      <c r="B625" s="2">
        <v>45427</v>
      </c>
      <c r="C625" s="7" t="s">
        <v>36</v>
      </c>
      <c r="D625" s="8" t="s">
        <v>52</v>
      </c>
      <c r="E625" s="8" t="s">
        <v>42</v>
      </c>
      <c r="F625" s="10">
        <v>60</v>
      </c>
      <c r="G625" s="10">
        <v>50</v>
      </c>
      <c r="H625" s="10">
        <v>60</v>
      </c>
      <c r="I625" s="10">
        <v>55</v>
      </c>
      <c r="J625" s="10">
        <v>55</v>
      </c>
    </row>
    <row r="626" spans="1:10" ht="43.2" x14ac:dyDescent="0.3">
      <c r="A626" t="s">
        <v>82</v>
      </c>
      <c r="B626" s="2">
        <v>45427</v>
      </c>
      <c r="C626" s="3" t="s">
        <v>36</v>
      </c>
      <c r="D626" s="4" t="s">
        <v>53</v>
      </c>
      <c r="E626" s="4" t="s">
        <v>54</v>
      </c>
      <c r="F626" s="6">
        <v>110</v>
      </c>
      <c r="G626" s="6">
        <v>90</v>
      </c>
      <c r="H626" s="6">
        <v>120</v>
      </c>
      <c r="I626" s="6" t="s">
        <v>293</v>
      </c>
      <c r="J626" s="6">
        <v>110</v>
      </c>
    </row>
    <row r="627" spans="1:10" ht="43.2" x14ac:dyDescent="0.3">
      <c r="A627" t="s">
        <v>82</v>
      </c>
      <c r="B627" s="2">
        <v>45427</v>
      </c>
      <c r="C627" s="7" t="s">
        <v>36</v>
      </c>
      <c r="D627" s="8" t="s">
        <v>55</v>
      </c>
      <c r="E627" s="8" t="s">
        <v>38</v>
      </c>
      <c r="F627" s="9"/>
      <c r="G627" s="10">
        <v>100</v>
      </c>
      <c r="H627" s="10">
        <v>150</v>
      </c>
      <c r="I627" s="10">
        <v>125</v>
      </c>
      <c r="J627" s="10">
        <v>125</v>
      </c>
    </row>
    <row r="628" spans="1:10" ht="43.2" x14ac:dyDescent="0.3">
      <c r="A628" t="s">
        <v>82</v>
      </c>
      <c r="B628" s="2">
        <v>45427</v>
      </c>
      <c r="C628" s="3" t="s">
        <v>36</v>
      </c>
      <c r="D628" s="4" t="s">
        <v>56</v>
      </c>
      <c r="E628" s="4" t="s">
        <v>38</v>
      </c>
      <c r="F628" s="5"/>
      <c r="G628" s="6">
        <v>180</v>
      </c>
      <c r="H628" s="6">
        <v>200</v>
      </c>
      <c r="I628" s="6">
        <v>190</v>
      </c>
      <c r="J628" s="6">
        <v>190</v>
      </c>
    </row>
    <row r="629" spans="1:10" x14ac:dyDescent="0.3">
      <c r="A629" t="s">
        <v>82</v>
      </c>
      <c r="B629" s="2">
        <v>45427</v>
      </c>
      <c r="C629" s="7" t="s">
        <v>57</v>
      </c>
      <c r="D629" s="8" t="s">
        <v>58</v>
      </c>
      <c r="E629" s="8" t="s">
        <v>42</v>
      </c>
      <c r="F629" s="9"/>
      <c r="G629" s="10">
        <v>90</v>
      </c>
      <c r="H629" s="10">
        <v>90</v>
      </c>
      <c r="I629" s="10">
        <v>90</v>
      </c>
      <c r="J629" s="10">
        <v>90</v>
      </c>
    </row>
    <row r="630" spans="1:10" x14ac:dyDescent="0.3">
      <c r="A630" t="s">
        <v>82</v>
      </c>
      <c r="B630" s="2">
        <v>45427</v>
      </c>
      <c r="C630" s="3" t="s">
        <v>57</v>
      </c>
      <c r="D630" s="4" t="s">
        <v>59</v>
      </c>
      <c r="E630" s="4" t="s">
        <v>42</v>
      </c>
      <c r="F630" s="5"/>
      <c r="G630" s="6">
        <v>70</v>
      </c>
      <c r="H630" s="6">
        <v>80</v>
      </c>
      <c r="I630" s="6">
        <v>75</v>
      </c>
      <c r="J630" s="6">
        <v>75</v>
      </c>
    </row>
    <row r="631" spans="1:10" x14ac:dyDescent="0.3">
      <c r="A631" t="s">
        <v>82</v>
      </c>
      <c r="B631" s="2">
        <v>45427</v>
      </c>
      <c r="C631" s="7" t="s">
        <v>57</v>
      </c>
      <c r="D631" s="8" t="s">
        <v>60</v>
      </c>
      <c r="E631" s="8" t="s">
        <v>42</v>
      </c>
      <c r="F631" s="9"/>
      <c r="G631" s="10">
        <v>50</v>
      </c>
      <c r="H631" s="10">
        <v>70</v>
      </c>
      <c r="I631" s="10">
        <v>60</v>
      </c>
      <c r="J631" s="10">
        <v>60</v>
      </c>
    </row>
    <row r="632" spans="1:10" x14ac:dyDescent="0.3">
      <c r="A632" t="s">
        <v>82</v>
      </c>
      <c r="B632" s="2">
        <v>45427</v>
      </c>
      <c r="C632" s="3" t="s">
        <v>57</v>
      </c>
      <c r="D632" s="4" t="s">
        <v>61</v>
      </c>
      <c r="E632" s="4" t="s">
        <v>42</v>
      </c>
      <c r="F632" s="5"/>
      <c r="G632" s="6">
        <v>55</v>
      </c>
      <c r="H632" s="6">
        <v>55</v>
      </c>
      <c r="I632" s="6">
        <v>55</v>
      </c>
      <c r="J632" s="6">
        <v>55</v>
      </c>
    </row>
    <row r="633" spans="1:10" x14ac:dyDescent="0.3">
      <c r="A633" t="s">
        <v>82</v>
      </c>
      <c r="B633" s="2">
        <v>45427</v>
      </c>
      <c r="C633" s="7" t="s">
        <v>57</v>
      </c>
      <c r="D633" s="8" t="s">
        <v>62</v>
      </c>
      <c r="E633" s="8" t="s">
        <v>63</v>
      </c>
      <c r="F633" s="9"/>
      <c r="G633" s="10">
        <v>55</v>
      </c>
      <c r="H633" s="10">
        <v>60</v>
      </c>
      <c r="I633" s="10" t="s">
        <v>256</v>
      </c>
      <c r="J633" s="10" t="s">
        <v>256</v>
      </c>
    </row>
    <row r="634" spans="1:10" ht="28.8" x14ac:dyDescent="0.3">
      <c r="A634" t="s">
        <v>83</v>
      </c>
      <c r="B634" s="2">
        <v>45434</v>
      </c>
      <c r="C634" s="3" t="s">
        <v>11</v>
      </c>
      <c r="D634" s="4" t="s">
        <v>12</v>
      </c>
      <c r="E634" s="4" t="s">
        <v>13</v>
      </c>
      <c r="F634" s="6">
        <v>60</v>
      </c>
      <c r="G634" s="6">
        <v>60</v>
      </c>
      <c r="H634" s="6">
        <v>80</v>
      </c>
      <c r="I634" s="6" t="s">
        <v>290</v>
      </c>
      <c r="J634" s="6">
        <v>60</v>
      </c>
    </row>
    <row r="635" spans="1:10" ht="28.8" x14ac:dyDescent="0.3">
      <c r="A635" t="s">
        <v>83</v>
      </c>
      <c r="B635" s="2">
        <v>45434</v>
      </c>
      <c r="C635" s="7" t="s">
        <v>11</v>
      </c>
      <c r="D635" s="8" t="s">
        <v>14</v>
      </c>
      <c r="E635" s="8" t="s">
        <v>13</v>
      </c>
      <c r="F635" s="10">
        <v>84</v>
      </c>
      <c r="G635" s="10">
        <v>72</v>
      </c>
      <c r="H635" s="10">
        <v>84</v>
      </c>
      <c r="I635" s="10">
        <v>80</v>
      </c>
      <c r="J635" s="10">
        <v>84</v>
      </c>
    </row>
    <row r="636" spans="1:10" ht="28.8" x14ac:dyDescent="0.3">
      <c r="A636" t="s">
        <v>83</v>
      </c>
      <c r="B636" s="2">
        <v>45434</v>
      </c>
      <c r="C636" s="3" t="s">
        <v>11</v>
      </c>
      <c r="D636" s="4" t="s">
        <v>15</v>
      </c>
      <c r="E636" s="4" t="s">
        <v>13</v>
      </c>
      <c r="F636" s="5"/>
      <c r="G636" s="6">
        <v>36</v>
      </c>
      <c r="H636" s="6">
        <v>48</v>
      </c>
      <c r="I636" s="6">
        <v>42</v>
      </c>
      <c r="J636" s="6">
        <v>42</v>
      </c>
    </row>
    <row r="637" spans="1:10" ht="28.8" x14ac:dyDescent="0.3">
      <c r="A637" t="s">
        <v>83</v>
      </c>
      <c r="B637" s="2">
        <v>45434</v>
      </c>
      <c r="C637" s="7" t="s">
        <v>11</v>
      </c>
      <c r="D637" s="8" t="s">
        <v>16</v>
      </c>
      <c r="E637" s="8" t="s">
        <v>13</v>
      </c>
      <c r="F637" s="10">
        <v>30</v>
      </c>
      <c r="G637" s="10">
        <v>30</v>
      </c>
      <c r="H637" s="10">
        <v>30</v>
      </c>
      <c r="I637" s="10">
        <v>30</v>
      </c>
      <c r="J637" s="10">
        <v>30</v>
      </c>
    </row>
    <row r="638" spans="1:10" ht="28.8" x14ac:dyDescent="0.3">
      <c r="A638" t="s">
        <v>83</v>
      </c>
      <c r="B638" s="2">
        <v>45434</v>
      </c>
      <c r="C638" s="3" t="s">
        <v>11</v>
      </c>
      <c r="D638" s="4" t="s">
        <v>17</v>
      </c>
      <c r="E638" s="4" t="s">
        <v>13</v>
      </c>
      <c r="F638" s="6">
        <v>30</v>
      </c>
      <c r="G638" s="6">
        <v>24</v>
      </c>
      <c r="H638" s="6">
        <v>30</v>
      </c>
      <c r="I638" s="6">
        <v>28</v>
      </c>
      <c r="J638" s="6">
        <v>30</v>
      </c>
    </row>
    <row r="639" spans="1:10" ht="28.8" x14ac:dyDescent="0.3">
      <c r="A639" t="s">
        <v>83</v>
      </c>
      <c r="B639" s="2">
        <v>45434</v>
      </c>
      <c r="C639" s="7" t="s">
        <v>11</v>
      </c>
      <c r="D639" s="8" t="s">
        <v>18</v>
      </c>
      <c r="E639" s="8" t="s">
        <v>13</v>
      </c>
      <c r="F639" s="10">
        <v>60</v>
      </c>
      <c r="G639" s="10">
        <v>60</v>
      </c>
      <c r="H639" s="10">
        <v>60</v>
      </c>
      <c r="I639" s="10">
        <v>60</v>
      </c>
      <c r="J639" s="10">
        <v>60</v>
      </c>
    </row>
    <row r="640" spans="1:10" ht="28.8" x14ac:dyDescent="0.3">
      <c r="A640" t="s">
        <v>83</v>
      </c>
      <c r="B640" s="2">
        <v>45434</v>
      </c>
      <c r="C640" s="3" t="s">
        <v>11</v>
      </c>
      <c r="D640" s="4" t="s">
        <v>19</v>
      </c>
      <c r="E640" s="4" t="s">
        <v>13</v>
      </c>
      <c r="F640" s="6">
        <v>72</v>
      </c>
      <c r="G640" s="6">
        <v>72</v>
      </c>
      <c r="H640" s="6">
        <v>78</v>
      </c>
      <c r="I640" s="6">
        <v>74</v>
      </c>
      <c r="J640" s="6">
        <v>72</v>
      </c>
    </row>
    <row r="641" spans="1:10" ht="28.8" x14ac:dyDescent="0.3">
      <c r="A641" t="s">
        <v>83</v>
      </c>
      <c r="B641" s="2">
        <v>45434</v>
      </c>
      <c r="C641" s="7" t="s">
        <v>11</v>
      </c>
      <c r="D641" s="8" t="s">
        <v>20</v>
      </c>
      <c r="E641" s="8" t="s">
        <v>13</v>
      </c>
      <c r="F641" s="10">
        <v>96</v>
      </c>
      <c r="G641" s="10">
        <v>72</v>
      </c>
      <c r="H641" s="10">
        <v>96</v>
      </c>
      <c r="I641" s="10">
        <v>88</v>
      </c>
      <c r="J641" s="10">
        <v>96</v>
      </c>
    </row>
    <row r="642" spans="1:10" ht="28.8" x14ac:dyDescent="0.3">
      <c r="A642" t="s">
        <v>83</v>
      </c>
      <c r="B642" s="2">
        <v>45434</v>
      </c>
      <c r="C642" s="3" t="s">
        <v>11</v>
      </c>
      <c r="D642" s="4" t="s">
        <v>21</v>
      </c>
      <c r="E642" s="4" t="s">
        <v>13</v>
      </c>
      <c r="F642" s="6">
        <v>24</v>
      </c>
      <c r="G642" s="6">
        <v>24</v>
      </c>
      <c r="H642" s="6">
        <v>30</v>
      </c>
      <c r="I642" s="6">
        <v>26</v>
      </c>
      <c r="J642" s="6">
        <v>24</v>
      </c>
    </row>
    <row r="643" spans="1:10" ht="28.8" x14ac:dyDescent="0.3">
      <c r="A643" t="s">
        <v>83</v>
      </c>
      <c r="B643" s="2">
        <v>45434</v>
      </c>
      <c r="C643" s="7" t="s">
        <v>11</v>
      </c>
      <c r="D643" s="8" t="s">
        <v>65</v>
      </c>
      <c r="E643" s="8" t="s">
        <v>13</v>
      </c>
      <c r="F643" s="10">
        <v>72</v>
      </c>
      <c r="G643" s="10">
        <v>72</v>
      </c>
      <c r="H643" s="10">
        <v>84</v>
      </c>
      <c r="I643" s="10">
        <v>76</v>
      </c>
      <c r="J643" s="10">
        <v>72</v>
      </c>
    </row>
    <row r="644" spans="1:10" ht="28.8" x14ac:dyDescent="0.3">
      <c r="A644" t="s">
        <v>83</v>
      </c>
      <c r="B644" s="2">
        <v>45434</v>
      </c>
      <c r="C644" s="3" t="s">
        <v>11</v>
      </c>
      <c r="D644" s="4" t="s">
        <v>23</v>
      </c>
      <c r="E644" s="4" t="s">
        <v>13</v>
      </c>
      <c r="F644" s="6">
        <v>30</v>
      </c>
      <c r="G644" s="6">
        <v>30</v>
      </c>
      <c r="H644" s="6">
        <v>30</v>
      </c>
      <c r="I644" s="6">
        <v>30</v>
      </c>
      <c r="J644" s="6">
        <v>30</v>
      </c>
    </row>
    <row r="645" spans="1:10" ht="28.8" x14ac:dyDescent="0.3">
      <c r="A645" t="s">
        <v>83</v>
      </c>
      <c r="B645" s="2">
        <v>45434</v>
      </c>
      <c r="C645" s="7" t="s">
        <v>11</v>
      </c>
      <c r="D645" s="8" t="s">
        <v>24</v>
      </c>
      <c r="E645" s="8" t="s">
        <v>13</v>
      </c>
      <c r="F645" s="9"/>
      <c r="G645" s="10">
        <v>78</v>
      </c>
      <c r="H645" s="10">
        <v>96</v>
      </c>
      <c r="I645" s="10">
        <v>86</v>
      </c>
      <c r="J645" s="10">
        <v>84</v>
      </c>
    </row>
    <row r="646" spans="1:10" ht="28.8" x14ac:dyDescent="0.3">
      <c r="A646" t="s">
        <v>83</v>
      </c>
      <c r="B646" s="2">
        <v>45434</v>
      </c>
      <c r="C646" s="3" t="s">
        <v>11</v>
      </c>
      <c r="D646" s="4" t="s">
        <v>25</v>
      </c>
      <c r="E646" s="4" t="s">
        <v>26</v>
      </c>
      <c r="F646" s="6">
        <v>60</v>
      </c>
      <c r="G646" s="6">
        <v>60</v>
      </c>
      <c r="H646" s="6">
        <v>78</v>
      </c>
      <c r="I646" s="6">
        <v>66</v>
      </c>
      <c r="J646" s="6">
        <v>60</v>
      </c>
    </row>
    <row r="647" spans="1:10" ht="28.8" x14ac:dyDescent="0.3">
      <c r="A647" t="s">
        <v>83</v>
      </c>
      <c r="B647" s="2">
        <v>45434</v>
      </c>
      <c r="C647" s="7" t="s">
        <v>11</v>
      </c>
      <c r="D647" s="8" t="s">
        <v>27</v>
      </c>
      <c r="E647" s="8" t="s">
        <v>13</v>
      </c>
      <c r="F647" s="10">
        <v>84</v>
      </c>
      <c r="G647" s="10">
        <v>84</v>
      </c>
      <c r="H647" s="10">
        <v>96</v>
      </c>
      <c r="I647" s="10">
        <v>88</v>
      </c>
      <c r="J647" s="10">
        <v>84</v>
      </c>
    </row>
    <row r="648" spans="1:10" ht="28.8" x14ac:dyDescent="0.3">
      <c r="A648" t="s">
        <v>83</v>
      </c>
      <c r="B648" s="2">
        <v>45434</v>
      </c>
      <c r="C648" s="3" t="s">
        <v>11</v>
      </c>
      <c r="D648" s="4" t="s">
        <v>28</v>
      </c>
      <c r="E648" s="4" t="s">
        <v>13</v>
      </c>
      <c r="F648" s="6">
        <v>60</v>
      </c>
      <c r="G648" s="6">
        <v>60</v>
      </c>
      <c r="H648" s="6">
        <v>70</v>
      </c>
      <c r="I648" s="6" t="s">
        <v>463</v>
      </c>
      <c r="J648" s="6">
        <v>60</v>
      </c>
    </row>
    <row r="649" spans="1:10" ht="28.8" x14ac:dyDescent="0.3">
      <c r="A649" t="s">
        <v>83</v>
      </c>
      <c r="B649" s="2">
        <v>45434</v>
      </c>
      <c r="C649" s="7" t="s">
        <v>11</v>
      </c>
      <c r="D649" s="8" t="s">
        <v>29</v>
      </c>
      <c r="E649" s="8" t="s">
        <v>13</v>
      </c>
      <c r="F649" s="10">
        <v>54</v>
      </c>
      <c r="G649" s="10">
        <v>48</v>
      </c>
      <c r="H649" s="10">
        <v>54</v>
      </c>
      <c r="I649" s="10">
        <v>52</v>
      </c>
      <c r="J649" s="10">
        <v>54</v>
      </c>
    </row>
    <row r="650" spans="1:10" ht="28.8" x14ac:dyDescent="0.3">
      <c r="A650" t="s">
        <v>83</v>
      </c>
      <c r="B650" s="2">
        <v>45434</v>
      </c>
      <c r="C650" s="3" t="s">
        <v>30</v>
      </c>
      <c r="D650" s="4" t="s">
        <v>31</v>
      </c>
      <c r="E650" s="4" t="s">
        <v>32</v>
      </c>
      <c r="F650" s="6">
        <v>5</v>
      </c>
      <c r="G650" s="6">
        <v>5</v>
      </c>
      <c r="H650" s="6">
        <v>6</v>
      </c>
      <c r="I650" s="6" t="s">
        <v>438</v>
      </c>
      <c r="J650" s="6">
        <v>5</v>
      </c>
    </row>
    <row r="651" spans="1:10" ht="28.8" x14ac:dyDescent="0.3">
      <c r="A651" t="s">
        <v>83</v>
      </c>
      <c r="B651" s="2">
        <v>45434</v>
      </c>
      <c r="C651" s="7" t="s">
        <v>30</v>
      </c>
      <c r="D651" s="8" t="s">
        <v>33</v>
      </c>
      <c r="E651" s="8" t="s">
        <v>34</v>
      </c>
      <c r="F651" s="10">
        <v>25</v>
      </c>
      <c r="G651" s="10">
        <v>20</v>
      </c>
      <c r="H651" s="10">
        <v>25</v>
      </c>
      <c r="I651" s="10" t="s">
        <v>298</v>
      </c>
      <c r="J651" s="10">
        <v>25</v>
      </c>
    </row>
    <row r="652" spans="1:10" ht="28.8" x14ac:dyDescent="0.3">
      <c r="A652" t="s">
        <v>83</v>
      </c>
      <c r="B652" s="2">
        <v>45434</v>
      </c>
      <c r="C652" s="3" t="s">
        <v>30</v>
      </c>
      <c r="D652" s="4" t="s">
        <v>35</v>
      </c>
      <c r="E652" s="4" t="s">
        <v>34</v>
      </c>
      <c r="F652" s="5"/>
      <c r="G652" s="6">
        <v>25</v>
      </c>
      <c r="H652" s="6">
        <v>32</v>
      </c>
      <c r="I652" s="6">
        <v>29</v>
      </c>
      <c r="J652" s="6">
        <v>30</v>
      </c>
    </row>
    <row r="653" spans="1:10" ht="43.2" x14ac:dyDescent="0.3">
      <c r="A653" t="s">
        <v>83</v>
      </c>
      <c r="B653" s="2">
        <v>45434</v>
      </c>
      <c r="C653" s="7" t="s">
        <v>36</v>
      </c>
      <c r="D653" s="8" t="s">
        <v>73</v>
      </c>
      <c r="E653" s="8" t="s">
        <v>74</v>
      </c>
      <c r="F653" s="9"/>
      <c r="G653" s="10">
        <v>85</v>
      </c>
      <c r="H653" s="10">
        <v>90</v>
      </c>
      <c r="I653" s="10" t="s">
        <v>425</v>
      </c>
      <c r="J653" s="10" t="s">
        <v>425</v>
      </c>
    </row>
    <row r="654" spans="1:10" ht="43.2" x14ac:dyDescent="0.3">
      <c r="A654" t="s">
        <v>83</v>
      </c>
      <c r="B654" s="2">
        <v>45434</v>
      </c>
      <c r="C654" s="3" t="s">
        <v>36</v>
      </c>
      <c r="D654" s="4" t="s">
        <v>37</v>
      </c>
      <c r="E654" s="4" t="s">
        <v>38</v>
      </c>
      <c r="F654" s="6">
        <v>70</v>
      </c>
      <c r="G654" s="6">
        <v>60</v>
      </c>
      <c r="H654" s="6">
        <v>70</v>
      </c>
      <c r="I654" s="6" t="s">
        <v>272</v>
      </c>
      <c r="J654" s="6">
        <v>70</v>
      </c>
    </row>
    <row r="655" spans="1:10" ht="43.2" x14ac:dyDescent="0.3">
      <c r="A655" t="s">
        <v>83</v>
      </c>
      <c r="B655" s="2">
        <v>45434</v>
      </c>
      <c r="C655" s="7" t="s">
        <v>36</v>
      </c>
      <c r="D655" s="8" t="s">
        <v>39</v>
      </c>
      <c r="E655" s="8" t="s">
        <v>40</v>
      </c>
      <c r="F655" s="10">
        <v>65</v>
      </c>
      <c r="G655" s="10">
        <v>45</v>
      </c>
      <c r="H655" s="10">
        <v>65</v>
      </c>
      <c r="I655" s="10" t="s">
        <v>421</v>
      </c>
      <c r="J655" s="10" t="s">
        <v>256</v>
      </c>
    </row>
    <row r="656" spans="1:10" ht="43.2" x14ac:dyDescent="0.3">
      <c r="A656" t="s">
        <v>83</v>
      </c>
      <c r="B656" s="2">
        <v>45434</v>
      </c>
      <c r="C656" s="3" t="s">
        <v>36</v>
      </c>
      <c r="D656" s="4" t="s">
        <v>41</v>
      </c>
      <c r="E656" s="4" t="s">
        <v>42</v>
      </c>
      <c r="F656" s="6">
        <v>50</v>
      </c>
      <c r="G656" s="6">
        <v>40</v>
      </c>
      <c r="H656" s="6">
        <v>50</v>
      </c>
      <c r="I656" s="6" t="s">
        <v>279</v>
      </c>
      <c r="J656" s="6">
        <v>50</v>
      </c>
    </row>
    <row r="657" spans="1:10" ht="43.2" x14ac:dyDescent="0.3">
      <c r="A657" t="s">
        <v>83</v>
      </c>
      <c r="B657" s="2">
        <v>45434</v>
      </c>
      <c r="C657" s="7" t="s">
        <v>36</v>
      </c>
      <c r="D657" s="8" t="s">
        <v>43</v>
      </c>
      <c r="E657" s="8" t="s">
        <v>42</v>
      </c>
      <c r="F657" s="10">
        <v>100</v>
      </c>
      <c r="G657" s="10">
        <v>90</v>
      </c>
      <c r="H657" s="10">
        <v>100</v>
      </c>
      <c r="I657" s="10" t="s">
        <v>370</v>
      </c>
      <c r="J657" s="10">
        <v>100</v>
      </c>
    </row>
    <row r="658" spans="1:10" ht="43.2" x14ac:dyDescent="0.3">
      <c r="A658" t="s">
        <v>83</v>
      </c>
      <c r="B658" s="2">
        <v>45434</v>
      </c>
      <c r="C658" s="3" t="s">
        <v>36</v>
      </c>
      <c r="D658" s="4" t="s">
        <v>44</v>
      </c>
      <c r="E658" s="4" t="s">
        <v>45</v>
      </c>
      <c r="F658" s="6">
        <v>110</v>
      </c>
      <c r="G658" s="6">
        <v>110</v>
      </c>
      <c r="H658" s="6">
        <v>150</v>
      </c>
      <c r="I658" s="6" t="s">
        <v>427</v>
      </c>
      <c r="J658" s="6" t="s">
        <v>426</v>
      </c>
    </row>
    <row r="659" spans="1:10" ht="43.2" x14ac:dyDescent="0.3">
      <c r="A659" t="s">
        <v>83</v>
      </c>
      <c r="B659" s="2">
        <v>45434</v>
      </c>
      <c r="C659" s="7" t="s">
        <v>36</v>
      </c>
      <c r="D659" s="8" t="s">
        <v>46</v>
      </c>
      <c r="E659" s="8" t="s">
        <v>40</v>
      </c>
      <c r="F659" s="10">
        <v>170</v>
      </c>
      <c r="G659" s="10">
        <v>100</v>
      </c>
      <c r="H659" s="10">
        <v>170</v>
      </c>
      <c r="I659" s="10">
        <v>135</v>
      </c>
      <c r="J659" s="10">
        <v>135</v>
      </c>
    </row>
    <row r="660" spans="1:10" ht="43.2" x14ac:dyDescent="0.3">
      <c r="A660" t="s">
        <v>83</v>
      </c>
      <c r="B660" s="2">
        <v>45434</v>
      </c>
      <c r="C660" s="3" t="s">
        <v>36</v>
      </c>
      <c r="D660" s="4" t="s">
        <v>47</v>
      </c>
      <c r="E660" s="4" t="s">
        <v>40</v>
      </c>
      <c r="F660" s="6">
        <v>50</v>
      </c>
      <c r="G660" s="6">
        <v>50</v>
      </c>
      <c r="H660" s="6">
        <v>60</v>
      </c>
      <c r="I660" s="6">
        <v>55</v>
      </c>
      <c r="J660" s="6">
        <v>55</v>
      </c>
    </row>
    <row r="661" spans="1:10" ht="43.2" x14ac:dyDescent="0.3">
      <c r="A661" t="s">
        <v>83</v>
      </c>
      <c r="B661" s="2">
        <v>45434</v>
      </c>
      <c r="C661" s="7" t="s">
        <v>36</v>
      </c>
      <c r="D661" s="8" t="s">
        <v>48</v>
      </c>
      <c r="E661" s="8" t="s">
        <v>38</v>
      </c>
      <c r="F661" s="10">
        <v>90</v>
      </c>
      <c r="G661" s="10">
        <v>80</v>
      </c>
      <c r="H661" s="10">
        <v>90</v>
      </c>
      <c r="I661" s="10" t="s">
        <v>490</v>
      </c>
      <c r="J661" s="10">
        <v>90</v>
      </c>
    </row>
    <row r="662" spans="1:10" ht="43.2" x14ac:dyDescent="0.3">
      <c r="A662" t="s">
        <v>83</v>
      </c>
      <c r="B662" s="2">
        <v>45434</v>
      </c>
      <c r="C662" s="3" t="s">
        <v>36</v>
      </c>
      <c r="D662" s="4" t="s">
        <v>49</v>
      </c>
      <c r="E662" s="4" t="s">
        <v>40</v>
      </c>
      <c r="F662" s="6">
        <v>75</v>
      </c>
      <c r="G662" s="6">
        <v>75</v>
      </c>
      <c r="H662" s="6">
        <v>75</v>
      </c>
      <c r="I662" s="6">
        <v>75</v>
      </c>
      <c r="J662" s="6">
        <v>75</v>
      </c>
    </row>
    <row r="663" spans="1:10" ht="43.2" x14ac:dyDescent="0.3">
      <c r="A663" t="s">
        <v>83</v>
      </c>
      <c r="B663" s="2">
        <v>45434</v>
      </c>
      <c r="C663" s="7" t="s">
        <v>36</v>
      </c>
      <c r="D663" s="8" t="s">
        <v>50</v>
      </c>
      <c r="E663" s="8" t="s">
        <v>38</v>
      </c>
      <c r="F663" s="9"/>
      <c r="G663" s="10">
        <v>50</v>
      </c>
      <c r="H663" s="10">
        <v>85</v>
      </c>
      <c r="I663" s="10" t="s">
        <v>261</v>
      </c>
      <c r="J663" s="10">
        <v>70</v>
      </c>
    </row>
    <row r="664" spans="1:10" ht="43.2" x14ac:dyDescent="0.3">
      <c r="A664" t="s">
        <v>83</v>
      </c>
      <c r="B664" s="2">
        <v>45434</v>
      </c>
      <c r="C664" s="3" t="s">
        <v>36</v>
      </c>
      <c r="D664" s="4" t="s">
        <v>51</v>
      </c>
      <c r="E664" s="4" t="s">
        <v>38</v>
      </c>
      <c r="F664" s="6">
        <v>80</v>
      </c>
      <c r="G664" s="6">
        <v>80</v>
      </c>
      <c r="H664" s="6">
        <v>150</v>
      </c>
      <c r="I664" s="6">
        <v>100</v>
      </c>
      <c r="J664" s="6">
        <v>85</v>
      </c>
    </row>
    <row r="665" spans="1:10" ht="43.2" x14ac:dyDescent="0.3">
      <c r="A665" t="s">
        <v>83</v>
      </c>
      <c r="B665" s="2">
        <v>45434</v>
      </c>
      <c r="C665" s="7" t="s">
        <v>36</v>
      </c>
      <c r="D665" s="8" t="s">
        <v>52</v>
      </c>
      <c r="E665" s="8" t="s">
        <v>42</v>
      </c>
      <c r="F665" s="10">
        <v>50</v>
      </c>
      <c r="G665" s="10">
        <v>50</v>
      </c>
      <c r="H665" s="10">
        <v>65</v>
      </c>
      <c r="I665" s="10">
        <v>56</v>
      </c>
      <c r="J665" s="10">
        <v>55</v>
      </c>
    </row>
    <row r="666" spans="1:10" ht="43.2" x14ac:dyDescent="0.3">
      <c r="A666" t="s">
        <v>83</v>
      </c>
      <c r="B666" s="2">
        <v>45434</v>
      </c>
      <c r="C666" s="3" t="s">
        <v>36</v>
      </c>
      <c r="D666" s="4" t="s">
        <v>53</v>
      </c>
      <c r="E666" s="4" t="s">
        <v>54</v>
      </c>
      <c r="F666" s="6">
        <v>120</v>
      </c>
      <c r="G666" s="6">
        <v>100</v>
      </c>
      <c r="H666" s="6">
        <v>120</v>
      </c>
      <c r="I666" s="6" t="s">
        <v>352</v>
      </c>
      <c r="J666" s="6">
        <v>115</v>
      </c>
    </row>
    <row r="667" spans="1:10" ht="43.2" x14ac:dyDescent="0.3">
      <c r="A667" t="s">
        <v>83</v>
      </c>
      <c r="B667" s="2">
        <v>45434</v>
      </c>
      <c r="C667" s="7" t="s">
        <v>36</v>
      </c>
      <c r="D667" s="8" t="s">
        <v>55</v>
      </c>
      <c r="E667" s="8" t="s">
        <v>38</v>
      </c>
      <c r="F667" s="10">
        <v>140</v>
      </c>
      <c r="G667" s="10">
        <v>80</v>
      </c>
      <c r="H667" s="10">
        <v>140</v>
      </c>
      <c r="I667" s="10" t="s">
        <v>542</v>
      </c>
      <c r="J667" s="10">
        <v>105</v>
      </c>
    </row>
    <row r="668" spans="1:10" ht="43.2" x14ac:dyDescent="0.3">
      <c r="A668" t="s">
        <v>83</v>
      </c>
      <c r="B668" s="2">
        <v>45434</v>
      </c>
      <c r="C668" s="3" t="s">
        <v>36</v>
      </c>
      <c r="D668" s="4" t="s">
        <v>56</v>
      </c>
      <c r="E668" s="4" t="s">
        <v>38</v>
      </c>
      <c r="F668" s="6">
        <v>200</v>
      </c>
      <c r="G668" s="6">
        <v>170</v>
      </c>
      <c r="H668" s="6">
        <v>200</v>
      </c>
      <c r="I668" s="6">
        <v>190</v>
      </c>
      <c r="J668" s="6">
        <v>200</v>
      </c>
    </row>
    <row r="669" spans="1:10" x14ac:dyDescent="0.3">
      <c r="A669" t="s">
        <v>83</v>
      </c>
      <c r="B669" s="2">
        <v>45434</v>
      </c>
      <c r="C669" s="7" t="s">
        <v>57</v>
      </c>
      <c r="D669" s="8" t="s">
        <v>58</v>
      </c>
      <c r="E669" s="8" t="s">
        <v>42</v>
      </c>
      <c r="F669" s="9"/>
      <c r="G669" s="10">
        <v>170</v>
      </c>
      <c r="H669" s="10">
        <v>170</v>
      </c>
      <c r="I669" s="10">
        <v>170</v>
      </c>
      <c r="J669" s="10">
        <v>170</v>
      </c>
    </row>
    <row r="670" spans="1:10" x14ac:dyDescent="0.3">
      <c r="A670" t="s">
        <v>83</v>
      </c>
      <c r="B670" s="2">
        <v>45434</v>
      </c>
      <c r="C670" s="3" t="s">
        <v>57</v>
      </c>
      <c r="D670" s="4" t="s">
        <v>59</v>
      </c>
      <c r="E670" s="4" t="s">
        <v>42</v>
      </c>
      <c r="F670" s="5"/>
      <c r="G670" s="6">
        <v>75</v>
      </c>
      <c r="H670" s="6">
        <v>75</v>
      </c>
      <c r="I670" s="6">
        <v>75</v>
      </c>
      <c r="J670" s="6">
        <v>75</v>
      </c>
    </row>
    <row r="671" spans="1:10" x14ac:dyDescent="0.3">
      <c r="A671" t="s">
        <v>83</v>
      </c>
      <c r="B671" s="2">
        <v>45434</v>
      </c>
      <c r="C671" s="7" t="s">
        <v>57</v>
      </c>
      <c r="D671" s="8" t="s">
        <v>60</v>
      </c>
      <c r="E671" s="8" t="s">
        <v>42</v>
      </c>
      <c r="F671" s="9"/>
      <c r="G671" s="10">
        <v>0</v>
      </c>
      <c r="H671" s="10">
        <v>0</v>
      </c>
      <c r="I671" s="9"/>
      <c r="J671" s="9"/>
    </row>
    <row r="672" spans="1:10" x14ac:dyDescent="0.3">
      <c r="A672" t="s">
        <v>83</v>
      </c>
      <c r="B672" s="2">
        <v>45434</v>
      </c>
      <c r="C672" s="3" t="s">
        <v>57</v>
      </c>
      <c r="D672" s="4" t="s">
        <v>61</v>
      </c>
      <c r="E672" s="4" t="s">
        <v>42</v>
      </c>
      <c r="F672" s="5"/>
      <c r="G672" s="6">
        <v>50</v>
      </c>
      <c r="H672" s="6">
        <v>50</v>
      </c>
      <c r="I672" s="6">
        <v>50</v>
      </c>
      <c r="J672" s="6">
        <v>50</v>
      </c>
    </row>
    <row r="673" spans="1:10" x14ac:dyDescent="0.3">
      <c r="A673" t="s">
        <v>83</v>
      </c>
      <c r="B673" s="2">
        <v>45434</v>
      </c>
      <c r="C673" s="7" t="s">
        <v>57</v>
      </c>
      <c r="D673" s="8" t="s">
        <v>62</v>
      </c>
      <c r="E673" s="8" t="s">
        <v>63</v>
      </c>
      <c r="F673" s="9"/>
      <c r="G673" s="10">
        <v>50</v>
      </c>
      <c r="H673" s="10">
        <v>60</v>
      </c>
      <c r="I673" s="10">
        <v>55</v>
      </c>
      <c r="J673" s="10">
        <v>55</v>
      </c>
    </row>
    <row r="674" spans="1:10" ht="28.8" x14ac:dyDescent="0.3">
      <c r="A674" t="s">
        <v>84</v>
      </c>
      <c r="B674" s="2">
        <v>45441</v>
      </c>
      <c r="C674" s="3" t="s">
        <v>11</v>
      </c>
      <c r="D674" s="4" t="s">
        <v>12</v>
      </c>
      <c r="E674" s="4" t="s">
        <v>13</v>
      </c>
      <c r="F674" s="6">
        <v>60</v>
      </c>
      <c r="G674" s="6">
        <v>48</v>
      </c>
      <c r="H674" s="6">
        <v>66</v>
      </c>
      <c r="I674" s="6" t="s">
        <v>428</v>
      </c>
      <c r="J674" s="6">
        <v>60</v>
      </c>
    </row>
    <row r="675" spans="1:10" ht="28.8" x14ac:dyDescent="0.3">
      <c r="A675" t="s">
        <v>84</v>
      </c>
      <c r="B675" s="2">
        <v>45441</v>
      </c>
      <c r="C675" s="7" t="s">
        <v>11</v>
      </c>
      <c r="D675" s="8" t="s">
        <v>14</v>
      </c>
      <c r="E675" s="8" t="s">
        <v>13</v>
      </c>
      <c r="F675" s="10">
        <v>84</v>
      </c>
      <c r="G675" s="10">
        <v>60</v>
      </c>
      <c r="H675" s="10">
        <v>84</v>
      </c>
      <c r="I675" s="10">
        <v>78</v>
      </c>
      <c r="J675" s="10">
        <v>84</v>
      </c>
    </row>
    <row r="676" spans="1:10" ht="28.8" x14ac:dyDescent="0.3">
      <c r="A676" t="s">
        <v>84</v>
      </c>
      <c r="B676" s="2">
        <v>45441</v>
      </c>
      <c r="C676" s="3" t="s">
        <v>11</v>
      </c>
      <c r="D676" s="4" t="s">
        <v>15</v>
      </c>
      <c r="E676" s="4" t="s">
        <v>13</v>
      </c>
      <c r="F676" s="5"/>
      <c r="G676" s="6">
        <v>36</v>
      </c>
      <c r="H676" s="6">
        <v>54</v>
      </c>
      <c r="I676" s="6" t="s">
        <v>429</v>
      </c>
      <c r="J676" s="6">
        <v>44</v>
      </c>
    </row>
    <row r="677" spans="1:10" ht="28.8" x14ac:dyDescent="0.3">
      <c r="A677" t="s">
        <v>84</v>
      </c>
      <c r="B677" s="2">
        <v>45441</v>
      </c>
      <c r="C677" s="7" t="s">
        <v>11</v>
      </c>
      <c r="D677" s="8" t="s">
        <v>16</v>
      </c>
      <c r="E677" s="8" t="s">
        <v>13</v>
      </c>
      <c r="F677" s="10">
        <v>24</v>
      </c>
      <c r="G677" s="10">
        <v>24</v>
      </c>
      <c r="H677" s="10">
        <v>30</v>
      </c>
      <c r="I677" s="10">
        <v>27</v>
      </c>
      <c r="J677" s="10">
        <v>27</v>
      </c>
    </row>
    <row r="678" spans="1:10" ht="28.8" x14ac:dyDescent="0.3">
      <c r="A678" t="s">
        <v>84</v>
      </c>
      <c r="B678" s="2">
        <v>45441</v>
      </c>
      <c r="C678" s="3" t="s">
        <v>11</v>
      </c>
      <c r="D678" s="4" t="s">
        <v>17</v>
      </c>
      <c r="E678" s="4" t="s">
        <v>13</v>
      </c>
      <c r="F678" s="6">
        <v>24</v>
      </c>
      <c r="G678" s="6">
        <v>24</v>
      </c>
      <c r="H678" s="6">
        <v>30</v>
      </c>
      <c r="I678" s="6">
        <v>27</v>
      </c>
      <c r="J678" s="6">
        <v>27</v>
      </c>
    </row>
    <row r="679" spans="1:10" ht="28.8" x14ac:dyDescent="0.3">
      <c r="A679" t="s">
        <v>84</v>
      </c>
      <c r="B679" s="2">
        <v>45441</v>
      </c>
      <c r="C679" s="7" t="s">
        <v>11</v>
      </c>
      <c r="D679" s="8" t="s">
        <v>18</v>
      </c>
      <c r="E679" s="8" t="s">
        <v>13</v>
      </c>
      <c r="F679" s="10">
        <v>50</v>
      </c>
      <c r="G679" s="10">
        <v>48</v>
      </c>
      <c r="H679" s="10">
        <v>60</v>
      </c>
      <c r="I679" s="10">
        <v>52</v>
      </c>
      <c r="J679" s="10">
        <v>50</v>
      </c>
    </row>
    <row r="680" spans="1:10" ht="28.8" x14ac:dyDescent="0.3">
      <c r="A680" t="s">
        <v>84</v>
      </c>
      <c r="B680" s="2">
        <v>45441</v>
      </c>
      <c r="C680" s="3" t="s">
        <v>11</v>
      </c>
      <c r="D680" s="4" t="s">
        <v>19</v>
      </c>
      <c r="E680" s="4" t="s">
        <v>13</v>
      </c>
      <c r="F680" s="6">
        <v>84</v>
      </c>
      <c r="G680" s="6">
        <v>84</v>
      </c>
      <c r="H680" s="6">
        <v>96</v>
      </c>
      <c r="I680" s="6">
        <v>90</v>
      </c>
      <c r="J680" s="6">
        <v>90</v>
      </c>
    </row>
    <row r="681" spans="1:10" ht="28.8" x14ac:dyDescent="0.3">
      <c r="A681" t="s">
        <v>84</v>
      </c>
      <c r="B681" s="2">
        <v>45441</v>
      </c>
      <c r="C681" s="7" t="s">
        <v>11</v>
      </c>
      <c r="D681" s="8" t="s">
        <v>20</v>
      </c>
      <c r="E681" s="8" t="s">
        <v>13</v>
      </c>
      <c r="F681" s="10">
        <v>96</v>
      </c>
      <c r="G681" s="10">
        <v>84</v>
      </c>
      <c r="H681" s="10">
        <v>96</v>
      </c>
      <c r="I681" s="10">
        <v>93</v>
      </c>
      <c r="J681" s="10">
        <v>96</v>
      </c>
    </row>
    <row r="682" spans="1:10" ht="28.8" x14ac:dyDescent="0.3">
      <c r="A682" t="s">
        <v>84</v>
      </c>
      <c r="B682" s="2">
        <v>45441</v>
      </c>
      <c r="C682" s="3" t="s">
        <v>11</v>
      </c>
      <c r="D682" s="4" t="s">
        <v>21</v>
      </c>
      <c r="E682" s="4" t="s">
        <v>13</v>
      </c>
      <c r="F682" s="6">
        <v>24</v>
      </c>
      <c r="G682" s="6">
        <v>24</v>
      </c>
      <c r="H682" s="6">
        <v>30</v>
      </c>
      <c r="I682" s="6">
        <v>27</v>
      </c>
      <c r="J682" s="6">
        <v>27</v>
      </c>
    </row>
    <row r="683" spans="1:10" ht="28.8" x14ac:dyDescent="0.3">
      <c r="A683" t="s">
        <v>84</v>
      </c>
      <c r="B683" s="2">
        <v>45441</v>
      </c>
      <c r="C683" s="7" t="s">
        <v>11</v>
      </c>
      <c r="D683" s="8" t="s">
        <v>65</v>
      </c>
      <c r="E683" s="8" t="s">
        <v>13</v>
      </c>
      <c r="F683" s="10">
        <v>96</v>
      </c>
      <c r="G683" s="10">
        <v>96</v>
      </c>
      <c r="H683" s="10">
        <v>120</v>
      </c>
      <c r="I683" s="10">
        <v>102</v>
      </c>
      <c r="J683" s="10">
        <v>96</v>
      </c>
    </row>
    <row r="684" spans="1:10" ht="28.8" x14ac:dyDescent="0.3">
      <c r="A684" t="s">
        <v>84</v>
      </c>
      <c r="B684" s="2">
        <v>45441</v>
      </c>
      <c r="C684" s="3" t="s">
        <v>11</v>
      </c>
      <c r="D684" s="4" t="s">
        <v>23</v>
      </c>
      <c r="E684" s="4" t="s">
        <v>13</v>
      </c>
      <c r="F684" s="6">
        <v>24</v>
      </c>
      <c r="G684" s="6">
        <v>24</v>
      </c>
      <c r="H684" s="6">
        <v>30</v>
      </c>
      <c r="I684" s="6">
        <v>27</v>
      </c>
      <c r="J684" s="6">
        <v>27</v>
      </c>
    </row>
    <row r="685" spans="1:10" ht="28.8" x14ac:dyDescent="0.3">
      <c r="A685" t="s">
        <v>84</v>
      </c>
      <c r="B685" s="2">
        <v>45441</v>
      </c>
      <c r="C685" s="7" t="s">
        <v>11</v>
      </c>
      <c r="D685" s="8" t="s">
        <v>24</v>
      </c>
      <c r="E685" s="8" t="s">
        <v>13</v>
      </c>
      <c r="F685" s="9"/>
      <c r="G685" s="10">
        <v>66</v>
      </c>
      <c r="H685" s="10">
        <v>86</v>
      </c>
      <c r="I685" s="10" t="s">
        <v>430</v>
      </c>
      <c r="J685" s="10">
        <v>75</v>
      </c>
    </row>
    <row r="686" spans="1:10" ht="28.8" x14ac:dyDescent="0.3">
      <c r="A686" t="s">
        <v>84</v>
      </c>
      <c r="B686" s="2">
        <v>45441</v>
      </c>
      <c r="C686" s="3" t="s">
        <v>11</v>
      </c>
      <c r="D686" s="4" t="s">
        <v>25</v>
      </c>
      <c r="E686" s="4" t="s">
        <v>26</v>
      </c>
      <c r="F686" s="6">
        <v>48</v>
      </c>
      <c r="G686" s="6">
        <v>48</v>
      </c>
      <c r="H686" s="6">
        <v>72</v>
      </c>
      <c r="I686" s="6">
        <v>57</v>
      </c>
      <c r="J686" s="6">
        <v>54</v>
      </c>
    </row>
    <row r="687" spans="1:10" ht="28.8" x14ac:dyDescent="0.3">
      <c r="A687" t="s">
        <v>84</v>
      </c>
      <c r="B687" s="2">
        <v>45441</v>
      </c>
      <c r="C687" s="7" t="s">
        <v>11</v>
      </c>
      <c r="D687" s="8" t="s">
        <v>27</v>
      </c>
      <c r="E687" s="8" t="s">
        <v>13</v>
      </c>
      <c r="F687" s="9"/>
      <c r="G687" s="10">
        <v>60</v>
      </c>
      <c r="H687" s="10">
        <v>96</v>
      </c>
      <c r="I687" s="10">
        <v>78</v>
      </c>
      <c r="J687" s="10">
        <v>78</v>
      </c>
    </row>
    <row r="688" spans="1:10" ht="28.8" x14ac:dyDescent="0.3">
      <c r="A688" t="s">
        <v>84</v>
      </c>
      <c r="B688" s="2">
        <v>45441</v>
      </c>
      <c r="C688" s="3" t="s">
        <v>11</v>
      </c>
      <c r="D688" s="4" t="s">
        <v>28</v>
      </c>
      <c r="E688" s="4" t="s">
        <v>13</v>
      </c>
      <c r="F688" s="6">
        <v>48</v>
      </c>
      <c r="G688" s="6">
        <v>48</v>
      </c>
      <c r="H688" s="6">
        <v>72</v>
      </c>
      <c r="I688" s="6" t="s">
        <v>431</v>
      </c>
      <c r="J688" s="6">
        <v>50</v>
      </c>
    </row>
    <row r="689" spans="1:10" ht="28.8" x14ac:dyDescent="0.3">
      <c r="A689" t="s">
        <v>84</v>
      </c>
      <c r="B689" s="2">
        <v>45441</v>
      </c>
      <c r="C689" s="7" t="s">
        <v>11</v>
      </c>
      <c r="D689" s="8" t="s">
        <v>29</v>
      </c>
      <c r="E689" s="8" t="s">
        <v>13</v>
      </c>
      <c r="F689" s="10">
        <v>54</v>
      </c>
      <c r="G689" s="10">
        <v>48</v>
      </c>
      <c r="H689" s="10">
        <v>60</v>
      </c>
      <c r="I689" s="10">
        <v>54</v>
      </c>
      <c r="J689" s="10">
        <v>54</v>
      </c>
    </row>
    <row r="690" spans="1:10" ht="28.8" x14ac:dyDescent="0.3">
      <c r="A690" t="s">
        <v>84</v>
      </c>
      <c r="B690" s="2">
        <v>45441</v>
      </c>
      <c r="C690" s="3" t="s">
        <v>30</v>
      </c>
      <c r="D690" s="4" t="s">
        <v>31</v>
      </c>
      <c r="E690" s="4" t="s">
        <v>32</v>
      </c>
      <c r="F690" s="6">
        <v>5</v>
      </c>
      <c r="G690" s="6">
        <v>5</v>
      </c>
      <c r="H690" s="6">
        <v>6</v>
      </c>
      <c r="I690" s="6" t="s">
        <v>432</v>
      </c>
      <c r="J690" s="6">
        <v>5</v>
      </c>
    </row>
    <row r="691" spans="1:10" ht="28.8" x14ac:dyDescent="0.3">
      <c r="A691" t="s">
        <v>84</v>
      </c>
      <c r="B691" s="2">
        <v>45441</v>
      </c>
      <c r="C691" s="7" t="s">
        <v>30</v>
      </c>
      <c r="D691" s="8" t="s">
        <v>33</v>
      </c>
      <c r="E691" s="8" t="s">
        <v>34</v>
      </c>
      <c r="F691" s="10">
        <v>20</v>
      </c>
      <c r="G691" s="10">
        <v>15</v>
      </c>
      <c r="H691" s="10">
        <v>25</v>
      </c>
      <c r="I691" s="10">
        <v>20</v>
      </c>
      <c r="J691" s="10">
        <v>20</v>
      </c>
    </row>
    <row r="692" spans="1:10" ht="28.8" x14ac:dyDescent="0.3">
      <c r="A692" t="s">
        <v>84</v>
      </c>
      <c r="B692" s="2">
        <v>45441</v>
      </c>
      <c r="C692" s="3" t="s">
        <v>30</v>
      </c>
      <c r="D692" s="4" t="s">
        <v>35</v>
      </c>
      <c r="E692" s="4" t="s">
        <v>34</v>
      </c>
      <c r="F692" s="6">
        <v>25</v>
      </c>
      <c r="G692" s="6">
        <v>25</v>
      </c>
      <c r="H692" s="6">
        <v>35</v>
      </c>
      <c r="I692" s="6">
        <v>30</v>
      </c>
      <c r="J692" s="6">
        <v>30</v>
      </c>
    </row>
    <row r="693" spans="1:10" ht="43.2" x14ac:dyDescent="0.3">
      <c r="A693" t="s">
        <v>84</v>
      </c>
      <c r="B693" s="2">
        <v>45441</v>
      </c>
      <c r="C693" s="7" t="s">
        <v>36</v>
      </c>
      <c r="D693" s="8" t="s">
        <v>73</v>
      </c>
      <c r="E693" s="8" t="s">
        <v>74</v>
      </c>
      <c r="F693" s="9"/>
      <c r="G693" s="10">
        <v>85</v>
      </c>
      <c r="H693" s="10">
        <v>85</v>
      </c>
      <c r="I693" s="10">
        <v>85</v>
      </c>
      <c r="J693" s="10">
        <v>85</v>
      </c>
    </row>
    <row r="694" spans="1:10" ht="43.2" x14ac:dyDescent="0.3">
      <c r="A694" t="s">
        <v>84</v>
      </c>
      <c r="B694" s="2">
        <v>45441</v>
      </c>
      <c r="C694" s="3" t="s">
        <v>36</v>
      </c>
      <c r="D694" s="4" t="s">
        <v>37</v>
      </c>
      <c r="E694" s="4" t="s">
        <v>38</v>
      </c>
      <c r="F694" s="6">
        <v>100</v>
      </c>
      <c r="G694" s="6">
        <v>80</v>
      </c>
      <c r="H694" s="6">
        <v>100</v>
      </c>
      <c r="I694" s="6" t="s">
        <v>382</v>
      </c>
      <c r="J694" s="6">
        <v>100</v>
      </c>
    </row>
    <row r="695" spans="1:10" ht="43.2" x14ac:dyDescent="0.3">
      <c r="A695" t="s">
        <v>84</v>
      </c>
      <c r="B695" s="2">
        <v>45441</v>
      </c>
      <c r="C695" s="7" t="s">
        <v>36</v>
      </c>
      <c r="D695" s="8" t="s">
        <v>39</v>
      </c>
      <c r="E695" s="8" t="s">
        <v>40</v>
      </c>
      <c r="F695" s="10">
        <v>50</v>
      </c>
      <c r="G695" s="10">
        <v>50</v>
      </c>
      <c r="H695" s="10">
        <v>70</v>
      </c>
      <c r="I695" s="10">
        <v>60</v>
      </c>
      <c r="J695" s="10">
        <v>60</v>
      </c>
    </row>
    <row r="696" spans="1:10" ht="43.2" x14ac:dyDescent="0.3">
      <c r="A696" t="s">
        <v>84</v>
      </c>
      <c r="B696" s="2">
        <v>45441</v>
      </c>
      <c r="C696" s="3" t="s">
        <v>36</v>
      </c>
      <c r="D696" s="4" t="s">
        <v>41</v>
      </c>
      <c r="E696" s="4" t="s">
        <v>42</v>
      </c>
      <c r="F696" s="5"/>
      <c r="G696" s="6">
        <v>40</v>
      </c>
      <c r="H696" s="6">
        <v>50</v>
      </c>
      <c r="I696" s="6">
        <v>45</v>
      </c>
      <c r="J696" s="6">
        <v>45</v>
      </c>
    </row>
    <row r="697" spans="1:10" ht="43.2" x14ac:dyDescent="0.3">
      <c r="A697" t="s">
        <v>84</v>
      </c>
      <c r="B697" s="2">
        <v>45441</v>
      </c>
      <c r="C697" s="7" t="s">
        <v>36</v>
      </c>
      <c r="D697" s="8" t="s">
        <v>43</v>
      </c>
      <c r="E697" s="8" t="s">
        <v>42</v>
      </c>
      <c r="F697" s="9"/>
      <c r="G697" s="10">
        <v>100</v>
      </c>
      <c r="H697" s="10">
        <v>100</v>
      </c>
      <c r="I697" s="10">
        <v>100</v>
      </c>
      <c r="J697" s="10">
        <v>100</v>
      </c>
    </row>
    <row r="698" spans="1:10" ht="43.2" x14ac:dyDescent="0.3">
      <c r="A698" t="s">
        <v>84</v>
      </c>
      <c r="B698" s="2">
        <v>45441</v>
      </c>
      <c r="C698" s="3" t="s">
        <v>36</v>
      </c>
      <c r="D698" s="4" t="s">
        <v>44</v>
      </c>
      <c r="E698" s="4" t="s">
        <v>45</v>
      </c>
      <c r="F698" s="6">
        <v>110</v>
      </c>
      <c r="G698" s="6">
        <v>110</v>
      </c>
      <c r="H698" s="6">
        <v>140</v>
      </c>
      <c r="I698" s="6">
        <v>120</v>
      </c>
      <c r="J698" s="6">
        <v>110</v>
      </c>
    </row>
    <row r="699" spans="1:10" ht="43.2" x14ac:dyDescent="0.3">
      <c r="A699" t="s">
        <v>84</v>
      </c>
      <c r="B699" s="2">
        <v>45441</v>
      </c>
      <c r="C699" s="7" t="s">
        <v>36</v>
      </c>
      <c r="D699" s="8" t="s">
        <v>46</v>
      </c>
      <c r="E699" s="8" t="s">
        <v>40</v>
      </c>
      <c r="F699" s="9"/>
      <c r="G699" s="10">
        <v>100</v>
      </c>
      <c r="H699" s="10">
        <v>170</v>
      </c>
      <c r="I699" s="10" t="s">
        <v>420</v>
      </c>
      <c r="J699" s="10">
        <v>130</v>
      </c>
    </row>
    <row r="700" spans="1:10" ht="43.2" x14ac:dyDescent="0.3">
      <c r="A700" t="s">
        <v>84</v>
      </c>
      <c r="B700" s="2">
        <v>45441</v>
      </c>
      <c r="C700" s="3" t="s">
        <v>36</v>
      </c>
      <c r="D700" s="4" t="s">
        <v>47</v>
      </c>
      <c r="E700" s="4" t="s">
        <v>40</v>
      </c>
      <c r="F700" s="6">
        <v>70</v>
      </c>
      <c r="G700" s="6">
        <v>60</v>
      </c>
      <c r="H700" s="6">
        <v>70</v>
      </c>
      <c r="I700" s="6" t="s">
        <v>290</v>
      </c>
      <c r="J700" s="6">
        <v>70</v>
      </c>
    </row>
    <row r="701" spans="1:10" ht="43.2" x14ac:dyDescent="0.3">
      <c r="A701" t="s">
        <v>84</v>
      </c>
      <c r="B701" s="2">
        <v>45441</v>
      </c>
      <c r="C701" s="7" t="s">
        <v>36</v>
      </c>
      <c r="D701" s="8" t="s">
        <v>48</v>
      </c>
      <c r="E701" s="8" t="s">
        <v>38</v>
      </c>
      <c r="F701" s="9"/>
      <c r="G701" s="10">
        <v>110</v>
      </c>
      <c r="H701" s="10">
        <v>120</v>
      </c>
      <c r="I701" s="10">
        <v>115</v>
      </c>
      <c r="J701" s="10">
        <v>115</v>
      </c>
    </row>
    <row r="702" spans="1:10" ht="43.2" x14ac:dyDescent="0.3">
      <c r="A702" t="s">
        <v>84</v>
      </c>
      <c r="B702" s="2">
        <v>45441</v>
      </c>
      <c r="C702" s="3" t="s">
        <v>36</v>
      </c>
      <c r="D702" s="4" t="s">
        <v>49</v>
      </c>
      <c r="E702" s="4" t="s">
        <v>40</v>
      </c>
      <c r="F702" s="5"/>
      <c r="G702" s="6">
        <v>75</v>
      </c>
      <c r="H702" s="6">
        <v>75</v>
      </c>
      <c r="I702" s="6">
        <v>75</v>
      </c>
      <c r="J702" s="6">
        <v>75</v>
      </c>
    </row>
    <row r="703" spans="1:10" ht="43.2" x14ac:dyDescent="0.3">
      <c r="A703" t="s">
        <v>84</v>
      </c>
      <c r="B703" s="2">
        <v>45441</v>
      </c>
      <c r="C703" s="7" t="s">
        <v>36</v>
      </c>
      <c r="D703" s="8" t="s">
        <v>50</v>
      </c>
      <c r="E703" s="8" t="s">
        <v>38</v>
      </c>
      <c r="F703" s="9"/>
      <c r="G703" s="10">
        <v>80</v>
      </c>
      <c r="H703" s="10">
        <v>80</v>
      </c>
      <c r="I703" s="10">
        <v>80</v>
      </c>
      <c r="J703" s="10">
        <v>80</v>
      </c>
    </row>
    <row r="704" spans="1:10" ht="43.2" x14ac:dyDescent="0.3">
      <c r="A704" t="s">
        <v>84</v>
      </c>
      <c r="B704" s="2">
        <v>45441</v>
      </c>
      <c r="C704" s="3" t="s">
        <v>36</v>
      </c>
      <c r="D704" s="4" t="s">
        <v>51</v>
      </c>
      <c r="E704" s="4" t="s">
        <v>38</v>
      </c>
      <c r="F704" s="5"/>
      <c r="G704" s="6">
        <v>60</v>
      </c>
      <c r="H704" s="6">
        <v>100</v>
      </c>
      <c r="I704" s="6" t="s">
        <v>341</v>
      </c>
      <c r="J704" s="6" t="s">
        <v>322</v>
      </c>
    </row>
    <row r="705" spans="1:10" ht="43.2" x14ac:dyDescent="0.3">
      <c r="A705" t="s">
        <v>84</v>
      </c>
      <c r="B705" s="2">
        <v>45441</v>
      </c>
      <c r="C705" s="7" t="s">
        <v>36</v>
      </c>
      <c r="D705" s="8" t="s">
        <v>52</v>
      </c>
      <c r="E705" s="8" t="s">
        <v>42</v>
      </c>
      <c r="F705" s="10">
        <v>60</v>
      </c>
      <c r="G705" s="10">
        <v>50</v>
      </c>
      <c r="H705" s="10">
        <v>60</v>
      </c>
      <c r="I705" s="10" t="s">
        <v>421</v>
      </c>
      <c r="J705" s="10" t="s">
        <v>256</v>
      </c>
    </row>
    <row r="706" spans="1:10" ht="43.2" x14ac:dyDescent="0.3">
      <c r="A706" t="s">
        <v>84</v>
      </c>
      <c r="B706" s="2">
        <v>45441</v>
      </c>
      <c r="C706" s="3" t="s">
        <v>36</v>
      </c>
      <c r="D706" s="4" t="s">
        <v>53</v>
      </c>
      <c r="E706" s="4" t="s">
        <v>54</v>
      </c>
      <c r="F706" s="5"/>
      <c r="G706" s="6">
        <v>140</v>
      </c>
      <c r="H706" s="6">
        <v>150</v>
      </c>
      <c r="I706" s="6">
        <v>145</v>
      </c>
      <c r="J706" s="6">
        <v>145</v>
      </c>
    </row>
    <row r="707" spans="1:10" ht="43.2" x14ac:dyDescent="0.3">
      <c r="A707" t="s">
        <v>84</v>
      </c>
      <c r="B707" s="2">
        <v>45441</v>
      </c>
      <c r="C707" s="7" t="s">
        <v>36</v>
      </c>
      <c r="D707" s="8" t="s">
        <v>55</v>
      </c>
      <c r="E707" s="8" t="s">
        <v>38</v>
      </c>
      <c r="F707" s="9"/>
      <c r="G707" s="10">
        <v>100</v>
      </c>
      <c r="H707" s="10">
        <v>150</v>
      </c>
      <c r="I707" s="10" t="s">
        <v>433</v>
      </c>
      <c r="J707" s="10">
        <v>120</v>
      </c>
    </row>
    <row r="708" spans="1:10" ht="43.2" x14ac:dyDescent="0.3">
      <c r="A708" t="s">
        <v>84</v>
      </c>
      <c r="B708" s="2">
        <v>45441</v>
      </c>
      <c r="C708" s="3" t="s">
        <v>36</v>
      </c>
      <c r="D708" s="4" t="s">
        <v>56</v>
      </c>
      <c r="E708" s="4" t="s">
        <v>38</v>
      </c>
      <c r="F708" s="6">
        <v>200</v>
      </c>
      <c r="G708" s="6">
        <v>200</v>
      </c>
      <c r="H708" s="6">
        <v>200</v>
      </c>
      <c r="I708" s="6">
        <v>200</v>
      </c>
      <c r="J708" s="6">
        <v>200</v>
      </c>
    </row>
    <row r="709" spans="1:10" x14ac:dyDescent="0.3">
      <c r="A709" t="s">
        <v>84</v>
      </c>
      <c r="B709" s="2">
        <v>45441</v>
      </c>
      <c r="C709" s="7" t="s">
        <v>57</v>
      </c>
      <c r="D709" s="8" t="s">
        <v>58</v>
      </c>
      <c r="E709" s="8" t="s">
        <v>42</v>
      </c>
      <c r="F709" s="9"/>
      <c r="G709" s="10">
        <v>100</v>
      </c>
      <c r="H709" s="10">
        <v>100</v>
      </c>
      <c r="I709" s="10">
        <v>100</v>
      </c>
      <c r="J709" s="10">
        <v>100</v>
      </c>
    </row>
    <row r="710" spans="1:10" x14ac:dyDescent="0.3">
      <c r="A710" t="s">
        <v>84</v>
      </c>
      <c r="B710" s="2">
        <v>45441</v>
      </c>
      <c r="C710" s="3" t="s">
        <v>57</v>
      </c>
      <c r="D710" s="4" t="s">
        <v>59</v>
      </c>
      <c r="E710" s="4" t="s">
        <v>42</v>
      </c>
      <c r="F710" s="5"/>
      <c r="G710" s="6">
        <v>75</v>
      </c>
      <c r="H710" s="6">
        <v>75</v>
      </c>
      <c r="I710" s="6">
        <v>75</v>
      </c>
      <c r="J710" s="6">
        <v>75</v>
      </c>
    </row>
    <row r="711" spans="1:10" x14ac:dyDescent="0.3">
      <c r="A711" t="s">
        <v>84</v>
      </c>
      <c r="B711" s="2">
        <v>45441</v>
      </c>
      <c r="C711" s="7" t="s">
        <v>57</v>
      </c>
      <c r="D711" s="8" t="s">
        <v>60</v>
      </c>
      <c r="E711" s="8" t="s">
        <v>42</v>
      </c>
      <c r="F711" s="9"/>
      <c r="G711" s="9"/>
      <c r="H711" s="9"/>
      <c r="I711" s="9"/>
      <c r="J711" s="9"/>
    </row>
    <row r="712" spans="1:10" x14ac:dyDescent="0.3">
      <c r="A712" t="s">
        <v>84</v>
      </c>
      <c r="B712" s="2">
        <v>45441</v>
      </c>
      <c r="C712" s="3" t="s">
        <v>57</v>
      </c>
      <c r="D712" s="4" t="s">
        <v>61</v>
      </c>
      <c r="E712" s="4" t="s">
        <v>42</v>
      </c>
      <c r="F712" s="5"/>
      <c r="G712" s="6">
        <v>40</v>
      </c>
      <c r="H712" s="6">
        <v>40</v>
      </c>
      <c r="I712" s="6">
        <v>40</v>
      </c>
      <c r="J712" s="6">
        <v>40</v>
      </c>
    </row>
    <row r="713" spans="1:10" x14ac:dyDescent="0.3">
      <c r="A713" t="s">
        <v>84</v>
      </c>
      <c r="B713" s="2">
        <v>45441</v>
      </c>
      <c r="C713" s="7" t="s">
        <v>57</v>
      </c>
      <c r="D713" s="8" t="s">
        <v>62</v>
      </c>
      <c r="E713" s="8" t="s">
        <v>63</v>
      </c>
      <c r="F713" s="9"/>
      <c r="G713" s="10">
        <v>55</v>
      </c>
      <c r="H713" s="10">
        <v>55</v>
      </c>
      <c r="I713" s="10">
        <v>55</v>
      </c>
      <c r="J713" s="10">
        <v>55</v>
      </c>
    </row>
    <row r="714" spans="1:10" ht="28.8" x14ac:dyDescent="0.3">
      <c r="A714" t="s">
        <v>85</v>
      </c>
      <c r="B714" s="2">
        <v>45448</v>
      </c>
      <c r="C714" s="3" t="s">
        <v>11</v>
      </c>
      <c r="D714" s="4" t="s">
        <v>12</v>
      </c>
      <c r="E714" s="4" t="s">
        <v>13</v>
      </c>
      <c r="F714" s="6">
        <v>72</v>
      </c>
      <c r="G714" s="6">
        <v>48</v>
      </c>
      <c r="H714" s="6">
        <v>72</v>
      </c>
      <c r="I714" s="6">
        <v>64</v>
      </c>
      <c r="J714" s="6">
        <v>72</v>
      </c>
    </row>
    <row r="715" spans="1:10" ht="28.8" x14ac:dyDescent="0.3">
      <c r="A715" t="s">
        <v>85</v>
      </c>
      <c r="B715" s="2">
        <v>45448</v>
      </c>
      <c r="C715" s="7" t="s">
        <v>11</v>
      </c>
      <c r="D715" s="8" t="s">
        <v>14</v>
      </c>
      <c r="E715" s="8" t="s">
        <v>13</v>
      </c>
      <c r="F715" s="10">
        <v>84</v>
      </c>
      <c r="G715" s="10">
        <v>72</v>
      </c>
      <c r="H715" s="10">
        <v>84</v>
      </c>
      <c r="I715" s="10">
        <v>80</v>
      </c>
      <c r="J715" s="10">
        <v>84</v>
      </c>
    </row>
    <row r="716" spans="1:10" ht="28.8" x14ac:dyDescent="0.3">
      <c r="A716" t="s">
        <v>85</v>
      </c>
      <c r="B716" s="2">
        <v>45448</v>
      </c>
      <c r="C716" s="3" t="s">
        <v>11</v>
      </c>
      <c r="D716" s="4" t="s">
        <v>15</v>
      </c>
      <c r="E716" s="4" t="s">
        <v>13</v>
      </c>
      <c r="F716" s="5"/>
      <c r="G716" s="6">
        <v>36</v>
      </c>
      <c r="H716" s="6">
        <v>54</v>
      </c>
      <c r="I716" s="6">
        <v>44</v>
      </c>
      <c r="J716" s="6">
        <v>42</v>
      </c>
    </row>
    <row r="717" spans="1:10" ht="28.8" x14ac:dyDescent="0.3">
      <c r="A717" t="s">
        <v>85</v>
      </c>
      <c r="B717" s="2">
        <v>45448</v>
      </c>
      <c r="C717" s="7" t="s">
        <v>11</v>
      </c>
      <c r="D717" s="8" t="s">
        <v>16</v>
      </c>
      <c r="E717" s="8" t="s">
        <v>13</v>
      </c>
      <c r="F717" s="10">
        <v>30</v>
      </c>
      <c r="G717" s="10">
        <v>24</v>
      </c>
      <c r="H717" s="10">
        <v>30</v>
      </c>
      <c r="I717" s="10">
        <v>28</v>
      </c>
      <c r="J717" s="10">
        <v>30</v>
      </c>
    </row>
    <row r="718" spans="1:10" ht="28.8" x14ac:dyDescent="0.3">
      <c r="A718" t="s">
        <v>85</v>
      </c>
      <c r="B718" s="2">
        <v>45448</v>
      </c>
      <c r="C718" s="3" t="s">
        <v>11</v>
      </c>
      <c r="D718" s="4" t="s">
        <v>17</v>
      </c>
      <c r="E718" s="4" t="s">
        <v>13</v>
      </c>
      <c r="F718" s="6">
        <v>30</v>
      </c>
      <c r="G718" s="6">
        <v>24</v>
      </c>
      <c r="H718" s="6">
        <v>30</v>
      </c>
      <c r="I718" s="6">
        <v>28</v>
      </c>
      <c r="J718" s="6">
        <v>30</v>
      </c>
    </row>
    <row r="719" spans="1:10" ht="28.8" x14ac:dyDescent="0.3">
      <c r="A719" t="s">
        <v>85</v>
      </c>
      <c r="B719" s="2">
        <v>45448</v>
      </c>
      <c r="C719" s="7" t="s">
        <v>11</v>
      </c>
      <c r="D719" s="8" t="s">
        <v>18</v>
      </c>
      <c r="E719" s="8" t="s">
        <v>13</v>
      </c>
      <c r="F719" s="10">
        <v>60</v>
      </c>
      <c r="G719" s="10">
        <v>60</v>
      </c>
      <c r="H719" s="10">
        <v>60</v>
      </c>
      <c r="I719" s="10">
        <v>60</v>
      </c>
      <c r="J719" s="10">
        <v>60</v>
      </c>
    </row>
    <row r="720" spans="1:10" ht="28.8" x14ac:dyDescent="0.3">
      <c r="A720" t="s">
        <v>85</v>
      </c>
      <c r="B720" s="2">
        <v>45448</v>
      </c>
      <c r="C720" s="3" t="s">
        <v>11</v>
      </c>
      <c r="D720" s="4" t="s">
        <v>19</v>
      </c>
      <c r="E720" s="4" t="s">
        <v>13</v>
      </c>
      <c r="F720" s="6">
        <v>96</v>
      </c>
      <c r="G720" s="6">
        <v>96</v>
      </c>
      <c r="H720" s="6">
        <v>120</v>
      </c>
      <c r="I720" s="6">
        <v>104</v>
      </c>
      <c r="J720" s="6">
        <v>96</v>
      </c>
    </row>
    <row r="721" spans="1:10" ht="28.8" x14ac:dyDescent="0.3">
      <c r="A721" t="s">
        <v>85</v>
      </c>
      <c r="B721" s="2">
        <v>45448</v>
      </c>
      <c r="C721" s="7" t="s">
        <v>11</v>
      </c>
      <c r="D721" s="8" t="s">
        <v>20</v>
      </c>
      <c r="E721" s="8" t="s">
        <v>13</v>
      </c>
      <c r="F721" s="9"/>
      <c r="G721" s="10">
        <v>84</v>
      </c>
      <c r="H721" s="10">
        <v>120</v>
      </c>
      <c r="I721" s="10">
        <v>100</v>
      </c>
      <c r="J721" s="10">
        <v>96</v>
      </c>
    </row>
    <row r="722" spans="1:10" ht="28.8" x14ac:dyDescent="0.3">
      <c r="A722" t="s">
        <v>85</v>
      </c>
      <c r="B722" s="2">
        <v>45448</v>
      </c>
      <c r="C722" s="3" t="s">
        <v>11</v>
      </c>
      <c r="D722" s="4" t="s">
        <v>21</v>
      </c>
      <c r="E722" s="4" t="s">
        <v>13</v>
      </c>
      <c r="F722" s="6">
        <v>24</v>
      </c>
      <c r="G722" s="6">
        <v>24</v>
      </c>
      <c r="H722" s="6">
        <v>30</v>
      </c>
      <c r="I722" s="6">
        <v>26</v>
      </c>
      <c r="J722" s="6">
        <v>24</v>
      </c>
    </row>
    <row r="723" spans="1:10" ht="28.8" x14ac:dyDescent="0.3">
      <c r="A723" t="s">
        <v>85</v>
      </c>
      <c r="B723" s="2">
        <v>45448</v>
      </c>
      <c r="C723" s="7" t="s">
        <v>11</v>
      </c>
      <c r="D723" s="8" t="s">
        <v>65</v>
      </c>
      <c r="E723" s="8" t="s">
        <v>13</v>
      </c>
      <c r="F723" s="9"/>
      <c r="G723" s="10">
        <v>96</v>
      </c>
      <c r="H723" s="10">
        <v>120</v>
      </c>
      <c r="I723" s="10">
        <v>106</v>
      </c>
      <c r="J723" s="10">
        <v>102</v>
      </c>
    </row>
    <row r="724" spans="1:10" ht="28.8" x14ac:dyDescent="0.3">
      <c r="A724" t="s">
        <v>85</v>
      </c>
      <c r="B724" s="2">
        <v>45448</v>
      </c>
      <c r="C724" s="3" t="s">
        <v>11</v>
      </c>
      <c r="D724" s="4" t="s">
        <v>23</v>
      </c>
      <c r="E724" s="4" t="s">
        <v>13</v>
      </c>
      <c r="F724" s="6">
        <v>30</v>
      </c>
      <c r="G724" s="6">
        <v>24</v>
      </c>
      <c r="H724" s="6">
        <v>30</v>
      </c>
      <c r="I724" s="6">
        <v>28</v>
      </c>
      <c r="J724" s="6">
        <v>30</v>
      </c>
    </row>
    <row r="725" spans="1:10" ht="28.8" x14ac:dyDescent="0.3">
      <c r="A725" t="s">
        <v>85</v>
      </c>
      <c r="B725" s="2">
        <v>45448</v>
      </c>
      <c r="C725" s="7" t="s">
        <v>11</v>
      </c>
      <c r="D725" s="8" t="s">
        <v>24</v>
      </c>
      <c r="E725" s="8" t="s">
        <v>13</v>
      </c>
      <c r="F725" s="10">
        <v>60</v>
      </c>
      <c r="G725" s="10">
        <v>60</v>
      </c>
      <c r="H725" s="10">
        <v>84</v>
      </c>
      <c r="I725" s="10">
        <v>68</v>
      </c>
      <c r="J725" s="10">
        <v>60</v>
      </c>
    </row>
    <row r="726" spans="1:10" ht="28.8" x14ac:dyDescent="0.3">
      <c r="A726" t="s">
        <v>85</v>
      </c>
      <c r="B726" s="2">
        <v>45448</v>
      </c>
      <c r="C726" s="3" t="s">
        <v>11</v>
      </c>
      <c r="D726" s="4" t="s">
        <v>25</v>
      </c>
      <c r="E726" s="4" t="s">
        <v>26</v>
      </c>
      <c r="F726" s="6">
        <v>60</v>
      </c>
      <c r="G726" s="6">
        <v>60</v>
      </c>
      <c r="H726" s="6">
        <v>78</v>
      </c>
      <c r="I726" s="6">
        <v>66</v>
      </c>
      <c r="J726" s="6">
        <v>60</v>
      </c>
    </row>
    <row r="727" spans="1:10" ht="28.8" x14ac:dyDescent="0.3">
      <c r="A727" t="s">
        <v>85</v>
      </c>
      <c r="B727" s="2">
        <v>45448</v>
      </c>
      <c r="C727" s="7" t="s">
        <v>11</v>
      </c>
      <c r="D727" s="8" t="s">
        <v>27</v>
      </c>
      <c r="E727" s="8" t="s">
        <v>13</v>
      </c>
      <c r="F727" s="9"/>
      <c r="G727" s="10">
        <v>72</v>
      </c>
      <c r="H727" s="10">
        <v>100</v>
      </c>
      <c r="I727" s="10" t="s">
        <v>434</v>
      </c>
      <c r="J727" s="10">
        <v>84</v>
      </c>
    </row>
    <row r="728" spans="1:10" ht="28.8" x14ac:dyDescent="0.3">
      <c r="A728" t="s">
        <v>85</v>
      </c>
      <c r="B728" s="2">
        <v>45448</v>
      </c>
      <c r="C728" s="3" t="s">
        <v>11</v>
      </c>
      <c r="D728" s="4" t="s">
        <v>28</v>
      </c>
      <c r="E728" s="4" t="s">
        <v>13</v>
      </c>
      <c r="F728" s="5"/>
      <c r="G728" s="6">
        <v>48</v>
      </c>
      <c r="H728" s="6">
        <v>80</v>
      </c>
      <c r="I728" s="6">
        <v>61</v>
      </c>
      <c r="J728" s="6">
        <v>55</v>
      </c>
    </row>
    <row r="729" spans="1:10" ht="28.8" x14ac:dyDescent="0.3">
      <c r="A729" t="s">
        <v>85</v>
      </c>
      <c r="B729" s="2">
        <v>45448</v>
      </c>
      <c r="C729" s="7" t="s">
        <v>11</v>
      </c>
      <c r="D729" s="8" t="s">
        <v>29</v>
      </c>
      <c r="E729" s="8" t="s">
        <v>13</v>
      </c>
      <c r="F729" s="10">
        <v>54</v>
      </c>
      <c r="G729" s="10">
        <v>48</v>
      </c>
      <c r="H729" s="10">
        <v>54</v>
      </c>
      <c r="I729" s="10">
        <v>52</v>
      </c>
      <c r="J729" s="10">
        <v>54</v>
      </c>
    </row>
    <row r="730" spans="1:10" ht="28.8" x14ac:dyDescent="0.3">
      <c r="A730" t="s">
        <v>85</v>
      </c>
      <c r="B730" s="2">
        <v>45448</v>
      </c>
      <c r="C730" s="3" t="s">
        <v>30</v>
      </c>
      <c r="D730" s="4" t="s">
        <v>31</v>
      </c>
      <c r="E730" s="4" t="s">
        <v>32</v>
      </c>
      <c r="F730" s="6">
        <v>5</v>
      </c>
      <c r="G730" s="6">
        <v>5</v>
      </c>
      <c r="H730" s="6">
        <v>6</v>
      </c>
      <c r="I730" s="6" t="s">
        <v>435</v>
      </c>
      <c r="J730" s="6">
        <v>5</v>
      </c>
    </row>
    <row r="731" spans="1:10" ht="28.8" x14ac:dyDescent="0.3">
      <c r="A731" t="s">
        <v>85</v>
      </c>
      <c r="B731" s="2">
        <v>45448</v>
      </c>
      <c r="C731" s="7" t="s">
        <v>30</v>
      </c>
      <c r="D731" s="8" t="s">
        <v>33</v>
      </c>
      <c r="E731" s="8" t="s">
        <v>34</v>
      </c>
      <c r="F731" s="10">
        <v>20</v>
      </c>
      <c r="G731" s="10">
        <v>20</v>
      </c>
      <c r="H731" s="10">
        <v>20</v>
      </c>
      <c r="I731" s="10">
        <v>20</v>
      </c>
      <c r="J731" s="10">
        <v>20</v>
      </c>
    </row>
    <row r="732" spans="1:10" ht="28.8" x14ac:dyDescent="0.3">
      <c r="A732" t="s">
        <v>85</v>
      </c>
      <c r="B732" s="2">
        <v>45448</v>
      </c>
      <c r="C732" s="3" t="s">
        <v>30</v>
      </c>
      <c r="D732" s="4" t="s">
        <v>35</v>
      </c>
      <c r="E732" s="4" t="s">
        <v>34</v>
      </c>
      <c r="F732" s="5"/>
      <c r="G732" s="6">
        <v>25</v>
      </c>
      <c r="H732" s="6">
        <v>35</v>
      </c>
      <c r="I732" s="6">
        <v>30</v>
      </c>
      <c r="J732" s="6">
        <v>30</v>
      </c>
    </row>
    <row r="733" spans="1:10" ht="43.2" x14ac:dyDescent="0.3">
      <c r="A733" t="s">
        <v>85</v>
      </c>
      <c r="B733" s="2">
        <v>45448</v>
      </c>
      <c r="C733" s="7" t="s">
        <v>36</v>
      </c>
      <c r="D733" s="8" t="s">
        <v>73</v>
      </c>
      <c r="E733" s="8" t="s">
        <v>74</v>
      </c>
      <c r="F733" s="9"/>
      <c r="G733" s="10">
        <v>85</v>
      </c>
      <c r="H733" s="10">
        <v>95</v>
      </c>
      <c r="I733" s="10">
        <v>90</v>
      </c>
      <c r="J733" s="10">
        <v>90</v>
      </c>
    </row>
    <row r="734" spans="1:10" ht="43.2" x14ac:dyDescent="0.3">
      <c r="A734" t="s">
        <v>85</v>
      </c>
      <c r="B734" s="2">
        <v>45448</v>
      </c>
      <c r="C734" s="3" t="s">
        <v>36</v>
      </c>
      <c r="D734" s="4" t="s">
        <v>37</v>
      </c>
      <c r="E734" s="4" t="s">
        <v>38</v>
      </c>
      <c r="F734" s="6">
        <v>120</v>
      </c>
      <c r="G734" s="6">
        <v>100</v>
      </c>
      <c r="H734" s="6">
        <v>120</v>
      </c>
      <c r="I734" s="6">
        <v>116</v>
      </c>
      <c r="J734" s="6">
        <v>120</v>
      </c>
    </row>
    <row r="735" spans="1:10" ht="43.2" x14ac:dyDescent="0.3">
      <c r="A735" t="s">
        <v>85</v>
      </c>
      <c r="B735" s="2">
        <v>45448</v>
      </c>
      <c r="C735" s="7" t="s">
        <v>36</v>
      </c>
      <c r="D735" s="8" t="s">
        <v>39</v>
      </c>
      <c r="E735" s="8" t="s">
        <v>40</v>
      </c>
      <c r="F735" s="10">
        <v>60</v>
      </c>
      <c r="G735" s="10">
        <v>40</v>
      </c>
      <c r="H735" s="10">
        <v>70</v>
      </c>
      <c r="I735" s="10" t="s">
        <v>256</v>
      </c>
      <c r="J735" s="10">
        <v>60</v>
      </c>
    </row>
    <row r="736" spans="1:10" ht="43.2" x14ac:dyDescent="0.3">
      <c r="A736" t="s">
        <v>85</v>
      </c>
      <c r="B736" s="2">
        <v>45448</v>
      </c>
      <c r="C736" s="3" t="s">
        <v>36</v>
      </c>
      <c r="D736" s="4" t="s">
        <v>41</v>
      </c>
      <c r="E736" s="4" t="s">
        <v>42</v>
      </c>
      <c r="F736" s="6">
        <v>40</v>
      </c>
      <c r="G736" s="6">
        <v>35</v>
      </c>
      <c r="H736" s="6">
        <v>55</v>
      </c>
      <c r="I736" s="6" t="s">
        <v>258</v>
      </c>
      <c r="J736" s="6">
        <v>40</v>
      </c>
    </row>
    <row r="737" spans="1:10" ht="43.2" x14ac:dyDescent="0.3">
      <c r="A737" t="s">
        <v>85</v>
      </c>
      <c r="B737" s="2">
        <v>45448</v>
      </c>
      <c r="C737" s="7" t="s">
        <v>36</v>
      </c>
      <c r="D737" s="8" t="s">
        <v>43</v>
      </c>
      <c r="E737" s="8" t="s">
        <v>42</v>
      </c>
      <c r="F737" s="9"/>
      <c r="G737" s="10">
        <v>90</v>
      </c>
      <c r="H737" s="10">
        <v>110</v>
      </c>
      <c r="I737" s="10">
        <v>100</v>
      </c>
      <c r="J737" s="10">
        <v>100</v>
      </c>
    </row>
    <row r="738" spans="1:10" ht="43.2" x14ac:dyDescent="0.3">
      <c r="A738" t="s">
        <v>85</v>
      </c>
      <c r="B738" s="2">
        <v>45448</v>
      </c>
      <c r="C738" s="3" t="s">
        <v>36</v>
      </c>
      <c r="D738" s="4" t="s">
        <v>44</v>
      </c>
      <c r="E738" s="4" t="s">
        <v>45</v>
      </c>
      <c r="F738" s="6">
        <v>120</v>
      </c>
      <c r="G738" s="6">
        <v>80</v>
      </c>
      <c r="H738" s="6">
        <v>120</v>
      </c>
      <c r="I738" s="6">
        <v>110</v>
      </c>
      <c r="J738" s="6">
        <v>120</v>
      </c>
    </row>
    <row r="739" spans="1:10" ht="43.2" x14ac:dyDescent="0.3">
      <c r="A739" t="s">
        <v>85</v>
      </c>
      <c r="B739" s="2">
        <v>45448</v>
      </c>
      <c r="C739" s="7" t="s">
        <v>36</v>
      </c>
      <c r="D739" s="8" t="s">
        <v>46</v>
      </c>
      <c r="E739" s="8" t="s">
        <v>40</v>
      </c>
      <c r="F739" s="9"/>
      <c r="G739" s="10">
        <v>60</v>
      </c>
      <c r="H739" s="10">
        <v>160</v>
      </c>
      <c r="I739" s="10">
        <v>118</v>
      </c>
      <c r="J739" s="10">
        <v>130</v>
      </c>
    </row>
    <row r="740" spans="1:10" ht="43.2" x14ac:dyDescent="0.3">
      <c r="A740" t="s">
        <v>85</v>
      </c>
      <c r="B740" s="2">
        <v>45448</v>
      </c>
      <c r="C740" s="3" t="s">
        <v>36</v>
      </c>
      <c r="D740" s="4" t="s">
        <v>47</v>
      </c>
      <c r="E740" s="4" t="s">
        <v>40</v>
      </c>
      <c r="F740" s="6">
        <v>80</v>
      </c>
      <c r="G740" s="6">
        <v>75</v>
      </c>
      <c r="H740" s="6">
        <v>110</v>
      </c>
      <c r="I740" s="6">
        <v>90</v>
      </c>
      <c r="J740" s="6">
        <v>80</v>
      </c>
    </row>
    <row r="741" spans="1:10" ht="43.2" x14ac:dyDescent="0.3">
      <c r="A741" t="s">
        <v>85</v>
      </c>
      <c r="B741" s="2">
        <v>45448</v>
      </c>
      <c r="C741" s="7" t="s">
        <v>36</v>
      </c>
      <c r="D741" s="8" t="s">
        <v>48</v>
      </c>
      <c r="E741" s="8" t="s">
        <v>38</v>
      </c>
      <c r="F741" s="10">
        <v>100</v>
      </c>
      <c r="G741" s="10">
        <v>70</v>
      </c>
      <c r="H741" s="10">
        <v>100</v>
      </c>
      <c r="I741" s="10" t="s">
        <v>425</v>
      </c>
      <c r="J741" s="10">
        <v>90</v>
      </c>
    </row>
    <row r="742" spans="1:10" ht="43.2" x14ac:dyDescent="0.3">
      <c r="A742" t="s">
        <v>85</v>
      </c>
      <c r="B742" s="2">
        <v>45448</v>
      </c>
      <c r="C742" s="3" t="s">
        <v>36</v>
      </c>
      <c r="D742" s="4" t="s">
        <v>49</v>
      </c>
      <c r="E742" s="4" t="s">
        <v>40</v>
      </c>
      <c r="F742" s="5"/>
      <c r="G742" s="6">
        <v>40</v>
      </c>
      <c r="H742" s="6">
        <v>60</v>
      </c>
      <c r="I742" s="6" t="s">
        <v>436</v>
      </c>
      <c r="J742" s="6" t="s">
        <v>266</v>
      </c>
    </row>
    <row r="743" spans="1:10" ht="43.2" x14ac:dyDescent="0.3">
      <c r="A743" t="s">
        <v>85</v>
      </c>
      <c r="B743" s="2">
        <v>45448</v>
      </c>
      <c r="C743" s="7" t="s">
        <v>36</v>
      </c>
      <c r="D743" s="8" t="s">
        <v>50</v>
      </c>
      <c r="E743" s="8" t="s">
        <v>38</v>
      </c>
      <c r="F743" s="10">
        <v>70</v>
      </c>
      <c r="G743" s="10">
        <v>65</v>
      </c>
      <c r="H743" s="10">
        <v>70</v>
      </c>
      <c r="I743" s="10" t="s">
        <v>282</v>
      </c>
      <c r="J743" s="10">
        <v>70</v>
      </c>
    </row>
    <row r="744" spans="1:10" ht="43.2" x14ac:dyDescent="0.3">
      <c r="A744" t="s">
        <v>85</v>
      </c>
      <c r="B744" s="2">
        <v>45448</v>
      </c>
      <c r="C744" s="3" t="s">
        <v>36</v>
      </c>
      <c r="D744" s="4" t="s">
        <v>51</v>
      </c>
      <c r="E744" s="4" t="s">
        <v>38</v>
      </c>
      <c r="F744" s="6">
        <v>120</v>
      </c>
      <c r="G744" s="6">
        <v>100</v>
      </c>
      <c r="H744" s="6">
        <v>125</v>
      </c>
      <c r="I744" s="6" t="s">
        <v>437</v>
      </c>
      <c r="J744" s="6">
        <v>120</v>
      </c>
    </row>
    <row r="745" spans="1:10" ht="43.2" x14ac:dyDescent="0.3">
      <c r="A745" t="s">
        <v>85</v>
      </c>
      <c r="B745" s="2">
        <v>45448</v>
      </c>
      <c r="C745" s="7" t="s">
        <v>36</v>
      </c>
      <c r="D745" s="8" t="s">
        <v>52</v>
      </c>
      <c r="E745" s="8" t="s">
        <v>42</v>
      </c>
      <c r="F745" s="10">
        <v>50</v>
      </c>
      <c r="G745" s="10">
        <v>40</v>
      </c>
      <c r="H745" s="10">
        <v>80</v>
      </c>
      <c r="I745" s="10" t="s">
        <v>438</v>
      </c>
      <c r="J745" s="10">
        <v>50</v>
      </c>
    </row>
    <row r="746" spans="1:10" ht="43.2" x14ac:dyDescent="0.3">
      <c r="A746" t="s">
        <v>85</v>
      </c>
      <c r="B746" s="2">
        <v>45448</v>
      </c>
      <c r="C746" s="3" t="s">
        <v>36</v>
      </c>
      <c r="D746" s="4" t="s">
        <v>53</v>
      </c>
      <c r="E746" s="4" t="s">
        <v>54</v>
      </c>
      <c r="F746" s="5"/>
      <c r="G746" s="6">
        <v>120</v>
      </c>
      <c r="H746" s="6">
        <v>200</v>
      </c>
      <c r="I746" s="6">
        <v>160</v>
      </c>
      <c r="J746" s="6">
        <v>160</v>
      </c>
    </row>
    <row r="747" spans="1:10" ht="43.2" x14ac:dyDescent="0.3">
      <c r="A747" t="s">
        <v>85</v>
      </c>
      <c r="B747" s="2">
        <v>45448</v>
      </c>
      <c r="C747" s="7" t="s">
        <v>36</v>
      </c>
      <c r="D747" s="8" t="s">
        <v>55</v>
      </c>
      <c r="E747" s="8" t="s">
        <v>38</v>
      </c>
      <c r="F747" s="10">
        <v>130</v>
      </c>
      <c r="G747" s="10">
        <v>100</v>
      </c>
      <c r="H747" s="10">
        <v>170</v>
      </c>
      <c r="I747" s="10">
        <v>140</v>
      </c>
      <c r="J747" s="10">
        <v>140</v>
      </c>
    </row>
    <row r="748" spans="1:10" ht="43.2" x14ac:dyDescent="0.3">
      <c r="A748" t="s">
        <v>85</v>
      </c>
      <c r="B748" s="2">
        <v>45448</v>
      </c>
      <c r="C748" s="3" t="s">
        <v>36</v>
      </c>
      <c r="D748" s="4" t="s">
        <v>56</v>
      </c>
      <c r="E748" s="4" t="s">
        <v>38</v>
      </c>
      <c r="F748" s="5"/>
      <c r="G748" s="6">
        <v>120</v>
      </c>
      <c r="H748" s="6">
        <v>235</v>
      </c>
      <c r="I748" s="6" t="s">
        <v>439</v>
      </c>
      <c r="J748" s="6">
        <v>210</v>
      </c>
    </row>
    <row r="749" spans="1:10" x14ac:dyDescent="0.3">
      <c r="A749" t="s">
        <v>85</v>
      </c>
      <c r="B749" s="2">
        <v>45448</v>
      </c>
      <c r="C749" s="7" t="s">
        <v>57</v>
      </c>
      <c r="D749" s="8" t="s">
        <v>58</v>
      </c>
      <c r="E749" s="8" t="s">
        <v>42</v>
      </c>
      <c r="F749" s="9"/>
      <c r="G749" s="9"/>
      <c r="H749" s="9"/>
      <c r="I749" s="9"/>
      <c r="J749" s="9"/>
    </row>
    <row r="750" spans="1:10" x14ac:dyDescent="0.3">
      <c r="A750" t="s">
        <v>85</v>
      </c>
      <c r="B750" s="2">
        <v>45448</v>
      </c>
      <c r="C750" s="3" t="s">
        <v>57</v>
      </c>
      <c r="D750" s="4" t="s">
        <v>59</v>
      </c>
      <c r="E750" s="4" t="s">
        <v>42</v>
      </c>
      <c r="F750" s="5"/>
      <c r="G750" s="5"/>
      <c r="H750" s="5"/>
      <c r="I750" s="5"/>
      <c r="J750" s="5"/>
    </row>
    <row r="751" spans="1:10" x14ac:dyDescent="0.3">
      <c r="A751" t="s">
        <v>85</v>
      </c>
      <c r="B751" s="2">
        <v>45448</v>
      </c>
      <c r="C751" s="7" t="s">
        <v>57</v>
      </c>
      <c r="D751" s="8" t="s">
        <v>60</v>
      </c>
      <c r="E751" s="8" t="s">
        <v>42</v>
      </c>
      <c r="F751" s="9"/>
      <c r="G751" s="9"/>
      <c r="H751" s="9"/>
      <c r="I751" s="9"/>
      <c r="J751" s="9"/>
    </row>
    <row r="752" spans="1:10" x14ac:dyDescent="0.3">
      <c r="A752" t="s">
        <v>85</v>
      </c>
      <c r="B752" s="2">
        <v>45448</v>
      </c>
      <c r="C752" s="3" t="s">
        <v>57</v>
      </c>
      <c r="D752" s="4" t="s">
        <v>61</v>
      </c>
      <c r="E752" s="4" t="s">
        <v>42</v>
      </c>
      <c r="F752" s="5"/>
      <c r="G752" s="6">
        <v>50</v>
      </c>
      <c r="H752" s="6">
        <v>50</v>
      </c>
      <c r="I752" s="6">
        <v>50</v>
      </c>
      <c r="J752" s="6">
        <v>50</v>
      </c>
    </row>
    <row r="753" spans="1:10" x14ac:dyDescent="0.3">
      <c r="A753" t="s">
        <v>85</v>
      </c>
      <c r="B753" s="2">
        <v>45448</v>
      </c>
      <c r="C753" s="7" t="s">
        <v>57</v>
      </c>
      <c r="D753" s="8" t="s">
        <v>62</v>
      </c>
      <c r="E753" s="8" t="s">
        <v>63</v>
      </c>
      <c r="F753" s="10">
        <v>60</v>
      </c>
      <c r="G753" s="10">
        <v>60</v>
      </c>
      <c r="H753" s="10">
        <v>60</v>
      </c>
      <c r="I753" s="10">
        <v>60</v>
      </c>
      <c r="J753" s="10">
        <v>60</v>
      </c>
    </row>
    <row r="754" spans="1:10" ht="28.8" x14ac:dyDescent="0.3">
      <c r="A754" t="s">
        <v>86</v>
      </c>
      <c r="B754" s="2">
        <v>45455</v>
      </c>
      <c r="C754" s="3" t="s">
        <v>11</v>
      </c>
      <c r="D754" s="4" t="s">
        <v>12</v>
      </c>
      <c r="E754" s="4" t="s">
        <v>13</v>
      </c>
      <c r="F754" s="5"/>
      <c r="G754" s="5"/>
      <c r="H754" s="5"/>
      <c r="I754" s="5"/>
      <c r="J754" s="5"/>
    </row>
    <row r="755" spans="1:10" ht="28.8" x14ac:dyDescent="0.3">
      <c r="A755" t="s">
        <v>86</v>
      </c>
      <c r="B755" s="2">
        <v>45455</v>
      </c>
      <c r="C755" s="7" t="s">
        <v>11</v>
      </c>
      <c r="D755" s="8" t="s">
        <v>14</v>
      </c>
      <c r="E755" s="8" t="s">
        <v>13</v>
      </c>
      <c r="F755" s="9"/>
      <c r="G755" s="10">
        <v>60</v>
      </c>
      <c r="H755" s="10">
        <v>72</v>
      </c>
      <c r="I755" s="10">
        <v>66</v>
      </c>
      <c r="J755" s="10">
        <v>66</v>
      </c>
    </row>
    <row r="756" spans="1:10" ht="28.8" x14ac:dyDescent="0.3">
      <c r="A756" t="s">
        <v>86</v>
      </c>
      <c r="B756" s="2">
        <v>45455</v>
      </c>
      <c r="C756" s="3" t="s">
        <v>11</v>
      </c>
      <c r="D756" s="4" t="s">
        <v>15</v>
      </c>
      <c r="E756" s="4" t="s">
        <v>13</v>
      </c>
      <c r="F756" s="5"/>
      <c r="G756" s="6">
        <v>72</v>
      </c>
      <c r="H756" s="6">
        <v>84</v>
      </c>
      <c r="I756" s="6">
        <v>78</v>
      </c>
      <c r="J756" s="6">
        <v>78</v>
      </c>
    </row>
    <row r="757" spans="1:10" ht="28.8" x14ac:dyDescent="0.3">
      <c r="A757" t="s">
        <v>86</v>
      </c>
      <c r="B757" s="2">
        <v>45455</v>
      </c>
      <c r="C757" s="7" t="s">
        <v>11</v>
      </c>
      <c r="D757" s="8" t="s">
        <v>16</v>
      </c>
      <c r="E757" s="8" t="s">
        <v>13</v>
      </c>
      <c r="F757" s="9"/>
      <c r="G757" s="10">
        <v>42</v>
      </c>
      <c r="H757" s="10">
        <v>54</v>
      </c>
      <c r="I757" s="10">
        <v>48</v>
      </c>
      <c r="J757" s="10">
        <v>48</v>
      </c>
    </row>
    <row r="758" spans="1:10" ht="28.8" x14ac:dyDescent="0.3">
      <c r="A758" t="s">
        <v>86</v>
      </c>
      <c r="B758" s="2">
        <v>45455</v>
      </c>
      <c r="C758" s="3" t="s">
        <v>11</v>
      </c>
      <c r="D758" s="4" t="s">
        <v>17</v>
      </c>
      <c r="E758" s="4" t="s">
        <v>13</v>
      </c>
      <c r="F758" s="6">
        <v>30</v>
      </c>
      <c r="G758" s="6">
        <v>30</v>
      </c>
      <c r="H758" s="6">
        <v>30</v>
      </c>
      <c r="I758" s="6">
        <v>30</v>
      </c>
      <c r="J758" s="6">
        <v>30</v>
      </c>
    </row>
    <row r="759" spans="1:10" ht="28.8" x14ac:dyDescent="0.3">
      <c r="A759" t="s">
        <v>86</v>
      </c>
      <c r="B759" s="2">
        <v>45455</v>
      </c>
      <c r="C759" s="7" t="s">
        <v>11</v>
      </c>
      <c r="D759" s="8" t="s">
        <v>18</v>
      </c>
      <c r="E759" s="8" t="s">
        <v>13</v>
      </c>
      <c r="F759" s="10">
        <v>30</v>
      </c>
      <c r="G759" s="10">
        <v>30</v>
      </c>
      <c r="H759" s="10">
        <v>30</v>
      </c>
      <c r="I759" s="10">
        <v>30</v>
      </c>
      <c r="J759" s="10">
        <v>30</v>
      </c>
    </row>
    <row r="760" spans="1:10" ht="28.8" x14ac:dyDescent="0.3">
      <c r="A760" t="s">
        <v>86</v>
      </c>
      <c r="B760" s="2">
        <v>45455</v>
      </c>
      <c r="C760" s="3" t="s">
        <v>11</v>
      </c>
      <c r="D760" s="4" t="s">
        <v>19</v>
      </c>
      <c r="E760" s="4" t="s">
        <v>13</v>
      </c>
      <c r="F760" s="6">
        <v>60</v>
      </c>
      <c r="G760" s="6">
        <v>60</v>
      </c>
      <c r="H760" s="6">
        <v>60</v>
      </c>
      <c r="I760" s="6">
        <v>60</v>
      </c>
      <c r="J760" s="6">
        <v>60</v>
      </c>
    </row>
    <row r="761" spans="1:10" ht="28.8" x14ac:dyDescent="0.3">
      <c r="A761" t="s">
        <v>86</v>
      </c>
      <c r="B761" s="2">
        <v>45455</v>
      </c>
      <c r="C761" s="7" t="s">
        <v>11</v>
      </c>
      <c r="D761" s="8" t="s">
        <v>20</v>
      </c>
      <c r="E761" s="8" t="s">
        <v>13</v>
      </c>
      <c r="F761" s="10">
        <v>96</v>
      </c>
      <c r="G761" s="10">
        <v>96</v>
      </c>
      <c r="H761" s="10">
        <v>96</v>
      </c>
      <c r="I761" s="10">
        <v>96</v>
      </c>
      <c r="J761" s="10">
        <v>96</v>
      </c>
    </row>
    <row r="762" spans="1:10" ht="28.8" x14ac:dyDescent="0.3">
      <c r="A762" t="s">
        <v>86</v>
      </c>
      <c r="B762" s="2">
        <v>45455</v>
      </c>
      <c r="C762" s="3" t="s">
        <v>11</v>
      </c>
      <c r="D762" s="4" t="s">
        <v>21</v>
      </c>
      <c r="E762" s="4" t="s">
        <v>13</v>
      </c>
      <c r="F762" s="5"/>
      <c r="G762" s="6">
        <v>80</v>
      </c>
      <c r="H762" s="6">
        <v>84</v>
      </c>
      <c r="I762" s="6">
        <v>82</v>
      </c>
      <c r="J762" s="6">
        <v>82</v>
      </c>
    </row>
    <row r="763" spans="1:10" ht="28.8" x14ac:dyDescent="0.3">
      <c r="A763" t="s">
        <v>86</v>
      </c>
      <c r="B763" s="2">
        <v>45455</v>
      </c>
      <c r="C763" s="7" t="s">
        <v>11</v>
      </c>
      <c r="D763" s="8" t="s">
        <v>65</v>
      </c>
      <c r="E763" s="8" t="s">
        <v>13</v>
      </c>
      <c r="F763" s="9"/>
      <c r="G763" s="10">
        <v>25</v>
      </c>
      <c r="H763" s="10">
        <v>30</v>
      </c>
      <c r="I763" s="10" t="s">
        <v>440</v>
      </c>
      <c r="J763" s="10" t="s">
        <v>440</v>
      </c>
    </row>
    <row r="764" spans="1:10" ht="28.8" x14ac:dyDescent="0.3">
      <c r="A764" t="s">
        <v>86</v>
      </c>
      <c r="B764" s="2">
        <v>45455</v>
      </c>
      <c r="C764" s="3" t="s">
        <v>11</v>
      </c>
      <c r="D764" s="4" t="s">
        <v>23</v>
      </c>
      <c r="E764" s="4" t="s">
        <v>13</v>
      </c>
      <c r="F764" s="5"/>
      <c r="G764" s="6">
        <v>100</v>
      </c>
      <c r="H764" s="6">
        <v>108</v>
      </c>
      <c r="I764" s="6">
        <v>104</v>
      </c>
      <c r="J764" s="6">
        <v>104</v>
      </c>
    </row>
    <row r="765" spans="1:10" ht="28.8" x14ac:dyDescent="0.3">
      <c r="A765" t="s">
        <v>86</v>
      </c>
      <c r="B765" s="2">
        <v>45455</v>
      </c>
      <c r="C765" s="7" t="s">
        <v>11</v>
      </c>
      <c r="D765" s="8" t="s">
        <v>24</v>
      </c>
      <c r="E765" s="8" t="s">
        <v>13</v>
      </c>
      <c r="F765" s="10">
        <v>30</v>
      </c>
      <c r="G765" s="10">
        <v>30</v>
      </c>
      <c r="H765" s="10">
        <v>30</v>
      </c>
      <c r="I765" s="10">
        <v>30</v>
      </c>
      <c r="J765" s="10">
        <v>30</v>
      </c>
    </row>
    <row r="766" spans="1:10" ht="28.8" x14ac:dyDescent="0.3">
      <c r="A766" t="s">
        <v>86</v>
      </c>
      <c r="B766" s="2">
        <v>45455</v>
      </c>
      <c r="C766" s="3" t="s">
        <v>11</v>
      </c>
      <c r="D766" s="4" t="s">
        <v>25</v>
      </c>
      <c r="E766" s="4" t="s">
        <v>26</v>
      </c>
      <c r="F766" s="6">
        <v>72</v>
      </c>
      <c r="G766" s="6">
        <v>72</v>
      </c>
      <c r="H766" s="6">
        <v>72</v>
      </c>
      <c r="I766" s="6">
        <v>72</v>
      </c>
      <c r="J766" s="6">
        <v>72</v>
      </c>
    </row>
    <row r="767" spans="1:10" ht="28.8" x14ac:dyDescent="0.3">
      <c r="A767" t="s">
        <v>86</v>
      </c>
      <c r="B767" s="2">
        <v>45455</v>
      </c>
      <c r="C767" s="7" t="s">
        <v>11</v>
      </c>
      <c r="D767" s="8" t="s">
        <v>27</v>
      </c>
      <c r="E767" s="8" t="s">
        <v>13</v>
      </c>
      <c r="F767" s="9"/>
      <c r="G767" s="10">
        <v>60</v>
      </c>
      <c r="H767" s="10">
        <v>72</v>
      </c>
      <c r="I767" s="10">
        <v>66</v>
      </c>
      <c r="J767" s="10">
        <v>66</v>
      </c>
    </row>
    <row r="768" spans="1:10" ht="28.8" x14ac:dyDescent="0.3">
      <c r="A768" t="s">
        <v>86</v>
      </c>
      <c r="B768" s="2">
        <v>45455</v>
      </c>
      <c r="C768" s="3" t="s">
        <v>11</v>
      </c>
      <c r="D768" s="4" t="s">
        <v>28</v>
      </c>
      <c r="E768" s="4" t="s">
        <v>13</v>
      </c>
      <c r="F768" s="6">
        <v>96</v>
      </c>
      <c r="G768" s="6">
        <v>60</v>
      </c>
      <c r="H768" s="6">
        <v>96</v>
      </c>
      <c r="I768" s="6">
        <v>84</v>
      </c>
      <c r="J768" s="6">
        <v>96</v>
      </c>
    </row>
    <row r="769" spans="1:10" ht="28.8" x14ac:dyDescent="0.3">
      <c r="A769" t="s">
        <v>86</v>
      </c>
      <c r="B769" s="2">
        <v>45455</v>
      </c>
      <c r="C769" s="7" t="s">
        <v>11</v>
      </c>
      <c r="D769" s="8" t="s">
        <v>29</v>
      </c>
      <c r="E769" s="8" t="s">
        <v>13</v>
      </c>
      <c r="F769" s="9"/>
      <c r="G769" s="10">
        <v>50</v>
      </c>
      <c r="H769" s="10">
        <v>65</v>
      </c>
      <c r="I769" s="10" t="s">
        <v>441</v>
      </c>
      <c r="J769" s="10">
        <v>60</v>
      </c>
    </row>
    <row r="770" spans="1:10" ht="28.8" x14ac:dyDescent="0.3">
      <c r="A770" t="s">
        <v>86</v>
      </c>
      <c r="B770" s="2">
        <v>45455</v>
      </c>
      <c r="C770" s="3" t="s">
        <v>30</v>
      </c>
      <c r="D770" s="4" t="s">
        <v>31</v>
      </c>
      <c r="E770" s="4" t="s">
        <v>32</v>
      </c>
      <c r="F770" s="6">
        <v>5</v>
      </c>
      <c r="G770" s="6">
        <v>5</v>
      </c>
      <c r="H770" s="6">
        <v>5</v>
      </c>
      <c r="I770" s="6">
        <v>5</v>
      </c>
      <c r="J770" s="6">
        <v>5</v>
      </c>
    </row>
    <row r="771" spans="1:10" ht="28.8" x14ac:dyDescent="0.3">
      <c r="A771" t="s">
        <v>86</v>
      </c>
      <c r="B771" s="2">
        <v>45455</v>
      </c>
      <c r="C771" s="7" t="s">
        <v>30</v>
      </c>
      <c r="D771" s="8" t="s">
        <v>33</v>
      </c>
      <c r="E771" s="8" t="s">
        <v>34</v>
      </c>
      <c r="F771" s="10">
        <v>25</v>
      </c>
      <c r="G771" s="10">
        <v>25</v>
      </c>
      <c r="H771" s="10">
        <v>25</v>
      </c>
      <c r="I771" s="10">
        <v>25</v>
      </c>
      <c r="J771" s="10">
        <v>25</v>
      </c>
    </row>
    <row r="772" spans="1:10" ht="28.8" x14ac:dyDescent="0.3">
      <c r="A772" t="s">
        <v>86</v>
      </c>
      <c r="B772" s="2">
        <v>45455</v>
      </c>
      <c r="C772" s="3" t="s">
        <v>30</v>
      </c>
      <c r="D772" s="4" t="s">
        <v>35</v>
      </c>
      <c r="E772" s="4" t="s">
        <v>34</v>
      </c>
      <c r="F772" s="6">
        <v>30</v>
      </c>
      <c r="G772" s="6">
        <v>30</v>
      </c>
      <c r="H772" s="6">
        <v>30</v>
      </c>
      <c r="I772" s="6">
        <v>30</v>
      </c>
      <c r="J772" s="6">
        <v>30</v>
      </c>
    </row>
    <row r="773" spans="1:10" ht="43.2" x14ac:dyDescent="0.3">
      <c r="A773" t="s">
        <v>86</v>
      </c>
      <c r="B773" s="2">
        <v>45455</v>
      </c>
      <c r="C773" s="7" t="s">
        <v>36</v>
      </c>
      <c r="D773" s="8" t="s">
        <v>73</v>
      </c>
      <c r="E773" s="8" t="s">
        <v>74</v>
      </c>
      <c r="F773" s="9"/>
      <c r="G773" s="10">
        <v>90</v>
      </c>
      <c r="H773" s="10">
        <v>110</v>
      </c>
      <c r="I773" s="10" t="s">
        <v>442</v>
      </c>
      <c r="J773" s="10">
        <v>95</v>
      </c>
    </row>
    <row r="774" spans="1:10" ht="43.2" x14ac:dyDescent="0.3">
      <c r="A774" t="s">
        <v>86</v>
      </c>
      <c r="B774" s="2">
        <v>45455</v>
      </c>
      <c r="C774" s="3" t="s">
        <v>36</v>
      </c>
      <c r="D774" s="4" t="s">
        <v>37</v>
      </c>
      <c r="E774" s="4" t="s">
        <v>38</v>
      </c>
      <c r="F774" s="6">
        <v>90</v>
      </c>
      <c r="G774" s="6">
        <v>80</v>
      </c>
      <c r="H774" s="6">
        <v>100</v>
      </c>
      <c r="I774" s="6">
        <v>92</v>
      </c>
      <c r="J774" s="6">
        <v>90</v>
      </c>
    </row>
    <row r="775" spans="1:10" ht="43.2" x14ac:dyDescent="0.3">
      <c r="A775" t="s">
        <v>86</v>
      </c>
      <c r="B775" s="2">
        <v>45455</v>
      </c>
      <c r="C775" s="7" t="s">
        <v>36</v>
      </c>
      <c r="D775" s="8" t="s">
        <v>39</v>
      </c>
      <c r="E775" s="8" t="s">
        <v>40</v>
      </c>
      <c r="F775" s="10">
        <v>65</v>
      </c>
      <c r="G775" s="10">
        <v>48</v>
      </c>
      <c r="H775" s="10">
        <v>70</v>
      </c>
      <c r="I775" s="10">
        <v>63</v>
      </c>
      <c r="J775" s="10">
        <v>65</v>
      </c>
    </row>
    <row r="776" spans="1:10" ht="43.2" x14ac:dyDescent="0.3">
      <c r="A776" t="s">
        <v>86</v>
      </c>
      <c r="B776" s="2">
        <v>45455</v>
      </c>
      <c r="C776" s="3" t="s">
        <v>36</v>
      </c>
      <c r="D776" s="4" t="s">
        <v>41</v>
      </c>
      <c r="E776" s="4" t="s">
        <v>42</v>
      </c>
      <c r="F776" s="6">
        <v>40</v>
      </c>
      <c r="G776" s="6">
        <v>35</v>
      </c>
      <c r="H776" s="6">
        <v>60</v>
      </c>
      <c r="I776" s="6">
        <v>45</v>
      </c>
      <c r="J776" s="6" t="s">
        <v>258</v>
      </c>
    </row>
    <row r="777" spans="1:10" ht="43.2" x14ac:dyDescent="0.3">
      <c r="A777" t="s">
        <v>86</v>
      </c>
      <c r="B777" s="2">
        <v>45455</v>
      </c>
      <c r="C777" s="7" t="s">
        <v>36</v>
      </c>
      <c r="D777" s="8" t="s">
        <v>43</v>
      </c>
      <c r="E777" s="8" t="s">
        <v>42</v>
      </c>
      <c r="F777" s="9"/>
      <c r="G777" s="10">
        <v>100</v>
      </c>
      <c r="H777" s="10">
        <v>115</v>
      </c>
      <c r="I777" s="10" t="s">
        <v>443</v>
      </c>
      <c r="J777" s="10">
        <v>110</v>
      </c>
    </row>
    <row r="778" spans="1:10" ht="43.2" x14ac:dyDescent="0.3">
      <c r="A778" t="s">
        <v>86</v>
      </c>
      <c r="B778" s="2">
        <v>45455</v>
      </c>
      <c r="C778" s="3" t="s">
        <v>36</v>
      </c>
      <c r="D778" s="4" t="s">
        <v>44</v>
      </c>
      <c r="E778" s="4" t="s">
        <v>45</v>
      </c>
      <c r="F778" s="6">
        <v>120</v>
      </c>
      <c r="G778" s="6">
        <v>100</v>
      </c>
      <c r="H778" s="6">
        <v>120</v>
      </c>
      <c r="I778" s="6">
        <v>110</v>
      </c>
      <c r="J778" s="6">
        <v>110</v>
      </c>
    </row>
    <row r="779" spans="1:10" ht="43.2" x14ac:dyDescent="0.3">
      <c r="A779" t="s">
        <v>86</v>
      </c>
      <c r="B779" s="2">
        <v>45455</v>
      </c>
      <c r="C779" s="7" t="s">
        <v>36</v>
      </c>
      <c r="D779" s="8" t="s">
        <v>46</v>
      </c>
      <c r="E779" s="8" t="s">
        <v>40</v>
      </c>
      <c r="F779" s="9"/>
      <c r="G779" s="10">
        <v>90</v>
      </c>
      <c r="H779" s="10">
        <v>145</v>
      </c>
      <c r="I779" s="10" t="s">
        <v>444</v>
      </c>
      <c r="J779" s="10">
        <v>125</v>
      </c>
    </row>
    <row r="780" spans="1:10" ht="43.2" x14ac:dyDescent="0.3">
      <c r="A780" t="s">
        <v>86</v>
      </c>
      <c r="B780" s="2">
        <v>45455</v>
      </c>
      <c r="C780" s="3" t="s">
        <v>36</v>
      </c>
      <c r="D780" s="4" t="s">
        <v>47</v>
      </c>
      <c r="E780" s="4" t="s">
        <v>40</v>
      </c>
      <c r="F780" s="6">
        <v>80</v>
      </c>
      <c r="G780" s="6">
        <v>60</v>
      </c>
      <c r="H780" s="6">
        <v>80</v>
      </c>
      <c r="I780" s="6">
        <v>74</v>
      </c>
      <c r="J780" s="6">
        <v>75</v>
      </c>
    </row>
    <row r="781" spans="1:10" ht="43.2" x14ac:dyDescent="0.3">
      <c r="A781" t="s">
        <v>86</v>
      </c>
      <c r="B781" s="2">
        <v>45455</v>
      </c>
      <c r="C781" s="7" t="s">
        <v>36</v>
      </c>
      <c r="D781" s="8" t="s">
        <v>48</v>
      </c>
      <c r="E781" s="8" t="s">
        <v>38</v>
      </c>
      <c r="F781" s="9"/>
      <c r="G781" s="10">
        <v>90</v>
      </c>
      <c r="H781" s="10">
        <v>130</v>
      </c>
      <c r="I781" s="10">
        <v>110</v>
      </c>
      <c r="J781" s="10">
        <v>110</v>
      </c>
    </row>
    <row r="782" spans="1:10" ht="43.2" x14ac:dyDescent="0.3">
      <c r="A782" t="s">
        <v>86</v>
      </c>
      <c r="B782" s="2">
        <v>45455</v>
      </c>
      <c r="C782" s="3" t="s">
        <v>36</v>
      </c>
      <c r="D782" s="4" t="s">
        <v>49</v>
      </c>
      <c r="E782" s="4" t="s">
        <v>40</v>
      </c>
      <c r="F782" s="6">
        <v>70</v>
      </c>
      <c r="G782" s="6">
        <v>35</v>
      </c>
      <c r="H782" s="6">
        <v>70</v>
      </c>
      <c r="I782" s="6" t="s">
        <v>280</v>
      </c>
      <c r="J782" s="6">
        <v>55</v>
      </c>
    </row>
    <row r="783" spans="1:10" ht="43.2" x14ac:dyDescent="0.3">
      <c r="A783" t="s">
        <v>86</v>
      </c>
      <c r="B783" s="2">
        <v>45455</v>
      </c>
      <c r="C783" s="7" t="s">
        <v>36</v>
      </c>
      <c r="D783" s="8" t="s">
        <v>50</v>
      </c>
      <c r="E783" s="8" t="s">
        <v>38</v>
      </c>
      <c r="F783" s="9"/>
      <c r="G783" s="10">
        <v>70</v>
      </c>
      <c r="H783" s="10">
        <v>90</v>
      </c>
      <c r="I783" s="10" t="s">
        <v>445</v>
      </c>
      <c r="J783" s="10">
        <v>75</v>
      </c>
    </row>
    <row r="784" spans="1:10" ht="43.2" x14ac:dyDescent="0.3">
      <c r="A784" t="s">
        <v>86</v>
      </c>
      <c r="B784" s="2">
        <v>45455</v>
      </c>
      <c r="C784" s="3" t="s">
        <v>36</v>
      </c>
      <c r="D784" s="4" t="s">
        <v>51</v>
      </c>
      <c r="E784" s="4" t="s">
        <v>38</v>
      </c>
      <c r="F784" s="6">
        <v>110</v>
      </c>
      <c r="G784" s="6">
        <v>90</v>
      </c>
      <c r="H784" s="6">
        <v>130</v>
      </c>
      <c r="I784" s="6" t="s">
        <v>446</v>
      </c>
      <c r="J784" s="6">
        <v>105</v>
      </c>
    </row>
    <row r="785" spans="1:10" ht="43.2" x14ac:dyDescent="0.3">
      <c r="A785" t="s">
        <v>86</v>
      </c>
      <c r="B785" s="2">
        <v>45455</v>
      </c>
      <c r="C785" s="7" t="s">
        <v>36</v>
      </c>
      <c r="D785" s="8" t="s">
        <v>52</v>
      </c>
      <c r="E785" s="8" t="s">
        <v>42</v>
      </c>
      <c r="F785" s="10">
        <v>60</v>
      </c>
      <c r="G785" s="10">
        <v>45</v>
      </c>
      <c r="H785" s="10">
        <v>60</v>
      </c>
      <c r="I785" s="10">
        <v>54</v>
      </c>
      <c r="J785" s="10">
        <v>55</v>
      </c>
    </row>
    <row r="786" spans="1:10" ht="43.2" x14ac:dyDescent="0.3">
      <c r="A786" t="s">
        <v>86</v>
      </c>
      <c r="B786" s="2">
        <v>45455</v>
      </c>
      <c r="C786" s="3" t="s">
        <v>36</v>
      </c>
      <c r="D786" s="4" t="s">
        <v>53</v>
      </c>
      <c r="E786" s="4" t="s">
        <v>54</v>
      </c>
      <c r="F786" s="6">
        <v>200</v>
      </c>
      <c r="G786" s="6">
        <v>100</v>
      </c>
      <c r="H786" s="6">
        <v>200</v>
      </c>
      <c r="I786" s="6">
        <v>160</v>
      </c>
      <c r="J786" s="6">
        <v>160</v>
      </c>
    </row>
    <row r="787" spans="1:10" ht="43.2" x14ac:dyDescent="0.3">
      <c r="A787" t="s">
        <v>86</v>
      </c>
      <c r="B787" s="2">
        <v>45455</v>
      </c>
      <c r="C787" s="7" t="s">
        <v>36</v>
      </c>
      <c r="D787" s="8" t="s">
        <v>55</v>
      </c>
      <c r="E787" s="8" t="s">
        <v>38</v>
      </c>
      <c r="F787" s="10">
        <v>180</v>
      </c>
      <c r="G787" s="10">
        <v>120</v>
      </c>
      <c r="H787" s="10">
        <v>180</v>
      </c>
      <c r="I787" s="10">
        <v>158</v>
      </c>
      <c r="J787" s="10">
        <v>160</v>
      </c>
    </row>
    <row r="788" spans="1:10" ht="43.2" x14ac:dyDescent="0.3">
      <c r="A788" t="s">
        <v>86</v>
      </c>
      <c r="B788" s="2">
        <v>45455</v>
      </c>
      <c r="C788" s="3" t="s">
        <v>36</v>
      </c>
      <c r="D788" s="4" t="s">
        <v>56</v>
      </c>
      <c r="E788" s="4" t="s">
        <v>38</v>
      </c>
      <c r="F788" s="5"/>
      <c r="G788" s="6">
        <v>200</v>
      </c>
      <c r="H788" s="6">
        <v>250</v>
      </c>
      <c r="I788" s="6" t="s">
        <v>447</v>
      </c>
      <c r="J788" s="6">
        <v>220</v>
      </c>
    </row>
    <row r="789" spans="1:10" x14ac:dyDescent="0.3">
      <c r="A789" t="s">
        <v>86</v>
      </c>
      <c r="B789" s="2">
        <v>45455</v>
      </c>
      <c r="C789" s="7" t="s">
        <v>57</v>
      </c>
      <c r="D789" s="8" t="s">
        <v>58</v>
      </c>
      <c r="E789" s="8" t="s">
        <v>42</v>
      </c>
      <c r="F789" s="9"/>
      <c r="G789" s="10">
        <v>110</v>
      </c>
      <c r="H789" s="10">
        <v>110</v>
      </c>
      <c r="I789" s="10">
        <v>110</v>
      </c>
      <c r="J789" s="10">
        <v>110</v>
      </c>
    </row>
    <row r="790" spans="1:10" x14ac:dyDescent="0.3">
      <c r="A790" t="s">
        <v>86</v>
      </c>
      <c r="B790" s="2">
        <v>45455</v>
      </c>
      <c r="C790" s="3" t="s">
        <v>57</v>
      </c>
      <c r="D790" s="4" t="s">
        <v>59</v>
      </c>
      <c r="E790" s="4" t="s">
        <v>42</v>
      </c>
      <c r="F790" s="5"/>
      <c r="G790" s="6">
        <v>110</v>
      </c>
      <c r="H790" s="6">
        <v>110</v>
      </c>
      <c r="I790" s="6">
        <v>110</v>
      </c>
      <c r="J790" s="6">
        <v>110</v>
      </c>
    </row>
    <row r="791" spans="1:10" x14ac:dyDescent="0.3">
      <c r="A791" t="s">
        <v>86</v>
      </c>
      <c r="B791" s="2">
        <v>45455</v>
      </c>
      <c r="C791" s="7" t="s">
        <v>57</v>
      </c>
      <c r="D791" s="8" t="s">
        <v>60</v>
      </c>
      <c r="E791" s="8" t="s">
        <v>42</v>
      </c>
      <c r="F791" s="9"/>
      <c r="G791" s="9"/>
      <c r="H791" s="9"/>
      <c r="I791" s="9"/>
      <c r="J791" s="9"/>
    </row>
    <row r="792" spans="1:10" x14ac:dyDescent="0.3">
      <c r="A792" t="s">
        <v>86</v>
      </c>
      <c r="B792" s="2">
        <v>45455</v>
      </c>
      <c r="C792" s="3" t="s">
        <v>57</v>
      </c>
      <c r="D792" s="4" t="s">
        <v>61</v>
      </c>
      <c r="E792" s="4" t="s">
        <v>42</v>
      </c>
      <c r="F792" s="5"/>
      <c r="G792" s="6">
        <v>48</v>
      </c>
      <c r="H792" s="6">
        <v>48</v>
      </c>
      <c r="I792" s="6">
        <v>48</v>
      </c>
      <c r="J792" s="6">
        <v>48</v>
      </c>
    </row>
    <row r="793" spans="1:10" x14ac:dyDescent="0.3">
      <c r="A793" t="s">
        <v>86</v>
      </c>
      <c r="B793" s="2">
        <v>45455</v>
      </c>
      <c r="C793" s="7" t="s">
        <v>57</v>
      </c>
      <c r="D793" s="8" t="s">
        <v>62</v>
      </c>
      <c r="E793" s="8" t="s">
        <v>63</v>
      </c>
      <c r="F793" s="9"/>
      <c r="G793" s="10">
        <v>65</v>
      </c>
      <c r="H793" s="10">
        <v>65</v>
      </c>
      <c r="I793" s="10">
        <v>65</v>
      </c>
      <c r="J793" s="10">
        <v>65</v>
      </c>
    </row>
    <row r="794" spans="1:10" ht="28.8" x14ac:dyDescent="0.3">
      <c r="A794" t="s">
        <v>87</v>
      </c>
      <c r="B794" s="2">
        <v>45462</v>
      </c>
      <c r="C794" s="3" t="s">
        <v>11</v>
      </c>
      <c r="D794" s="4" t="s">
        <v>12</v>
      </c>
      <c r="E794" s="4" t="s">
        <v>13</v>
      </c>
      <c r="F794" s="5"/>
      <c r="G794" s="6">
        <v>48</v>
      </c>
      <c r="H794" s="6">
        <v>60</v>
      </c>
      <c r="I794" s="6">
        <v>54</v>
      </c>
      <c r="J794" s="6">
        <v>54</v>
      </c>
    </row>
    <row r="795" spans="1:10" ht="28.8" x14ac:dyDescent="0.3">
      <c r="A795" t="s">
        <v>87</v>
      </c>
      <c r="B795" s="2">
        <v>45462</v>
      </c>
      <c r="C795" s="7" t="s">
        <v>11</v>
      </c>
      <c r="D795" s="8" t="s">
        <v>14</v>
      </c>
      <c r="E795" s="8" t="s">
        <v>13</v>
      </c>
      <c r="F795" s="10">
        <v>84</v>
      </c>
      <c r="G795" s="10">
        <v>84</v>
      </c>
      <c r="H795" s="10">
        <v>84</v>
      </c>
      <c r="I795" s="10">
        <v>84</v>
      </c>
      <c r="J795" s="10">
        <v>84</v>
      </c>
    </row>
    <row r="796" spans="1:10" ht="28.8" x14ac:dyDescent="0.3">
      <c r="A796" t="s">
        <v>87</v>
      </c>
      <c r="B796" s="2">
        <v>45462</v>
      </c>
      <c r="C796" s="3" t="s">
        <v>11</v>
      </c>
      <c r="D796" s="4" t="s">
        <v>15</v>
      </c>
      <c r="E796" s="4" t="s">
        <v>13</v>
      </c>
      <c r="F796" s="5"/>
      <c r="G796" s="6">
        <v>36</v>
      </c>
      <c r="H796" s="6">
        <v>42</v>
      </c>
      <c r="I796" s="6">
        <v>39</v>
      </c>
      <c r="J796" s="6">
        <v>39</v>
      </c>
    </row>
    <row r="797" spans="1:10" ht="28.8" x14ac:dyDescent="0.3">
      <c r="A797" t="s">
        <v>87</v>
      </c>
      <c r="B797" s="2">
        <v>45462</v>
      </c>
      <c r="C797" s="7" t="s">
        <v>11</v>
      </c>
      <c r="D797" s="8" t="s">
        <v>16</v>
      </c>
      <c r="E797" s="8" t="s">
        <v>13</v>
      </c>
      <c r="F797" s="9"/>
      <c r="G797" s="10">
        <v>20</v>
      </c>
      <c r="H797" s="10">
        <v>24</v>
      </c>
      <c r="I797" s="10">
        <v>22</v>
      </c>
      <c r="J797" s="10">
        <v>22</v>
      </c>
    </row>
    <row r="798" spans="1:10" ht="28.8" x14ac:dyDescent="0.3">
      <c r="A798" t="s">
        <v>87</v>
      </c>
      <c r="B798" s="2">
        <v>45462</v>
      </c>
      <c r="C798" s="3" t="s">
        <v>11</v>
      </c>
      <c r="D798" s="4" t="s">
        <v>17</v>
      </c>
      <c r="E798" s="4" t="s">
        <v>13</v>
      </c>
      <c r="F798" s="5"/>
      <c r="G798" s="6">
        <v>20</v>
      </c>
      <c r="H798" s="6">
        <v>24</v>
      </c>
      <c r="I798" s="6">
        <v>22</v>
      </c>
      <c r="J798" s="6">
        <v>22</v>
      </c>
    </row>
    <row r="799" spans="1:10" ht="28.8" x14ac:dyDescent="0.3">
      <c r="A799" t="s">
        <v>87</v>
      </c>
      <c r="B799" s="2">
        <v>45462</v>
      </c>
      <c r="C799" s="7" t="s">
        <v>11</v>
      </c>
      <c r="D799" s="8" t="s">
        <v>18</v>
      </c>
      <c r="E799" s="8" t="s">
        <v>13</v>
      </c>
      <c r="F799" s="10">
        <v>60</v>
      </c>
      <c r="G799" s="10">
        <v>60</v>
      </c>
      <c r="H799" s="10">
        <v>60</v>
      </c>
      <c r="I799" s="10">
        <v>60</v>
      </c>
      <c r="J799" s="10">
        <v>60</v>
      </c>
    </row>
    <row r="800" spans="1:10" ht="28.8" x14ac:dyDescent="0.3">
      <c r="A800" t="s">
        <v>87</v>
      </c>
      <c r="B800" s="2">
        <v>45462</v>
      </c>
      <c r="C800" s="3" t="s">
        <v>11</v>
      </c>
      <c r="D800" s="4" t="s">
        <v>19</v>
      </c>
      <c r="E800" s="4" t="s">
        <v>13</v>
      </c>
      <c r="F800" s="5"/>
      <c r="G800" s="6">
        <v>90</v>
      </c>
      <c r="H800" s="6">
        <v>96</v>
      </c>
      <c r="I800" s="6">
        <v>93</v>
      </c>
      <c r="J800" s="6">
        <v>93</v>
      </c>
    </row>
    <row r="801" spans="1:10" ht="28.8" x14ac:dyDescent="0.3">
      <c r="A801" t="s">
        <v>87</v>
      </c>
      <c r="B801" s="2">
        <v>45462</v>
      </c>
      <c r="C801" s="7" t="s">
        <v>11</v>
      </c>
      <c r="D801" s="8" t="s">
        <v>20</v>
      </c>
      <c r="E801" s="8" t="s">
        <v>13</v>
      </c>
      <c r="F801" s="10">
        <v>84</v>
      </c>
      <c r="G801" s="10">
        <v>84</v>
      </c>
      <c r="H801" s="10">
        <v>84</v>
      </c>
      <c r="I801" s="10">
        <v>84</v>
      </c>
      <c r="J801" s="10">
        <v>84</v>
      </c>
    </row>
    <row r="802" spans="1:10" ht="28.8" x14ac:dyDescent="0.3">
      <c r="A802" t="s">
        <v>87</v>
      </c>
      <c r="B802" s="2">
        <v>45462</v>
      </c>
      <c r="C802" s="3" t="s">
        <v>11</v>
      </c>
      <c r="D802" s="4" t="s">
        <v>21</v>
      </c>
      <c r="E802" s="4" t="s">
        <v>13</v>
      </c>
      <c r="F802" s="5"/>
      <c r="G802" s="6">
        <v>24</v>
      </c>
      <c r="H802" s="6">
        <v>30</v>
      </c>
      <c r="I802" s="6">
        <v>27</v>
      </c>
      <c r="J802" s="6">
        <v>27</v>
      </c>
    </row>
    <row r="803" spans="1:10" ht="28.8" x14ac:dyDescent="0.3">
      <c r="A803" t="s">
        <v>87</v>
      </c>
      <c r="B803" s="2">
        <v>45462</v>
      </c>
      <c r="C803" s="7" t="s">
        <v>11</v>
      </c>
      <c r="D803" s="8" t="s">
        <v>65</v>
      </c>
      <c r="E803" s="8" t="s">
        <v>13</v>
      </c>
      <c r="F803" s="9"/>
      <c r="G803" s="10">
        <v>96</v>
      </c>
      <c r="H803" s="10">
        <v>108</v>
      </c>
      <c r="I803" s="10">
        <v>102</v>
      </c>
      <c r="J803" s="10">
        <v>102</v>
      </c>
    </row>
    <row r="804" spans="1:10" ht="28.8" x14ac:dyDescent="0.3">
      <c r="A804" t="s">
        <v>87</v>
      </c>
      <c r="B804" s="2">
        <v>45462</v>
      </c>
      <c r="C804" s="3" t="s">
        <v>11</v>
      </c>
      <c r="D804" s="4" t="s">
        <v>23</v>
      </c>
      <c r="E804" s="4" t="s">
        <v>13</v>
      </c>
      <c r="F804" s="5"/>
      <c r="G804" s="6">
        <v>20</v>
      </c>
      <c r="H804" s="6">
        <v>24</v>
      </c>
      <c r="I804" s="6">
        <v>22</v>
      </c>
      <c r="J804" s="6">
        <v>22</v>
      </c>
    </row>
    <row r="805" spans="1:10" ht="28.8" x14ac:dyDescent="0.3">
      <c r="A805" t="s">
        <v>87</v>
      </c>
      <c r="B805" s="2">
        <v>45462</v>
      </c>
      <c r="C805" s="7" t="s">
        <v>11</v>
      </c>
      <c r="D805" s="8" t="s">
        <v>24</v>
      </c>
      <c r="E805" s="8" t="s">
        <v>13</v>
      </c>
      <c r="F805" s="9"/>
      <c r="G805" s="10">
        <v>72</v>
      </c>
      <c r="H805" s="10">
        <v>78</v>
      </c>
      <c r="I805" s="10">
        <v>75</v>
      </c>
      <c r="J805" s="10">
        <v>75</v>
      </c>
    </row>
    <row r="806" spans="1:10" ht="28.8" x14ac:dyDescent="0.3">
      <c r="A806" t="s">
        <v>87</v>
      </c>
      <c r="B806" s="2">
        <v>45462</v>
      </c>
      <c r="C806" s="3" t="s">
        <v>11</v>
      </c>
      <c r="D806" s="4" t="s">
        <v>25</v>
      </c>
      <c r="E806" s="4" t="s">
        <v>26</v>
      </c>
      <c r="F806" s="6">
        <v>60</v>
      </c>
      <c r="G806" s="6">
        <v>60</v>
      </c>
      <c r="H806" s="6">
        <v>60</v>
      </c>
      <c r="I806" s="6">
        <v>60</v>
      </c>
      <c r="J806" s="6">
        <v>60</v>
      </c>
    </row>
    <row r="807" spans="1:10" ht="28.8" x14ac:dyDescent="0.3">
      <c r="A807" t="s">
        <v>87</v>
      </c>
      <c r="B807" s="2">
        <v>45462</v>
      </c>
      <c r="C807" s="7" t="s">
        <v>11</v>
      </c>
      <c r="D807" s="8" t="s">
        <v>27</v>
      </c>
      <c r="E807" s="8" t="s">
        <v>13</v>
      </c>
      <c r="F807" s="9"/>
      <c r="G807" s="10">
        <v>66</v>
      </c>
      <c r="H807" s="10">
        <v>72</v>
      </c>
      <c r="I807" s="10">
        <v>69</v>
      </c>
      <c r="J807" s="10">
        <v>69</v>
      </c>
    </row>
    <row r="808" spans="1:10" ht="28.8" x14ac:dyDescent="0.3">
      <c r="A808" t="s">
        <v>87</v>
      </c>
      <c r="B808" s="2">
        <v>45462</v>
      </c>
      <c r="C808" s="3" t="s">
        <v>11</v>
      </c>
      <c r="D808" s="4" t="s">
        <v>28</v>
      </c>
      <c r="E808" s="4" t="s">
        <v>13</v>
      </c>
      <c r="F808" s="5"/>
      <c r="G808" s="6">
        <v>45</v>
      </c>
      <c r="H808" s="6">
        <v>48</v>
      </c>
      <c r="I808" s="6" t="s">
        <v>360</v>
      </c>
      <c r="J808" s="6" t="s">
        <v>360</v>
      </c>
    </row>
    <row r="809" spans="1:10" ht="28.8" x14ac:dyDescent="0.3">
      <c r="A809" t="s">
        <v>87</v>
      </c>
      <c r="B809" s="2">
        <v>45462</v>
      </c>
      <c r="C809" s="7" t="s">
        <v>11</v>
      </c>
      <c r="D809" s="8" t="s">
        <v>29</v>
      </c>
      <c r="E809" s="8" t="s">
        <v>13</v>
      </c>
      <c r="F809" s="9"/>
      <c r="G809" s="10">
        <v>48</v>
      </c>
      <c r="H809" s="10">
        <v>54</v>
      </c>
      <c r="I809" s="10">
        <v>51</v>
      </c>
      <c r="J809" s="10">
        <v>51</v>
      </c>
    </row>
    <row r="810" spans="1:10" ht="28.8" x14ac:dyDescent="0.3">
      <c r="A810" t="s">
        <v>87</v>
      </c>
      <c r="B810" s="2">
        <v>45462</v>
      </c>
      <c r="C810" s="3" t="s">
        <v>30</v>
      </c>
      <c r="D810" s="4" t="s">
        <v>31</v>
      </c>
      <c r="E810" s="4" t="s">
        <v>32</v>
      </c>
      <c r="F810" s="6">
        <v>5</v>
      </c>
      <c r="G810" s="6">
        <v>5</v>
      </c>
      <c r="H810" s="6">
        <v>5</v>
      </c>
      <c r="I810" s="6">
        <v>5</v>
      </c>
      <c r="J810" s="6">
        <v>5</v>
      </c>
    </row>
    <row r="811" spans="1:10" ht="28.8" x14ac:dyDescent="0.3">
      <c r="A811" t="s">
        <v>87</v>
      </c>
      <c r="B811" s="2">
        <v>45462</v>
      </c>
      <c r="C811" s="7" t="s">
        <v>30</v>
      </c>
      <c r="D811" s="8" t="s">
        <v>33</v>
      </c>
      <c r="E811" s="8" t="s">
        <v>34</v>
      </c>
      <c r="F811" s="10">
        <v>20</v>
      </c>
      <c r="G811" s="10">
        <v>20</v>
      </c>
      <c r="H811" s="10">
        <v>20</v>
      </c>
      <c r="I811" s="10">
        <v>20</v>
      </c>
      <c r="J811" s="10">
        <v>20</v>
      </c>
    </row>
    <row r="812" spans="1:10" ht="28.8" x14ac:dyDescent="0.3">
      <c r="A812" t="s">
        <v>87</v>
      </c>
      <c r="B812" s="2">
        <v>45462</v>
      </c>
      <c r="C812" s="3" t="s">
        <v>30</v>
      </c>
      <c r="D812" s="4" t="s">
        <v>35</v>
      </c>
      <c r="E812" s="4" t="s">
        <v>34</v>
      </c>
      <c r="F812" s="5"/>
      <c r="G812" s="6">
        <v>25</v>
      </c>
      <c r="H812" s="6">
        <v>35</v>
      </c>
      <c r="I812" s="6">
        <v>30</v>
      </c>
      <c r="J812" s="6">
        <v>30</v>
      </c>
    </row>
    <row r="813" spans="1:10" ht="43.2" x14ac:dyDescent="0.3">
      <c r="A813" t="s">
        <v>87</v>
      </c>
      <c r="B813" s="2">
        <v>45462</v>
      </c>
      <c r="C813" s="7" t="s">
        <v>36</v>
      </c>
      <c r="D813" s="8" t="s">
        <v>73</v>
      </c>
      <c r="E813" s="8" t="s">
        <v>74</v>
      </c>
      <c r="F813" s="9"/>
      <c r="G813" s="10">
        <v>80</v>
      </c>
      <c r="H813" s="10">
        <v>95</v>
      </c>
      <c r="I813" s="10" t="s">
        <v>425</v>
      </c>
      <c r="J813" s="10" t="s">
        <v>425</v>
      </c>
    </row>
    <row r="814" spans="1:10" ht="43.2" x14ac:dyDescent="0.3">
      <c r="A814" t="s">
        <v>87</v>
      </c>
      <c r="B814" s="2">
        <v>45462</v>
      </c>
      <c r="C814" s="3" t="s">
        <v>36</v>
      </c>
      <c r="D814" s="4" t="s">
        <v>37</v>
      </c>
      <c r="E814" s="4" t="s">
        <v>38</v>
      </c>
      <c r="F814" s="6">
        <v>50</v>
      </c>
      <c r="G814" s="6">
        <v>50</v>
      </c>
      <c r="H814" s="6">
        <v>60</v>
      </c>
      <c r="I814" s="6">
        <v>54</v>
      </c>
      <c r="J814" s="6">
        <v>50</v>
      </c>
    </row>
    <row r="815" spans="1:10" ht="43.2" x14ac:dyDescent="0.3">
      <c r="A815" t="s">
        <v>87</v>
      </c>
      <c r="B815" s="2">
        <v>45462</v>
      </c>
      <c r="C815" s="7" t="s">
        <v>36</v>
      </c>
      <c r="D815" s="8" t="s">
        <v>39</v>
      </c>
      <c r="E815" s="8" t="s">
        <v>40</v>
      </c>
      <c r="F815" s="10">
        <v>65</v>
      </c>
      <c r="G815" s="10">
        <v>45</v>
      </c>
      <c r="H815" s="10">
        <v>65</v>
      </c>
      <c r="I815" s="10">
        <v>57</v>
      </c>
      <c r="J815" s="10">
        <v>60</v>
      </c>
    </row>
    <row r="816" spans="1:10" ht="43.2" x14ac:dyDescent="0.3">
      <c r="A816" t="s">
        <v>87</v>
      </c>
      <c r="B816" s="2">
        <v>45462</v>
      </c>
      <c r="C816" s="3" t="s">
        <v>36</v>
      </c>
      <c r="D816" s="4" t="s">
        <v>41</v>
      </c>
      <c r="E816" s="4" t="s">
        <v>42</v>
      </c>
      <c r="F816" s="5"/>
      <c r="G816" s="6">
        <v>40</v>
      </c>
      <c r="H816" s="6">
        <v>55</v>
      </c>
      <c r="I816" s="6" t="s">
        <v>279</v>
      </c>
      <c r="J816" s="6" t="s">
        <v>279</v>
      </c>
    </row>
    <row r="817" spans="1:10" ht="43.2" x14ac:dyDescent="0.3">
      <c r="A817" t="s">
        <v>87</v>
      </c>
      <c r="B817" s="2">
        <v>45462</v>
      </c>
      <c r="C817" s="7" t="s">
        <v>36</v>
      </c>
      <c r="D817" s="8" t="s">
        <v>43</v>
      </c>
      <c r="E817" s="8" t="s">
        <v>42</v>
      </c>
      <c r="F817" s="9"/>
      <c r="G817" s="10">
        <v>90</v>
      </c>
      <c r="H817" s="10">
        <v>110</v>
      </c>
      <c r="I817" s="10">
        <v>100</v>
      </c>
      <c r="J817" s="10">
        <v>100</v>
      </c>
    </row>
    <row r="818" spans="1:10" ht="43.2" x14ac:dyDescent="0.3">
      <c r="A818" t="s">
        <v>87</v>
      </c>
      <c r="B818" s="2">
        <v>45462</v>
      </c>
      <c r="C818" s="3" t="s">
        <v>36</v>
      </c>
      <c r="D818" s="4" t="s">
        <v>44</v>
      </c>
      <c r="E818" s="4" t="s">
        <v>45</v>
      </c>
      <c r="F818" s="6">
        <v>110</v>
      </c>
      <c r="G818" s="6">
        <v>90</v>
      </c>
      <c r="H818" s="6">
        <v>110</v>
      </c>
      <c r="I818" s="6" t="s">
        <v>369</v>
      </c>
      <c r="J818" s="6">
        <v>105</v>
      </c>
    </row>
    <row r="819" spans="1:10" ht="43.2" x14ac:dyDescent="0.3">
      <c r="A819" t="s">
        <v>87</v>
      </c>
      <c r="B819" s="2">
        <v>45462</v>
      </c>
      <c r="C819" s="7" t="s">
        <v>36</v>
      </c>
      <c r="D819" s="8" t="s">
        <v>46</v>
      </c>
      <c r="E819" s="8" t="s">
        <v>40</v>
      </c>
      <c r="F819" s="10">
        <v>80</v>
      </c>
      <c r="G819" s="10">
        <v>70</v>
      </c>
      <c r="H819" s="10">
        <v>100</v>
      </c>
      <c r="I819" s="10">
        <v>84</v>
      </c>
      <c r="J819" s="10">
        <v>80</v>
      </c>
    </row>
    <row r="820" spans="1:10" ht="43.2" x14ac:dyDescent="0.3">
      <c r="A820" t="s">
        <v>87</v>
      </c>
      <c r="B820" s="2">
        <v>45462</v>
      </c>
      <c r="C820" s="3" t="s">
        <v>36</v>
      </c>
      <c r="D820" s="4" t="s">
        <v>47</v>
      </c>
      <c r="E820" s="4" t="s">
        <v>40</v>
      </c>
      <c r="F820" s="5"/>
      <c r="G820" s="6">
        <v>50</v>
      </c>
      <c r="H820" s="6">
        <v>85</v>
      </c>
      <c r="I820" s="6" t="s">
        <v>448</v>
      </c>
      <c r="J820" s="6">
        <v>65</v>
      </c>
    </row>
    <row r="821" spans="1:10" ht="43.2" x14ac:dyDescent="0.3">
      <c r="A821" t="s">
        <v>87</v>
      </c>
      <c r="B821" s="2">
        <v>45462</v>
      </c>
      <c r="C821" s="7" t="s">
        <v>36</v>
      </c>
      <c r="D821" s="8" t="s">
        <v>48</v>
      </c>
      <c r="E821" s="8" t="s">
        <v>38</v>
      </c>
      <c r="F821" s="10">
        <v>100</v>
      </c>
      <c r="G821" s="10">
        <v>100</v>
      </c>
      <c r="H821" s="10">
        <v>100</v>
      </c>
      <c r="I821" s="10">
        <v>100</v>
      </c>
      <c r="J821" s="10">
        <v>100</v>
      </c>
    </row>
    <row r="822" spans="1:10" ht="43.2" x14ac:dyDescent="0.3">
      <c r="A822" t="s">
        <v>87</v>
      </c>
      <c r="B822" s="2">
        <v>45462</v>
      </c>
      <c r="C822" s="3" t="s">
        <v>36</v>
      </c>
      <c r="D822" s="4" t="s">
        <v>49</v>
      </c>
      <c r="E822" s="4" t="s">
        <v>40</v>
      </c>
      <c r="F822" s="5"/>
      <c r="G822" s="6">
        <v>60</v>
      </c>
      <c r="H822" s="6">
        <v>70</v>
      </c>
      <c r="I822" s="6">
        <v>65</v>
      </c>
      <c r="J822" s="6">
        <v>65</v>
      </c>
    </row>
    <row r="823" spans="1:10" ht="43.2" x14ac:dyDescent="0.3">
      <c r="A823" t="s">
        <v>87</v>
      </c>
      <c r="B823" s="2">
        <v>45462</v>
      </c>
      <c r="C823" s="7" t="s">
        <v>36</v>
      </c>
      <c r="D823" s="8" t="s">
        <v>50</v>
      </c>
      <c r="E823" s="8" t="s">
        <v>38</v>
      </c>
      <c r="F823" s="10">
        <v>80</v>
      </c>
      <c r="G823" s="10">
        <v>80</v>
      </c>
      <c r="H823" s="10">
        <v>80</v>
      </c>
      <c r="I823" s="10">
        <v>80</v>
      </c>
      <c r="J823" s="10">
        <v>80</v>
      </c>
    </row>
    <row r="824" spans="1:10" ht="43.2" x14ac:dyDescent="0.3">
      <c r="A824" t="s">
        <v>87</v>
      </c>
      <c r="B824" s="2">
        <v>45462</v>
      </c>
      <c r="C824" s="3" t="s">
        <v>36</v>
      </c>
      <c r="D824" s="4" t="s">
        <v>51</v>
      </c>
      <c r="E824" s="4" t="s">
        <v>38</v>
      </c>
      <c r="F824" s="6">
        <v>80</v>
      </c>
      <c r="G824" s="6">
        <v>65</v>
      </c>
      <c r="H824" s="6">
        <v>80</v>
      </c>
      <c r="I824" s="6">
        <v>75</v>
      </c>
      <c r="J824" s="6">
        <v>80</v>
      </c>
    </row>
    <row r="825" spans="1:10" ht="43.2" x14ac:dyDescent="0.3">
      <c r="A825" t="s">
        <v>87</v>
      </c>
      <c r="B825" s="2">
        <v>45462</v>
      </c>
      <c r="C825" s="7" t="s">
        <v>36</v>
      </c>
      <c r="D825" s="8" t="s">
        <v>52</v>
      </c>
      <c r="E825" s="8" t="s">
        <v>42</v>
      </c>
      <c r="F825" s="10">
        <v>60</v>
      </c>
      <c r="G825" s="10">
        <v>50</v>
      </c>
      <c r="H825" s="10">
        <v>60</v>
      </c>
      <c r="I825" s="10" t="s">
        <v>421</v>
      </c>
      <c r="J825" s="10" t="s">
        <v>256</v>
      </c>
    </row>
    <row r="826" spans="1:10" ht="43.2" x14ac:dyDescent="0.3">
      <c r="A826" t="s">
        <v>87</v>
      </c>
      <c r="B826" s="2">
        <v>45462</v>
      </c>
      <c r="C826" s="3" t="s">
        <v>36</v>
      </c>
      <c r="D826" s="4" t="s">
        <v>53</v>
      </c>
      <c r="E826" s="4" t="s">
        <v>54</v>
      </c>
      <c r="F826" s="6">
        <v>180</v>
      </c>
      <c r="G826" s="6">
        <v>180</v>
      </c>
      <c r="H826" s="6">
        <v>180</v>
      </c>
      <c r="I826" s="6">
        <v>180</v>
      </c>
      <c r="J826" s="6">
        <v>180</v>
      </c>
    </row>
    <row r="827" spans="1:10" ht="43.2" x14ac:dyDescent="0.3">
      <c r="A827" t="s">
        <v>87</v>
      </c>
      <c r="B827" s="2">
        <v>45462</v>
      </c>
      <c r="C827" s="7" t="s">
        <v>36</v>
      </c>
      <c r="D827" s="8" t="s">
        <v>55</v>
      </c>
      <c r="E827" s="8" t="s">
        <v>38</v>
      </c>
      <c r="F827" s="10">
        <v>90</v>
      </c>
      <c r="G827" s="10">
        <v>80</v>
      </c>
      <c r="H827" s="10">
        <v>100</v>
      </c>
      <c r="I827" s="10">
        <v>92</v>
      </c>
      <c r="J827" s="10">
        <v>90</v>
      </c>
    </row>
    <row r="828" spans="1:10" ht="43.2" x14ac:dyDescent="0.3">
      <c r="A828" t="s">
        <v>87</v>
      </c>
      <c r="B828" s="2">
        <v>45462</v>
      </c>
      <c r="C828" s="3" t="s">
        <v>36</v>
      </c>
      <c r="D828" s="4" t="s">
        <v>56</v>
      </c>
      <c r="E828" s="4" t="s">
        <v>38</v>
      </c>
      <c r="F828" s="5"/>
      <c r="G828" s="6">
        <v>150</v>
      </c>
      <c r="H828" s="6">
        <v>220</v>
      </c>
      <c r="I828" s="6" t="s">
        <v>449</v>
      </c>
      <c r="J828" s="6">
        <v>160</v>
      </c>
    </row>
    <row r="829" spans="1:10" x14ac:dyDescent="0.3">
      <c r="A829" t="s">
        <v>87</v>
      </c>
      <c r="B829" s="2">
        <v>45462</v>
      </c>
      <c r="C829" s="7" t="s">
        <v>57</v>
      </c>
      <c r="D829" s="8" t="s">
        <v>58</v>
      </c>
      <c r="E829" s="8" t="s">
        <v>42</v>
      </c>
      <c r="F829" s="9"/>
      <c r="G829" s="10">
        <v>120</v>
      </c>
      <c r="H829" s="10">
        <v>120</v>
      </c>
      <c r="I829" s="10">
        <v>120</v>
      </c>
      <c r="J829" s="10">
        <v>120</v>
      </c>
    </row>
    <row r="830" spans="1:10" x14ac:dyDescent="0.3">
      <c r="A830" t="s">
        <v>87</v>
      </c>
      <c r="B830" s="2">
        <v>45462</v>
      </c>
      <c r="C830" s="3" t="s">
        <v>57</v>
      </c>
      <c r="D830" s="4" t="s">
        <v>59</v>
      </c>
      <c r="E830" s="4" t="s">
        <v>42</v>
      </c>
      <c r="F830" s="5"/>
      <c r="G830" s="5"/>
      <c r="H830" s="5"/>
      <c r="I830" s="5"/>
      <c r="J830" s="5"/>
    </row>
    <row r="831" spans="1:10" x14ac:dyDescent="0.3">
      <c r="A831" t="s">
        <v>87</v>
      </c>
      <c r="B831" s="2">
        <v>45462</v>
      </c>
      <c r="C831" s="7" t="s">
        <v>57</v>
      </c>
      <c r="D831" s="8" t="s">
        <v>60</v>
      </c>
      <c r="E831" s="8" t="s">
        <v>42</v>
      </c>
      <c r="F831" s="9"/>
      <c r="G831" s="9"/>
      <c r="H831" s="9"/>
      <c r="I831" s="9"/>
      <c r="J831" s="9"/>
    </row>
    <row r="832" spans="1:10" x14ac:dyDescent="0.3">
      <c r="A832" t="s">
        <v>87</v>
      </c>
      <c r="B832" s="2">
        <v>45462</v>
      </c>
      <c r="C832" s="3" t="s">
        <v>57</v>
      </c>
      <c r="D832" s="4" t="s">
        <v>61</v>
      </c>
      <c r="E832" s="4" t="s">
        <v>42</v>
      </c>
      <c r="F832" s="5"/>
      <c r="G832" s="6">
        <v>50</v>
      </c>
      <c r="H832" s="6">
        <v>50</v>
      </c>
      <c r="I832" s="6">
        <v>50</v>
      </c>
      <c r="J832" s="6">
        <v>50</v>
      </c>
    </row>
    <row r="833" spans="1:10" x14ac:dyDescent="0.3">
      <c r="A833" t="s">
        <v>87</v>
      </c>
      <c r="B833" s="2">
        <v>45462</v>
      </c>
      <c r="C833" s="7" t="s">
        <v>57</v>
      </c>
      <c r="D833" s="8" t="s">
        <v>62</v>
      </c>
      <c r="E833" s="8" t="s">
        <v>63</v>
      </c>
      <c r="F833" s="9"/>
      <c r="G833" s="10">
        <v>60</v>
      </c>
      <c r="H833" s="10">
        <v>60</v>
      </c>
      <c r="I833" s="10">
        <v>60</v>
      </c>
      <c r="J833" s="10">
        <v>60</v>
      </c>
    </row>
    <row r="834" spans="1:10" ht="28.8" x14ac:dyDescent="0.3">
      <c r="A834" t="s">
        <v>88</v>
      </c>
      <c r="B834" s="2">
        <v>45469</v>
      </c>
      <c r="C834" s="3" t="s">
        <v>11</v>
      </c>
      <c r="D834" s="4" t="s">
        <v>12</v>
      </c>
      <c r="E834" s="4" t="s">
        <v>13</v>
      </c>
      <c r="F834" s="6">
        <v>60</v>
      </c>
      <c r="G834" s="6">
        <v>60</v>
      </c>
      <c r="H834" s="6">
        <v>60</v>
      </c>
      <c r="I834" s="6">
        <v>60</v>
      </c>
      <c r="J834" s="6">
        <v>60</v>
      </c>
    </row>
    <row r="835" spans="1:10" ht="28.8" x14ac:dyDescent="0.3">
      <c r="A835" t="s">
        <v>88</v>
      </c>
      <c r="B835" s="2">
        <v>45469</v>
      </c>
      <c r="C835" s="7" t="s">
        <v>11</v>
      </c>
      <c r="D835" s="8" t="s">
        <v>14</v>
      </c>
      <c r="E835" s="8" t="s">
        <v>13</v>
      </c>
      <c r="F835" s="10">
        <v>84</v>
      </c>
      <c r="G835" s="10">
        <v>84</v>
      </c>
      <c r="H835" s="10">
        <v>84</v>
      </c>
      <c r="I835" s="10">
        <v>84</v>
      </c>
      <c r="J835" s="10">
        <v>84</v>
      </c>
    </row>
    <row r="836" spans="1:10" ht="28.8" x14ac:dyDescent="0.3">
      <c r="A836" t="s">
        <v>88</v>
      </c>
      <c r="B836" s="2">
        <v>45469</v>
      </c>
      <c r="C836" s="3" t="s">
        <v>11</v>
      </c>
      <c r="D836" s="4" t="s">
        <v>15</v>
      </c>
      <c r="E836" s="4" t="s">
        <v>13</v>
      </c>
      <c r="F836" s="5"/>
      <c r="G836" s="6">
        <v>36</v>
      </c>
      <c r="H836" s="6">
        <v>40</v>
      </c>
      <c r="I836" s="6">
        <v>38</v>
      </c>
      <c r="J836" s="6">
        <v>38</v>
      </c>
    </row>
    <row r="837" spans="1:10" ht="28.8" x14ac:dyDescent="0.3">
      <c r="A837" t="s">
        <v>88</v>
      </c>
      <c r="B837" s="2">
        <v>45469</v>
      </c>
      <c r="C837" s="7" t="s">
        <v>11</v>
      </c>
      <c r="D837" s="8" t="s">
        <v>16</v>
      </c>
      <c r="E837" s="8" t="s">
        <v>13</v>
      </c>
      <c r="F837" s="9"/>
      <c r="G837" s="10">
        <v>20</v>
      </c>
      <c r="H837" s="10">
        <v>24</v>
      </c>
      <c r="I837" s="10">
        <v>22</v>
      </c>
      <c r="J837" s="10">
        <v>22</v>
      </c>
    </row>
    <row r="838" spans="1:10" ht="28.8" x14ac:dyDescent="0.3">
      <c r="A838" t="s">
        <v>88</v>
      </c>
      <c r="B838" s="2">
        <v>45469</v>
      </c>
      <c r="C838" s="3" t="s">
        <v>11</v>
      </c>
      <c r="D838" s="4" t="s">
        <v>17</v>
      </c>
      <c r="E838" s="4" t="s">
        <v>13</v>
      </c>
      <c r="F838" s="5"/>
      <c r="G838" s="6">
        <v>20</v>
      </c>
      <c r="H838" s="6">
        <v>24</v>
      </c>
      <c r="I838" s="6">
        <v>22</v>
      </c>
      <c r="J838" s="6">
        <v>22</v>
      </c>
    </row>
    <row r="839" spans="1:10" ht="28.8" x14ac:dyDescent="0.3">
      <c r="A839" t="s">
        <v>88</v>
      </c>
      <c r="B839" s="2">
        <v>45469</v>
      </c>
      <c r="C839" s="7" t="s">
        <v>11</v>
      </c>
      <c r="D839" s="8" t="s">
        <v>18</v>
      </c>
      <c r="E839" s="8" t="s">
        <v>13</v>
      </c>
      <c r="F839" s="10">
        <v>60</v>
      </c>
      <c r="G839" s="10">
        <v>60</v>
      </c>
      <c r="H839" s="10">
        <v>60</v>
      </c>
      <c r="I839" s="10">
        <v>60</v>
      </c>
      <c r="J839" s="10">
        <v>60</v>
      </c>
    </row>
    <row r="840" spans="1:10" ht="28.8" x14ac:dyDescent="0.3">
      <c r="A840" t="s">
        <v>88</v>
      </c>
      <c r="B840" s="2">
        <v>45469</v>
      </c>
      <c r="C840" s="3" t="s">
        <v>11</v>
      </c>
      <c r="D840" s="4" t="s">
        <v>19</v>
      </c>
      <c r="E840" s="4" t="s">
        <v>13</v>
      </c>
      <c r="F840" s="6">
        <v>84</v>
      </c>
      <c r="G840" s="6">
        <v>60</v>
      </c>
      <c r="H840" s="6">
        <v>84</v>
      </c>
      <c r="I840" s="6">
        <v>76</v>
      </c>
      <c r="J840" s="6">
        <v>84</v>
      </c>
    </row>
    <row r="841" spans="1:10" ht="28.8" x14ac:dyDescent="0.3">
      <c r="A841" t="s">
        <v>88</v>
      </c>
      <c r="B841" s="2">
        <v>45469</v>
      </c>
      <c r="C841" s="7" t="s">
        <v>11</v>
      </c>
      <c r="D841" s="8" t="s">
        <v>20</v>
      </c>
      <c r="E841" s="8" t="s">
        <v>13</v>
      </c>
      <c r="F841" s="9"/>
      <c r="G841" s="10">
        <v>84</v>
      </c>
      <c r="H841" s="10">
        <v>96</v>
      </c>
      <c r="I841" s="10">
        <v>90</v>
      </c>
      <c r="J841" s="10">
        <v>90</v>
      </c>
    </row>
    <row r="842" spans="1:10" ht="28.8" x14ac:dyDescent="0.3">
      <c r="A842" t="s">
        <v>88</v>
      </c>
      <c r="B842" s="2">
        <v>45469</v>
      </c>
      <c r="C842" s="3" t="s">
        <v>11</v>
      </c>
      <c r="D842" s="4" t="s">
        <v>21</v>
      </c>
      <c r="E842" s="4" t="s">
        <v>13</v>
      </c>
      <c r="F842" s="6">
        <v>24</v>
      </c>
      <c r="G842" s="6">
        <v>24</v>
      </c>
      <c r="H842" s="6">
        <v>30</v>
      </c>
      <c r="I842" s="6">
        <v>26</v>
      </c>
      <c r="J842" s="6">
        <v>24</v>
      </c>
    </row>
    <row r="843" spans="1:10" ht="28.8" x14ac:dyDescent="0.3">
      <c r="A843" t="s">
        <v>88</v>
      </c>
      <c r="B843" s="2">
        <v>45469</v>
      </c>
      <c r="C843" s="7" t="s">
        <v>11</v>
      </c>
      <c r="D843" s="8" t="s">
        <v>65</v>
      </c>
      <c r="E843" s="8" t="s">
        <v>13</v>
      </c>
      <c r="F843" s="9"/>
      <c r="G843" s="10">
        <v>84</v>
      </c>
      <c r="H843" s="10">
        <v>96</v>
      </c>
      <c r="I843" s="10">
        <v>90</v>
      </c>
      <c r="J843" s="10">
        <v>90</v>
      </c>
    </row>
    <row r="844" spans="1:10" ht="28.8" x14ac:dyDescent="0.3">
      <c r="A844" t="s">
        <v>88</v>
      </c>
      <c r="B844" s="2">
        <v>45469</v>
      </c>
      <c r="C844" s="3" t="s">
        <v>11</v>
      </c>
      <c r="D844" s="4" t="s">
        <v>23</v>
      </c>
      <c r="E844" s="4" t="s">
        <v>13</v>
      </c>
      <c r="F844" s="5"/>
      <c r="G844" s="6">
        <v>20</v>
      </c>
      <c r="H844" s="6">
        <v>24</v>
      </c>
      <c r="I844" s="6">
        <v>22</v>
      </c>
      <c r="J844" s="6">
        <v>22</v>
      </c>
    </row>
    <row r="845" spans="1:10" ht="28.8" x14ac:dyDescent="0.3">
      <c r="A845" t="s">
        <v>88</v>
      </c>
      <c r="B845" s="2">
        <v>45469</v>
      </c>
      <c r="C845" s="7" t="s">
        <v>11</v>
      </c>
      <c r="D845" s="8" t="s">
        <v>24</v>
      </c>
      <c r="E845" s="8" t="s">
        <v>13</v>
      </c>
      <c r="F845" s="10">
        <v>72</v>
      </c>
      <c r="G845" s="10">
        <v>72</v>
      </c>
      <c r="H845" s="10">
        <v>72</v>
      </c>
      <c r="I845" s="10">
        <v>72</v>
      </c>
      <c r="J845" s="10">
        <v>72</v>
      </c>
    </row>
    <row r="846" spans="1:10" ht="28.8" x14ac:dyDescent="0.3">
      <c r="A846" t="s">
        <v>88</v>
      </c>
      <c r="B846" s="2">
        <v>45469</v>
      </c>
      <c r="C846" s="3" t="s">
        <v>11</v>
      </c>
      <c r="D846" s="4" t="s">
        <v>25</v>
      </c>
      <c r="E846" s="4" t="s">
        <v>26</v>
      </c>
      <c r="F846" s="5"/>
      <c r="G846" s="6">
        <v>60</v>
      </c>
      <c r="H846" s="6">
        <v>72</v>
      </c>
      <c r="I846" s="6">
        <v>66</v>
      </c>
      <c r="J846" s="6">
        <v>66</v>
      </c>
    </row>
    <row r="847" spans="1:10" ht="28.8" x14ac:dyDescent="0.3">
      <c r="A847" t="s">
        <v>88</v>
      </c>
      <c r="B847" s="2">
        <v>45469</v>
      </c>
      <c r="C847" s="7" t="s">
        <v>11</v>
      </c>
      <c r="D847" s="8" t="s">
        <v>27</v>
      </c>
      <c r="E847" s="8" t="s">
        <v>13</v>
      </c>
      <c r="F847" s="9"/>
      <c r="G847" s="10">
        <v>65</v>
      </c>
      <c r="H847" s="10">
        <v>72</v>
      </c>
      <c r="I847" s="10" t="s">
        <v>450</v>
      </c>
      <c r="J847" s="10" t="s">
        <v>450</v>
      </c>
    </row>
    <row r="848" spans="1:10" ht="28.8" x14ac:dyDescent="0.3">
      <c r="A848" t="s">
        <v>88</v>
      </c>
      <c r="B848" s="2">
        <v>45469</v>
      </c>
      <c r="C848" s="3" t="s">
        <v>11</v>
      </c>
      <c r="D848" s="4" t="s">
        <v>28</v>
      </c>
      <c r="E848" s="4" t="s">
        <v>13</v>
      </c>
      <c r="F848" s="6">
        <v>60</v>
      </c>
      <c r="G848" s="6">
        <v>50</v>
      </c>
      <c r="H848" s="6">
        <v>60</v>
      </c>
      <c r="I848" s="6" t="s">
        <v>260</v>
      </c>
      <c r="J848" s="6">
        <v>60</v>
      </c>
    </row>
    <row r="849" spans="1:10" ht="28.8" x14ac:dyDescent="0.3">
      <c r="A849" t="s">
        <v>88</v>
      </c>
      <c r="B849" s="2">
        <v>45469</v>
      </c>
      <c r="C849" s="7" t="s">
        <v>11</v>
      </c>
      <c r="D849" s="8" t="s">
        <v>29</v>
      </c>
      <c r="E849" s="8" t="s">
        <v>13</v>
      </c>
      <c r="F849" s="9"/>
      <c r="G849" s="10">
        <v>54</v>
      </c>
      <c r="H849" s="10">
        <v>72</v>
      </c>
      <c r="I849" s="10">
        <v>62</v>
      </c>
      <c r="J849" s="10">
        <v>60</v>
      </c>
    </row>
    <row r="850" spans="1:10" ht="28.8" x14ac:dyDescent="0.3">
      <c r="A850" t="s">
        <v>88</v>
      </c>
      <c r="B850" s="2">
        <v>45469</v>
      </c>
      <c r="C850" s="3" t="s">
        <v>30</v>
      </c>
      <c r="D850" s="4" t="s">
        <v>31</v>
      </c>
      <c r="E850" s="4" t="s">
        <v>32</v>
      </c>
      <c r="F850" s="6">
        <v>5</v>
      </c>
      <c r="G850" s="6">
        <v>5</v>
      </c>
      <c r="H850" s="6">
        <v>5</v>
      </c>
      <c r="I850" s="6">
        <v>5</v>
      </c>
      <c r="J850" s="6">
        <v>5</v>
      </c>
    </row>
    <row r="851" spans="1:10" ht="28.8" x14ac:dyDescent="0.3">
      <c r="A851" t="s">
        <v>88</v>
      </c>
      <c r="B851" s="2">
        <v>45469</v>
      </c>
      <c r="C851" s="7" t="s">
        <v>30</v>
      </c>
      <c r="D851" s="8" t="s">
        <v>33</v>
      </c>
      <c r="E851" s="8" t="s">
        <v>34</v>
      </c>
      <c r="F851" s="10">
        <v>20</v>
      </c>
      <c r="G851" s="10">
        <v>20</v>
      </c>
      <c r="H851" s="10">
        <v>20</v>
      </c>
      <c r="I851" s="10">
        <v>20</v>
      </c>
      <c r="J851" s="10">
        <v>20</v>
      </c>
    </row>
    <row r="852" spans="1:10" ht="28.8" x14ac:dyDescent="0.3">
      <c r="A852" t="s">
        <v>88</v>
      </c>
      <c r="B852" s="2">
        <v>45469</v>
      </c>
      <c r="C852" s="3" t="s">
        <v>30</v>
      </c>
      <c r="D852" s="4" t="s">
        <v>35</v>
      </c>
      <c r="E852" s="4" t="s">
        <v>34</v>
      </c>
      <c r="F852" s="5"/>
      <c r="G852" s="6">
        <v>15</v>
      </c>
      <c r="H852" s="6">
        <v>35</v>
      </c>
      <c r="I852" s="6">
        <v>25</v>
      </c>
      <c r="J852" s="6">
        <v>25</v>
      </c>
    </row>
    <row r="853" spans="1:10" ht="43.2" x14ac:dyDescent="0.3">
      <c r="A853" t="s">
        <v>88</v>
      </c>
      <c r="B853" s="2">
        <v>45469</v>
      </c>
      <c r="C853" s="7" t="s">
        <v>36</v>
      </c>
      <c r="D853" s="8" t="s">
        <v>73</v>
      </c>
      <c r="E853" s="8" t="s">
        <v>74</v>
      </c>
      <c r="F853" s="9"/>
      <c r="G853" s="10">
        <v>70</v>
      </c>
      <c r="H853" s="10">
        <v>90</v>
      </c>
      <c r="I853" s="10">
        <v>80</v>
      </c>
      <c r="J853" s="10">
        <v>80</v>
      </c>
    </row>
    <row r="854" spans="1:10" ht="43.2" x14ac:dyDescent="0.3">
      <c r="A854" t="s">
        <v>88</v>
      </c>
      <c r="B854" s="2">
        <v>45469</v>
      </c>
      <c r="C854" s="3" t="s">
        <v>36</v>
      </c>
      <c r="D854" s="4" t="s">
        <v>37</v>
      </c>
      <c r="E854" s="4" t="s">
        <v>38</v>
      </c>
      <c r="F854" s="6">
        <v>45</v>
      </c>
      <c r="G854" s="6">
        <v>40</v>
      </c>
      <c r="H854" s="6">
        <v>100</v>
      </c>
      <c r="I854" s="6" t="s">
        <v>438</v>
      </c>
      <c r="J854" s="6">
        <v>45</v>
      </c>
    </row>
    <row r="855" spans="1:10" ht="43.2" x14ac:dyDescent="0.3">
      <c r="A855" t="s">
        <v>88</v>
      </c>
      <c r="B855" s="2">
        <v>45469</v>
      </c>
      <c r="C855" s="7" t="s">
        <v>36</v>
      </c>
      <c r="D855" s="8" t="s">
        <v>39</v>
      </c>
      <c r="E855" s="8" t="s">
        <v>40</v>
      </c>
      <c r="F855" s="10">
        <v>65</v>
      </c>
      <c r="G855" s="10">
        <v>45</v>
      </c>
      <c r="H855" s="10">
        <v>70</v>
      </c>
      <c r="I855" s="10" t="s">
        <v>451</v>
      </c>
      <c r="J855" s="10" t="s">
        <v>268</v>
      </c>
    </row>
    <row r="856" spans="1:10" ht="43.2" x14ac:dyDescent="0.3">
      <c r="A856" t="s">
        <v>88</v>
      </c>
      <c r="B856" s="2">
        <v>45469</v>
      </c>
      <c r="C856" s="3" t="s">
        <v>36</v>
      </c>
      <c r="D856" s="4" t="s">
        <v>41</v>
      </c>
      <c r="E856" s="4" t="s">
        <v>42</v>
      </c>
      <c r="F856" s="6">
        <v>40</v>
      </c>
      <c r="G856" s="6">
        <v>40</v>
      </c>
      <c r="H856" s="6">
        <v>55</v>
      </c>
      <c r="I856" s="6" t="s">
        <v>278</v>
      </c>
      <c r="J856" s="6">
        <v>45</v>
      </c>
    </row>
    <row r="857" spans="1:10" ht="43.2" x14ac:dyDescent="0.3">
      <c r="A857" t="s">
        <v>88</v>
      </c>
      <c r="B857" s="2">
        <v>45469</v>
      </c>
      <c r="C857" s="7" t="s">
        <v>36</v>
      </c>
      <c r="D857" s="8" t="s">
        <v>43</v>
      </c>
      <c r="E857" s="8" t="s">
        <v>42</v>
      </c>
      <c r="F857" s="9"/>
      <c r="G857" s="10">
        <v>45</v>
      </c>
      <c r="H857" s="10">
        <v>115</v>
      </c>
      <c r="I857" s="10" t="s">
        <v>341</v>
      </c>
      <c r="J857" s="10" t="s">
        <v>322</v>
      </c>
    </row>
    <row r="858" spans="1:10" ht="43.2" x14ac:dyDescent="0.3">
      <c r="A858" t="s">
        <v>88</v>
      </c>
      <c r="B858" s="2">
        <v>45469</v>
      </c>
      <c r="C858" s="3" t="s">
        <v>36</v>
      </c>
      <c r="D858" s="4" t="s">
        <v>44</v>
      </c>
      <c r="E858" s="4" t="s">
        <v>45</v>
      </c>
      <c r="F858" s="6">
        <v>80</v>
      </c>
      <c r="G858" s="6">
        <v>70</v>
      </c>
      <c r="H858" s="6">
        <v>100</v>
      </c>
      <c r="I858" s="6">
        <v>85</v>
      </c>
      <c r="J858" s="6">
        <v>80</v>
      </c>
    </row>
    <row r="859" spans="1:10" ht="43.2" x14ac:dyDescent="0.3">
      <c r="A859" t="s">
        <v>88</v>
      </c>
      <c r="B859" s="2">
        <v>45469</v>
      </c>
      <c r="C859" s="7" t="s">
        <v>36</v>
      </c>
      <c r="D859" s="8" t="s">
        <v>46</v>
      </c>
      <c r="E859" s="8" t="s">
        <v>40</v>
      </c>
      <c r="F859" s="10">
        <v>90</v>
      </c>
      <c r="G859" s="10">
        <v>65</v>
      </c>
      <c r="H859" s="10">
        <v>90</v>
      </c>
      <c r="I859" s="10">
        <v>81</v>
      </c>
      <c r="J859" s="10">
        <v>90</v>
      </c>
    </row>
    <row r="860" spans="1:10" ht="43.2" x14ac:dyDescent="0.3">
      <c r="A860" t="s">
        <v>88</v>
      </c>
      <c r="B860" s="2">
        <v>45469</v>
      </c>
      <c r="C860" s="3" t="s">
        <v>36</v>
      </c>
      <c r="D860" s="4" t="s">
        <v>47</v>
      </c>
      <c r="E860" s="4" t="s">
        <v>40</v>
      </c>
      <c r="F860" s="5"/>
      <c r="G860" s="6">
        <v>55</v>
      </c>
      <c r="H860" s="6">
        <v>80</v>
      </c>
      <c r="I860" s="6" t="s">
        <v>448</v>
      </c>
      <c r="J860" s="6">
        <v>65</v>
      </c>
    </row>
    <row r="861" spans="1:10" ht="43.2" x14ac:dyDescent="0.3">
      <c r="A861" t="s">
        <v>88</v>
      </c>
      <c r="B861" s="2">
        <v>45469</v>
      </c>
      <c r="C861" s="7" t="s">
        <v>36</v>
      </c>
      <c r="D861" s="8" t="s">
        <v>48</v>
      </c>
      <c r="E861" s="8" t="s">
        <v>38</v>
      </c>
      <c r="F861" s="10">
        <v>100</v>
      </c>
      <c r="G861" s="10">
        <v>80</v>
      </c>
      <c r="H861" s="10">
        <v>100</v>
      </c>
      <c r="I861" s="10">
        <v>95</v>
      </c>
      <c r="J861" s="10">
        <v>100</v>
      </c>
    </row>
    <row r="862" spans="1:10" ht="43.2" x14ac:dyDescent="0.3">
      <c r="A862" t="s">
        <v>88</v>
      </c>
      <c r="B862" s="2">
        <v>45469</v>
      </c>
      <c r="C862" s="3" t="s">
        <v>36</v>
      </c>
      <c r="D862" s="4" t="s">
        <v>49</v>
      </c>
      <c r="E862" s="4" t="s">
        <v>40</v>
      </c>
      <c r="F862" s="5"/>
      <c r="G862" s="6">
        <v>40</v>
      </c>
      <c r="H862" s="6">
        <v>60</v>
      </c>
      <c r="I862" s="6" t="s">
        <v>436</v>
      </c>
      <c r="J862" s="6" t="s">
        <v>266</v>
      </c>
    </row>
    <row r="863" spans="1:10" ht="43.2" x14ac:dyDescent="0.3">
      <c r="A863" t="s">
        <v>88</v>
      </c>
      <c r="B863" s="2">
        <v>45469</v>
      </c>
      <c r="C863" s="7" t="s">
        <v>36</v>
      </c>
      <c r="D863" s="8" t="s">
        <v>50</v>
      </c>
      <c r="E863" s="8" t="s">
        <v>38</v>
      </c>
      <c r="F863" s="9"/>
      <c r="G863" s="10">
        <v>50</v>
      </c>
      <c r="H863" s="10">
        <v>70</v>
      </c>
      <c r="I863" s="10" t="s">
        <v>319</v>
      </c>
      <c r="J863" s="10">
        <v>65</v>
      </c>
    </row>
    <row r="864" spans="1:10" ht="43.2" x14ac:dyDescent="0.3">
      <c r="A864" t="s">
        <v>88</v>
      </c>
      <c r="B864" s="2">
        <v>45469</v>
      </c>
      <c r="C864" s="3" t="s">
        <v>36</v>
      </c>
      <c r="D864" s="4" t="s">
        <v>51</v>
      </c>
      <c r="E864" s="4" t="s">
        <v>38</v>
      </c>
      <c r="F864" s="6">
        <v>60</v>
      </c>
      <c r="G864" s="6">
        <v>60</v>
      </c>
      <c r="H864" s="6">
        <v>70</v>
      </c>
      <c r="I864" s="6">
        <v>65</v>
      </c>
      <c r="J864" s="6">
        <v>65</v>
      </c>
    </row>
    <row r="865" spans="1:10" ht="43.2" x14ac:dyDescent="0.3">
      <c r="A865" t="s">
        <v>88</v>
      </c>
      <c r="B865" s="2">
        <v>45469</v>
      </c>
      <c r="C865" s="7" t="s">
        <v>36</v>
      </c>
      <c r="D865" s="8" t="s">
        <v>52</v>
      </c>
      <c r="E865" s="8" t="s">
        <v>42</v>
      </c>
      <c r="F865" s="10">
        <v>45</v>
      </c>
      <c r="G865" s="10">
        <v>40</v>
      </c>
      <c r="H865" s="10">
        <v>60</v>
      </c>
      <c r="I865" s="10" t="s">
        <v>300</v>
      </c>
      <c r="J865" s="10">
        <v>50</v>
      </c>
    </row>
    <row r="866" spans="1:10" ht="43.2" x14ac:dyDescent="0.3">
      <c r="A866" t="s">
        <v>88</v>
      </c>
      <c r="B866" s="2">
        <v>45469</v>
      </c>
      <c r="C866" s="3" t="s">
        <v>36</v>
      </c>
      <c r="D866" s="4" t="s">
        <v>53</v>
      </c>
      <c r="E866" s="4" t="s">
        <v>54</v>
      </c>
      <c r="F866" s="5"/>
      <c r="G866" s="6">
        <v>120</v>
      </c>
      <c r="H866" s="6">
        <v>180</v>
      </c>
      <c r="I866" s="6" t="s">
        <v>452</v>
      </c>
      <c r="J866" s="6">
        <v>130</v>
      </c>
    </row>
    <row r="867" spans="1:10" ht="43.2" x14ac:dyDescent="0.3">
      <c r="A867" t="s">
        <v>88</v>
      </c>
      <c r="B867" s="2">
        <v>45469</v>
      </c>
      <c r="C867" s="7" t="s">
        <v>36</v>
      </c>
      <c r="D867" s="8" t="s">
        <v>55</v>
      </c>
      <c r="E867" s="8" t="s">
        <v>38</v>
      </c>
      <c r="F867" s="10">
        <v>70</v>
      </c>
      <c r="G867" s="10">
        <v>70</v>
      </c>
      <c r="H867" s="10">
        <v>100</v>
      </c>
      <c r="I867" s="10" t="s">
        <v>453</v>
      </c>
      <c r="J867" s="10">
        <v>80</v>
      </c>
    </row>
    <row r="868" spans="1:10" ht="43.2" x14ac:dyDescent="0.3">
      <c r="A868" t="s">
        <v>88</v>
      </c>
      <c r="B868" s="2">
        <v>45469</v>
      </c>
      <c r="C868" s="3" t="s">
        <v>36</v>
      </c>
      <c r="D868" s="4" t="s">
        <v>56</v>
      </c>
      <c r="E868" s="4" t="s">
        <v>38</v>
      </c>
      <c r="F868" s="6">
        <v>120</v>
      </c>
      <c r="G868" s="6">
        <v>100</v>
      </c>
      <c r="H868" s="6">
        <v>200</v>
      </c>
      <c r="I868" s="6">
        <v>135</v>
      </c>
      <c r="J868" s="6">
        <v>120</v>
      </c>
    </row>
    <row r="869" spans="1:10" x14ac:dyDescent="0.3">
      <c r="A869" t="s">
        <v>88</v>
      </c>
      <c r="B869" s="2">
        <v>45469</v>
      </c>
      <c r="C869" s="7" t="s">
        <v>57</v>
      </c>
      <c r="D869" s="8" t="s">
        <v>58</v>
      </c>
      <c r="E869" s="8" t="s">
        <v>42</v>
      </c>
      <c r="F869" s="9"/>
      <c r="G869" s="10">
        <v>130</v>
      </c>
      <c r="H869" s="10">
        <v>130</v>
      </c>
      <c r="I869" s="10">
        <v>130</v>
      </c>
      <c r="J869" s="10">
        <v>130</v>
      </c>
    </row>
    <row r="870" spans="1:10" x14ac:dyDescent="0.3">
      <c r="A870" t="s">
        <v>88</v>
      </c>
      <c r="B870" s="2">
        <v>45469</v>
      </c>
      <c r="C870" s="3" t="s">
        <v>57</v>
      </c>
      <c r="D870" s="4" t="s">
        <v>59</v>
      </c>
      <c r="E870" s="4" t="s">
        <v>42</v>
      </c>
      <c r="F870" s="5"/>
      <c r="G870" s="5"/>
      <c r="H870" s="5"/>
      <c r="I870" s="5"/>
      <c r="J870" s="5"/>
    </row>
    <row r="871" spans="1:10" x14ac:dyDescent="0.3">
      <c r="A871" t="s">
        <v>88</v>
      </c>
      <c r="B871" s="2">
        <v>45469</v>
      </c>
      <c r="C871" s="7" t="s">
        <v>57</v>
      </c>
      <c r="D871" s="8" t="s">
        <v>60</v>
      </c>
      <c r="E871" s="8" t="s">
        <v>42</v>
      </c>
      <c r="F871" s="9"/>
      <c r="G871" s="9"/>
      <c r="H871" s="9"/>
      <c r="I871" s="9"/>
      <c r="J871" s="9"/>
    </row>
    <row r="872" spans="1:10" x14ac:dyDescent="0.3">
      <c r="A872" t="s">
        <v>88</v>
      </c>
      <c r="B872" s="2">
        <v>45469</v>
      </c>
      <c r="C872" s="3" t="s">
        <v>57</v>
      </c>
      <c r="D872" s="4" t="s">
        <v>61</v>
      </c>
      <c r="E872" s="4" t="s">
        <v>42</v>
      </c>
      <c r="F872" s="5"/>
      <c r="G872" s="6">
        <v>50</v>
      </c>
      <c r="H872" s="6">
        <v>50</v>
      </c>
      <c r="I872" s="6">
        <v>50</v>
      </c>
      <c r="J872" s="6">
        <v>50</v>
      </c>
    </row>
    <row r="873" spans="1:10" x14ac:dyDescent="0.3">
      <c r="A873" t="s">
        <v>88</v>
      </c>
      <c r="B873" s="2">
        <v>45469</v>
      </c>
      <c r="C873" s="7" t="s">
        <v>57</v>
      </c>
      <c r="D873" s="8" t="s">
        <v>62</v>
      </c>
      <c r="E873" s="8" t="s">
        <v>63</v>
      </c>
      <c r="F873" s="9"/>
      <c r="G873" s="10">
        <v>60</v>
      </c>
      <c r="H873" s="10">
        <v>65</v>
      </c>
      <c r="I873" s="10" t="s">
        <v>268</v>
      </c>
      <c r="J873" s="10" t="s">
        <v>268</v>
      </c>
    </row>
    <row r="874" spans="1:10" ht="28.8" x14ac:dyDescent="0.3">
      <c r="A874" t="s">
        <v>89</v>
      </c>
      <c r="B874" s="2">
        <v>45476</v>
      </c>
      <c r="C874" s="3" t="s">
        <v>11</v>
      </c>
      <c r="D874" s="4" t="s">
        <v>12</v>
      </c>
      <c r="E874" s="4" t="s">
        <v>13</v>
      </c>
      <c r="F874" s="6">
        <v>60</v>
      </c>
      <c r="G874" s="6">
        <v>48</v>
      </c>
      <c r="H874" s="6">
        <v>60</v>
      </c>
      <c r="I874" s="6">
        <v>57</v>
      </c>
      <c r="J874" s="6">
        <v>60</v>
      </c>
    </row>
    <row r="875" spans="1:10" ht="28.8" x14ac:dyDescent="0.3">
      <c r="A875" t="s">
        <v>89</v>
      </c>
      <c r="B875" s="2">
        <v>45476</v>
      </c>
      <c r="C875" s="7" t="s">
        <v>11</v>
      </c>
      <c r="D875" s="8" t="s">
        <v>14</v>
      </c>
      <c r="E875" s="8" t="s">
        <v>13</v>
      </c>
      <c r="F875" s="10">
        <v>72</v>
      </c>
      <c r="G875" s="10">
        <v>72</v>
      </c>
      <c r="H875" s="10">
        <v>84</v>
      </c>
      <c r="I875" s="10">
        <v>75</v>
      </c>
      <c r="J875" s="10">
        <v>72</v>
      </c>
    </row>
    <row r="876" spans="1:10" ht="28.8" x14ac:dyDescent="0.3">
      <c r="A876" t="s">
        <v>89</v>
      </c>
      <c r="B876" s="2">
        <v>45476</v>
      </c>
      <c r="C876" s="3" t="s">
        <v>11</v>
      </c>
      <c r="D876" s="4" t="s">
        <v>15</v>
      </c>
      <c r="E876" s="4" t="s">
        <v>13</v>
      </c>
      <c r="F876" s="5"/>
      <c r="G876" s="6">
        <v>30</v>
      </c>
      <c r="H876" s="6">
        <v>48</v>
      </c>
      <c r="I876" s="6">
        <v>39</v>
      </c>
      <c r="J876" s="6">
        <v>39</v>
      </c>
    </row>
    <row r="877" spans="1:10" ht="28.8" x14ac:dyDescent="0.3">
      <c r="A877" t="s">
        <v>89</v>
      </c>
      <c r="B877" s="2">
        <v>45476</v>
      </c>
      <c r="C877" s="7" t="s">
        <v>11</v>
      </c>
      <c r="D877" s="8" t="s">
        <v>16</v>
      </c>
      <c r="E877" s="8" t="s">
        <v>13</v>
      </c>
      <c r="F877" s="10">
        <v>30</v>
      </c>
      <c r="G877" s="10">
        <v>20</v>
      </c>
      <c r="H877" s="10">
        <v>30</v>
      </c>
      <c r="I877" s="10">
        <v>26</v>
      </c>
      <c r="J877" s="10">
        <v>27</v>
      </c>
    </row>
    <row r="878" spans="1:10" ht="28.8" x14ac:dyDescent="0.3">
      <c r="A878" t="s">
        <v>89</v>
      </c>
      <c r="B878" s="2">
        <v>45476</v>
      </c>
      <c r="C878" s="3" t="s">
        <v>11</v>
      </c>
      <c r="D878" s="4" t="s">
        <v>17</v>
      </c>
      <c r="E878" s="4" t="s">
        <v>13</v>
      </c>
      <c r="F878" s="6">
        <v>30</v>
      </c>
      <c r="G878" s="6">
        <v>18</v>
      </c>
      <c r="H878" s="6">
        <v>30</v>
      </c>
      <c r="I878" s="6" t="s">
        <v>454</v>
      </c>
      <c r="J878" s="6">
        <v>25</v>
      </c>
    </row>
    <row r="879" spans="1:10" ht="28.8" x14ac:dyDescent="0.3">
      <c r="A879" t="s">
        <v>89</v>
      </c>
      <c r="B879" s="2">
        <v>45476</v>
      </c>
      <c r="C879" s="7" t="s">
        <v>11</v>
      </c>
      <c r="D879" s="8" t="s">
        <v>18</v>
      </c>
      <c r="E879" s="8" t="s">
        <v>13</v>
      </c>
      <c r="F879" s="10">
        <v>60</v>
      </c>
      <c r="G879" s="10">
        <v>48</v>
      </c>
      <c r="H879" s="10">
        <v>60</v>
      </c>
      <c r="I879" s="10">
        <v>57</v>
      </c>
      <c r="J879" s="10">
        <v>60</v>
      </c>
    </row>
    <row r="880" spans="1:10" ht="28.8" x14ac:dyDescent="0.3">
      <c r="A880" t="s">
        <v>89</v>
      </c>
      <c r="B880" s="2">
        <v>45476</v>
      </c>
      <c r="C880" s="3" t="s">
        <v>11</v>
      </c>
      <c r="D880" s="4" t="s">
        <v>19</v>
      </c>
      <c r="E880" s="4" t="s">
        <v>13</v>
      </c>
      <c r="F880" s="6">
        <v>60</v>
      </c>
      <c r="G880" s="6">
        <v>60</v>
      </c>
      <c r="H880" s="6">
        <v>76</v>
      </c>
      <c r="I880" s="6">
        <v>64</v>
      </c>
      <c r="J880" s="6">
        <v>60</v>
      </c>
    </row>
    <row r="881" spans="1:10" ht="28.8" x14ac:dyDescent="0.3">
      <c r="A881" t="s">
        <v>89</v>
      </c>
      <c r="B881" s="2">
        <v>45476</v>
      </c>
      <c r="C881" s="7" t="s">
        <v>11</v>
      </c>
      <c r="D881" s="8" t="s">
        <v>20</v>
      </c>
      <c r="E881" s="8" t="s">
        <v>13</v>
      </c>
      <c r="F881" s="10">
        <v>84</v>
      </c>
      <c r="G881" s="10">
        <v>72</v>
      </c>
      <c r="H881" s="10">
        <v>84</v>
      </c>
      <c r="I881" s="10">
        <v>80</v>
      </c>
      <c r="J881" s="10">
        <v>82</v>
      </c>
    </row>
    <row r="882" spans="1:10" ht="28.8" x14ac:dyDescent="0.3">
      <c r="A882" t="s">
        <v>89</v>
      </c>
      <c r="B882" s="2">
        <v>45476</v>
      </c>
      <c r="C882" s="3" t="s">
        <v>11</v>
      </c>
      <c r="D882" s="4" t="s">
        <v>21</v>
      </c>
      <c r="E882" s="4" t="s">
        <v>13</v>
      </c>
      <c r="F882" s="6">
        <v>24</v>
      </c>
      <c r="G882" s="6">
        <v>20</v>
      </c>
      <c r="H882" s="6">
        <v>30</v>
      </c>
      <c r="I882" s="6" t="s">
        <v>454</v>
      </c>
      <c r="J882" s="6">
        <v>24</v>
      </c>
    </row>
    <row r="883" spans="1:10" ht="28.8" x14ac:dyDescent="0.3">
      <c r="A883" t="s">
        <v>89</v>
      </c>
      <c r="B883" s="2">
        <v>45476</v>
      </c>
      <c r="C883" s="7" t="s">
        <v>11</v>
      </c>
      <c r="D883" s="8" t="s">
        <v>65</v>
      </c>
      <c r="E883" s="8" t="s">
        <v>13</v>
      </c>
      <c r="F883" s="9"/>
      <c r="G883" s="10">
        <v>60</v>
      </c>
      <c r="H883" s="10">
        <v>84</v>
      </c>
      <c r="I883" s="10" t="s">
        <v>455</v>
      </c>
      <c r="J883" s="10">
        <v>71</v>
      </c>
    </row>
    <row r="884" spans="1:10" ht="28.8" x14ac:dyDescent="0.3">
      <c r="A884" t="s">
        <v>89</v>
      </c>
      <c r="B884" s="2">
        <v>45476</v>
      </c>
      <c r="C884" s="3" t="s">
        <v>11</v>
      </c>
      <c r="D884" s="4" t="s">
        <v>23</v>
      </c>
      <c r="E884" s="4" t="s">
        <v>13</v>
      </c>
      <c r="F884" s="6">
        <v>24</v>
      </c>
      <c r="G884" s="6">
        <v>24</v>
      </c>
      <c r="H884" s="6">
        <v>30</v>
      </c>
      <c r="I884" s="6">
        <v>27</v>
      </c>
      <c r="J884" s="6">
        <v>27</v>
      </c>
    </row>
    <row r="885" spans="1:10" ht="28.8" x14ac:dyDescent="0.3">
      <c r="A885" t="s">
        <v>89</v>
      </c>
      <c r="B885" s="2">
        <v>45476</v>
      </c>
      <c r="C885" s="7" t="s">
        <v>11</v>
      </c>
      <c r="D885" s="8" t="s">
        <v>24</v>
      </c>
      <c r="E885" s="8" t="s">
        <v>13</v>
      </c>
      <c r="F885" s="10">
        <v>72</v>
      </c>
      <c r="G885" s="10">
        <v>60</v>
      </c>
      <c r="H885" s="10">
        <v>72</v>
      </c>
      <c r="I885" s="10">
        <v>69</v>
      </c>
      <c r="J885" s="10">
        <v>72</v>
      </c>
    </row>
    <row r="886" spans="1:10" ht="28.8" x14ac:dyDescent="0.3">
      <c r="A886" t="s">
        <v>89</v>
      </c>
      <c r="B886" s="2">
        <v>45476</v>
      </c>
      <c r="C886" s="3" t="s">
        <v>11</v>
      </c>
      <c r="D886" s="4" t="s">
        <v>25</v>
      </c>
      <c r="E886" s="4" t="s">
        <v>26</v>
      </c>
      <c r="F886" s="6">
        <v>60</v>
      </c>
      <c r="G886" s="6">
        <v>60</v>
      </c>
      <c r="H886" s="6">
        <v>60</v>
      </c>
      <c r="I886" s="6">
        <v>60</v>
      </c>
      <c r="J886" s="6">
        <v>60</v>
      </c>
    </row>
    <row r="887" spans="1:10" ht="28.8" x14ac:dyDescent="0.3">
      <c r="A887" t="s">
        <v>89</v>
      </c>
      <c r="B887" s="2">
        <v>45476</v>
      </c>
      <c r="C887" s="7" t="s">
        <v>11</v>
      </c>
      <c r="D887" s="8" t="s">
        <v>27</v>
      </c>
      <c r="E887" s="8" t="s">
        <v>13</v>
      </c>
      <c r="F887" s="9"/>
      <c r="G887" s="10">
        <v>60</v>
      </c>
      <c r="H887" s="10">
        <v>84</v>
      </c>
      <c r="I887" s="10">
        <v>72</v>
      </c>
      <c r="J887" s="10">
        <v>72</v>
      </c>
    </row>
    <row r="888" spans="1:10" ht="28.8" x14ac:dyDescent="0.3">
      <c r="A888" t="s">
        <v>89</v>
      </c>
      <c r="B888" s="2">
        <v>45476</v>
      </c>
      <c r="C888" s="3" t="s">
        <v>11</v>
      </c>
      <c r="D888" s="4" t="s">
        <v>28</v>
      </c>
      <c r="E888" s="4" t="s">
        <v>13</v>
      </c>
      <c r="F888" s="5"/>
      <c r="G888" s="6">
        <v>36</v>
      </c>
      <c r="H888" s="6">
        <v>54</v>
      </c>
      <c r="I888" s="6">
        <v>47</v>
      </c>
      <c r="J888" s="6">
        <v>49</v>
      </c>
    </row>
    <row r="889" spans="1:10" ht="28.8" x14ac:dyDescent="0.3">
      <c r="A889" t="s">
        <v>89</v>
      </c>
      <c r="B889" s="2">
        <v>45476</v>
      </c>
      <c r="C889" s="7" t="s">
        <v>11</v>
      </c>
      <c r="D889" s="8" t="s">
        <v>29</v>
      </c>
      <c r="E889" s="8" t="s">
        <v>13</v>
      </c>
      <c r="F889" s="10">
        <v>54</v>
      </c>
      <c r="G889" s="10">
        <v>48</v>
      </c>
      <c r="H889" s="10">
        <v>60</v>
      </c>
      <c r="I889" s="10">
        <v>54</v>
      </c>
      <c r="J889" s="10">
        <v>54</v>
      </c>
    </row>
    <row r="890" spans="1:10" ht="28.8" x14ac:dyDescent="0.3">
      <c r="A890" t="s">
        <v>89</v>
      </c>
      <c r="B890" s="2">
        <v>45476</v>
      </c>
      <c r="C890" s="3" t="s">
        <v>30</v>
      </c>
      <c r="D890" s="4" t="s">
        <v>31</v>
      </c>
      <c r="E890" s="4" t="s">
        <v>32</v>
      </c>
      <c r="F890" s="6">
        <v>5</v>
      </c>
      <c r="G890" s="6">
        <v>5</v>
      </c>
      <c r="H890" s="6">
        <v>5</v>
      </c>
      <c r="I890" s="6">
        <v>5</v>
      </c>
      <c r="J890" s="6">
        <v>5</v>
      </c>
    </row>
    <row r="891" spans="1:10" ht="28.8" x14ac:dyDescent="0.3">
      <c r="A891" t="s">
        <v>89</v>
      </c>
      <c r="B891" s="2">
        <v>45476</v>
      </c>
      <c r="C891" s="7" t="s">
        <v>30</v>
      </c>
      <c r="D891" s="8" t="s">
        <v>33</v>
      </c>
      <c r="E891" s="8" t="s">
        <v>34</v>
      </c>
      <c r="F891" s="10">
        <v>18</v>
      </c>
      <c r="G891" s="10">
        <v>15</v>
      </c>
      <c r="H891" s="10">
        <v>18</v>
      </c>
      <c r="I891" s="10" t="s">
        <v>456</v>
      </c>
      <c r="J891" s="10">
        <v>18</v>
      </c>
    </row>
    <row r="892" spans="1:10" ht="28.8" x14ac:dyDescent="0.3">
      <c r="A892" t="s">
        <v>89</v>
      </c>
      <c r="B892" s="2">
        <v>45476</v>
      </c>
      <c r="C892" s="3" t="s">
        <v>30</v>
      </c>
      <c r="D892" s="4" t="s">
        <v>35</v>
      </c>
      <c r="E892" s="4" t="s">
        <v>34</v>
      </c>
      <c r="F892" s="6">
        <v>25</v>
      </c>
      <c r="G892" s="6">
        <v>25</v>
      </c>
      <c r="H892" s="6">
        <v>30</v>
      </c>
      <c r="I892" s="6" t="s">
        <v>339</v>
      </c>
      <c r="J892" s="6">
        <v>25</v>
      </c>
    </row>
    <row r="893" spans="1:10" ht="43.2" x14ac:dyDescent="0.3">
      <c r="A893" t="s">
        <v>89</v>
      </c>
      <c r="B893" s="2">
        <v>45476</v>
      </c>
      <c r="C893" s="7" t="s">
        <v>36</v>
      </c>
      <c r="D893" s="8" t="s">
        <v>73</v>
      </c>
      <c r="E893" s="8" t="s">
        <v>74</v>
      </c>
      <c r="F893" s="9"/>
      <c r="G893" s="10">
        <v>80</v>
      </c>
      <c r="H893" s="10">
        <v>90</v>
      </c>
      <c r="I893" s="10">
        <v>85</v>
      </c>
      <c r="J893" s="10">
        <v>85</v>
      </c>
    </row>
    <row r="894" spans="1:10" ht="43.2" x14ac:dyDescent="0.3">
      <c r="A894" t="s">
        <v>89</v>
      </c>
      <c r="B894" s="2">
        <v>45476</v>
      </c>
      <c r="C894" s="3" t="s">
        <v>36</v>
      </c>
      <c r="D894" s="4" t="s">
        <v>37</v>
      </c>
      <c r="E894" s="4" t="s">
        <v>38</v>
      </c>
      <c r="F894" s="6">
        <v>50</v>
      </c>
      <c r="G894" s="6">
        <v>40</v>
      </c>
      <c r="H894" s="6">
        <v>55</v>
      </c>
      <c r="I894" s="6" t="s">
        <v>325</v>
      </c>
      <c r="J894" s="6">
        <v>50</v>
      </c>
    </row>
    <row r="895" spans="1:10" ht="43.2" x14ac:dyDescent="0.3">
      <c r="A895" t="s">
        <v>89</v>
      </c>
      <c r="B895" s="2">
        <v>45476</v>
      </c>
      <c r="C895" s="7" t="s">
        <v>36</v>
      </c>
      <c r="D895" s="8" t="s">
        <v>39</v>
      </c>
      <c r="E895" s="8" t="s">
        <v>40</v>
      </c>
      <c r="F895" s="9"/>
      <c r="G895" s="10">
        <v>45</v>
      </c>
      <c r="H895" s="10">
        <v>70</v>
      </c>
      <c r="I895" s="10">
        <v>58</v>
      </c>
      <c r="J895" s="10">
        <v>60</v>
      </c>
    </row>
    <row r="896" spans="1:10" ht="43.2" x14ac:dyDescent="0.3">
      <c r="A896" t="s">
        <v>89</v>
      </c>
      <c r="B896" s="2">
        <v>45476</v>
      </c>
      <c r="C896" s="3" t="s">
        <v>36</v>
      </c>
      <c r="D896" s="4" t="s">
        <v>41</v>
      </c>
      <c r="E896" s="4" t="s">
        <v>42</v>
      </c>
      <c r="F896" s="6">
        <v>40</v>
      </c>
      <c r="G896" s="6">
        <v>40</v>
      </c>
      <c r="H896" s="6">
        <v>48</v>
      </c>
      <c r="I896" s="6">
        <v>42</v>
      </c>
      <c r="J896" s="6">
        <v>40</v>
      </c>
    </row>
    <row r="897" spans="1:10" ht="43.2" x14ac:dyDescent="0.3">
      <c r="A897" t="s">
        <v>89</v>
      </c>
      <c r="B897" s="2">
        <v>45476</v>
      </c>
      <c r="C897" s="7" t="s">
        <v>36</v>
      </c>
      <c r="D897" s="8" t="s">
        <v>43</v>
      </c>
      <c r="E897" s="8" t="s">
        <v>42</v>
      </c>
      <c r="F897" s="9"/>
      <c r="G897" s="10">
        <v>100</v>
      </c>
      <c r="H897" s="10">
        <v>100</v>
      </c>
      <c r="I897" s="10">
        <v>100</v>
      </c>
      <c r="J897" s="10">
        <v>100</v>
      </c>
    </row>
    <row r="898" spans="1:10" ht="43.2" x14ac:dyDescent="0.3">
      <c r="A898" t="s">
        <v>89</v>
      </c>
      <c r="B898" s="2">
        <v>45476</v>
      </c>
      <c r="C898" s="3" t="s">
        <v>36</v>
      </c>
      <c r="D898" s="4" t="s">
        <v>44</v>
      </c>
      <c r="E898" s="4" t="s">
        <v>45</v>
      </c>
      <c r="F898" s="5"/>
      <c r="G898" s="6">
        <v>75</v>
      </c>
      <c r="H898" s="6">
        <v>100</v>
      </c>
      <c r="I898" s="6">
        <v>86</v>
      </c>
      <c r="J898" s="6">
        <v>85</v>
      </c>
    </row>
    <row r="899" spans="1:10" ht="43.2" x14ac:dyDescent="0.3">
      <c r="A899" t="s">
        <v>89</v>
      </c>
      <c r="B899" s="2">
        <v>45476</v>
      </c>
      <c r="C899" s="7" t="s">
        <v>36</v>
      </c>
      <c r="D899" s="8" t="s">
        <v>46</v>
      </c>
      <c r="E899" s="8" t="s">
        <v>40</v>
      </c>
      <c r="F899" s="10">
        <v>65</v>
      </c>
      <c r="G899" s="10">
        <v>65</v>
      </c>
      <c r="H899" s="10">
        <v>80</v>
      </c>
      <c r="I899" s="10" t="s">
        <v>457</v>
      </c>
      <c r="J899" s="10">
        <v>70</v>
      </c>
    </row>
    <row r="900" spans="1:10" ht="43.2" x14ac:dyDescent="0.3">
      <c r="A900" t="s">
        <v>89</v>
      </c>
      <c r="B900" s="2">
        <v>45476</v>
      </c>
      <c r="C900" s="3" t="s">
        <v>36</v>
      </c>
      <c r="D900" s="4" t="s">
        <v>47</v>
      </c>
      <c r="E900" s="4" t="s">
        <v>40</v>
      </c>
      <c r="F900" s="5"/>
      <c r="G900" s="6">
        <v>50</v>
      </c>
      <c r="H900" s="6">
        <v>70</v>
      </c>
      <c r="I900" s="6" t="s">
        <v>411</v>
      </c>
      <c r="J900" s="6" t="s">
        <v>268</v>
      </c>
    </row>
    <row r="901" spans="1:10" ht="43.2" x14ac:dyDescent="0.3">
      <c r="A901" t="s">
        <v>89</v>
      </c>
      <c r="B901" s="2">
        <v>45476</v>
      </c>
      <c r="C901" s="7" t="s">
        <v>36</v>
      </c>
      <c r="D901" s="8" t="s">
        <v>48</v>
      </c>
      <c r="E901" s="8" t="s">
        <v>38</v>
      </c>
      <c r="F901" s="10">
        <v>100</v>
      </c>
      <c r="G901" s="10">
        <v>80</v>
      </c>
      <c r="H901" s="10">
        <v>100</v>
      </c>
      <c r="I901" s="10" t="s">
        <v>382</v>
      </c>
      <c r="J901" s="10">
        <v>100</v>
      </c>
    </row>
    <row r="902" spans="1:10" ht="43.2" x14ac:dyDescent="0.3">
      <c r="A902" t="s">
        <v>89</v>
      </c>
      <c r="B902" s="2">
        <v>45476</v>
      </c>
      <c r="C902" s="3" t="s">
        <v>36</v>
      </c>
      <c r="D902" s="4" t="s">
        <v>49</v>
      </c>
      <c r="E902" s="4" t="s">
        <v>40</v>
      </c>
      <c r="F902" s="5"/>
      <c r="G902" s="6">
        <v>50</v>
      </c>
      <c r="H902" s="6">
        <v>53</v>
      </c>
      <c r="I902" s="6" t="s">
        <v>458</v>
      </c>
      <c r="J902" s="6" t="s">
        <v>458</v>
      </c>
    </row>
    <row r="903" spans="1:10" ht="43.2" x14ac:dyDescent="0.3">
      <c r="A903" t="s">
        <v>89</v>
      </c>
      <c r="B903" s="2">
        <v>45476</v>
      </c>
      <c r="C903" s="7" t="s">
        <v>36</v>
      </c>
      <c r="D903" s="8" t="s">
        <v>50</v>
      </c>
      <c r="E903" s="8" t="s">
        <v>38</v>
      </c>
      <c r="F903" s="9"/>
      <c r="G903" s="10">
        <v>50</v>
      </c>
      <c r="H903" s="10">
        <v>65</v>
      </c>
      <c r="I903" s="10" t="s">
        <v>441</v>
      </c>
      <c r="J903" s="10">
        <v>60</v>
      </c>
    </row>
    <row r="904" spans="1:10" ht="43.2" x14ac:dyDescent="0.3">
      <c r="A904" t="s">
        <v>89</v>
      </c>
      <c r="B904" s="2">
        <v>45476</v>
      </c>
      <c r="C904" s="3" t="s">
        <v>36</v>
      </c>
      <c r="D904" s="4" t="s">
        <v>51</v>
      </c>
      <c r="E904" s="4" t="s">
        <v>38</v>
      </c>
      <c r="F904" s="6">
        <v>60</v>
      </c>
      <c r="G904" s="6">
        <v>60</v>
      </c>
      <c r="H904" s="6">
        <v>70</v>
      </c>
      <c r="I904" s="6">
        <v>63</v>
      </c>
      <c r="J904" s="6">
        <v>60</v>
      </c>
    </row>
    <row r="905" spans="1:10" ht="43.2" x14ac:dyDescent="0.3">
      <c r="A905" t="s">
        <v>89</v>
      </c>
      <c r="B905" s="2">
        <v>45476</v>
      </c>
      <c r="C905" s="7" t="s">
        <v>36</v>
      </c>
      <c r="D905" s="8" t="s">
        <v>52</v>
      </c>
      <c r="E905" s="8" t="s">
        <v>42</v>
      </c>
      <c r="F905" s="10">
        <v>50</v>
      </c>
      <c r="G905" s="10">
        <v>40</v>
      </c>
      <c r="H905" s="10">
        <v>55</v>
      </c>
      <c r="I905" s="10">
        <v>50</v>
      </c>
      <c r="J905" s="10">
        <v>50</v>
      </c>
    </row>
    <row r="906" spans="1:10" ht="43.2" x14ac:dyDescent="0.3">
      <c r="A906" t="s">
        <v>89</v>
      </c>
      <c r="B906" s="2">
        <v>45476</v>
      </c>
      <c r="C906" s="3" t="s">
        <v>36</v>
      </c>
      <c r="D906" s="4" t="s">
        <v>53</v>
      </c>
      <c r="E906" s="4" t="s">
        <v>54</v>
      </c>
      <c r="F906" s="6">
        <v>100</v>
      </c>
      <c r="G906" s="6">
        <v>90</v>
      </c>
      <c r="H906" s="6">
        <v>120</v>
      </c>
      <c r="I906" s="6" t="s">
        <v>369</v>
      </c>
      <c r="J906" s="6">
        <v>100</v>
      </c>
    </row>
    <row r="907" spans="1:10" ht="43.2" x14ac:dyDescent="0.3">
      <c r="A907" t="s">
        <v>89</v>
      </c>
      <c r="B907" s="2">
        <v>45476</v>
      </c>
      <c r="C907" s="7" t="s">
        <v>36</v>
      </c>
      <c r="D907" s="8" t="s">
        <v>55</v>
      </c>
      <c r="E907" s="8" t="s">
        <v>38</v>
      </c>
      <c r="F907" s="9"/>
      <c r="G907" s="10">
        <v>65</v>
      </c>
      <c r="H907" s="10">
        <v>100</v>
      </c>
      <c r="I907" s="10">
        <v>78</v>
      </c>
      <c r="J907" s="10">
        <v>75</v>
      </c>
    </row>
    <row r="908" spans="1:10" ht="43.2" x14ac:dyDescent="0.3">
      <c r="A908" t="s">
        <v>89</v>
      </c>
      <c r="B908" s="2">
        <v>45476</v>
      </c>
      <c r="C908" s="3" t="s">
        <v>36</v>
      </c>
      <c r="D908" s="4" t="s">
        <v>56</v>
      </c>
      <c r="E908" s="4" t="s">
        <v>38</v>
      </c>
      <c r="F908" s="6">
        <v>100</v>
      </c>
      <c r="G908" s="6">
        <v>100</v>
      </c>
      <c r="H908" s="6">
        <v>120</v>
      </c>
      <c r="I908" s="6" t="s">
        <v>446</v>
      </c>
      <c r="J908" s="6">
        <v>100</v>
      </c>
    </row>
    <row r="909" spans="1:10" x14ac:dyDescent="0.3">
      <c r="A909" t="s">
        <v>89</v>
      </c>
      <c r="B909" s="2">
        <v>45476</v>
      </c>
      <c r="C909" s="7" t="s">
        <v>57</v>
      </c>
      <c r="D909" s="8" t="s">
        <v>58</v>
      </c>
      <c r="E909" s="8" t="s">
        <v>42</v>
      </c>
      <c r="F909" s="9"/>
      <c r="G909" s="9"/>
      <c r="H909" s="9"/>
      <c r="I909" s="9"/>
      <c r="J909" s="9"/>
    </row>
    <row r="910" spans="1:10" x14ac:dyDescent="0.3">
      <c r="A910" t="s">
        <v>89</v>
      </c>
      <c r="B910" s="2">
        <v>45476</v>
      </c>
      <c r="C910" s="3" t="s">
        <v>57</v>
      </c>
      <c r="D910" s="4" t="s">
        <v>59</v>
      </c>
      <c r="E910" s="4" t="s">
        <v>42</v>
      </c>
      <c r="F910" s="5"/>
      <c r="G910" s="5"/>
      <c r="H910" s="5"/>
      <c r="I910" s="5"/>
      <c r="J910" s="5"/>
    </row>
    <row r="911" spans="1:10" x14ac:dyDescent="0.3">
      <c r="A911" t="s">
        <v>89</v>
      </c>
      <c r="B911" s="2">
        <v>45476</v>
      </c>
      <c r="C911" s="7" t="s">
        <v>57</v>
      </c>
      <c r="D911" s="8" t="s">
        <v>60</v>
      </c>
      <c r="E911" s="8" t="s">
        <v>42</v>
      </c>
      <c r="F911" s="9"/>
      <c r="G911" s="9"/>
      <c r="H911" s="9"/>
      <c r="I911" s="9"/>
      <c r="J911" s="9"/>
    </row>
    <row r="912" spans="1:10" x14ac:dyDescent="0.3">
      <c r="A912" t="s">
        <v>89</v>
      </c>
      <c r="B912" s="2">
        <v>45476</v>
      </c>
      <c r="C912" s="3" t="s">
        <v>57</v>
      </c>
      <c r="D912" s="4" t="s">
        <v>61</v>
      </c>
      <c r="E912" s="4" t="s">
        <v>42</v>
      </c>
      <c r="F912" s="5"/>
      <c r="G912" s="6">
        <v>50</v>
      </c>
      <c r="H912" s="6">
        <v>50</v>
      </c>
      <c r="I912" s="6">
        <v>50</v>
      </c>
      <c r="J912" s="6">
        <v>50</v>
      </c>
    </row>
    <row r="913" spans="1:10" x14ac:dyDescent="0.3">
      <c r="A913" t="s">
        <v>89</v>
      </c>
      <c r="B913" s="2">
        <v>45476</v>
      </c>
      <c r="C913" s="7" t="s">
        <v>57</v>
      </c>
      <c r="D913" s="8" t="s">
        <v>62</v>
      </c>
      <c r="E913" s="8" t="s">
        <v>63</v>
      </c>
      <c r="F913" s="9"/>
      <c r="G913" s="10">
        <v>65</v>
      </c>
      <c r="H913" s="10">
        <v>65</v>
      </c>
      <c r="I913" s="10">
        <v>65</v>
      </c>
      <c r="J913" s="10">
        <v>65</v>
      </c>
    </row>
    <row r="914" spans="1:10" ht="28.8" x14ac:dyDescent="0.3">
      <c r="A914" t="s">
        <v>90</v>
      </c>
      <c r="B914" s="2">
        <v>45483</v>
      </c>
      <c r="C914" s="3" t="s">
        <v>11</v>
      </c>
      <c r="D914" s="4" t="s">
        <v>12</v>
      </c>
      <c r="E914" s="4" t="s">
        <v>13</v>
      </c>
      <c r="F914" s="6">
        <v>48</v>
      </c>
      <c r="G914" s="6">
        <v>48</v>
      </c>
      <c r="H914" s="6">
        <v>60</v>
      </c>
      <c r="I914" s="6">
        <v>54</v>
      </c>
      <c r="J914" s="6">
        <v>54</v>
      </c>
    </row>
    <row r="915" spans="1:10" ht="28.8" x14ac:dyDescent="0.3">
      <c r="A915" t="s">
        <v>90</v>
      </c>
      <c r="B915" s="2">
        <v>45483</v>
      </c>
      <c r="C915" s="7" t="s">
        <v>11</v>
      </c>
      <c r="D915" s="8" t="s">
        <v>14</v>
      </c>
      <c r="E915" s="8" t="s">
        <v>13</v>
      </c>
      <c r="F915" s="10">
        <v>72</v>
      </c>
      <c r="G915" s="10">
        <v>72</v>
      </c>
      <c r="H915" s="10">
        <v>84</v>
      </c>
      <c r="I915" s="10">
        <v>78</v>
      </c>
      <c r="J915" s="10">
        <v>78</v>
      </c>
    </row>
    <row r="916" spans="1:10" ht="28.8" x14ac:dyDescent="0.3">
      <c r="A916" t="s">
        <v>90</v>
      </c>
      <c r="B916" s="2">
        <v>45483</v>
      </c>
      <c r="C916" s="3" t="s">
        <v>11</v>
      </c>
      <c r="D916" s="4" t="s">
        <v>15</v>
      </c>
      <c r="E916" s="4" t="s">
        <v>13</v>
      </c>
      <c r="F916" s="6">
        <v>36</v>
      </c>
      <c r="G916" s="6">
        <v>36</v>
      </c>
      <c r="H916" s="6">
        <v>48</v>
      </c>
      <c r="I916" s="6">
        <v>40</v>
      </c>
      <c r="J916" s="6">
        <v>38</v>
      </c>
    </row>
    <row r="917" spans="1:10" ht="28.8" x14ac:dyDescent="0.3">
      <c r="A917" t="s">
        <v>90</v>
      </c>
      <c r="B917" s="2">
        <v>45483</v>
      </c>
      <c r="C917" s="7" t="s">
        <v>11</v>
      </c>
      <c r="D917" s="8" t="s">
        <v>16</v>
      </c>
      <c r="E917" s="8" t="s">
        <v>13</v>
      </c>
      <c r="F917" s="10">
        <v>24</v>
      </c>
      <c r="G917" s="10">
        <v>20</v>
      </c>
      <c r="H917" s="10">
        <v>24</v>
      </c>
      <c r="I917" s="10">
        <v>23</v>
      </c>
      <c r="J917" s="10">
        <v>24</v>
      </c>
    </row>
    <row r="918" spans="1:10" ht="28.8" x14ac:dyDescent="0.3">
      <c r="A918" t="s">
        <v>90</v>
      </c>
      <c r="B918" s="2">
        <v>45483</v>
      </c>
      <c r="C918" s="3" t="s">
        <v>11</v>
      </c>
      <c r="D918" s="4" t="s">
        <v>17</v>
      </c>
      <c r="E918" s="4" t="s">
        <v>13</v>
      </c>
      <c r="F918" s="6">
        <v>24</v>
      </c>
      <c r="G918" s="6">
        <v>20</v>
      </c>
      <c r="H918" s="6">
        <v>24</v>
      </c>
      <c r="I918" s="6">
        <v>23</v>
      </c>
      <c r="J918" s="6">
        <v>24</v>
      </c>
    </row>
    <row r="919" spans="1:10" ht="28.8" x14ac:dyDescent="0.3">
      <c r="A919" t="s">
        <v>90</v>
      </c>
      <c r="B919" s="2">
        <v>45483</v>
      </c>
      <c r="C919" s="7" t="s">
        <v>11</v>
      </c>
      <c r="D919" s="8" t="s">
        <v>18</v>
      </c>
      <c r="E919" s="8" t="s">
        <v>13</v>
      </c>
      <c r="F919" s="10">
        <v>60</v>
      </c>
      <c r="G919" s="10">
        <v>60</v>
      </c>
      <c r="H919" s="10">
        <v>60</v>
      </c>
      <c r="I919" s="10">
        <v>60</v>
      </c>
      <c r="J919" s="10">
        <v>60</v>
      </c>
    </row>
    <row r="920" spans="1:10" ht="28.8" x14ac:dyDescent="0.3">
      <c r="A920" t="s">
        <v>90</v>
      </c>
      <c r="B920" s="2">
        <v>45483</v>
      </c>
      <c r="C920" s="3" t="s">
        <v>11</v>
      </c>
      <c r="D920" s="4" t="s">
        <v>19</v>
      </c>
      <c r="E920" s="4" t="s">
        <v>13</v>
      </c>
      <c r="F920" s="6">
        <v>60</v>
      </c>
      <c r="G920" s="6">
        <v>54</v>
      </c>
      <c r="H920" s="6">
        <v>60</v>
      </c>
      <c r="I920" s="6" t="s">
        <v>428</v>
      </c>
      <c r="J920" s="6">
        <v>60</v>
      </c>
    </row>
    <row r="921" spans="1:10" ht="28.8" x14ac:dyDescent="0.3">
      <c r="A921" t="s">
        <v>90</v>
      </c>
      <c r="B921" s="2">
        <v>45483</v>
      </c>
      <c r="C921" s="7" t="s">
        <v>11</v>
      </c>
      <c r="D921" s="8" t="s">
        <v>20</v>
      </c>
      <c r="E921" s="8" t="s">
        <v>13</v>
      </c>
      <c r="F921" s="10">
        <v>84</v>
      </c>
      <c r="G921" s="10">
        <v>72</v>
      </c>
      <c r="H921" s="10">
        <v>96</v>
      </c>
      <c r="I921" s="10">
        <v>84</v>
      </c>
      <c r="J921" s="10">
        <v>84</v>
      </c>
    </row>
    <row r="922" spans="1:10" ht="28.8" x14ac:dyDescent="0.3">
      <c r="A922" t="s">
        <v>90</v>
      </c>
      <c r="B922" s="2">
        <v>45483</v>
      </c>
      <c r="C922" s="3" t="s">
        <v>11</v>
      </c>
      <c r="D922" s="4" t="s">
        <v>21</v>
      </c>
      <c r="E922" s="4" t="s">
        <v>13</v>
      </c>
      <c r="F922" s="6">
        <v>24</v>
      </c>
      <c r="G922" s="6">
        <v>24</v>
      </c>
      <c r="H922" s="6">
        <v>30</v>
      </c>
      <c r="I922" s="6" t="s">
        <v>459</v>
      </c>
      <c r="J922" s="6">
        <v>24</v>
      </c>
    </row>
    <row r="923" spans="1:10" ht="28.8" x14ac:dyDescent="0.3">
      <c r="A923" t="s">
        <v>90</v>
      </c>
      <c r="B923" s="2">
        <v>45483</v>
      </c>
      <c r="C923" s="7" t="s">
        <v>11</v>
      </c>
      <c r="D923" s="8" t="s">
        <v>65</v>
      </c>
      <c r="E923" s="8" t="s">
        <v>13</v>
      </c>
      <c r="F923" s="10">
        <v>60</v>
      </c>
      <c r="G923" s="10">
        <v>60</v>
      </c>
      <c r="H923" s="10">
        <v>72</v>
      </c>
      <c r="I923" s="10">
        <v>63</v>
      </c>
      <c r="J923" s="10">
        <v>60</v>
      </c>
    </row>
    <row r="924" spans="1:10" ht="28.8" x14ac:dyDescent="0.3">
      <c r="A924" t="s">
        <v>90</v>
      </c>
      <c r="B924" s="2">
        <v>45483</v>
      </c>
      <c r="C924" s="3" t="s">
        <v>11</v>
      </c>
      <c r="D924" s="4" t="s">
        <v>23</v>
      </c>
      <c r="E924" s="4" t="s">
        <v>13</v>
      </c>
      <c r="F924" s="6">
        <v>24</v>
      </c>
      <c r="G924" s="6">
        <v>20</v>
      </c>
      <c r="H924" s="6">
        <v>24</v>
      </c>
      <c r="I924" s="6">
        <v>23</v>
      </c>
      <c r="J924" s="6">
        <v>24</v>
      </c>
    </row>
    <row r="925" spans="1:10" ht="28.8" x14ac:dyDescent="0.3">
      <c r="A925" t="s">
        <v>90</v>
      </c>
      <c r="B925" s="2">
        <v>45483</v>
      </c>
      <c r="C925" s="7" t="s">
        <v>11</v>
      </c>
      <c r="D925" s="8" t="s">
        <v>24</v>
      </c>
      <c r="E925" s="8" t="s">
        <v>13</v>
      </c>
      <c r="F925" s="10">
        <v>60</v>
      </c>
      <c r="G925" s="10">
        <v>60</v>
      </c>
      <c r="H925" s="10">
        <v>78</v>
      </c>
      <c r="I925" s="10" t="s">
        <v>364</v>
      </c>
      <c r="J925" s="10">
        <v>60</v>
      </c>
    </row>
    <row r="926" spans="1:10" ht="28.8" x14ac:dyDescent="0.3">
      <c r="A926" t="s">
        <v>90</v>
      </c>
      <c r="B926" s="2">
        <v>45483</v>
      </c>
      <c r="C926" s="3" t="s">
        <v>11</v>
      </c>
      <c r="D926" s="4" t="s">
        <v>25</v>
      </c>
      <c r="E926" s="4" t="s">
        <v>26</v>
      </c>
      <c r="F926" s="6">
        <v>60</v>
      </c>
      <c r="G926" s="6">
        <v>60</v>
      </c>
      <c r="H926" s="6">
        <v>60</v>
      </c>
      <c r="I926" s="6">
        <v>60</v>
      </c>
      <c r="J926" s="6">
        <v>60</v>
      </c>
    </row>
    <row r="927" spans="1:10" ht="28.8" x14ac:dyDescent="0.3">
      <c r="A927" t="s">
        <v>90</v>
      </c>
      <c r="B927" s="2">
        <v>45483</v>
      </c>
      <c r="C927" s="7" t="s">
        <v>11</v>
      </c>
      <c r="D927" s="8" t="s">
        <v>27</v>
      </c>
      <c r="E927" s="8" t="s">
        <v>13</v>
      </c>
      <c r="F927" s="9"/>
      <c r="G927" s="10">
        <v>50</v>
      </c>
      <c r="H927" s="10">
        <v>84</v>
      </c>
      <c r="I927" s="10" t="s">
        <v>460</v>
      </c>
      <c r="J927" s="10">
        <v>66</v>
      </c>
    </row>
    <row r="928" spans="1:10" ht="28.8" x14ac:dyDescent="0.3">
      <c r="A928" t="s">
        <v>90</v>
      </c>
      <c r="B928" s="2">
        <v>45483</v>
      </c>
      <c r="C928" s="3" t="s">
        <v>11</v>
      </c>
      <c r="D928" s="4" t="s">
        <v>28</v>
      </c>
      <c r="E928" s="4" t="s">
        <v>13</v>
      </c>
      <c r="F928" s="6">
        <v>45</v>
      </c>
      <c r="G928" s="6">
        <v>40</v>
      </c>
      <c r="H928" s="6">
        <v>48</v>
      </c>
      <c r="I928" s="6" t="s">
        <v>429</v>
      </c>
      <c r="J928" s="6">
        <v>45</v>
      </c>
    </row>
    <row r="929" spans="1:10" ht="28.8" x14ac:dyDescent="0.3">
      <c r="A929" t="s">
        <v>90</v>
      </c>
      <c r="B929" s="2">
        <v>45483</v>
      </c>
      <c r="C929" s="7" t="s">
        <v>11</v>
      </c>
      <c r="D929" s="8" t="s">
        <v>29</v>
      </c>
      <c r="E929" s="8" t="s">
        <v>13</v>
      </c>
      <c r="F929" s="10">
        <v>48</v>
      </c>
      <c r="G929" s="10">
        <v>48</v>
      </c>
      <c r="H929" s="10">
        <v>54</v>
      </c>
      <c r="I929" s="10" t="s">
        <v>359</v>
      </c>
      <c r="J929" s="10">
        <v>48</v>
      </c>
    </row>
    <row r="930" spans="1:10" ht="28.8" x14ac:dyDescent="0.3">
      <c r="A930" t="s">
        <v>90</v>
      </c>
      <c r="B930" s="2">
        <v>45483</v>
      </c>
      <c r="C930" s="3" t="s">
        <v>30</v>
      </c>
      <c r="D930" s="4" t="s">
        <v>31</v>
      </c>
      <c r="E930" s="4" t="s">
        <v>32</v>
      </c>
      <c r="F930" s="6">
        <v>5</v>
      </c>
      <c r="G930" s="6">
        <v>5</v>
      </c>
      <c r="H930" s="6">
        <v>5</v>
      </c>
      <c r="I930" s="6">
        <v>5</v>
      </c>
      <c r="J930" s="6">
        <v>5</v>
      </c>
    </row>
    <row r="931" spans="1:10" ht="28.8" x14ac:dyDescent="0.3">
      <c r="A931" t="s">
        <v>90</v>
      </c>
      <c r="B931" s="2">
        <v>45483</v>
      </c>
      <c r="C931" s="7" t="s">
        <v>30</v>
      </c>
      <c r="D931" s="8" t="s">
        <v>33</v>
      </c>
      <c r="E931" s="8" t="s">
        <v>34</v>
      </c>
      <c r="F931" s="10">
        <v>15</v>
      </c>
      <c r="G931" s="10">
        <v>10</v>
      </c>
      <c r="H931" s="10">
        <v>15</v>
      </c>
      <c r="I931" s="10">
        <v>13</v>
      </c>
      <c r="J931" s="10" t="s">
        <v>461</v>
      </c>
    </row>
    <row r="932" spans="1:10" ht="28.8" x14ac:dyDescent="0.3">
      <c r="A932" t="s">
        <v>90</v>
      </c>
      <c r="B932" s="2">
        <v>45483</v>
      </c>
      <c r="C932" s="3" t="s">
        <v>30</v>
      </c>
      <c r="D932" s="4" t="s">
        <v>35</v>
      </c>
      <c r="E932" s="4" t="s">
        <v>34</v>
      </c>
      <c r="F932" s="6">
        <v>25</v>
      </c>
      <c r="G932" s="6">
        <v>20</v>
      </c>
      <c r="H932" s="6">
        <v>30</v>
      </c>
      <c r="I932" s="6">
        <v>25</v>
      </c>
      <c r="J932" s="6">
        <v>25</v>
      </c>
    </row>
    <row r="933" spans="1:10" ht="43.2" x14ac:dyDescent="0.3">
      <c r="A933" t="s">
        <v>90</v>
      </c>
      <c r="B933" s="2">
        <v>45483</v>
      </c>
      <c r="C933" s="7" t="s">
        <v>36</v>
      </c>
      <c r="D933" s="8" t="s">
        <v>73</v>
      </c>
      <c r="E933" s="8" t="s">
        <v>74</v>
      </c>
      <c r="F933" s="9"/>
      <c r="G933" s="10">
        <v>65</v>
      </c>
      <c r="H933" s="10">
        <v>80</v>
      </c>
      <c r="I933" s="10" t="s">
        <v>462</v>
      </c>
      <c r="J933" s="10">
        <v>70</v>
      </c>
    </row>
    <row r="934" spans="1:10" ht="43.2" x14ac:dyDescent="0.3">
      <c r="A934" t="s">
        <v>90</v>
      </c>
      <c r="B934" s="2">
        <v>45483</v>
      </c>
      <c r="C934" s="3" t="s">
        <v>36</v>
      </c>
      <c r="D934" s="4" t="s">
        <v>37</v>
      </c>
      <c r="E934" s="4" t="s">
        <v>38</v>
      </c>
      <c r="F934" s="6">
        <v>60</v>
      </c>
      <c r="G934" s="6">
        <v>45</v>
      </c>
      <c r="H934" s="6">
        <v>70</v>
      </c>
      <c r="I934" s="6">
        <v>59</v>
      </c>
      <c r="J934" s="6">
        <v>60</v>
      </c>
    </row>
    <row r="935" spans="1:10" ht="43.2" x14ac:dyDescent="0.3">
      <c r="A935" t="s">
        <v>90</v>
      </c>
      <c r="B935" s="2">
        <v>45483</v>
      </c>
      <c r="C935" s="7" t="s">
        <v>36</v>
      </c>
      <c r="D935" s="8" t="s">
        <v>39</v>
      </c>
      <c r="E935" s="8" t="s">
        <v>40</v>
      </c>
      <c r="F935" s="10">
        <v>70</v>
      </c>
      <c r="G935" s="10">
        <v>45</v>
      </c>
      <c r="H935" s="10">
        <v>70</v>
      </c>
      <c r="I935" s="10">
        <v>64</v>
      </c>
      <c r="J935" s="10">
        <v>70</v>
      </c>
    </row>
    <row r="936" spans="1:10" ht="43.2" x14ac:dyDescent="0.3">
      <c r="A936" t="s">
        <v>90</v>
      </c>
      <c r="B936" s="2">
        <v>45483</v>
      </c>
      <c r="C936" s="3" t="s">
        <v>36</v>
      </c>
      <c r="D936" s="4" t="s">
        <v>41</v>
      </c>
      <c r="E936" s="4" t="s">
        <v>42</v>
      </c>
      <c r="F936" s="6">
        <v>50</v>
      </c>
      <c r="G936" s="6">
        <v>30</v>
      </c>
      <c r="H936" s="6">
        <v>50</v>
      </c>
      <c r="I936" s="6">
        <v>45</v>
      </c>
      <c r="J936" s="6">
        <v>50</v>
      </c>
    </row>
    <row r="937" spans="1:10" ht="43.2" x14ac:dyDescent="0.3">
      <c r="A937" t="s">
        <v>90</v>
      </c>
      <c r="B937" s="2">
        <v>45483</v>
      </c>
      <c r="C937" s="7" t="s">
        <v>36</v>
      </c>
      <c r="D937" s="8" t="s">
        <v>43</v>
      </c>
      <c r="E937" s="8" t="s">
        <v>42</v>
      </c>
      <c r="F937" s="9"/>
      <c r="G937" s="10">
        <v>40</v>
      </c>
      <c r="H937" s="10">
        <v>110</v>
      </c>
      <c r="I937" s="10">
        <v>85</v>
      </c>
      <c r="J937" s="10">
        <v>95</v>
      </c>
    </row>
    <row r="938" spans="1:10" ht="43.2" x14ac:dyDescent="0.3">
      <c r="A938" t="s">
        <v>90</v>
      </c>
      <c r="B938" s="2">
        <v>45483</v>
      </c>
      <c r="C938" s="3" t="s">
        <v>36</v>
      </c>
      <c r="D938" s="4" t="s">
        <v>44</v>
      </c>
      <c r="E938" s="4" t="s">
        <v>45</v>
      </c>
      <c r="F938" s="6">
        <v>70</v>
      </c>
      <c r="G938" s="6">
        <v>70</v>
      </c>
      <c r="H938" s="6">
        <v>90</v>
      </c>
      <c r="I938" s="6">
        <v>79</v>
      </c>
      <c r="J938" s="6">
        <v>80</v>
      </c>
    </row>
    <row r="939" spans="1:10" ht="43.2" x14ac:dyDescent="0.3">
      <c r="A939" t="s">
        <v>90</v>
      </c>
      <c r="B939" s="2">
        <v>45483</v>
      </c>
      <c r="C939" s="7" t="s">
        <v>36</v>
      </c>
      <c r="D939" s="8" t="s">
        <v>46</v>
      </c>
      <c r="E939" s="8" t="s">
        <v>40</v>
      </c>
      <c r="F939" s="10">
        <v>60</v>
      </c>
      <c r="G939" s="10">
        <v>40</v>
      </c>
      <c r="H939" s="10">
        <v>80</v>
      </c>
      <c r="I939" s="10" t="s">
        <v>463</v>
      </c>
      <c r="J939" s="10" t="s">
        <v>268</v>
      </c>
    </row>
    <row r="940" spans="1:10" ht="43.2" x14ac:dyDescent="0.3">
      <c r="A940" t="s">
        <v>90</v>
      </c>
      <c r="B940" s="2">
        <v>45483</v>
      </c>
      <c r="C940" s="3" t="s">
        <v>36</v>
      </c>
      <c r="D940" s="4" t="s">
        <v>47</v>
      </c>
      <c r="E940" s="4" t="s">
        <v>40</v>
      </c>
      <c r="F940" s="6">
        <v>65</v>
      </c>
      <c r="G940" s="6">
        <v>45</v>
      </c>
      <c r="H940" s="6">
        <v>65</v>
      </c>
      <c r="I940" s="6">
        <v>57</v>
      </c>
      <c r="J940" s="6">
        <v>60</v>
      </c>
    </row>
    <row r="941" spans="1:10" ht="43.2" x14ac:dyDescent="0.3">
      <c r="A941" t="s">
        <v>90</v>
      </c>
      <c r="B941" s="2">
        <v>45483</v>
      </c>
      <c r="C941" s="7" t="s">
        <v>36</v>
      </c>
      <c r="D941" s="8" t="s">
        <v>48</v>
      </c>
      <c r="E941" s="8" t="s">
        <v>38</v>
      </c>
      <c r="F941" s="10">
        <v>90</v>
      </c>
      <c r="G941" s="10">
        <v>60</v>
      </c>
      <c r="H941" s="10">
        <v>100</v>
      </c>
      <c r="I941" s="10" t="s">
        <v>453</v>
      </c>
      <c r="J941" s="10">
        <v>85</v>
      </c>
    </row>
    <row r="942" spans="1:10" ht="43.2" x14ac:dyDescent="0.3">
      <c r="A942" t="s">
        <v>90</v>
      </c>
      <c r="B942" s="2">
        <v>45483</v>
      </c>
      <c r="C942" s="3" t="s">
        <v>36</v>
      </c>
      <c r="D942" s="4" t="s">
        <v>49</v>
      </c>
      <c r="E942" s="4" t="s">
        <v>40</v>
      </c>
      <c r="F942" s="6">
        <v>50</v>
      </c>
      <c r="G942" s="6">
        <v>50</v>
      </c>
      <c r="H942" s="6">
        <v>60</v>
      </c>
      <c r="I942" s="6" t="s">
        <v>280</v>
      </c>
      <c r="J942" s="6" t="s">
        <v>266</v>
      </c>
    </row>
    <row r="943" spans="1:10" ht="43.2" x14ac:dyDescent="0.3">
      <c r="A943" t="s">
        <v>90</v>
      </c>
      <c r="B943" s="2">
        <v>45483</v>
      </c>
      <c r="C943" s="7" t="s">
        <v>36</v>
      </c>
      <c r="D943" s="8" t="s">
        <v>50</v>
      </c>
      <c r="E943" s="8" t="s">
        <v>38</v>
      </c>
      <c r="F943" s="10">
        <v>60</v>
      </c>
      <c r="G943" s="10">
        <v>40</v>
      </c>
      <c r="H943" s="10">
        <v>60</v>
      </c>
      <c r="I943" s="10" t="s">
        <v>266</v>
      </c>
      <c r="J943" s="10">
        <v>55</v>
      </c>
    </row>
    <row r="944" spans="1:10" ht="43.2" x14ac:dyDescent="0.3">
      <c r="A944" t="s">
        <v>90</v>
      </c>
      <c r="B944" s="2">
        <v>45483</v>
      </c>
      <c r="C944" s="3" t="s">
        <v>36</v>
      </c>
      <c r="D944" s="4" t="s">
        <v>51</v>
      </c>
      <c r="E944" s="4" t="s">
        <v>38</v>
      </c>
      <c r="F944" s="6">
        <v>80</v>
      </c>
      <c r="G944" s="6">
        <v>70</v>
      </c>
      <c r="H944" s="6">
        <v>80</v>
      </c>
      <c r="I944" s="6">
        <v>77</v>
      </c>
      <c r="J944" s="6">
        <v>80</v>
      </c>
    </row>
    <row r="945" spans="1:10" ht="43.2" x14ac:dyDescent="0.3">
      <c r="A945" t="s">
        <v>90</v>
      </c>
      <c r="B945" s="2">
        <v>45483</v>
      </c>
      <c r="C945" s="7" t="s">
        <v>36</v>
      </c>
      <c r="D945" s="8" t="s">
        <v>52</v>
      </c>
      <c r="E945" s="8" t="s">
        <v>42</v>
      </c>
      <c r="F945" s="10">
        <v>50</v>
      </c>
      <c r="G945" s="10">
        <v>50</v>
      </c>
      <c r="H945" s="10">
        <v>60</v>
      </c>
      <c r="I945" s="10">
        <v>53</v>
      </c>
      <c r="J945" s="10">
        <v>50</v>
      </c>
    </row>
    <row r="946" spans="1:10" ht="43.2" x14ac:dyDescent="0.3">
      <c r="A946" t="s">
        <v>90</v>
      </c>
      <c r="B946" s="2">
        <v>45483</v>
      </c>
      <c r="C946" s="3" t="s">
        <v>36</v>
      </c>
      <c r="D946" s="4" t="s">
        <v>53</v>
      </c>
      <c r="E946" s="4" t="s">
        <v>54</v>
      </c>
      <c r="F946" s="6">
        <v>100</v>
      </c>
      <c r="G946" s="6">
        <v>90</v>
      </c>
      <c r="H946" s="6">
        <v>120</v>
      </c>
      <c r="I946" s="6" t="s">
        <v>369</v>
      </c>
      <c r="J946" s="6">
        <v>100</v>
      </c>
    </row>
    <row r="947" spans="1:10" ht="43.2" x14ac:dyDescent="0.3">
      <c r="A947" t="s">
        <v>90</v>
      </c>
      <c r="B947" s="2">
        <v>45483</v>
      </c>
      <c r="C947" s="7" t="s">
        <v>36</v>
      </c>
      <c r="D947" s="8" t="s">
        <v>55</v>
      </c>
      <c r="E947" s="8" t="s">
        <v>38</v>
      </c>
      <c r="F947" s="9"/>
      <c r="G947" s="10">
        <v>30</v>
      </c>
      <c r="H947" s="10">
        <v>90</v>
      </c>
      <c r="I947" s="10" t="s">
        <v>272</v>
      </c>
      <c r="J947" s="10" t="s">
        <v>386</v>
      </c>
    </row>
    <row r="948" spans="1:10" ht="43.2" x14ac:dyDescent="0.3">
      <c r="A948" t="s">
        <v>90</v>
      </c>
      <c r="B948" s="2">
        <v>45483</v>
      </c>
      <c r="C948" s="3" t="s">
        <v>36</v>
      </c>
      <c r="D948" s="4" t="s">
        <v>56</v>
      </c>
      <c r="E948" s="4" t="s">
        <v>38</v>
      </c>
      <c r="F948" s="6">
        <v>120</v>
      </c>
      <c r="G948" s="6">
        <v>120</v>
      </c>
      <c r="H948" s="6">
        <v>150</v>
      </c>
      <c r="I948" s="6">
        <v>130</v>
      </c>
      <c r="J948" s="6">
        <v>125</v>
      </c>
    </row>
    <row r="949" spans="1:10" x14ac:dyDescent="0.3">
      <c r="A949" t="s">
        <v>90</v>
      </c>
      <c r="B949" s="2">
        <v>45483</v>
      </c>
      <c r="C949" s="7" t="s">
        <v>57</v>
      </c>
      <c r="D949" s="8" t="s">
        <v>58</v>
      </c>
      <c r="E949" s="8" t="s">
        <v>42</v>
      </c>
      <c r="F949" s="9"/>
      <c r="G949" s="9"/>
      <c r="H949" s="9"/>
      <c r="I949" s="9"/>
      <c r="J949" s="9"/>
    </row>
    <row r="950" spans="1:10" x14ac:dyDescent="0.3">
      <c r="A950" t="s">
        <v>90</v>
      </c>
      <c r="B950" s="2">
        <v>45483</v>
      </c>
      <c r="C950" s="3" t="s">
        <v>57</v>
      </c>
      <c r="D950" s="4" t="s">
        <v>59</v>
      </c>
      <c r="E950" s="4" t="s">
        <v>42</v>
      </c>
      <c r="F950" s="5"/>
      <c r="G950" s="5"/>
      <c r="H950" s="5"/>
      <c r="I950" s="5"/>
      <c r="J950" s="5"/>
    </row>
    <row r="951" spans="1:10" x14ac:dyDescent="0.3">
      <c r="A951" t="s">
        <v>90</v>
      </c>
      <c r="B951" s="2">
        <v>45483</v>
      </c>
      <c r="C951" s="7" t="s">
        <v>57</v>
      </c>
      <c r="D951" s="8" t="s">
        <v>60</v>
      </c>
      <c r="E951" s="8" t="s">
        <v>42</v>
      </c>
      <c r="F951" s="9"/>
      <c r="G951" s="9"/>
      <c r="H951" s="9"/>
      <c r="I951" s="9"/>
      <c r="J951" s="9"/>
    </row>
    <row r="952" spans="1:10" x14ac:dyDescent="0.3">
      <c r="A952" t="s">
        <v>90</v>
      </c>
      <c r="B952" s="2">
        <v>45483</v>
      </c>
      <c r="C952" s="3" t="s">
        <v>57</v>
      </c>
      <c r="D952" s="4" t="s">
        <v>61</v>
      </c>
      <c r="E952" s="4" t="s">
        <v>42</v>
      </c>
      <c r="F952" s="6">
        <v>48</v>
      </c>
      <c r="G952" s="6">
        <v>48</v>
      </c>
      <c r="H952" s="6">
        <v>48</v>
      </c>
      <c r="I952" s="6">
        <v>48</v>
      </c>
      <c r="J952" s="6">
        <v>48</v>
      </c>
    </row>
    <row r="953" spans="1:10" x14ac:dyDescent="0.3">
      <c r="A953" t="s">
        <v>90</v>
      </c>
      <c r="B953" s="2">
        <v>45483</v>
      </c>
      <c r="C953" s="7" t="s">
        <v>57</v>
      </c>
      <c r="D953" s="8" t="s">
        <v>62</v>
      </c>
      <c r="E953" s="8" t="s">
        <v>63</v>
      </c>
      <c r="F953" s="10">
        <v>70</v>
      </c>
      <c r="G953" s="10">
        <v>65</v>
      </c>
      <c r="H953" s="10">
        <v>70</v>
      </c>
      <c r="I953" s="10" t="s">
        <v>261</v>
      </c>
      <c r="J953" s="10">
        <v>70</v>
      </c>
    </row>
    <row r="954" spans="1:10" ht="28.8" x14ac:dyDescent="0.3">
      <c r="A954" t="s">
        <v>91</v>
      </c>
      <c r="B954" s="2">
        <v>45497</v>
      </c>
      <c r="C954" s="3" t="s">
        <v>11</v>
      </c>
      <c r="D954" s="4" t="s">
        <v>12</v>
      </c>
      <c r="E954" s="4" t="s">
        <v>13</v>
      </c>
      <c r="F954" s="6">
        <v>60</v>
      </c>
      <c r="G954" s="6">
        <v>48</v>
      </c>
      <c r="H954" s="6">
        <v>60</v>
      </c>
      <c r="I954" s="6">
        <v>54</v>
      </c>
      <c r="J954" s="6">
        <v>54</v>
      </c>
    </row>
    <row r="955" spans="1:10" ht="28.8" x14ac:dyDescent="0.3">
      <c r="A955" t="s">
        <v>91</v>
      </c>
      <c r="B955" s="2">
        <v>45497</v>
      </c>
      <c r="C955" s="7" t="s">
        <v>11</v>
      </c>
      <c r="D955" s="8" t="s">
        <v>14</v>
      </c>
      <c r="E955" s="8" t="s">
        <v>13</v>
      </c>
      <c r="F955" s="10">
        <v>84</v>
      </c>
      <c r="G955" s="10">
        <v>60</v>
      </c>
      <c r="H955" s="10">
        <v>84</v>
      </c>
      <c r="I955" s="10" t="s">
        <v>464</v>
      </c>
      <c r="J955" s="10">
        <v>72</v>
      </c>
    </row>
    <row r="956" spans="1:10" ht="28.8" x14ac:dyDescent="0.3">
      <c r="A956" t="s">
        <v>91</v>
      </c>
      <c r="B956" s="2">
        <v>45497</v>
      </c>
      <c r="C956" s="3" t="s">
        <v>11</v>
      </c>
      <c r="D956" s="4" t="s">
        <v>15</v>
      </c>
      <c r="E956" s="4" t="s">
        <v>13</v>
      </c>
      <c r="F956" s="6">
        <v>36</v>
      </c>
      <c r="G956" s="6">
        <v>30</v>
      </c>
      <c r="H956" s="6">
        <v>48</v>
      </c>
      <c r="I956" s="6">
        <v>36</v>
      </c>
      <c r="J956" s="6">
        <v>36</v>
      </c>
    </row>
    <row r="957" spans="1:10" ht="28.8" x14ac:dyDescent="0.3">
      <c r="A957" t="s">
        <v>91</v>
      </c>
      <c r="B957" s="2">
        <v>45497</v>
      </c>
      <c r="C957" s="7" t="s">
        <v>11</v>
      </c>
      <c r="D957" s="8" t="s">
        <v>16</v>
      </c>
      <c r="E957" s="8" t="s">
        <v>13</v>
      </c>
      <c r="F957" s="10">
        <v>24</v>
      </c>
      <c r="G957" s="10">
        <v>18</v>
      </c>
      <c r="H957" s="10">
        <v>30</v>
      </c>
      <c r="I957" s="10" t="s">
        <v>465</v>
      </c>
      <c r="J957" s="10">
        <v>24</v>
      </c>
    </row>
    <row r="958" spans="1:10" ht="28.8" x14ac:dyDescent="0.3">
      <c r="A958" t="s">
        <v>91</v>
      </c>
      <c r="B958" s="2">
        <v>45497</v>
      </c>
      <c r="C958" s="3" t="s">
        <v>11</v>
      </c>
      <c r="D958" s="4" t="s">
        <v>17</v>
      </c>
      <c r="E958" s="4" t="s">
        <v>13</v>
      </c>
      <c r="F958" s="6">
        <v>30</v>
      </c>
      <c r="G958" s="6">
        <v>18</v>
      </c>
      <c r="H958" s="6">
        <v>30</v>
      </c>
      <c r="I958" s="6" t="s">
        <v>466</v>
      </c>
      <c r="J958" s="6">
        <v>24</v>
      </c>
    </row>
    <row r="959" spans="1:10" ht="28.8" x14ac:dyDescent="0.3">
      <c r="A959" t="s">
        <v>91</v>
      </c>
      <c r="B959" s="2">
        <v>45497</v>
      </c>
      <c r="C959" s="7" t="s">
        <v>11</v>
      </c>
      <c r="D959" s="8" t="s">
        <v>18</v>
      </c>
      <c r="E959" s="8" t="s">
        <v>13</v>
      </c>
      <c r="F959" s="10">
        <v>60</v>
      </c>
      <c r="G959" s="10">
        <v>60</v>
      </c>
      <c r="H959" s="10">
        <v>60</v>
      </c>
      <c r="I959" s="10">
        <v>60</v>
      </c>
      <c r="J959" s="10">
        <v>60</v>
      </c>
    </row>
    <row r="960" spans="1:10" ht="28.8" x14ac:dyDescent="0.3">
      <c r="A960" t="s">
        <v>91</v>
      </c>
      <c r="B960" s="2">
        <v>45497</v>
      </c>
      <c r="C960" s="3" t="s">
        <v>11</v>
      </c>
      <c r="D960" s="4" t="s">
        <v>19</v>
      </c>
      <c r="E960" s="4" t="s">
        <v>13</v>
      </c>
      <c r="F960" s="6">
        <v>60</v>
      </c>
      <c r="G960" s="6">
        <v>60</v>
      </c>
      <c r="H960" s="6">
        <v>72</v>
      </c>
      <c r="I960" s="6" t="s">
        <v>467</v>
      </c>
      <c r="J960" s="6">
        <v>60</v>
      </c>
    </row>
    <row r="961" spans="1:10" ht="28.8" x14ac:dyDescent="0.3">
      <c r="A961" t="s">
        <v>91</v>
      </c>
      <c r="B961" s="2">
        <v>45497</v>
      </c>
      <c r="C961" s="7" t="s">
        <v>11</v>
      </c>
      <c r="D961" s="8" t="s">
        <v>20</v>
      </c>
      <c r="E961" s="8" t="s">
        <v>13</v>
      </c>
      <c r="F961" s="10">
        <v>84</v>
      </c>
      <c r="G961" s="10">
        <v>72</v>
      </c>
      <c r="H961" s="10">
        <v>96</v>
      </c>
      <c r="I961" s="10">
        <v>84</v>
      </c>
      <c r="J961" s="10">
        <v>84</v>
      </c>
    </row>
    <row r="962" spans="1:10" ht="28.8" x14ac:dyDescent="0.3">
      <c r="A962" t="s">
        <v>91</v>
      </c>
      <c r="B962" s="2">
        <v>45497</v>
      </c>
      <c r="C962" s="3" t="s">
        <v>11</v>
      </c>
      <c r="D962" s="4" t="s">
        <v>21</v>
      </c>
      <c r="E962" s="4" t="s">
        <v>13</v>
      </c>
      <c r="F962" s="6">
        <v>24</v>
      </c>
      <c r="G962" s="6">
        <v>18</v>
      </c>
      <c r="H962" s="6">
        <v>30</v>
      </c>
      <c r="I962" s="6" t="s">
        <v>465</v>
      </c>
      <c r="J962" s="6">
        <v>24</v>
      </c>
    </row>
    <row r="963" spans="1:10" ht="28.8" x14ac:dyDescent="0.3">
      <c r="A963" t="s">
        <v>91</v>
      </c>
      <c r="B963" s="2">
        <v>45497</v>
      </c>
      <c r="C963" s="7" t="s">
        <v>11</v>
      </c>
      <c r="D963" s="8" t="s">
        <v>65</v>
      </c>
      <c r="E963" s="8" t="s">
        <v>13</v>
      </c>
      <c r="F963" s="10">
        <v>72</v>
      </c>
      <c r="G963" s="10">
        <v>72</v>
      </c>
      <c r="H963" s="10">
        <v>84</v>
      </c>
      <c r="I963" s="10">
        <v>75</v>
      </c>
      <c r="J963" s="10">
        <v>72</v>
      </c>
    </row>
    <row r="964" spans="1:10" ht="28.8" x14ac:dyDescent="0.3">
      <c r="A964" t="s">
        <v>91</v>
      </c>
      <c r="B964" s="2">
        <v>45497</v>
      </c>
      <c r="C964" s="3" t="s">
        <v>11</v>
      </c>
      <c r="D964" s="4" t="s">
        <v>23</v>
      </c>
      <c r="E964" s="4" t="s">
        <v>13</v>
      </c>
      <c r="F964" s="6">
        <v>30</v>
      </c>
      <c r="G964" s="6">
        <v>18</v>
      </c>
      <c r="H964" s="6">
        <v>30</v>
      </c>
      <c r="I964" s="6" t="s">
        <v>466</v>
      </c>
      <c r="J964" s="6">
        <v>24</v>
      </c>
    </row>
    <row r="965" spans="1:10" ht="28.8" x14ac:dyDescent="0.3">
      <c r="A965" t="s">
        <v>91</v>
      </c>
      <c r="B965" s="2">
        <v>45497</v>
      </c>
      <c r="C965" s="7" t="s">
        <v>11</v>
      </c>
      <c r="D965" s="8" t="s">
        <v>24</v>
      </c>
      <c r="E965" s="8" t="s">
        <v>13</v>
      </c>
      <c r="F965" s="10">
        <v>60</v>
      </c>
      <c r="G965" s="10">
        <v>60</v>
      </c>
      <c r="H965" s="10">
        <v>60</v>
      </c>
      <c r="I965" s="10">
        <v>60</v>
      </c>
      <c r="J965" s="10">
        <v>60</v>
      </c>
    </row>
    <row r="966" spans="1:10" ht="28.8" x14ac:dyDescent="0.3">
      <c r="A966" t="s">
        <v>91</v>
      </c>
      <c r="B966" s="2">
        <v>45497</v>
      </c>
      <c r="C966" s="3" t="s">
        <v>11</v>
      </c>
      <c r="D966" s="4" t="s">
        <v>25</v>
      </c>
      <c r="E966" s="4" t="s">
        <v>26</v>
      </c>
      <c r="F966" s="6">
        <v>60</v>
      </c>
      <c r="G966" s="6">
        <v>48</v>
      </c>
      <c r="H966" s="6">
        <v>60</v>
      </c>
      <c r="I966" s="6">
        <v>54</v>
      </c>
      <c r="J966" s="6">
        <v>54</v>
      </c>
    </row>
    <row r="967" spans="1:10" ht="28.8" x14ac:dyDescent="0.3">
      <c r="A967" t="s">
        <v>91</v>
      </c>
      <c r="B967" s="2">
        <v>45497</v>
      </c>
      <c r="C967" s="7" t="s">
        <v>11</v>
      </c>
      <c r="D967" s="8" t="s">
        <v>27</v>
      </c>
      <c r="E967" s="8" t="s">
        <v>13</v>
      </c>
      <c r="F967" s="10">
        <v>60</v>
      </c>
      <c r="G967" s="10">
        <v>60</v>
      </c>
      <c r="H967" s="10">
        <v>96</v>
      </c>
      <c r="I967" s="10">
        <v>75</v>
      </c>
      <c r="J967" s="10">
        <v>72</v>
      </c>
    </row>
    <row r="968" spans="1:10" ht="28.8" x14ac:dyDescent="0.3">
      <c r="A968" t="s">
        <v>91</v>
      </c>
      <c r="B968" s="2">
        <v>45497</v>
      </c>
      <c r="C968" s="3" t="s">
        <v>11</v>
      </c>
      <c r="D968" s="4" t="s">
        <v>28</v>
      </c>
      <c r="E968" s="4" t="s">
        <v>13</v>
      </c>
      <c r="F968" s="6">
        <v>48</v>
      </c>
      <c r="G968" s="6">
        <v>25</v>
      </c>
      <c r="H968" s="6">
        <v>60</v>
      </c>
      <c r="I968" s="6" t="s">
        <v>468</v>
      </c>
      <c r="J968" s="6">
        <v>48</v>
      </c>
    </row>
    <row r="969" spans="1:10" ht="28.8" x14ac:dyDescent="0.3">
      <c r="A969" t="s">
        <v>91</v>
      </c>
      <c r="B969" s="2">
        <v>45497</v>
      </c>
      <c r="C969" s="7" t="s">
        <v>11</v>
      </c>
      <c r="D969" s="8" t="s">
        <v>29</v>
      </c>
      <c r="E969" s="8" t="s">
        <v>13</v>
      </c>
      <c r="F969" s="10">
        <v>54</v>
      </c>
      <c r="G969" s="10">
        <v>48</v>
      </c>
      <c r="H969" s="10">
        <v>54</v>
      </c>
      <c r="I969" s="10">
        <v>51</v>
      </c>
      <c r="J969" s="10">
        <v>51</v>
      </c>
    </row>
    <row r="970" spans="1:10" ht="28.8" x14ac:dyDescent="0.3">
      <c r="A970" t="s">
        <v>91</v>
      </c>
      <c r="B970" s="2">
        <v>45497</v>
      </c>
      <c r="C970" s="3" t="s">
        <v>30</v>
      </c>
      <c r="D970" s="4" t="s">
        <v>31</v>
      </c>
      <c r="E970" s="4" t="s">
        <v>32</v>
      </c>
      <c r="F970" s="6">
        <v>5</v>
      </c>
      <c r="G970" s="6">
        <v>5</v>
      </c>
      <c r="H970" s="6">
        <v>5</v>
      </c>
      <c r="I970" s="6">
        <v>5</v>
      </c>
      <c r="J970" s="6">
        <v>5</v>
      </c>
    </row>
    <row r="971" spans="1:10" ht="28.8" x14ac:dyDescent="0.3">
      <c r="A971" t="s">
        <v>91</v>
      </c>
      <c r="B971" s="2">
        <v>45497</v>
      </c>
      <c r="C971" s="7" t="s">
        <v>30</v>
      </c>
      <c r="D971" s="8" t="s">
        <v>33</v>
      </c>
      <c r="E971" s="8" t="s">
        <v>34</v>
      </c>
      <c r="F971" s="10">
        <v>15</v>
      </c>
      <c r="G971" s="10">
        <v>10</v>
      </c>
      <c r="H971" s="10">
        <v>15</v>
      </c>
      <c r="I971" s="10" t="s">
        <v>469</v>
      </c>
      <c r="J971" s="10">
        <v>12</v>
      </c>
    </row>
    <row r="972" spans="1:10" ht="28.8" x14ac:dyDescent="0.3">
      <c r="A972" t="s">
        <v>91</v>
      </c>
      <c r="B972" s="2">
        <v>45497</v>
      </c>
      <c r="C972" s="3" t="s">
        <v>30</v>
      </c>
      <c r="D972" s="4" t="s">
        <v>35</v>
      </c>
      <c r="E972" s="4" t="s">
        <v>34</v>
      </c>
      <c r="F972" s="6">
        <v>20</v>
      </c>
      <c r="G972" s="6">
        <v>20</v>
      </c>
      <c r="H972" s="6">
        <v>35</v>
      </c>
      <c r="I972" s="6">
        <v>26</v>
      </c>
      <c r="J972" s="6">
        <v>25</v>
      </c>
    </row>
    <row r="973" spans="1:10" ht="43.2" x14ac:dyDescent="0.3">
      <c r="A973" t="s">
        <v>91</v>
      </c>
      <c r="B973" s="2">
        <v>45497</v>
      </c>
      <c r="C973" s="7" t="s">
        <v>36</v>
      </c>
      <c r="D973" s="8" t="s">
        <v>73</v>
      </c>
      <c r="E973" s="8" t="s">
        <v>74</v>
      </c>
      <c r="F973" s="9"/>
      <c r="G973" s="10">
        <v>85</v>
      </c>
      <c r="H973" s="10">
        <v>85</v>
      </c>
      <c r="I973" s="10">
        <v>85</v>
      </c>
      <c r="J973" s="10">
        <v>85</v>
      </c>
    </row>
    <row r="974" spans="1:10" ht="43.2" x14ac:dyDescent="0.3">
      <c r="A974" t="s">
        <v>91</v>
      </c>
      <c r="B974" s="2">
        <v>45497</v>
      </c>
      <c r="C974" s="3" t="s">
        <v>36</v>
      </c>
      <c r="D974" s="4" t="s">
        <v>37</v>
      </c>
      <c r="E974" s="4" t="s">
        <v>38</v>
      </c>
      <c r="F974" s="6">
        <v>60</v>
      </c>
      <c r="G974" s="6">
        <v>50</v>
      </c>
      <c r="H974" s="6">
        <v>60</v>
      </c>
      <c r="I974" s="6" t="s">
        <v>421</v>
      </c>
      <c r="J974" s="6" t="s">
        <v>256</v>
      </c>
    </row>
    <row r="975" spans="1:10" ht="43.2" x14ac:dyDescent="0.3">
      <c r="A975" t="s">
        <v>91</v>
      </c>
      <c r="B975" s="2">
        <v>45497</v>
      </c>
      <c r="C975" s="7" t="s">
        <v>36</v>
      </c>
      <c r="D975" s="8" t="s">
        <v>39</v>
      </c>
      <c r="E975" s="8" t="s">
        <v>40</v>
      </c>
      <c r="F975" s="10">
        <v>70</v>
      </c>
      <c r="G975" s="10">
        <v>45</v>
      </c>
      <c r="H975" s="10">
        <v>70</v>
      </c>
      <c r="I975" s="10" t="s">
        <v>470</v>
      </c>
      <c r="J975" s="10">
        <v>70</v>
      </c>
    </row>
    <row r="976" spans="1:10" ht="43.2" x14ac:dyDescent="0.3">
      <c r="A976" t="s">
        <v>91</v>
      </c>
      <c r="B976" s="2">
        <v>45497</v>
      </c>
      <c r="C976" s="3" t="s">
        <v>36</v>
      </c>
      <c r="D976" s="4" t="s">
        <v>41</v>
      </c>
      <c r="E976" s="4" t="s">
        <v>42</v>
      </c>
      <c r="F976" s="6">
        <v>45</v>
      </c>
      <c r="G976" s="6">
        <v>40</v>
      </c>
      <c r="H976" s="6">
        <v>50</v>
      </c>
      <c r="I976" s="6">
        <v>46</v>
      </c>
      <c r="J976" s="6">
        <v>45</v>
      </c>
    </row>
    <row r="977" spans="1:10" ht="43.2" x14ac:dyDescent="0.3">
      <c r="A977" t="s">
        <v>91</v>
      </c>
      <c r="B977" s="2">
        <v>45497</v>
      </c>
      <c r="C977" s="7" t="s">
        <v>36</v>
      </c>
      <c r="D977" s="8" t="s">
        <v>43</v>
      </c>
      <c r="E977" s="8" t="s">
        <v>42</v>
      </c>
      <c r="F977" s="9"/>
      <c r="G977" s="10">
        <v>90</v>
      </c>
      <c r="H977" s="10">
        <v>90</v>
      </c>
      <c r="I977" s="10">
        <v>90</v>
      </c>
      <c r="J977" s="10">
        <v>90</v>
      </c>
    </row>
    <row r="978" spans="1:10" ht="43.2" x14ac:dyDescent="0.3">
      <c r="A978" t="s">
        <v>91</v>
      </c>
      <c r="B978" s="2">
        <v>45497</v>
      </c>
      <c r="C978" s="3" t="s">
        <v>36</v>
      </c>
      <c r="D978" s="4" t="s">
        <v>44</v>
      </c>
      <c r="E978" s="4" t="s">
        <v>45</v>
      </c>
      <c r="F978" s="6">
        <v>65</v>
      </c>
      <c r="G978" s="6">
        <v>60</v>
      </c>
      <c r="H978" s="6">
        <v>65</v>
      </c>
      <c r="I978" s="6" t="s">
        <v>268</v>
      </c>
      <c r="J978" s="6" t="s">
        <v>268</v>
      </c>
    </row>
    <row r="979" spans="1:10" ht="43.2" x14ac:dyDescent="0.3">
      <c r="A979" t="s">
        <v>91</v>
      </c>
      <c r="B979" s="2">
        <v>45497</v>
      </c>
      <c r="C979" s="7" t="s">
        <v>36</v>
      </c>
      <c r="D979" s="8" t="s">
        <v>46</v>
      </c>
      <c r="E979" s="8" t="s">
        <v>40</v>
      </c>
      <c r="F979" s="9"/>
      <c r="G979" s="10">
        <v>40</v>
      </c>
      <c r="H979" s="10">
        <v>65</v>
      </c>
      <c r="I979" s="10" t="s">
        <v>266</v>
      </c>
      <c r="J979" s="10" t="s">
        <v>266</v>
      </c>
    </row>
    <row r="980" spans="1:10" ht="43.2" x14ac:dyDescent="0.3">
      <c r="A980" t="s">
        <v>91</v>
      </c>
      <c r="B980" s="2">
        <v>45497</v>
      </c>
      <c r="C980" s="3" t="s">
        <v>36</v>
      </c>
      <c r="D980" s="4" t="s">
        <v>47</v>
      </c>
      <c r="E980" s="4" t="s">
        <v>40</v>
      </c>
      <c r="F980" s="6">
        <v>40</v>
      </c>
      <c r="G980" s="6">
        <v>40</v>
      </c>
      <c r="H980" s="6">
        <v>60</v>
      </c>
      <c r="I980" s="6">
        <v>46</v>
      </c>
      <c r="J980" s="6">
        <v>40</v>
      </c>
    </row>
    <row r="981" spans="1:10" ht="43.2" x14ac:dyDescent="0.3">
      <c r="A981" t="s">
        <v>91</v>
      </c>
      <c r="B981" s="2">
        <v>45497</v>
      </c>
      <c r="C981" s="7" t="s">
        <v>36</v>
      </c>
      <c r="D981" s="8" t="s">
        <v>48</v>
      </c>
      <c r="E981" s="8" t="s">
        <v>38</v>
      </c>
      <c r="F981" s="9"/>
      <c r="G981" s="10">
        <v>85</v>
      </c>
      <c r="H981" s="10">
        <v>100</v>
      </c>
      <c r="I981" s="10" t="s">
        <v>416</v>
      </c>
      <c r="J981" s="10">
        <v>90</v>
      </c>
    </row>
    <row r="982" spans="1:10" ht="43.2" x14ac:dyDescent="0.3">
      <c r="A982" t="s">
        <v>91</v>
      </c>
      <c r="B982" s="2">
        <v>45497</v>
      </c>
      <c r="C982" s="3" t="s">
        <v>36</v>
      </c>
      <c r="D982" s="4" t="s">
        <v>49</v>
      </c>
      <c r="E982" s="4" t="s">
        <v>40</v>
      </c>
      <c r="F982" s="5"/>
      <c r="G982" s="6">
        <v>45</v>
      </c>
      <c r="H982" s="6">
        <v>60</v>
      </c>
      <c r="I982" s="6" t="s">
        <v>266</v>
      </c>
      <c r="J982" s="6" t="s">
        <v>266</v>
      </c>
    </row>
    <row r="983" spans="1:10" ht="43.2" x14ac:dyDescent="0.3">
      <c r="A983" t="s">
        <v>91</v>
      </c>
      <c r="B983" s="2">
        <v>45497</v>
      </c>
      <c r="C983" s="7" t="s">
        <v>36</v>
      </c>
      <c r="D983" s="8" t="s">
        <v>50</v>
      </c>
      <c r="E983" s="8" t="s">
        <v>38</v>
      </c>
      <c r="F983" s="10">
        <v>50</v>
      </c>
      <c r="G983" s="10">
        <v>50</v>
      </c>
      <c r="H983" s="10">
        <v>60</v>
      </c>
      <c r="I983" s="10" t="s">
        <v>438</v>
      </c>
      <c r="J983" s="10">
        <v>50</v>
      </c>
    </row>
    <row r="984" spans="1:10" ht="43.2" x14ac:dyDescent="0.3">
      <c r="A984" t="s">
        <v>91</v>
      </c>
      <c r="B984" s="2">
        <v>45497</v>
      </c>
      <c r="C984" s="3" t="s">
        <v>36</v>
      </c>
      <c r="D984" s="4" t="s">
        <v>51</v>
      </c>
      <c r="E984" s="4" t="s">
        <v>38</v>
      </c>
      <c r="F984" s="6">
        <v>80</v>
      </c>
      <c r="G984" s="6">
        <v>70</v>
      </c>
      <c r="H984" s="6">
        <v>80</v>
      </c>
      <c r="I984" s="6">
        <v>75</v>
      </c>
      <c r="J984" s="6">
        <v>75</v>
      </c>
    </row>
    <row r="985" spans="1:10" ht="43.2" x14ac:dyDescent="0.3">
      <c r="A985" t="s">
        <v>91</v>
      </c>
      <c r="B985" s="2">
        <v>45497</v>
      </c>
      <c r="C985" s="7" t="s">
        <v>36</v>
      </c>
      <c r="D985" s="8" t="s">
        <v>52</v>
      </c>
      <c r="E985" s="8" t="s">
        <v>42</v>
      </c>
      <c r="F985" s="9"/>
      <c r="G985" s="10">
        <v>40</v>
      </c>
      <c r="H985" s="10">
        <v>60</v>
      </c>
      <c r="I985" s="10" t="s">
        <v>436</v>
      </c>
      <c r="J985" s="10" t="s">
        <v>266</v>
      </c>
    </row>
    <row r="986" spans="1:10" ht="43.2" x14ac:dyDescent="0.3">
      <c r="A986" t="s">
        <v>91</v>
      </c>
      <c r="B986" s="2">
        <v>45497</v>
      </c>
      <c r="C986" s="3" t="s">
        <v>36</v>
      </c>
      <c r="D986" s="4" t="s">
        <v>53</v>
      </c>
      <c r="E986" s="4" t="s">
        <v>54</v>
      </c>
      <c r="F986" s="5"/>
      <c r="G986" s="6">
        <v>130</v>
      </c>
      <c r="H986" s="6">
        <v>150</v>
      </c>
      <c r="I986" s="6">
        <v>140</v>
      </c>
      <c r="J986" s="6">
        <v>140</v>
      </c>
    </row>
    <row r="987" spans="1:10" ht="43.2" x14ac:dyDescent="0.3">
      <c r="A987" t="s">
        <v>91</v>
      </c>
      <c r="B987" s="2">
        <v>45497</v>
      </c>
      <c r="C987" s="7" t="s">
        <v>36</v>
      </c>
      <c r="D987" s="8" t="s">
        <v>55</v>
      </c>
      <c r="E987" s="8" t="s">
        <v>38</v>
      </c>
      <c r="F987" s="10">
        <v>70</v>
      </c>
      <c r="G987" s="10">
        <v>70</v>
      </c>
      <c r="H987" s="10">
        <v>100</v>
      </c>
      <c r="I987" s="10">
        <v>84</v>
      </c>
      <c r="J987" s="10">
        <v>90</v>
      </c>
    </row>
    <row r="988" spans="1:10" ht="43.2" x14ac:dyDescent="0.3">
      <c r="A988" t="s">
        <v>91</v>
      </c>
      <c r="B988" s="2">
        <v>45497</v>
      </c>
      <c r="C988" s="3" t="s">
        <v>36</v>
      </c>
      <c r="D988" s="4" t="s">
        <v>56</v>
      </c>
      <c r="E988" s="4" t="s">
        <v>38</v>
      </c>
      <c r="F988" s="6">
        <v>140</v>
      </c>
      <c r="G988" s="6">
        <v>120</v>
      </c>
      <c r="H988" s="6">
        <v>140</v>
      </c>
      <c r="I988" s="6" t="s">
        <v>471</v>
      </c>
      <c r="J988" s="6">
        <v>140</v>
      </c>
    </row>
    <row r="989" spans="1:10" x14ac:dyDescent="0.3">
      <c r="A989" t="s">
        <v>91</v>
      </c>
      <c r="B989" s="2">
        <v>45497</v>
      </c>
      <c r="C989" s="7" t="s">
        <v>57</v>
      </c>
      <c r="D989" s="8" t="s">
        <v>58</v>
      </c>
      <c r="E989" s="8" t="s">
        <v>42</v>
      </c>
      <c r="F989" s="9"/>
      <c r="G989" s="9"/>
      <c r="H989" s="9"/>
      <c r="I989" s="9"/>
      <c r="J989" s="9"/>
    </row>
    <row r="990" spans="1:10" x14ac:dyDescent="0.3">
      <c r="A990" t="s">
        <v>91</v>
      </c>
      <c r="B990" s="2">
        <v>45497</v>
      </c>
      <c r="C990" s="3" t="s">
        <v>57</v>
      </c>
      <c r="D990" s="4" t="s">
        <v>59</v>
      </c>
      <c r="E990" s="4" t="s">
        <v>42</v>
      </c>
      <c r="F990" s="5"/>
      <c r="G990" s="5"/>
      <c r="H990" s="5"/>
      <c r="I990" s="5"/>
      <c r="J990" s="5"/>
    </row>
    <row r="991" spans="1:10" x14ac:dyDescent="0.3">
      <c r="A991" t="s">
        <v>91</v>
      </c>
      <c r="B991" s="2">
        <v>45497</v>
      </c>
      <c r="C991" s="7" t="s">
        <v>57</v>
      </c>
      <c r="D991" s="8" t="s">
        <v>60</v>
      </c>
      <c r="E991" s="8" t="s">
        <v>42</v>
      </c>
      <c r="F991" s="9"/>
      <c r="G991" s="9"/>
      <c r="H991" s="9"/>
      <c r="I991" s="9"/>
      <c r="J991" s="9"/>
    </row>
    <row r="992" spans="1:10" x14ac:dyDescent="0.3">
      <c r="A992" t="s">
        <v>91</v>
      </c>
      <c r="B992" s="2">
        <v>45497</v>
      </c>
      <c r="C992" s="3" t="s">
        <v>57</v>
      </c>
      <c r="D992" s="4" t="s">
        <v>61</v>
      </c>
      <c r="E992" s="4" t="s">
        <v>42</v>
      </c>
      <c r="F992" s="5"/>
      <c r="G992" s="6">
        <v>60</v>
      </c>
      <c r="H992" s="6">
        <v>60</v>
      </c>
      <c r="I992" s="6">
        <v>60</v>
      </c>
      <c r="J992" s="6">
        <v>60</v>
      </c>
    </row>
    <row r="993" spans="1:10" x14ac:dyDescent="0.3">
      <c r="A993" t="s">
        <v>91</v>
      </c>
      <c r="B993" s="2">
        <v>45497</v>
      </c>
      <c r="C993" s="7" t="s">
        <v>57</v>
      </c>
      <c r="D993" s="8" t="s">
        <v>62</v>
      </c>
      <c r="E993" s="8" t="s">
        <v>63</v>
      </c>
      <c r="F993" s="9"/>
      <c r="G993" s="10">
        <v>80</v>
      </c>
      <c r="H993" s="10">
        <v>80</v>
      </c>
      <c r="I993" s="10">
        <v>80</v>
      </c>
      <c r="J993" s="10">
        <v>80</v>
      </c>
    </row>
    <row r="994" spans="1:10" ht="28.8" x14ac:dyDescent="0.3">
      <c r="A994" t="s">
        <v>92</v>
      </c>
      <c r="B994" s="2">
        <v>45505</v>
      </c>
      <c r="C994" s="3" t="s">
        <v>11</v>
      </c>
      <c r="D994" s="4" t="s">
        <v>12</v>
      </c>
      <c r="E994" s="4" t="s">
        <v>13</v>
      </c>
      <c r="F994" s="6">
        <v>60</v>
      </c>
      <c r="G994" s="6">
        <v>48</v>
      </c>
      <c r="H994" s="6">
        <v>48</v>
      </c>
      <c r="I994" s="6">
        <v>60</v>
      </c>
      <c r="J994" s="6" t="s">
        <v>472</v>
      </c>
    </row>
    <row r="995" spans="1:10" ht="28.8" x14ac:dyDescent="0.3">
      <c r="A995" t="s">
        <v>92</v>
      </c>
      <c r="B995" s="2">
        <v>45505</v>
      </c>
      <c r="C995" s="7" t="s">
        <v>11</v>
      </c>
      <c r="D995" s="8" t="s">
        <v>14</v>
      </c>
      <c r="E995" s="8" t="s">
        <v>13</v>
      </c>
      <c r="F995" s="10">
        <v>84</v>
      </c>
      <c r="G995" s="10">
        <v>72</v>
      </c>
      <c r="H995" s="10">
        <v>72</v>
      </c>
      <c r="I995" s="10">
        <v>84</v>
      </c>
      <c r="J995" s="10">
        <v>78</v>
      </c>
    </row>
    <row r="996" spans="1:10" ht="28.8" x14ac:dyDescent="0.3">
      <c r="A996" t="s">
        <v>92</v>
      </c>
      <c r="B996" s="2">
        <v>45505</v>
      </c>
      <c r="C996" s="3" t="s">
        <v>11</v>
      </c>
      <c r="D996" s="4" t="s">
        <v>15</v>
      </c>
      <c r="E996" s="4" t="s">
        <v>13</v>
      </c>
      <c r="F996" s="6">
        <v>36</v>
      </c>
      <c r="G996" s="6">
        <v>36</v>
      </c>
      <c r="H996" s="6">
        <v>30</v>
      </c>
      <c r="I996" s="6">
        <v>42</v>
      </c>
      <c r="J996" s="6" t="s">
        <v>473</v>
      </c>
    </row>
    <row r="997" spans="1:10" ht="28.8" x14ac:dyDescent="0.3">
      <c r="A997" t="s">
        <v>92</v>
      </c>
      <c r="B997" s="2">
        <v>45505</v>
      </c>
      <c r="C997" s="7" t="s">
        <v>11</v>
      </c>
      <c r="D997" s="8" t="s">
        <v>16</v>
      </c>
      <c r="E997" s="8" t="s">
        <v>13</v>
      </c>
      <c r="F997" s="10">
        <v>24</v>
      </c>
      <c r="G997" s="10">
        <v>18</v>
      </c>
      <c r="H997" s="10">
        <v>18</v>
      </c>
      <c r="I997" s="10">
        <v>24</v>
      </c>
      <c r="J997" s="10" t="s">
        <v>474</v>
      </c>
    </row>
    <row r="998" spans="1:10" ht="28.8" x14ac:dyDescent="0.3">
      <c r="A998" t="s">
        <v>92</v>
      </c>
      <c r="B998" s="2">
        <v>45505</v>
      </c>
      <c r="C998" s="3" t="s">
        <v>11</v>
      </c>
      <c r="D998" s="4" t="s">
        <v>17</v>
      </c>
      <c r="E998" s="4" t="s">
        <v>13</v>
      </c>
      <c r="F998" s="6">
        <v>30</v>
      </c>
      <c r="G998" s="6">
        <v>24</v>
      </c>
      <c r="H998" s="6">
        <v>18</v>
      </c>
      <c r="I998" s="6">
        <v>24</v>
      </c>
      <c r="J998" s="6" t="s">
        <v>262</v>
      </c>
    </row>
    <row r="999" spans="1:10" ht="28.8" x14ac:dyDescent="0.3">
      <c r="A999" t="s">
        <v>92</v>
      </c>
      <c r="B999" s="2">
        <v>45505</v>
      </c>
      <c r="C999" s="7" t="s">
        <v>11</v>
      </c>
      <c r="D999" s="8" t="s">
        <v>18</v>
      </c>
      <c r="E999" s="8" t="s">
        <v>13</v>
      </c>
      <c r="F999" s="10">
        <v>60</v>
      </c>
      <c r="G999" s="10">
        <v>60</v>
      </c>
      <c r="H999" s="10">
        <v>60</v>
      </c>
      <c r="I999" s="10">
        <v>60</v>
      </c>
      <c r="J999" s="10">
        <v>60</v>
      </c>
    </row>
    <row r="1000" spans="1:10" ht="28.8" x14ac:dyDescent="0.3">
      <c r="A1000" t="s">
        <v>92</v>
      </c>
      <c r="B1000" s="2">
        <v>45505</v>
      </c>
      <c r="C1000" s="3" t="s">
        <v>11</v>
      </c>
      <c r="D1000" s="4" t="s">
        <v>19</v>
      </c>
      <c r="E1000" s="4" t="s">
        <v>13</v>
      </c>
      <c r="F1000" s="6">
        <v>60</v>
      </c>
      <c r="G1000" s="6">
        <v>48</v>
      </c>
      <c r="H1000" s="6">
        <v>48</v>
      </c>
      <c r="I1000" s="6">
        <v>60</v>
      </c>
      <c r="J1000" s="6">
        <v>54</v>
      </c>
    </row>
    <row r="1001" spans="1:10" ht="28.8" x14ac:dyDescent="0.3">
      <c r="A1001" t="s">
        <v>92</v>
      </c>
      <c r="B1001" s="2">
        <v>45505</v>
      </c>
      <c r="C1001" s="7" t="s">
        <v>11</v>
      </c>
      <c r="D1001" s="8" t="s">
        <v>20</v>
      </c>
      <c r="E1001" s="8" t="s">
        <v>13</v>
      </c>
      <c r="F1001" s="10">
        <v>84</v>
      </c>
      <c r="G1001" s="10">
        <v>60</v>
      </c>
      <c r="H1001" s="10">
        <v>60</v>
      </c>
      <c r="I1001" s="10">
        <v>84</v>
      </c>
      <c r="J1001" s="10">
        <v>72</v>
      </c>
    </row>
    <row r="1002" spans="1:10" ht="28.8" x14ac:dyDescent="0.3">
      <c r="A1002" t="s">
        <v>92</v>
      </c>
      <c r="B1002" s="2">
        <v>45505</v>
      </c>
      <c r="C1002" s="3" t="s">
        <v>11</v>
      </c>
      <c r="D1002" s="4" t="s">
        <v>21</v>
      </c>
      <c r="E1002" s="4" t="s">
        <v>13</v>
      </c>
      <c r="F1002" s="6">
        <v>24</v>
      </c>
      <c r="G1002" s="6">
        <v>18</v>
      </c>
      <c r="H1002" s="6">
        <v>18</v>
      </c>
      <c r="I1002" s="6">
        <v>25</v>
      </c>
      <c r="J1002" s="6" t="s">
        <v>475</v>
      </c>
    </row>
    <row r="1003" spans="1:10" ht="28.8" x14ac:dyDescent="0.3">
      <c r="A1003" t="s">
        <v>92</v>
      </c>
      <c r="B1003" s="2">
        <v>45505</v>
      </c>
      <c r="C1003" s="7" t="s">
        <v>11</v>
      </c>
      <c r="D1003" s="8" t="s">
        <v>65</v>
      </c>
      <c r="E1003" s="8" t="s">
        <v>13</v>
      </c>
      <c r="F1003" s="10">
        <v>72</v>
      </c>
      <c r="G1003" s="10">
        <v>60</v>
      </c>
      <c r="H1003" s="10">
        <v>60</v>
      </c>
      <c r="I1003" s="10">
        <v>84</v>
      </c>
      <c r="J1003" s="10">
        <v>72</v>
      </c>
    </row>
    <row r="1004" spans="1:10" ht="28.8" x14ac:dyDescent="0.3">
      <c r="A1004" t="s">
        <v>92</v>
      </c>
      <c r="B1004" s="2">
        <v>45505</v>
      </c>
      <c r="C1004" s="3" t="s">
        <v>11</v>
      </c>
      <c r="D1004" s="4" t="s">
        <v>23</v>
      </c>
      <c r="E1004" s="4" t="s">
        <v>13</v>
      </c>
      <c r="F1004" s="6">
        <v>30</v>
      </c>
      <c r="G1004" s="6">
        <v>24</v>
      </c>
      <c r="H1004" s="6">
        <v>18</v>
      </c>
      <c r="I1004" s="6">
        <v>24</v>
      </c>
      <c r="J1004" s="6">
        <v>22</v>
      </c>
    </row>
    <row r="1005" spans="1:10" ht="28.8" x14ac:dyDescent="0.3">
      <c r="A1005" t="s">
        <v>92</v>
      </c>
      <c r="B1005" s="2">
        <v>45505</v>
      </c>
      <c r="C1005" s="7" t="s">
        <v>11</v>
      </c>
      <c r="D1005" s="8" t="s">
        <v>24</v>
      </c>
      <c r="E1005" s="8" t="s">
        <v>13</v>
      </c>
      <c r="F1005" s="10">
        <v>60</v>
      </c>
      <c r="G1005" s="10">
        <v>60</v>
      </c>
      <c r="H1005" s="10">
        <v>60</v>
      </c>
      <c r="I1005" s="10">
        <v>72</v>
      </c>
      <c r="J1005" s="10">
        <v>66</v>
      </c>
    </row>
    <row r="1006" spans="1:10" ht="28.8" x14ac:dyDescent="0.3">
      <c r="A1006" t="s">
        <v>92</v>
      </c>
      <c r="B1006" s="2">
        <v>45505</v>
      </c>
      <c r="C1006" s="3" t="s">
        <v>11</v>
      </c>
      <c r="D1006" s="4" t="s">
        <v>25</v>
      </c>
      <c r="E1006" s="4" t="s">
        <v>26</v>
      </c>
      <c r="F1006" s="6">
        <v>60</v>
      </c>
      <c r="G1006" s="6">
        <v>60</v>
      </c>
      <c r="H1006" s="6">
        <v>48</v>
      </c>
      <c r="I1006" s="6">
        <v>60</v>
      </c>
      <c r="J1006" s="6" t="s">
        <v>476</v>
      </c>
    </row>
    <row r="1007" spans="1:10" ht="28.8" x14ac:dyDescent="0.3">
      <c r="A1007" t="s">
        <v>92</v>
      </c>
      <c r="B1007" s="2">
        <v>45505</v>
      </c>
      <c r="C1007" s="7" t="s">
        <v>11</v>
      </c>
      <c r="D1007" s="8" t="s">
        <v>27</v>
      </c>
      <c r="E1007" s="8" t="s">
        <v>13</v>
      </c>
      <c r="F1007" s="10">
        <v>60</v>
      </c>
      <c r="G1007" s="9"/>
      <c r="H1007" s="10">
        <v>48</v>
      </c>
      <c r="I1007" s="10">
        <v>78</v>
      </c>
      <c r="J1007" s="10">
        <v>59</v>
      </c>
    </row>
    <row r="1008" spans="1:10" ht="28.8" x14ac:dyDescent="0.3">
      <c r="A1008" t="s">
        <v>92</v>
      </c>
      <c r="B1008" s="2">
        <v>45505</v>
      </c>
      <c r="C1008" s="3" t="s">
        <v>11</v>
      </c>
      <c r="D1008" s="4" t="s">
        <v>28</v>
      </c>
      <c r="E1008" s="4" t="s">
        <v>13</v>
      </c>
      <c r="F1008" s="6">
        <v>48</v>
      </c>
      <c r="G1008" s="6">
        <v>48</v>
      </c>
      <c r="H1008" s="6">
        <v>36</v>
      </c>
      <c r="I1008" s="6">
        <v>48</v>
      </c>
      <c r="J1008" s="6" t="s">
        <v>477</v>
      </c>
    </row>
    <row r="1009" spans="1:10" ht="28.8" x14ac:dyDescent="0.3">
      <c r="A1009" t="s">
        <v>92</v>
      </c>
      <c r="B1009" s="2">
        <v>45505</v>
      </c>
      <c r="C1009" s="7" t="s">
        <v>11</v>
      </c>
      <c r="D1009" s="8" t="s">
        <v>29</v>
      </c>
      <c r="E1009" s="8" t="s">
        <v>13</v>
      </c>
      <c r="F1009" s="10">
        <v>54</v>
      </c>
      <c r="G1009" s="10">
        <v>48</v>
      </c>
      <c r="H1009" s="10">
        <v>48</v>
      </c>
      <c r="I1009" s="10">
        <v>54</v>
      </c>
      <c r="J1009" s="10" t="s">
        <v>478</v>
      </c>
    </row>
    <row r="1010" spans="1:10" ht="28.8" x14ac:dyDescent="0.3">
      <c r="A1010" t="s">
        <v>92</v>
      </c>
      <c r="B1010" s="2">
        <v>45505</v>
      </c>
      <c r="C1010" s="3" t="s">
        <v>30</v>
      </c>
      <c r="D1010" s="4" t="s">
        <v>31</v>
      </c>
      <c r="E1010" s="4" t="s">
        <v>32</v>
      </c>
      <c r="F1010" s="6">
        <v>5</v>
      </c>
      <c r="G1010" s="6">
        <v>4</v>
      </c>
      <c r="H1010" s="6">
        <v>5</v>
      </c>
      <c r="I1010" s="6" t="s">
        <v>479</v>
      </c>
      <c r="J1010" s="6">
        <v>5</v>
      </c>
    </row>
    <row r="1011" spans="1:10" ht="28.8" x14ac:dyDescent="0.3">
      <c r="A1011" t="s">
        <v>92</v>
      </c>
      <c r="B1011" s="2">
        <v>45505</v>
      </c>
      <c r="C1011" s="7" t="s">
        <v>30</v>
      </c>
      <c r="D1011" s="8" t="s">
        <v>33</v>
      </c>
      <c r="E1011" s="8" t="s">
        <v>34</v>
      </c>
      <c r="F1011" s="10">
        <v>12</v>
      </c>
      <c r="G1011" s="10">
        <v>10</v>
      </c>
      <c r="H1011" s="10">
        <v>12</v>
      </c>
      <c r="I1011" s="10" t="s">
        <v>480</v>
      </c>
      <c r="J1011" s="10">
        <v>12</v>
      </c>
    </row>
    <row r="1012" spans="1:10" ht="28.8" x14ac:dyDescent="0.3">
      <c r="A1012" t="s">
        <v>92</v>
      </c>
      <c r="B1012" s="2">
        <v>45505</v>
      </c>
      <c r="C1012" s="3" t="s">
        <v>30</v>
      </c>
      <c r="D1012" s="4" t="s">
        <v>35</v>
      </c>
      <c r="E1012" s="4" t="s">
        <v>34</v>
      </c>
      <c r="F1012" s="6">
        <v>20</v>
      </c>
      <c r="G1012" s="6">
        <v>20</v>
      </c>
      <c r="H1012" s="6">
        <v>30</v>
      </c>
      <c r="I1012" s="6">
        <v>24</v>
      </c>
      <c r="J1012" s="6">
        <v>20</v>
      </c>
    </row>
    <row r="1013" spans="1:10" ht="43.2" x14ac:dyDescent="0.3">
      <c r="A1013" t="s">
        <v>92</v>
      </c>
      <c r="B1013" s="2">
        <v>45505</v>
      </c>
      <c r="C1013" s="7" t="s">
        <v>36</v>
      </c>
      <c r="D1013" s="8" t="s">
        <v>73</v>
      </c>
      <c r="E1013" s="8" t="s">
        <v>74</v>
      </c>
      <c r="F1013" s="9"/>
      <c r="G1013" s="10">
        <v>80</v>
      </c>
      <c r="H1013" s="10">
        <v>80</v>
      </c>
      <c r="I1013" s="10">
        <v>80</v>
      </c>
      <c r="J1013" s="10">
        <v>80</v>
      </c>
    </row>
    <row r="1014" spans="1:10" ht="43.2" x14ac:dyDescent="0.3">
      <c r="A1014" t="s">
        <v>92</v>
      </c>
      <c r="B1014" s="2">
        <v>45505</v>
      </c>
      <c r="C1014" s="3" t="s">
        <v>36</v>
      </c>
      <c r="D1014" s="4" t="s">
        <v>37</v>
      </c>
      <c r="E1014" s="4" t="s">
        <v>38</v>
      </c>
      <c r="F1014" s="6">
        <v>60</v>
      </c>
      <c r="G1014" s="6">
        <v>40</v>
      </c>
      <c r="H1014" s="6">
        <v>75</v>
      </c>
      <c r="I1014" s="6" t="s">
        <v>441</v>
      </c>
      <c r="J1014" s="6">
        <v>60</v>
      </c>
    </row>
    <row r="1015" spans="1:10" ht="43.2" x14ac:dyDescent="0.3">
      <c r="A1015" t="s">
        <v>92</v>
      </c>
      <c r="B1015" s="2">
        <v>45505</v>
      </c>
      <c r="C1015" s="7" t="s">
        <v>36</v>
      </c>
      <c r="D1015" s="8" t="s">
        <v>39</v>
      </c>
      <c r="E1015" s="8" t="s">
        <v>40</v>
      </c>
      <c r="F1015" s="10">
        <v>70</v>
      </c>
      <c r="G1015" s="10">
        <v>45</v>
      </c>
      <c r="H1015" s="10">
        <v>75</v>
      </c>
      <c r="I1015" s="10" t="s">
        <v>319</v>
      </c>
      <c r="J1015" s="10">
        <v>65</v>
      </c>
    </row>
    <row r="1016" spans="1:10" ht="43.2" x14ac:dyDescent="0.3">
      <c r="A1016" t="s">
        <v>92</v>
      </c>
      <c r="B1016" s="2">
        <v>45505</v>
      </c>
      <c r="C1016" s="3" t="s">
        <v>36</v>
      </c>
      <c r="D1016" s="4" t="s">
        <v>41</v>
      </c>
      <c r="E1016" s="4" t="s">
        <v>42</v>
      </c>
      <c r="F1016" s="6">
        <v>40</v>
      </c>
      <c r="G1016" s="6">
        <v>40</v>
      </c>
      <c r="H1016" s="6">
        <v>50</v>
      </c>
      <c r="I1016" s="6" t="s">
        <v>419</v>
      </c>
      <c r="J1016" s="6" t="s">
        <v>258</v>
      </c>
    </row>
    <row r="1017" spans="1:10" ht="43.2" x14ac:dyDescent="0.3">
      <c r="A1017" t="s">
        <v>92</v>
      </c>
      <c r="B1017" s="2">
        <v>45505</v>
      </c>
      <c r="C1017" s="7" t="s">
        <v>36</v>
      </c>
      <c r="D1017" s="8" t="s">
        <v>43</v>
      </c>
      <c r="E1017" s="8" t="s">
        <v>42</v>
      </c>
      <c r="F1017" s="9"/>
      <c r="G1017" s="10">
        <v>90</v>
      </c>
      <c r="H1017" s="10">
        <v>105</v>
      </c>
      <c r="I1017" s="10" t="s">
        <v>342</v>
      </c>
      <c r="J1017" s="10" t="s">
        <v>342</v>
      </c>
    </row>
    <row r="1018" spans="1:10" ht="43.2" x14ac:dyDescent="0.3">
      <c r="A1018" t="s">
        <v>92</v>
      </c>
      <c r="B1018" s="2">
        <v>45505</v>
      </c>
      <c r="C1018" s="3" t="s">
        <v>36</v>
      </c>
      <c r="D1018" s="4" t="s">
        <v>44</v>
      </c>
      <c r="E1018" s="4" t="s">
        <v>45</v>
      </c>
      <c r="F1018" s="6">
        <v>55</v>
      </c>
      <c r="G1018" s="6">
        <v>55</v>
      </c>
      <c r="H1018" s="6">
        <v>60</v>
      </c>
      <c r="I1018" s="6" t="s">
        <v>260</v>
      </c>
      <c r="J1018" s="6">
        <v>55</v>
      </c>
    </row>
    <row r="1019" spans="1:10" ht="43.2" x14ac:dyDescent="0.3">
      <c r="A1019" t="s">
        <v>92</v>
      </c>
      <c r="B1019" s="2">
        <v>45505</v>
      </c>
      <c r="C1019" s="7" t="s">
        <v>36</v>
      </c>
      <c r="D1019" s="8" t="s">
        <v>46</v>
      </c>
      <c r="E1019" s="8" t="s">
        <v>40</v>
      </c>
      <c r="F1019" s="10">
        <v>60</v>
      </c>
      <c r="G1019" s="10">
        <v>45</v>
      </c>
      <c r="H1019" s="10">
        <v>60</v>
      </c>
      <c r="I1019" s="10" t="s">
        <v>438</v>
      </c>
      <c r="J1019" s="10">
        <v>55</v>
      </c>
    </row>
    <row r="1020" spans="1:10" ht="43.2" x14ac:dyDescent="0.3">
      <c r="A1020" t="s">
        <v>92</v>
      </c>
      <c r="B1020" s="2">
        <v>45505</v>
      </c>
      <c r="C1020" s="3" t="s">
        <v>36</v>
      </c>
      <c r="D1020" s="4" t="s">
        <v>47</v>
      </c>
      <c r="E1020" s="4" t="s">
        <v>40</v>
      </c>
      <c r="F1020" s="6">
        <v>60</v>
      </c>
      <c r="G1020" s="6">
        <v>45</v>
      </c>
      <c r="H1020" s="6">
        <v>65</v>
      </c>
      <c r="I1020" s="6" t="s">
        <v>441</v>
      </c>
      <c r="J1020" s="6">
        <v>60</v>
      </c>
    </row>
    <row r="1021" spans="1:10" ht="43.2" x14ac:dyDescent="0.3">
      <c r="A1021" t="s">
        <v>92</v>
      </c>
      <c r="B1021" s="2">
        <v>45505</v>
      </c>
      <c r="C1021" s="7" t="s">
        <v>36</v>
      </c>
      <c r="D1021" s="8" t="s">
        <v>48</v>
      </c>
      <c r="E1021" s="8" t="s">
        <v>38</v>
      </c>
      <c r="F1021" s="10">
        <v>90</v>
      </c>
      <c r="G1021" s="10">
        <v>60</v>
      </c>
      <c r="H1021" s="10">
        <v>100</v>
      </c>
      <c r="I1021" s="10">
        <v>86</v>
      </c>
      <c r="J1021" s="10">
        <v>90</v>
      </c>
    </row>
    <row r="1022" spans="1:10" ht="43.2" x14ac:dyDescent="0.3">
      <c r="A1022" t="s">
        <v>92</v>
      </c>
      <c r="B1022" s="2">
        <v>45505</v>
      </c>
      <c r="C1022" s="3" t="s">
        <v>36</v>
      </c>
      <c r="D1022" s="4" t="s">
        <v>49</v>
      </c>
      <c r="E1022" s="4" t="s">
        <v>40</v>
      </c>
      <c r="F1022" s="6">
        <v>60</v>
      </c>
      <c r="G1022" s="6">
        <v>60</v>
      </c>
      <c r="H1022" s="6">
        <v>60</v>
      </c>
      <c r="I1022" s="6">
        <v>60</v>
      </c>
      <c r="J1022" s="6">
        <v>60</v>
      </c>
    </row>
    <row r="1023" spans="1:10" ht="43.2" x14ac:dyDescent="0.3">
      <c r="A1023" t="s">
        <v>92</v>
      </c>
      <c r="B1023" s="2">
        <v>45505</v>
      </c>
      <c r="C1023" s="7" t="s">
        <v>36</v>
      </c>
      <c r="D1023" s="8" t="s">
        <v>50</v>
      </c>
      <c r="E1023" s="8" t="s">
        <v>38</v>
      </c>
      <c r="F1023" s="10">
        <v>65</v>
      </c>
      <c r="G1023" s="10">
        <v>50</v>
      </c>
      <c r="H1023" s="10">
        <v>65</v>
      </c>
      <c r="I1023" s="10">
        <v>60</v>
      </c>
      <c r="J1023" s="10" t="s">
        <v>268</v>
      </c>
    </row>
    <row r="1024" spans="1:10" ht="43.2" x14ac:dyDescent="0.3">
      <c r="A1024" t="s">
        <v>92</v>
      </c>
      <c r="B1024" s="2">
        <v>45505</v>
      </c>
      <c r="C1024" s="3" t="s">
        <v>36</v>
      </c>
      <c r="D1024" s="4" t="s">
        <v>51</v>
      </c>
      <c r="E1024" s="4" t="s">
        <v>38</v>
      </c>
      <c r="F1024" s="6">
        <v>90</v>
      </c>
      <c r="G1024" s="6">
        <v>50</v>
      </c>
      <c r="H1024" s="6">
        <v>90</v>
      </c>
      <c r="I1024" s="6" t="s">
        <v>344</v>
      </c>
      <c r="J1024" s="6">
        <v>80</v>
      </c>
    </row>
    <row r="1025" spans="1:10" ht="43.2" x14ac:dyDescent="0.3">
      <c r="A1025" t="s">
        <v>92</v>
      </c>
      <c r="B1025" s="2">
        <v>45505</v>
      </c>
      <c r="C1025" s="7" t="s">
        <v>36</v>
      </c>
      <c r="D1025" s="8" t="s">
        <v>52</v>
      </c>
      <c r="E1025" s="8" t="s">
        <v>42</v>
      </c>
      <c r="F1025" s="10">
        <v>50</v>
      </c>
      <c r="G1025" s="10">
        <v>40</v>
      </c>
      <c r="H1025" s="10">
        <v>80</v>
      </c>
      <c r="I1025" s="10">
        <v>55</v>
      </c>
      <c r="J1025" s="10">
        <v>50</v>
      </c>
    </row>
    <row r="1026" spans="1:10" ht="43.2" x14ac:dyDescent="0.3">
      <c r="A1026" t="s">
        <v>92</v>
      </c>
      <c r="B1026" s="2">
        <v>45505</v>
      </c>
      <c r="C1026" s="3" t="s">
        <v>36</v>
      </c>
      <c r="D1026" s="4" t="s">
        <v>53</v>
      </c>
      <c r="E1026" s="4" t="s">
        <v>54</v>
      </c>
      <c r="F1026" s="6">
        <v>120</v>
      </c>
      <c r="G1026" s="6">
        <v>100</v>
      </c>
      <c r="H1026" s="6">
        <v>150</v>
      </c>
      <c r="I1026" s="6">
        <v>125</v>
      </c>
      <c r="J1026" s="6">
        <v>125</v>
      </c>
    </row>
    <row r="1027" spans="1:10" ht="43.2" x14ac:dyDescent="0.3">
      <c r="A1027" t="s">
        <v>92</v>
      </c>
      <c r="B1027" s="2">
        <v>45505</v>
      </c>
      <c r="C1027" s="7" t="s">
        <v>36</v>
      </c>
      <c r="D1027" s="8" t="s">
        <v>55</v>
      </c>
      <c r="E1027" s="8" t="s">
        <v>38</v>
      </c>
      <c r="F1027" s="10">
        <v>80</v>
      </c>
      <c r="G1027" s="10">
        <v>50</v>
      </c>
      <c r="H1027" s="10">
        <v>90</v>
      </c>
      <c r="I1027" s="10" t="s">
        <v>320</v>
      </c>
      <c r="J1027" s="10">
        <v>75</v>
      </c>
    </row>
    <row r="1028" spans="1:10" ht="43.2" x14ac:dyDescent="0.3">
      <c r="A1028" t="s">
        <v>92</v>
      </c>
      <c r="B1028" s="2">
        <v>45505</v>
      </c>
      <c r="C1028" s="3" t="s">
        <v>36</v>
      </c>
      <c r="D1028" s="4" t="s">
        <v>56</v>
      </c>
      <c r="E1028" s="4" t="s">
        <v>38</v>
      </c>
      <c r="F1028" s="5"/>
      <c r="G1028" s="6">
        <v>85</v>
      </c>
      <c r="H1028" s="6">
        <v>190</v>
      </c>
      <c r="I1028" s="6" t="s">
        <v>481</v>
      </c>
      <c r="J1028" s="6">
        <v>150</v>
      </c>
    </row>
    <row r="1029" spans="1:10" x14ac:dyDescent="0.3">
      <c r="A1029" t="s">
        <v>92</v>
      </c>
      <c r="B1029" s="2">
        <v>45505</v>
      </c>
      <c r="C1029" s="7" t="s">
        <v>57</v>
      </c>
      <c r="D1029" s="8" t="s">
        <v>58</v>
      </c>
      <c r="E1029" s="8" t="s">
        <v>42</v>
      </c>
      <c r="F1029" s="9"/>
      <c r="G1029" s="9"/>
      <c r="H1029" s="9"/>
      <c r="I1029" s="9"/>
      <c r="J1029" s="9"/>
    </row>
    <row r="1030" spans="1:10" x14ac:dyDescent="0.3">
      <c r="A1030" t="s">
        <v>92</v>
      </c>
      <c r="B1030" s="2">
        <v>45505</v>
      </c>
      <c r="C1030" s="3" t="s">
        <v>57</v>
      </c>
      <c r="D1030" s="4" t="s">
        <v>59</v>
      </c>
      <c r="E1030" s="4" t="s">
        <v>42</v>
      </c>
      <c r="F1030" s="5"/>
      <c r="G1030" s="5"/>
      <c r="H1030" s="5"/>
      <c r="I1030" s="5"/>
      <c r="J1030" s="5"/>
    </row>
    <row r="1031" spans="1:10" x14ac:dyDescent="0.3">
      <c r="A1031" t="s">
        <v>92</v>
      </c>
      <c r="B1031" s="2">
        <v>45505</v>
      </c>
      <c r="C1031" s="7" t="s">
        <v>57</v>
      </c>
      <c r="D1031" s="8" t="s">
        <v>60</v>
      </c>
      <c r="E1031" s="8" t="s">
        <v>42</v>
      </c>
      <c r="F1031" s="9"/>
      <c r="G1031" s="9"/>
      <c r="H1031" s="9"/>
      <c r="I1031" s="9"/>
      <c r="J1031" s="9"/>
    </row>
    <row r="1032" spans="1:10" x14ac:dyDescent="0.3">
      <c r="A1032" t="s">
        <v>92</v>
      </c>
      <c r="B1032" s="2">
        <v>45505</v>
      </c>
      <c r="C1032" s="3" t="s">
        <v>57</v>
      </c>
      <c r="D1032" s="4" t="s">
        <v>61</v>
      </c>
      <c r="E1032" s="4" t="s">
        <v>42</v>
      </c>
      <c r="F1032" s="5"/>
      <c r="G1032" s="6">
        <v>65</v>
      </c>
      <c r="H1032" s="6">
        <v>65</v>
      </c>
      <c r="I1032" s="6">
        <v>65</v>
      </c>
      <c r="J1032" s="6">
        <v>65</v>
      </c>
    </row>
    <row r="1033" spans="1:10" x14ac:dyDescent="0.3">
      <c r="A1033" t="s">
        <v>92</v>
      </c>
      <c r="B1033" s="2">
        <v>45505</v>
      </c>
      <c r="C1033" s="7" t="s">
        <v>57</v>
      </c>
      <c r="D1033" s="8" t="s">
        <v>62</v>
      </c>
      <c r="E1033" s="8" t="s">
        <v>63</v>
      </c>
      <c r="F1033" s="9"/>
      <c r="G1033" s="10">
        <v>50</v>
      </c>
      <c r="H1033" s="10">
        <v>50</v>
      </c>
      <c r="I1033" s="10">
        <v>50</v>
      </c>
      <c r="J1033" s="10">
        <v>50</v>
      </c>
    </row>
    <row r="1034" spans="1:10" ht="28.8" x14ac:dyDescent="0.3">
      <c r="A1034" t="s">
        <v>93</v>
      </c>
      <c r="B1034" s="2">
        <v>45513</v>
      </c>
      <c r="C1034" s="3" t="s">
        <v>11</v>
      </c>
      <c r="D1034" s="4" t="s">
        <v>12</v>
      </c>
      <c r="E1034" s="4" t="s">
        <v>13</v>
      </c>
      <c r="F1034" s="5"/>
      <c r="G1034" s="6">
        <v>48</v>
      </c>
      <c r="H1034" s="6">
        <v>60</v>
      </c>
      <c r="I1034" s="6">
        <v>54</v>
      </c>
      <c r="J1034" s="6">
        <v>54</v>
      </c>
    </row>
    <row r="1035" spans="1:10" ht="28.8" x14ac:dyDescent="0.3">
      <c r="A1035" t="s">
        <v>93</v>
      </c>
      <c r="B1035" s="2">
        <v>45513</v>
      </c>
      <c r="C1035" s="7" t="s">
        <v>11</v>
      </c>
      <c r="D1035" s="8" t="s">
        <v>14</v>
      </c>
      <c r="E1035" s="8" t="s">
        <v>13</v>
      </c>
      <c r="F1035" s="9"/>
      <c r="G1035" s="10">
        <v>60</v>
      </c>
      <c r="H1035" s="10">
        <v>84</v>
      </c>
      <c r="I1035" s="10">
        <v>72</v>
      </c>
      <c r="J1035" s="10">
        <v>72</v>
      </c>
    </row>
    <row r="1036" spans="1:10" ht="28.8" x14ac:dyDescent="0.3">
      <c r="A1036" t="s">
        <v>93</v>
      </c>
      <c r="B1036" s="2">
        <v>45513</v>
      </c>
      <c r="C1036" s="3" t="s">
        <v>11</v>
      </c>
      <c r="D1036" s="4" t="s">
        <v>15</v>
      </c>
      <c r="E1036" s="4" t="s">
        <v>13</v>
      </c>
      <c r="F1036" s="5"/>
      <c r="G1036" s="6">
        <v>30</v>
      </c>
      <c r="H1036" s="6">
        <v>36</v>
      </c>
      <c r="I1036" s="6" t="s">
        <v>394</v>
      </c>
      <c r="J1036" s="6">
        <v>35</v>
      </c>
    </row>
    <row r="1037" spans="1:10" ht="28.8" x14ac:dyDescent="0.3">
      <c r="A1037" t="s">
        <v>93</v>
      </c>
      <c r="B1037" s="2">
        <v>45513</v>
      </c>
      <c r="C1037" s="7" t="s">
        <v>11</v>
      </c>
      <c r="D1037" s="8" t="s">
        <v>16</v>
      </c>
      <c r="E1037" s="8" t="s">
        <v>13</v>
      </c>
      <c r="F1037" s="10">
        <v>18</v>
      </c>
      <c r="G1037" s="10">
        <v>15</v>
      </c>
      <c r="H1037" s="10">
        <v>18</v>
      </c>
      <c r="I1037" s="10">
        <v>17</v>
      </c>
      <c r="J1037" s="10">
        <v>18</v>
      </c>
    </row>
    <row r="1038" spans="1:10" ht="28.8" x14ac:dyDescent="0.3">
      <c r="A1038" t="s">
        <v>93</v>
      </c>
      <c r="B1038" s="2">
        <v>45513</v>
      </c>
      <c r="C1038" s="3" t="s">
        <v>11</v>
      </c>
      <c r="D1038" s="4" t="s">
        <v>17</v>
      </c>
      <c r="E1038" s="4" t="s">
        <v>13</v>
      </c>
      <c r="F1038" s="5"/>
      <c r="G1038" s="6">
        <v>15</v>
      </c>
      <c r="H1038" s="6">
        <v>60</v>
      </c>
      <c r="I1038" s="6" t="s">
        <v>274</v>
      </c>
      <c r="J1038" s="6" t="s">
        <v>274</v>
      </c>
    </row>
    <row r="1039" spans="1:10" ht="28.8" x14ac:dyDescent="0.3">
      <c r="A1039" t="s">
        <v>93</v>
      </c>
      <c r="B1039" s="2">
        <v>45513</v>
      </c>
      <c r="C1039" s="7" t="s">
        <v>11</v>
      </c>
      <c r="D1039" s="8" t="s">
        <v>18</v>
      </c>
      <c r="E1039" s="8" t="s">
        <v>13</v>
      </c>
      <c r="F1039" s="10">
        <v>60</v>
      </c>
      <c r="G1039" s="10">
        <v>60</v>
      </c>
      <c r="H1039" s="10">
        <v>60</v>
      </c>
      <c r="I1039" s="10">
        <v>60</v>
      </c>
      <c r="J1039" s="10">
        <v>60</v>
      </c>
    </row>
    <row r="1040" spans="1:10" ht="28.8" x14ac:dyDescent="0.3">
      <c r="A1040" t="s">
        <v>93</v>
      </c>
      <c r="B1040" s="2">
        <v>45513</v>
      </c>
      <c r="C1040" s="3" t="s">
        <v>11</v>
      </c>
      <c r="D1040" s="4" t="s">
        <v>19</v>
      </c>
      <c r="E1040" s="4" t="s">
        <v>13</v>
      </c>
      <c r="F1040" s="5"/>
      <c r="G1040" s="6">
        <v>60</v>
      </c>
      <c r="H1040" s="6">
        <v>72</v>
      </c>
      <c r="I1040" s="6">
        <v>66</v>
      </c>
      <c r="J1040" s="6">
        <v>66</v>
      </c>
    </row>
    <row r="1041" spans="1:10" ht="28.8" x14ac:dyDescent="0.3">
      <c r="A1041" t="s">
        <v>93</v>
      </c>
      <c r="B1041" s="2">
        <v>45513</v>
      </c>
      <c r="C1041" s="7" t="s">
        <v>11</v>
      </c>
      <c r="D1041" s="8" t="s">
        <v>20</v>
      </c>
      <c r="E1041" s="8" t="s">
        <v>13</v>
      </c>
      <c r="F1041" s="10">
        <v>72</v>
      </c>
      <c r="G1041" s="10">
        <v>72</v>
      </c>
      <c r="H1041" s="10">
        <v>72</v>
      </c>
      <c r="I1041" s="10">
        <v>72</v>
      </c>
      <c r="J1041" s="10">
        <v>72</v>
      </c>
    </row>
    <row r="1042" spans="1:10" ht="28.8" x14ac:dyDescent="0.3">
      <c r="A1042" t="s">
        <v>93</v>
      </c>
      <c r="B1042" s="2">
        <v>45513</v>
      </c>
      <c r="C1042" s="3" t="s">
        <v>11</v>
      </c>
      <c r="D1042" s="4" t="s">
        <v>21</v>
      </c>
      <c r="E1042" s="4" t="s">
        <v>13</v>
      </c>
      <c r="F1042" s="6">
        <v>18</v>
      </c>
      <c r="G1042" s="6">
        <v>18</v>
      </c>
      <c r="H1042" s="6">
        <v>24</v>
      </c>
      <c r="I1042" s="6">
        <v>20</v>
      </c>
      <c r="J1042" s="6">
        <v>18</v>
      </c>
    </row>
    <row r="1043" spans="1:10" ht="28.8" x14ac:dyDescent="0.3">
      <c r="A1043" t="s">
        <v>93</v>
      </c>
      <c r="B1043" s="2">
        <v>45513</v>
      </c>
      <c r="C1043" s="7" t="s">
        <v>11</v>
      </c>
      <c r="D1043" s="8" t="s">
        <v>65</v>
      </c>
      <c r="E1043" s="8" t="s">
        <v>13</v>
      </c>
      <c r="F1043" s="9"/>
      <c r="G1043" s="10">
        <v>72</v>
      </c>
      <c r="H1043" s="10">
        <v>84</v>
      </c>
      <c r="I1043" s="10">
        <v>78</v>
      </c>
      <c r="J1043" s="10">
        <v>78</v>
      </c>
    </row>
    <row r="1044" spans="1:10" ht="28.8" x14ac:dyDescent="0.3">
      <c r="A1044" t="s">
        <v>93</v>
      </c>
      <c r="B1044" s="2">
        <v>45513</v>
      </c>
      <c r="C1044" s="3" t="s">
        <v>11</v>
      </c>
      <c r="D1044" s="4" t="s">
        <v>23</v>
      </c>
      <c r="E1044" s="4" t="s">
        <v>13</v>
      </c>
      <c r="F1044" s="5"/>
      <c r="G1044" s="6">
        <v>15</v>
      </c>
      <c r="H1044" s="6">
        <v>24</v>
      </c>
      <c r="I1044" s="6">
        <v>19</v>
      </c>
      <c r="J1044" s="6">
        <v>18</v>
      </c>
    </row>
    <row r="1045" spans="1:10" ht="28.8" x14ac:dyDescent="0.3">
      <c r="A1045" t="s">
        <v>93</v>
      </c>
      <c r="B1045" s="2">
        <v>45513</v>
      </c>
      <c r="C1045" s="7" t="s">
        <v>11</v>
      </c>
      <c r="D1045" s="8" t="s">
        <v>24</v>
      </c>
      <c r="E1045" s="8" t="s">
        <v>13</v>
      </c>
      <c r="F1045" s="9"/>
      <c r="G1045" s="10">
        <v>48</v>
      </c>
      <c r="H1045" s="10">
        <v>72</v>
      </c>
      <c r="I1045" s="10">
        <v>60</v>
      </c>
      <c r="J1045" s="10">
        <v>60</v>
      </c>
    </row>
    <row r="1046" spans="1:10" ht="28.8" x14ac:dyDescent="0.3">
      <c r="A1046" t="s">
        <v>93</v>
      </c>
      <c r="B1046" s="2">
        <v>45513</v>
      </c>
      <c r="C1046" s="3" t="s">
        <v>11</v>
      </c>
      <c r="D1046" s="4" t="s">
        <v>25</v>
      </c>
      <c r="E1046" s="4" t="s">
        <v>26</v>
      </c>
      <c r="F1046" s="6">
        <v>60</v>
      </c>
      <c r="G1046" s="6">
        <v>48</v>
      </c>
      <c r="H1046" s="6">
        <v>60</v>
      </c>
      <c r="I1046" s="6">
        <v>56</v>
      </c>
      <c r="J1046" s="6">
        <v>60</v>
      </c>
    </row>
    <row r="1047" spans="1:10" ht="28.8" x14ac:dyDescent="0.3">
      <c r="A1047" t="s">
        <v>93</v>
      </c>
      <c r="B1047" s="2">
        <v>45513</v>
      </c>
      <c r="C1047" s="7" t="s">
        <v>11</v>
      </c>
      <c r="D1047" s="8" t="s">
        <v>27</v>
      </c>
      <c r="E1047" s="8" t="s">
        <v>13</v>
      </c>
      <c r="F1047" s="9"/>
      <c r="G1047" s="10">
        <v>45</v>
      </c>
      <c r="H1047" s="10">
        <v>60</v>
      </c>
      <c r="I1047" s="10" t="s">
        <v>266</v>
      </c>
      <c r="J1047" s="10" t="s">
        <v>266</v>
      </c>
    </row>
    <row r="1048" spans="1:10" ht="28.8" x14ac:dyDescent="0.3">
      <c r="A1048" t="s">
        <v>93</v>
      </c>
      <c r="B1048" s="2">
        <v>45513</v>
      </c>
      <c r="C1048" s="3" t="s">
        <v>11</v>
      </c>
      <c r="D1048" s="4" t="s">
        <v>28</v>
      </c>
      <c r="E1048" s="4" t="s">
        <v>13</v>
      </c>
      <c r="F1048" s="5"/>
      <c r="G1048" s="6">
        <v>36</v>
      </c>
      <c r="H1048" s="6">
        <v>40</v>
      </c>
      <c r="I1048" s="6">
        <v>38</v>
      </c>
      <c r="J1048" s="6">
        <v>38</v>
      </c>
    </row>
    <row r="1049" spans="1:10" ht="28.8" x14ac:dyDescent="0.3">
      <c r="A1049" t="s">
        <v>93</v>
      </c>
      <c r="B1049" s="2">
        <v>45513</v>
      </c>
      <c r="C1049" s="7" t="s">
        <v>11</v>
      </c>
      <c r="D1049" s="8" t="s">
        <v>29</v>
      </c>
      <c r="E1049" s="8" t="s">
        <v>13</v>
      </c>
      <c r="F1049" s="9"/>
      <c r="G1049" s="10">
        <v>42</v>
      </c>
      <c r="H1049" s="10">
        <v>54</v>
      </c>
      <c r="I1049" s="10">
        <v>48</v>
      </c>
      <c r="J1049" s="10">
        <v>48</v>
      </c>
    </row>
    <row r="1050" spans="1:10" ht="28.8" x14ac:dyDescent="0.3">
      <c r="A1050" t="s">
        <v>93</v>
      </c>
      <c r="B1050" s="2">
        <v>45513</v>
      </c>
      <c r="C1050" s="3" t="s">
        <v>30</v>
      </c>
      <c r="D1050" s="4" t="s">
        <v>31</v>
      </c>
      <c r="E1050" s="4" t="s">
        <v>32</v>
      </c>
      <c r="F1050" s="6">
        <v>5</v>
      </c>
      <c r="G1050" s="6">
        <v>5</v>
      </c>
      <c r="H1050" s="6">
        <v>5</v>
      </c>
      <c r="I1050" s="6">
        <v>5</v>
      </c>
      <c r="J1050" s="6">
        <v>5</v>
      </c>
    </row>
    <row r="1051" spans="1:10" ht="28.8" x14ac:dyDescent="0.3">
      <c r="A1051" t="s">
        <v>93</v>
      </c>
      <c r="B1051" s="2">
        <v>45513</v>
      </c>
      <c r="C1051" s="7" t="s">
        <v>30</v>
      </c>
      <c r="D1051" s="8" t="s">
        <v>33</v>
      </c>
      <c r="E1051" s="8" t="s">
        <v>34</v>
      </c>
      <c r="F1051" s="10">
        <v>12</v>
      </c>
      <c r="G1051" s="10">
        <v>10</v>
      </c>
      <c r="H1051" s="10">
        <v>12</v>
      </c>
      <c r="I1051" s="10" t="s">
        <v>482</v>
      </c>
      <c r="J1051" s="10">
        <v>12</v>
      </c>
    </row>
    <row r="1052" spans="1:10" ht="28.8" x14ac:dyDescent="0.3">
      <c r="A1052" t="s">
        <v>93</v>
      </c>
      <c r="B1052" s="2">
        <v>45513</v>
      </c>
      <c r="C1052" s="3" t="s">
        <v>30</v>
      </c>
      <c r="D1052" s="4" t="s">
        <v>35</v>
      </c>
      <c r="E1052" s="4" t="s">
        <v>34</v>
      </c>
      <c r="F1052" s="5"/>
      <c r="G1052" s="6">
        <v>15</v>
      </c>
      <c r="H1052" s="6">
        <v>30</v>
      </c>
      <c r="I1052" s="6" t="s">
        <v>483</v>
      </c>
      <c r="J1052" s="6">
        <v>20</v>
      </c>
    </row>
    <row r="1053" spans="1:10" ht="43.2" x14ac:dyDescent="0.3">
      <c r="A1053" t="s">
        <v>93</v>
      </c>
      <c r="B1053" s="2">
        <v>45513</v>
      </c>
      <c r="C1053" s="7" t="s">
        <v>36</v>
      </c>
      <c r="D1053" s="8" t="s">
        <v>73</v>
      </c>
      <c r="E1053" s="8" t="s">
        <v>74</v>
      </c>
      <c r="F1053" s="9"/>
      <c r="G1053" s="10">
        <v>75</v>
      </c>
      <c r="H1053" s="10">
        <v>80</v>
      </c>
      <c r="I1053" s="10" t="s">
        <v>322</v>
      </c>
      <c r="J1053" s="10" t="s">
        <v>322</v>
      </c>
    </row>
    <row r="1054" spans="1:10" ht="43.2" x14ac:dyDescent="0.3">
      <c r="A1054" t="s">
        <v>93</v>
      </c>
      <c r="B1054" s="2">
        <v>45513</v>
      </c>
      <c r="C1054" s="3" t="s">
        <v>36</v>
      </c>
      <c r="D1054" s="4" t="s">
        <v>37</v>
      </c>
      <c r="E1054" s="4" t="s">
        <v>38</v>
      </c>
      <c r="F1054" s="6">
        <v>50</v>
      </c>
      <c r="G1054" s="6">
        <v>40</v>
      </c>
      <c r="H1054" s="6">
        <v>60</v>
      </c>
      <c r="I1054" s="6">
        <v>51</v>
      </c>
      <c r="J1054" s="6">
        <v>50</v>
      </c>
    </row>
    <row r="1055" spans="1:10" ht="43.2" x14ac:dyDescent="0.3">
      <c r="A1055" t="s">
        <v>93</v>
      </c>
      <c r="B1055" s="2">
        <v>45513</v>
      </c>
      <c r="C1055" s="7" t="s">
        <v>36</v>
      </c>
      <c r="D1055" s="8" t="s">
        <v>39</v>
      </c>
      <c r="E1055" s="8" t="s">
        <v>40</v>
      </c>
      <c r="F1055" s="10">
        <v>70</v>
      </c>
      <c r="G1055" s="10">
        <v>40</v>
      </c>
      <c r="H1055" s="10">
        <v>70</v>
      </c>
      <c r="I1055" s="10">
        <v>55</v>
      </c>
      <c r="J1055" s="10">
        <v>50</v>
      </c>
    </row>
    <row r="1056" spans="1:10" ht="43.2" x14ac:dyDescent="0.3">
      <c r="A1056" t="s">
        <v>93</v>
      </c>
      <c r="B1056" s="2">
        <v>45513</v>
      </c>
      <c r="C1056" s="3" t="s">
        <v>36</v>
      </c>
      <c r="D1056" s="4" t="s">
        <v>41</v>
      </c>
      <c r="E1056" s="4" t="s">
        <v>42</v>
      </c>
      <c r="F1056" s="6">
        <v>50</v>
      </c>
      <c r="G1056" s="6">
        <v>35</v>
      </c>
      <c r="H1056" s="6">
        <v>50</v>
      </c>
      <c r="I1056" s="6">
        <v>44</v>
      </c>
      <c r="J1056" s="6">
        <v>45</v>
      </c>
    </row>
    <row r="1057" spans="1:10" ht="43.2" x14ac:dyDescent="0.3">
      <c r="A1057" t="s">
        <v>93</v>
      </c>
      <c r="B1057" s="2">
        <v>45513</v>
      </c>
      <c r="C1057" s="7" t="s">
        <v>36</v>
      </c>
      <c r="D1057" s="8" t="s">
        <v>43</v>
      </c>
      <c r="E1057" s="8" t="s">
        <v>42</v>
      </c>
      <c r="F1057" s="9"/>
      <c r="G1057" s="10">
        <v>90</v>
      </c>
      <c r="H1057" s="10">
        <v>100</v>
      </c>
      <c r="I1057" s="10">
        <v>95</v>
      </c>
      <c r="J1057" s="10">
        <v>95</v>
      </c>
    </row>
    <row r="1058" spans="1:10" ht="43.2" x14ac:dyDescent="0.3">
      <c r="A1058" t="s">
        <v>93</v>
      </c>
      <c r="B1058" s="2">
        <v>45513</v>
      </c>
      <c r="C1058" s="3" t="s">
        <v>36</v>
      </c>
      <c r="D1058" s="4" t="s">
        <v>44</v>
      </c>
      <c r="E1058" s="4" t="s">
        <v>45</v>
      </c>
      <c r="F1058" s="6">
        <v>60</v>
      </c>
      <c r="G1058" s="6">
        <v>57</v>
      </c>
      <c r="H1058" s="6">
        <v>60</v>
      </c>
      <c r="I1058" s="6" t="s">
        <v>484</v>
      </c>
      <c r="J1058" s="6">
        <v>60</v>
      </c>
    </row>
    <row r="1059" spans="1:10" ht="43.2" x14ac:dyDescent="0.3">
      <c r="A1059" t="s">
        <v>93</v>
      </c>
      <c r="B1059" s="2">
        <v>45513</v>
      </c>
      <c r="C1059" s="7" t="s">
        <v>36</v>
      </c>
      <c r="D1059" s="8" t="s">
        <v>46</v>
      </c>
      <c r="E1059" s="8" t="s">
        <v>40</v>
      </c>
      <c r="F1059" s="10">
        <v>60</v>
      </c>
      <c r="G1059" s="10">
        <v>40</v>
      </c>
      <c r="H1059" s="10">
        <v>60</v>
      </c>
      <c r="I1059" s="10">
        <v>55</v>
      </c>
      <c r="J1059" s="10">
        <v>60</v>
      </c>
    </row>
    <row r="1060" spans="1:10" ht="43.2" x14ac:dyDescent="0.3">
      <c r="A1060" t="s">
        <v>93</v>
      </c>
      <c r="B1060" s="2">
        <v>45513</v>
      </c>
      <c r="C1060" s="3" t="s">
        <v>36</v>
      </c>
      <c r="D1060" s="4" t="s">
        <v>47</v>
      </c>
      <c r="E1060" s="4" t="s">
        <v>40</v>
      </c>
      <c r="F1060" s="6">
        <v>45</v>
      </c>
      <c r="G1060" s="6">
        <v>45</v>
      </c>
      <c r="H1060" s="6">
        <v>75</v>
      </c>
      <c r="I1060" s="6">
        <v>57</v>
      </c>
      <c r="J1060" s="6">
        <v>60</v>
      </c>
    </row>
    <row r="1061" spans="1:10" ht="43.2" x14ac:dyDescent="0.3">
      <c r="A1061" t="s">
        <v>93</v>
      </c>
      <c r="B1061" s="2">
        <v>45513</v>
      </c>
      <c r="C1061" s="7" t="s">
        <v>36</v>
      </c>
      <c r="D1061" s="8" t="s">
        <v>48</v>
      </c>
      <c r="E1061" s="8" t="s">
        <v>38</v>
      </c>
      <c r="F1061" s="9"/>
      <c r="G1061" s="10">
        <v>70</v>
      </c>
      <c r="H1061" s="10">
        <v>100</v>
      </c>
      <c r="I1061" s="10">
        <v>85</v>
      </c>
      <c r="J1061" s="10">
        <v>85</v>
      </c>
    </row>
    <row r="1062" spans="1:10" ht="43.2" x14ac:dyDescent="0.3">
      <c r="A1062" t="s">
        <v>93</v>
      </c>
      <c r="B1062" s="2">
        <v>45513</v>
      </c>
      <c r="C1062" s="3" t="s">
        <v>36</v>
      </c>
      <c r="D1062" s="4" t="s">
        <v>49</v>
      </c>
      <c r="E1062" s="4" t="s">
        <v>40</v>
      </c>
      <c r="F1062" s="5"/>
      <c r="G1062" s="6">
        <v>60</v>
      </c>
      <c r="H1062" s="6">
        <v>65</v>
      </c>
      <c r="I1062" s="6" t="s">
        <v>268</v>
      </c>
      <c r="J1062" s="6" t="s">
        <v>268</v>
      </c>
    </row>
    <row r="1063" spans="1:10" ht="43.2" x14ac:dyDescent="0.3">
      <c r="A1063" t="s">
        <v>93</v>
      </c>
      <c r="B1063" s="2">
        <v>45513</v>
      </c>
      <c r="C1063" s="7" t="s">
        <v>36</v>
      </c>
      <c r="D1063" s="8" t="s">
        <v>50</v>
      </c>
      <c r="E1063" s="8" t="s">
        <v>38</v>
      </c>
      <c r="F1063" s="10">
        <v>50</v>
      </c>
      <c r="G1063" s="10">
        <v>50</v>
      </c>
      <c r="H1063" s="10">
        <v>60</v>
      </c>
      <c r="I1063" s="10" t="s">
        <v>280</v>
      </c>
      <c r="J1063" s="10" t="s">
        <v>266</v>
      </c>
    </row>
    <row r="1064" spans="1:10" ht="43.2" x14ac:dyDescent="0.3">
      <c r="A1064" t="s">
        <v>93</v>
      </c>
      <c r="B1064" s="2">
        <v>45513</v>
      </c>
      <c r="C1064" s="3" t="s">
        <v>36</v>
      </c>
      <c r="D1064" s="4" t="s">
        <v>51</v>
      </c>
      <c r="E1064" s="4" t="s">
        <v>38</v>
      </c>
      <c r="F1064" s="6">
        <v>80</v>
      </c>
      <c r="G1064" s="6">
        <v>70</v>
      </c>
      <c r="H1064" s="6">
        <v>80</v>
      </c>
      <c r="I1064" s="6">
        <v>77</v>
      </c>
      <c r="J1064" s="6">
        <v>80</v>
      </c>
    </row>
    <row r="1065" spans="1:10" ht="43.2" x14ac:dyDescent="0.3">
      <c r="A1065" t="s">
        <v>93</v>
      </c>
      <c r="B1065" s="2">
        <v>45513</v>
      </c>
      <c r="C1065" s="7" t="s">
        <v>36</v>
      </c>
      <c r="D1065" s="8" t="s">
        <v>52</v>
      </c>
      <c r="E1065" s="8" t="s">
        <v>42</v>
      </c>
      <c r="F1065" s="10">
        <v>50</v>
      </c>
      <c r="G1065" s="10">
        <v>45</v>
      </c>
      <c r="H1065" s="10">
        <v>70</v>
      </c>
      <c r="I1065" s="10">
        <v>54</v>
      </c>
      <c r="J1065" s="10">
        <v>50</v>
      </c>
    </row>
    <row r="1066" spans="1:10" ht="43.2" x14ac:dyDescent="0.3">
      <c r="A1066" t="s">
        <v>93</v>
      </c>
      <c r="B1066" s="2">
        <v>45513</v>
      </c>
      <c r="C1066" s="3" t="s">
        <v>36</v>
      </c>
      <c r="D1066" s="4" t="s">
        <v>53</v>
      </c>
      <c r="E1066" s="4" t="s">
        <v>54</v>
      </c>
      <c r="F1066" s="6">
        <v>110</v>
      </c>
      <c r="G1066" s="6">
        <v>100</v>
      </c>
      <c r="H1066" s="6">
        <v>155</v>
      </c>
      <c r="I1066" s="6" t="s">
        <v>485</v>
      </c>
      <c r="J1066" s="6">
        <v>110</v>
      </c>
    </row>
    <row r="1067" spans="1:10" ht="43.2" x14ac:dyDescent="0.3">
      <c r="A1067" t="s">
        <v>93</v>
      </c>
      <c r="B1067" s="2">
        <v>45513</v>
      </c>
      <c r="C1067" s="7" t="s">
        <v>36</v>
      </c>
      <c r="D1067" s="8" t="s">
        <v>55</v>
      </c>
      <c r="E1067" s="8" t="s">
        <v>38</v>
      </c>
      <c r="F1067" s="10">
        <v>60</v>
      </c>
      <c r="G1067" s="10">
        <v>60</v>
      </c>
      <c r="H1067" s="10">
        <v>80</v>
      </c>
      <c r="I1067" s="10">
        <v>66</v>
      </c>
      <c r="J1067" s="10">
        <v>60</v>
      </c>
    </row>
    <row r="1068" spans="1:10" ht="43.2" x14ac:dyDescent="0.3">
      <c r="A1068" t="s">
        <v>93</v>
      </c>
      <c r="B1068" s="2">
        <v>45513</v>
      </c>
      <c r="C1068" s="3" t="s">
        <v>36</v>
      </c>
      <c r="D1068" s="4" t="s">
        <v>56</v>
      </c>
      <c r="E1068" s="4" t="s">
        <v>38</v>
      </c>
      <c r="F1068" s="5"/>
      <c r="G1068" s="6">
        <v>150</v>
      </c>
      <c r="H1068" s="6">
        <v>160</v>
      </c>
      <c r="I1068" s="6">
        <v>155</v>
      </c>
      <c r="J1068" s="6">
        <v>155</v>
      </c>
    </row>
    <row r="1069" spans="1:10" x14ac:dyDescent="0.3">
      <c r="A1069" t="s">
        <v>93</v>
      </c>
      <c r="B1069" s="2">
        <v>45513</v>
      </c>
      <c r="C1069" s="7" t="s">
        <v>57</v>
      </c>
      <c r="D1069" s="8" t="s">
        <v>58</v>
      </c>
      <c r="E1069" s="8" t="s">
        <v>42</v>
      </c>
      <c r="F1069" s="9"/>
      <c r="G1069" s="9"/>
      <c r="H1069" s="9"/>
      <c r="I1069" s="9"/>
      <c r="J1069" s="9"/>
    </row>
    <row r="1070" spans="1:10" x14ac:dyDescent="0.3">
      <c r="A1070" t="s">
        <v>93</v>
      </c>
      <c r="B1070" s="2">
        <v>45513</v>
      </c>
      <c r="C1070" s="3" t="s">
        <v>57</v>
      </c>
      <c r="D1070" s="4" t="s">
        <v>59</v>
      </c>
      <c r="E1070" s="4" t="s">
        <v>42</v>
      </c>
      <c r="F1070" s="5"/>
      <c r="G1070" s="5"/>
      <c r="H1070" s="5"/>
      <c r="I1070" s="5"/>
      <c r="J1070" s="5"/>
    </row>
    <row r="1071" spans="1:10" x14ac:dyDescent="0.3">
      <c r="A1071" t="s">
        <v>93</v>
      </c>
      <c r="B1071" s="2">
        <v>45513</v>
      </c>
      <c r="C1071" s="7" t="s">
        <v>57</v>
      </c>
      <c r="D1071" s="8" t="s">
        <v>60</v>
      </c>
      <c r="E1071" s="8" t="s">
        <v>42</v>
      </c>
      <c r="F1071" s="9"/>
      <c r="G1071" s="9"/>
      <c r="H1071" s="9"/>
      <c r="I1071" s="9"/>
      <c r="J1071" s="9"/>
    </row>
    <row r="1072" spans="1:10" x14ac:dyDescent="0.3">
      <c r="A1072" t="s">
        <v>93</v>
      </c>
      <c r="B1072" s="2">
        <v>45513</v>
      </c>
      <c r="C1072" s="3" t="s">
        <v>57</v>
      </c>
      <c r="D1072" s="4" t="s">
        <v>61</v>
      </c>
      <c r="E1072" s="4" t="s">
        <v>42</v>
      </c>
      <c r="F1072" s="5"/>
      <c r="G1072" s="6">
        <v>60</v>
      </c>
      <c r="H1072" s="6">
        <v>60</v>
      </c>
      <c r="I1072" s="6">
        <v>60</v>
      </c>
      <c r="J1072" s="6">
        <v>60</v>
      </c>
    </row>
    <row r="1073" spans="1:10" x14ac:dyDescent="0.3">
      <c r="A1073" t="s">
        <v>93</v>
      </c>
      <c r="B1073" s="2">
        <v>45513</v>
      </c>
      <c r="C1073" s="7" t="s">
        <v>57</v>
      </c>
      <c r="D1073" s="8" t="s">
        <v>62</v>
      </c>
      <c r="E1073" s="8" t="s">
        <v>63</v>
      </c>
      <c r="F1073" s="9"/>
      <c r="G1073" s="9"/>
      <c r="H1073" s="9"/>
      <c r="I1073" s="9"/>
      <c r="J1073" s="9"/>
    </row>
    <row r="1074" spans="1:10" ht="28.8" x14ac:dyDescent="0.3">
      <c r="A1074" t="s">
        <v>94</v>
      </c>
      <c r="B1074" s="2">
        <v>45520</v>
      </c>
      <c r="C1074" s="3" t="s">
        <v>11</v>
      </c>
      <c r="D1074" s="4" t="s">
        <v>12</v>
      </c>
      <c r="E1074" s="4" t="s">
        <v>13</v>
      </c>
      <c r="F1074" s="6">
        <v>48</v>
      </c>
      <c r="G1074" s="6">
        <v>48</v>
      </c>
      <c r="H1074" s="6">
        <v>80</v>
      </c>
      <c r="I1074" s="6">
        <v>56</v>
      </c>
      <c r="J1074" s="6">
        <v>48</v>
      </c>
    </row>
    <row r="1075" spans="1:10" ht="28.8" x14ac:dyDescent="0.3">
      <c r="A1075" t="s">
        <v>94</v>
      </c>
      <c r="B1075" s="2">
        <v>45520</v>
      </c>
      <c r="C1075" s="7" t="s">
        <v>11</v>
      </c>
      <c r="D1075" s="8" t="s">
        <v>14</v>
      </c>
      <c r="E1075" s="8" t="s">
        <v>13</v>
      </c>
      <c r="F1075" s="10">
        <v>72</v>
      </c>
      <c r="G1075" s="10">
        <v>72</v>
      </c>
      <c r="H1075" s="10">
        <v>84</v>
      </c>
      <c r="I1075" s="10">
        <v>77</v>
      </c>
      <c r="J1075" s="10">
        <v>76</v>
      </c>
    </row>
    <row r="1076" spans="1:10" ht="28.8" x14ac:dyDescent="0.3">
      <c r="A1076" t="s">
        <v>94</v>
      </c>
      <c r="B1076" s="2">
        <v>45520</v>
      </c>
      <c r="C1076" s="3" t="s">
        <v>11</v>
      </c>
      <c r="D1076" s="4" t="s">
        <v>15</v>
      </c>
      <c r="E1076" s="4" t="s">
        <v>13</v>
      </c>
      <c r="F1076" s="6">
        <v>36</v>
      </c>
      <c r="G1076" s="6">
        <v>30</v>
      </c>
      <c r="H1076" s="6">
        <v>142</v>
      </c>
      <c r="I1076" s="6" t="s">
        <v>486</v>
      </c>
      <c r="J1076" s="6">
        <v>36</v>
      </c>
    </row>
    <row r="1077" spans="1:10" ht="28.8" x14ac:dyDescent="0.3">
      <c r="A1077" t="s">
        <v>94</v>
      </c>
      <c r="B1077" s="2">
        <v>45520</v>
      </c>
      <c r="C1077" s="7" t="s">
        <v>11</v>
      </c>
      <c r="D1077" s="8" t="s">
        <v>16</v>
      </c>
      <c r="E1077" s="8" t="s">
        <v>13</v>
      </c>
      <c r="F1077" s="10">
        <v>24</v>
      </c>
      <c r="G1077" s="10">
        <v>18</v>
      </c>
      <c r="H1077" s="10">
        <v>36</v>
      </c>
      <c r="I1077" s="10" t="s">
        <v>466</v>
      </c>
      <c r="J1077" s="10">
        <v>24</v>
      </c>
    </row>
    <row r="1078" spans="1:10" ht="28.8" x14ac:dyDescent="0.3">
      <c r="A1078" t="s">
        <v>94</v>
      </c>
      <c r="B1078" s="2">
        <v>45520</v>
      </c>
      <c r="C1078" s="3" t="s">
        <v>11</v>
      </c>
      <c r="D1078" s="4" t="s">
        <v>17</v>
      </c>
      <c r="E1078" s="4" t="s">
        <v>13</v>
      </c>
      <c r="F1078" s="6">
        <v>24</v>
      </c>
      <c r="G1078" s="6">
        <v>18</v>
      </c>
      <c r="H1078" s="6">
        <v>24</v>
      </c>
      <c r="I1078" s="6" t="s">
        <v>465</v>
      </c>
      <c r="J1078" s="6">
        <v>24</v>
      </c>
    </row>
    <row r="1079" spans="1:10" ht="28.8" x14ac:dyDescent="0.3">
      <c r="A1079" t="s">
        <v>94</v>
      </c>
      <c r="B1079" s="2">
        <v>45520</v>
      </c>
      <c r="C1079" s="7" t="s">
        <v>11</v>
      </c>
      <c r="D1079" s="8" t="s">
        <v>18</v>
      </c>
      <c r="E1079" s="8" t="s">
        <v>13</v>
      </c>
      <c r="F1079" s="10">
        <v>60</v>
      </c>
      <c r="G1079" s="10">
        <v>60</v>
      </c>
      <c r="H1079" s="10">
        <v>60</v>
      </c>
      <c r="I1079" s="10">
        <v>60</v>
      </c>
      <c r="J1079" s="10">
        <v>60</v>
      </c>
    </row>
    <row r="1080" spans="1:10" ht="28.8" x14ac:dyDescent="0.3">
      <c r="A1080" t="s">
        <v>94</v>
      </c>
      <c r="B1080" s="2">
        <v>45520</v>
      </c>
      <c r="C1080" s="3" t="s">
        <v>11</v>
      </c>
      <c r="D1080" s="4" t="s">
        <v>19</v>
      </c>
      <c r="E1080" s="4" t="s">
        <v>13</v>
      </c>
      <c r="F1080" s="6">
        <v>72</v>
      </c>
      <c r="G1080" s="6">
        <v>60</v>
      </c>
      <c r="H1080" s="6">
        <v>84</v>
      </c>
      <c r="I1080" s="6">
        <v>72</v>
      </c>
      <c r="J1080" s="6">
        <v>72</v>
      </c>
    </row>
    <row r="1081" spans="1:10" ht="28.8" x14ac:dyDescent="0.3">
      <c r="A1081" t="s">
        <v>94</v>
      </c>
      <c r="B1081" s="2">
        <v>45520</v>
      </c>
      <c r="C1081" s="7" t="s">
        <v>11</v>
      </c>
      <c r="D1081" s="8" t="s">
        <v>20</v>
      </c>
      <c r="E1081" s="8" t="s">
        <v>13</v>
      </c>
      <c r="F1081" s="10">
        <v>84</v>
      </c>
      <c r="G1081" s="10">
        <v>60</v>
      </c>
      <c r="H1081" s="10">
        <v>84</v>
      </c>
      <c r="I1081" s="10" t="s">
        <v>464</v>
      </c>
      <c r="J1081" s="10">
        <v>72</v>
      </c>
    </row>
    <row r="1082" spans="1:10" ht="28.8" x14ac:dyDescent="0.3">
      <c r="A1082" t="s">
        <v>94</v>
      </c>
      <c r="B1082" s="2">
        <v>45520</v>
      </c>
      <c r="C1082" s="3" t="s">
        <v>11</v>
      </c>
      <c r="D1082" s="4" t="s">
        <v>21</v>
      </c>
      <c r="E1082" s="4" t="s">
        <v>13</v>
      </c>
      <c r="F1082" s="6">
        <v>24</v>
      </c>
      <c r="G1082" s="6">
        <v>18</v>
      </c>
      <c r="H1082" s="6">
        <v>25</v>
      </c>
      <c r="I1082" s="6" t="s">
        <v>475</v>
      </c>
      <c r="J1082" s="6">
        <v>24</v>
      </c>
    </row>
    <row r="1083" spans="1:10" ht="28.8" x14ac:dyDescent="0.3">
      <c r="A1083" t="s">
        <v>94</v>
      </c>
      <c r="B1083" s="2">
        <v>45520</v>
      </c>
      <c r="C1083" s="7" t="s">
        <v>11</v>
      </c>
      <c r="D1083" s="8" t="s">
        <v>65</v>
      </c>
      <c r="E1083" s="8" t="s">
        <v>13</v>
      </c>
      <c r="F1083" s="10">
        <v>72</v>
      </c>
      <c r="G1083" s="10">
        <v>72</v>
      </c>
      <c r="H1083" s="10">
        <v>84</v>
      </c>
      <c r="I1083" s="10">
        <v>75</v>
      </c>
      <c r="J1083" s="10">
        <v>72</v>
      </c>
    </row>
    <row r="1084" spans="1:10" ht="28.8" x14ac:dyDescent="0.3">
      <c r="A1084" t="s">
        <v>94</v>
      </c>
      <c r="B1084" s="2">
        <v>45520</v>
      </c>
      <c r="C1084" s="3" t="s">
        <v>11</v>
      </c>
      <c r="D1084" s="4" t="s">
        <v>23</v>
      </c>
      <c r="E1084" s="4" t="s">
        <v>13</v>
      </c>
      <c r="F1084" s="6">
        <v>24</v>
      </c>
      <c r="G1084" s="6">
        <v>18</v>
      </c>
      <c r="H1084" s="6">
        <v>24</v>
      </c>
      <c r="I1084" s="6" t="s">
        <v>465</v>
      </c>
      <c r="J1084" s="6">
        <v>24</v>
      </c>
    </row>
    <row r="1085" spans="1:10" ht="28.8" x14ac:dyDescent="0.3">
      <c r="A1085" t="s">
        <v>94</v>
      </c>
      <c r="B1085" s="2">
        <v>45520</v>
      </c>
      <c r="C1085" s="7" t="s">
        <v>11</v>
      </c>
      <c r="D1085" s="8" t="s">
        <v>24</v>
      </c>
      <c r="E1085" s="8" t="s">
        <v>13</v>
      </c>
      <c r="F1085" s="10">
        <v>60</v>
      </c>
      <c r="G1085" s="10">
        <v>60</v>
      </c>
      <c r="H1085" s="10">
        <v>72</v>
      </c>
      <c r="I1085" s="10">
        <v>63</v>
      </c>
      <c r="J1085" s="10">
        <v>60</v>
      </c>
    </row>
    <row r="1086" spans="1:10" ht="28.8" x14ac:dyDescent="0.3">
      <c r="A1086" t="s">
        <v>94</v>
      </c>
      <c r="B1086" s="2">
        <v>45520</v>
      </c>
      <c r="C1086" s="3" t="s">
        <v>11</v>
      </c>
      <c r="D1086" s="4" t="s">
        <v>25</v>
      </c>
      <c r="E1086" s="4" t="s">
        <v>26</v>
      </c>
      <c r="F1086" s="6">
        <v>60</v>
      </c>
      <c r="G1086" s="6">
        <v>48</v>
      </c>
      <c r="H1086" s="6">
        <v>60</v>
      </c>
      <c r="I1086" s="6" t="s">
        <v>476</v>
      </c>
      <c r="J1086" s="6">
        <v>60</v>
      </c>
    </row>
    <row r="1087" spans="1:10" ht="28.8" x14ac:dyDescent="0.3">
      <c r="A1087" t="s">
        <v>94</v>
      </c>
      <c r="B1087" s="2">
        <v>45520</v>
      </c>
      <c r="C1087" s="7" t="s">
        <v>11</v>
      </c>
      <c r="D1087" s="8" t="s">
        <v>27</v>
      </c>
      <c r="E1087" s="8" t="s">
        <v>13</v>
      </c>
      <c r="F1087" s="10">
        <v>48</v>
      </c>
      <c r="G1087" s="10">
        <v>45</v>
      </c>
      <c r="H1087" s="10">
        <v>72</v>
      </c>
      <c r="I1087" s="10" t="s">
        <v>487</v>
      </c>
      <c r="J1087" s="10">
        <v>48</v>
      </c>
    </row>
    <row r="1088" spans="1:10" ht="28.8" x14ac:dyDescent="0.3">
      <c r="A1088" t="s">
        <v>94</v>
      </c>
      <c r="B1088" s="2">
        <v>45520</v>
      </c>
      <c r="C1088" s="3" t="s">
        <v>11</v>
      </c>
      <c r="D1088" s="4" t="s">
        <v>28</v>
      </c>
      <c r="E1088" s="4" t="s">
        <v>13</v>
      </c>
      <c r="F1088" s="6">
        <v>40</v>
      </c>
      <c r="G1088" s="6">
        <v>36</v>
      </c>
      <c r="H1088" s="6">
        <v>42</v>
      </c>
      <c r="I1088" s="6" t="s">
        <v>488</v>
      </c>
      <c r="J1088" s="6">
        <v>40</v>
      </c>
    </row>
    <row r="1089" spans="1:10" ht="28.8" x14ac:dyDescent="0.3">
      <c r="A1089" t="s">
        <v>94</v>
      </c>
      <c r="B1089" s="2">
        <v>45520</v>
      </c>
      <c r="C1089" s="7" t="s">
        <v>11</v>
      </c>
      <c r="D1089" s="8" t="s">
        <v>29</v>
      </c>
      <c r="E1089" s="8" t="s">
        <v>13</v>
      </c>
      <c r="F1089" s="10">
        <v>48</v>
      </c>
      <c r="G1089" s="10">
        <v>48</v>
      </c>
      <c r="H1089" s="10">
        <v>54</v>
      </c>
      <c r="I1089" s="10" t="s">
        <v>489</v>
      </c>
      <c r="J1089" s="10">
        <v>48</v>
      </c>
    </row>
    <row r="1090" spans="1:10" ht="28.8" x14ac:dyDescent="0.3">
      <c r="A1090" t="s">
        <v>94</v>
      </c>
      <c r="B1090" s="2">
        <v>45520</v>
      </c>
      <c r="C1090" s="3" t="s">
        <v>11</v>
      </c>
      <c r="D1090" s="4" t="s">
        <v>31</v>
      </c>
      <c r="E1090" s="4" t="s">
        <v>32</v>
      </c>
      <c r="F1090" s="6">
        <v>48</v>
      </c>
      <c r="G1090" s="6">
        <v>48</v>
      </c>
      <c r="H1090" s="6">
        <v>80</v>
      </c>
      <c r="I1090" s="6">
        <v>56</v>
      </c>
      <c r="J1090" s="6">
        <v>48</v>
      </c>
    </row>
    <row r="1091" spans="1:10" ht="28.8" x14ac:dyDescent="0.3">
      <c r="A1091" t="s">
        <v>94</v>
      </c>
      <c r="B1091" s="2">
        <v>45520</v>
      </c>
      <c r="C1091" s="7" t="s">
        <v>11</v>
      </c>
      <c r="D1091" s="8" t="s">
        <v>33</v>
      </c>
      <c r="E1091" s="8" t="s">
        <v>34</v>
      </c>
      <c r="F1091" s="10">
        <v>72</v>
      </c>
      <c r="G1091" s="10">
        <v>72</v>
      </c>
      <c r="H1091" s="10">
        <v>84</v>
      </c>
      <c r="I1091" s="10">
        <v>77</v>
      </c>
      <c r="J1091" s="10">
        <v>76</v>
      </c>
    </row>
    <row r="1092" spans="1:10" ht="28.8" x14ac:dyDescent="0.3">
      <c r="A1092" t="s">
        <v>94</v>
      </c>
      <c r="B1092" s="2">
        <v>45520</v>
      </c>
      <c r="C1092" s="3" t="s">
        <v>11</v>
      </c>
      <c r="D1092" s="4" t="s">
        <v>35</v>
      </c>
      <c r="E1092" s="4" t="s">
        <v>34</v>
      </c>
      <c r="F1092" s="6">
        <v>36</v>
      </c>
      <c r="G1092" s="6">
        <v>30</v>
      </c>
      <c r="H1092" s="6">
        <v>142</v>
      </c>
      <c r="I1092" s="6" t="s">
        <v>486</v>
      </c>
      <c r="J1092" s="6">
        <v>36</v>
      </c>
    </row>
    <row r="1093" spans="1:10" ht="43.2" x14ac:dyDescent="0.3">
      <c r="A1093" t="s">
        <v>94</v>
      </c>
      <c r="B1093" s="2">
        <v>45520</v>
      </c>
      <c r="C1093" s="7" t="s">
        <v>36</v>
      </c>
      <c r="D1093" s="8" t="s">
        <v>73</v>
      </c>
      <c r="E1093" s="8" t="s">
        <v>74</v>
      </c>
      <c r="F1093" s="9"/>
      <c r="G1093" s="10">
        <v>70</v>
      </c>
      <c r="H1093" s="10">
        <v>70</v>
      </c>
      <c r="I1093" s="10">
        <v>70</v>
      </c>
      <c r="J1093" s="10">
        <v>70</v>
      </c>
    </row>
    <row r="1094" spans="1:10" ht="43.2" x14ac:dyDescent="0.3">
      <c r="A1094" t="s">
        <v>94</v>
      </c>
      <c r="B1094" s="2">
        <v>45520</v>
      </c>
      <c r="C1094" s="3" t="s">
        <v>36</v>
      </c>
      <c r="D1094" s="4" t="s">
        <v>37</v>
      </c>
      <c r="E1094" s="4" t="s">
        <v>38</v>
      </c>
      <c r="F1094" s="6">
        <v>80</v>
      </c>
      <c r="G1094" s="6">
        <v>70</v>
      </c>
      <c r="H1094" s="6">
        <v>80</v>
      </c>
      <c r="I1094" s="6">
        <v>75</v>
      </c>
      <c r="J1094" s="6">
        <v>75</v>
      </c>
    </row>
    <row r="1095" spans="1:10" ht="43.2" x14ac:dyDescent="0.3">
      <c r="A1095" t="s">
        <v>94</v>
      </c>
      <c r="B1095" s="2">
        <v>45520</v>
      </c>
      <c r="C1095" s="7" t="s">
        <v>36</v>
      </c>
      <c r="D1095" s="8" t="s">
        <v>39</v>
      </c>
      <c r="E1095" s="8" t="s">
        <v>40</v>
      </c>
      <c r="F1095" s="10">
        <v>70</v>
      </c>
      <c r="G1095" s="10">
        <v>30</v>
      </c>
      <c r="H1095" s="10">
        <v>70</v>
      </c>
      <c r="I1095" s="10">
        <v>53</v>
      </c>
      <c r="J1095" s="10">
        <v>50</v>
      </c>
    </row>
    <row r="1096" spans="1:10" ht="43.2" x14ac:dyDescent="0.3">
      <c r="A1096" t="s">
        <v>94</v>
      </c>
      <c r="B1096" s="2">
        <v>45520</v>
      </c>
      <c r="C1096" s="3" t="s">
        <v>36</v>
      </c>
      <c r="D1096" s="4" t="s">
        <v>41</v>
      </c>
      <c r="E1096" s="4" t="s">
        <v>42</v>
      </c>
      <c r="F1096" s="6">
        <v>50</v>
      </c>
      <c r="G1096" s="6">
        <v>45</v>
      </c>
      <c r="H1096" s="6">
        <v>60</v>
      </c>
      <c r="I1096" s="6" t="s">
        <v>436</v>
      </c>
      <c r="J1096" s="6">
        <v>50</v>
      </c>
    </row>
    <row r="1097" spans="1:10" ht="43.2" x14ac:dyDescent="0.3">
      <c r="A1097" t="s">
        <v>94</v>
      </c>
      <c r="B1097" s="2">
        <v>45520</v>
      </c>
      <c r="C1097" s="7" t="s">
        <v>36</v>
      </c>
      <c r="D1097" s="8" t="s">
        <v>43</v>
      </c>
      <c r="E1097" s="8" t="s">
        <v>42</v>
      </c>
      <c r="F1097" s="9"/>
      <c r="G1097" s="10">
        <v>90</v>
      </c>
      <c r="H1097" s="10">
        <v>100</v>
      </c>
      <c r="I1097" s="10">
        <v>95</v>
      </c>
      <c r="J1097" s="10">
        <v>95</v>
      </c>
    </row>
    <row r="1098" spans="1:10" ht="43.2" x14ac:dyDescent="0.3">
      <c r="A1098" t="s">
        <v>94</v>
      </c>
      <c r="B1098" s="2">
        <v>45520</v>
      </c>
      <c r="C1098" s="3" t="s">
        <v>36</v>
      </c>
      <c r="D1098" s="4" t="s">
        <v>44</v>
      </c>
      <c r="E1098" s="4" t="s">
        <v>45</v>
      </c>
      <c r="F1098" s="6">
        <v>70</v>
      </c>
      <c r="G1098" s="6">
        <v>60</v>
      </c>
      <c r="H1098" s="6">
        <v>70</v>
      </c>
      <c r="I1098" s="6">
        <v>65</v>
      </c>
      <c r="J1098" s="6">
        <v>65</v>
      </c>
    </row>
    <row r="1099" spans="1:10" ht="43.2" x14ac:dyDescent="0.3">
      <c r="A1099" t="s">
        <v>94</v>
      </c>
      <c r="B1099" s="2">
        <v>45520</v>
      </c>
      <c r="C1099" s="7" t="s">
        <v>36</v>
      </c>
      <c r="D1099" s="8" t="s">
        <v>46</v>
      </c>
      <c r="E1099" s="8" t="s">
        <v>40</v>
      </c>
      <c r="F1099" s="10">
        <v>60</v>
      </c>
      <c r="G1099" s="10">
        <v>45</v>
      </c>
      <c r="H1099" s="10">
        <v>60</v>
      </c>
      <c r="I1099" s="10" t="s">
        <v>280</v>
      </c>
      <c r="J1099" s="10">
        <v>55</v>
      </c>
    </row>
    <row r="1100" spans="1:10" ht="43.2" x14ac:dyDescent="0.3">
      <c r="A1100" t="s">
        <v>94</v>
      </c>
      <c r="B1100" s="2">
        <v>45520</v>
      </c>
      <c r="C1100" s="3" t="s">
        <v>36</v>
      </c>
      <c r="D1100" s="4" t="s">
        <v>47</v>
      </c>
      <c r="E1100" s="4" t="s">
        <v>40</v>
      </c>
      <c r="F1100" s="5"/>
      <c r="G1100" s="6">
        <v>50</v>
      </c>
      <c r="H1100" s="6">
        <v>70</v>
      </c>
      <c r="I1100" s="6" t="s">
        <v>411</v>
      </c>
      <c r="J1100" s="6" t="s">
        <v>268</v>
      </c>
    </row>
    <row r="1101" spans="1:10" ht="43.2" x14ac:dyDescent="0.3">
      <c r="A1101" t="s">
        <v>94</v>
      </c>
      <c r="B1101" s="2">
        <v>45520</v>
      </c>
      <c r="C1101" s="7" t="s">
        <v>36</v>
      </c>
      <c r="D1101" s="8" t="s">
        <v>48</v>
      </c>
      <c r="E1101" s="8" t="s">
        <v>38</v>
      </c>
      <c r="F1101" s="9"/>
      <c r="G1101" s="10">
        <v>70</v>
      </c>
      <c r="H1101" s="10">
        <v>100</v>
      </c>
      <c r="I1101" s="10" t="s">
        <v>490</v>
      </c>
      <c r="J1101" s="10">
        <v>90</v>
      </c>
    </row>
    <row r="1102" spans="1:10" ht="43.2" x14ac:dyDescent="0.3">
      <c r="A1102" t="s">
        <v>94</v>
      </c>
      <c r="B1102" s="2">
        <v>45520</v>
      </c>
      <c r="C1102" s="3" t="s">
        <v>36</v>
      </c>
      <c r="D1102" s="4" t="s">
        <v>49</v>
      </c>
      <c r="E1102" s="4" t="s">
        <v>40</v>
      </c>
      <c r="F1102" s="5"/>
      <c r="G1102" s="6">
        <v>60</v>
      </c>
      <c r="H1102" s="6">
        <v>65</v>
      </c>
      <c r="I1102" s="6" t="s">
        <v>268</v>
      </c>
      <c r="J1102" s="6" t="s">
        <v>268</v>
      </c>
    </row>
    <row r="1103" spans="1:10" ht="43.2" x14ac:dyDescent="0.3">
      <c r="A1103" t="s">
        <v>94</v>
      </c>
      <c r="B1103" s="2">
        <v>45520</v>
      </c>
      <c r="C1103" s="7" t="s">
        <v>36</v>
      </c>
      <c r="D1103" s="8" t="s">
        <v>50</v>
      </c>
      <c r="E1103" s="8" t="s">
        <v>38</v>
      </c>
      <c r="F1103" s="9"/>
      <c r="G1103" s="10">
        <v>55</v>
      </c>
      <c r="H1103" s="10">
        <v>80</v>
      </c>
      <c r="I1103" s="10" t="s">
        <v>448</v>
      </c>
      <c r="J1103" s="10">
        <v>65</v>
      </c>
    </row>
    <row r="1104" spans="1:10" ht="43.2" x14ac:dyDescent="0.3">
      <c r="A1104" t="s">
        <v>94</v>
      </c>
      <c r="B1104" s="2">
        <v>45520</v>
      </c>
      <c r="C1104" s="3" t="s">
        <v>36</v>
      </c>
      <c r="D1104" s="4" t="s">
        <v>51</v>
      </c>
      <c r="E1104" s="4" t="s">
        <v>38</v>
      </c>
      <c r="F1104" s="6">
        <v>90</v>
      </c>
      <c r="G1104" s="6">
        <v>70</v>
      </c>
      <c r="H1104" s="6">
        <v>100</v>
      </c>
      <c r="I1104" s="6">
        <v>86</v>
      </c>
      <c r="J1104" s="6">
        <v>90</v>
      </c>
    </row>
    <row r="1105" spans="1:10" ht="43.2" x14ac:dyDescent="0.3">
      <c r="A1105" t="s">
        <v>94</v>
      </c>
      <c r="B1105" s="2">
        <v>45520</v>
      </c>
      <c r="C1105" s="7" t="s">
        <v>36</v>
      </c>
      <c r="D1105" s="8" t="s">
        <v>52</v>
      </c>
      <c r="E1105" s="8" t="s">
        <v>42</v>
      </c>
      <c r="F1105" s="10">
        <v>50</v>
      </c>
      <c r="G1105" s="10">
        <v>30</v>
      </c>
      <c r="H1105" s="10">
        <v>50</v>
      </c>
      <c r="I1105" s="10">
        <v>45</v>
      </c>
      <c r="J1105" s="10">
        <v>50</v>
      </c>
    </row>
    <row r="1106" spans="1:10" ht="43.2" x14ac:dyDescent="0.3">
      <c r="A1106" t="s">
        <v>94</v>
      </c>
      <c r="B1106" s="2">
        <v>45520</v>
      </c>
      <c r="C1106" s="3" t="s">
        <v>36</v>
      </c>
      <c r="D1106" s="4" t="s">
        <v>53</v>
      </c>
      <c r="E1106" s="4" t="s">
        <v>54</v>
      </c>
      <c r="F1106" s="5"/>
      <c r="G1106" s="6">
        <v>100</v>
      </c>
      <c r="H1106" s="6">
        <v>200</v>
      </c>
      <c r="I1106" s="6" t="s">
        <v>491</v>
      </c>
      <c r="J1106" s="6">
        <v>165</v>
      </c>
    </row>
    <row r="1107" spans="1:10" ht="43.2" x14ac:dyDescent="0.3">
      <c r="A1107" t="s">
        <v>94</v>
      </c>
      <c r="B1107" s="2">
        <v>45520</v>
      </c>
      <c r="C1107" s="7" t="s">
        <v>36</v>
      </c>
      <c r="D1107" s="8" t="s">
        <v>55</v>
      </c>
      <c r="E1107" s="8" t="s">
        <v>38</v>
      </c>
      <c r="F1107" s="10">
        <v>90</v>
      </c>
      <c r="G1107" s="10">
        <v>50</v>
      </c>
      <c r="H1107" s="10">
        <v>90</v>
      </c>
      <c r="I1107" s="10">
        <v>70</v>
      </c>
      <c r="J1107" s="10">
        <v>60</v>
      </c>
    </row>
    <row r="1108" spans="1:10" ht="43.2" x14ac:dyDescent="0.3">
      <c r="A1108" t="s">
        <v>94</v>
      </c>
      <c r="B1108" s="2">
        <v>45520</v>
      </c>
      <c r="C1108" s="3" t="s">
        <v>36</v>
      </c>
      <c r="D1108" s="4" t="s">
        <v>56</v>
      </c>
      <c r="E1108" s="4" t="s">
        <v>38</v>
      </c>
      <c r="F1108" s="6">
        <v>150</v>
      </c>
      <c r="G1108" s="6">
        <v>100</v>
      </c>
      <c r="H1108" s="6">
        <v>200</v>
      </c>
      <c r="I1108" s="6">
        <v>150</v>
      </c>
      <c r="J1108" s="6">
        <v>150</v>
      </c>
    </row>
    <row r="1109" spans="1:10" x14ac:dyDescent="0.3">
      <c r="A1109" t="s">
        <v>94</v>
      </c>
      <c r="B1109" s="2">
        <v>45520</v>
      </c>
      <c r="C1109" s="7" t="s">
        <v>57</v>
      </c>
      <c r="D1109" s="8" t="s">
        <v>58</v>
      </c>
      <c r="E1109" s="8" t="s">
        <v>42</v>
      </c>
      <c r="F1109" s="9"/>
      <c r="G1109" s="9"/>
      <c r="H1109" s="9"/>
      <c r="I1109" s="9"/>
      <c r="J1109" s="9"/>
    </row>
    <row r="1110" spans="1:10" x14ac:dyDescent="0.3">
      <c r="A1110" t="s">
        <v>94</v>
      </c>
      <c r="B1110" s="2">
        <v>45520</v>
      </c>
      <c r="C1110" s="3" t="s">
        <v>57</v>
      </c>
      <c r="D1110" s="4" t="s">
        <v>59</v>
      </c>
      <c r="E1110" s="4" t="s">
        <v>42</v>
      </c>
      <c r="F1110" s="5"/>
      <c r="G1110" s="5"/>
      <c r="H1110" s="5"/>
      <c r="I1110" s="5"/>
      <c r="J1110" s="5"/>
    </row>
    <row r="1111" spans="1:10" x14ac:dyDescent="0.3">
      <c r="A1111" t="s">
        <v>94</v>
      </c>
      <c r="B1111" s="2">
        <v>45520</v>
      </c>
      <c r="C1111" s="7" t="s">
        <v>57</v>
      </c>
      <c r="D1111" s="8" t="s">
        <v>60</v>
      </c>
      <c r="E1111" s="8" t="s">
        <v>42</v>
      </c>
      <c r="F1111" s="9"/>
      <c r="G1111" s="9"/>
      <c r="H1111" s="9"/>
      <c r="I1111" s="9"/>
      <c r="J1111" s="9"/>
    </row>
    <row r="1112" spans="1:10" x14ac:dyDescent="0.3">
      <c r="A1112" t="s">
        <v>94</v>
      </c>
      <c r="B1112" s="2">
        <v>45520</v>
      </c>
      <c r="C1112" s="3" t="s">
        <v>57</v>
      </c>
      <c r="D1112" s="4" t="s">
        <v>61</v>
      </c>
      <c r="E1112" s="4" t="s">
        <v>42</v>
      </c>
      <c r="F1112" s="5"/>
      <c r="G1112" s="6">
        <v>60</v>
      </c>
      <c r="H1112" s="6">
        <v>60</v>
      </c>
      <c r="I1112" s="6">
        <v>60</v>
      </c>
      <c r="J1112" s="6">
        <v>60</v>
      </c>
    </row>
    <row r="1113" spans="1:10" x14ac:dyDescent="0.3">
      <c r="A1113" t="s">
        <v>94</v>
      </c>
      <c r="B1113" s="2">
        <v>45520</v>
      </c>
      <c r="C1113" s="7" t="s">
        <v>57</v>
      </c>
      <c r="D1113" s="8" t="s">
        <v>62</v>
      </c>
      <c r="E1113" s="8" t="s">
        <v>63</v>
      </c>
      <c r="F1113" s="9"/>
      <c r="G1113" s="9"/>
      <c r="H1113" s="9"/>
      <c r="I1113" s="9"/>
      <c r="J1113" s="9"/>
    </row>
    <row r="1114" spans="1:10" ht="28.8" x14ac:dyDescent="0.3">
      <c r="A1114" t="s">
        <v>95</v>
      </c>
      <c r="B1114" s="2">
        <v>45527</v>
      </c>
      <c r="C1114" s="3" t="s">
        <v>11</v>
      </c>
      <c r="D1114" s="4" t="s">
        <v>12</v>
      </c>
      <c r="E1114" s="4" t="s">
        <v>13</v>
      </c>
      <c r="F1114" s="5"/>
      <c r="G1114" s="6">
        <v>36</v>
      </c>
      <c r="H1114" s="6">
        <v>60</v>
      </c>
      <c r="I1114" s="6">
        <v>48</v>
      </c>
      <c r="J1114" s="6">
        <v>48</v>
      </c>
    </row>
    <row r="1115" spans="1:10" ht="28.8" x14ac:dyDescent="0.3">
      <c r="A1115" t="s">
        <v>95</v>
      </c>
      <c r="B1115" s="2">
        <v>45527</v>
      </c>
      <c r="C1115" s="7" t="s">
        <v>11</v>
      </c>
      <c r="D1115" s="8" t="s">
        <v>14</v>
      </c>
      <c r="E1115" s="8" t="s">
        <v>13</v>
      </c>
      <c r="F1115" s="10">
        <v>72</v>
      </c>
      <c r="G1115" s="10">
        <v>72</v>
      </c>
      <c r="H1115" s="10">
        <v>84</v>
      </c>
      <c r="I1115" s="10">
        <v>76</v>
      </c>
      <c r="J1115" s="10">
        <v>72</v>
      </c>
    </row>
    <row r="1116" spans="1:10" ht="28.8" x14ac:dyDescent="0.3">
      <c r="A1116" t="s">
        <v>95</v>
      </c>
      <c r="B1116" s="2">
        <v>45527</v>
      </c>
      <c r="C1116" s="3" t="s">
        <v>11</v>
      </c>
      <c r="D1116" s="4" t="s">
        <v>15</v>
      </c>
      <c r="E1116" s="4" t="s">
        <v>13</v>
      </c>
      <c r="F1116" s="6">
        <v>36</v>
      </c>
      <c r="G1116" s="6">
        <v>30</v>
      </c>
      <c r="H1116" s="6">
        <v>42</v>
      </c>
      <c r="I1116" s="6">
        <v>36</v>
      </c>
      <c r="J1116" s="6">
        <v>36</v>
      </c>
    </row>
    <row r="1117" spans="1:10" ht="28.8" x14ac:dyDescent="0.3">
      <c r="A1117" t="s">
        <v>95</v>
      </c>
      <c r="B1117" s="2">
        <v>45527</v>
      </c>
      <c r="C1117" s="7" t="s">
        <v>11</v>
      </c>
      <c r="D1117" s="8" t="s">
        <v>16</v>
      </c>
      <c r="E1117" s="8" t="s">
        <v>13</v>
      </c>
      <c r="F1117" s="10">
        <v>18</v>
      </c>
      <c r="G1117" s="10">
        <v>18</v>
      </c>
      <c r="H1117" s="10">
        <v>24</v>
      </c>
      <c r="I1117" s="10">
        <v>21</v>
      </c>
      <c r="J1117" s="10">
        <v>21</v>
      </c>
    </row>
    <row r="1118" spans="1:10" ht="28.8" x14ac:dyDescent="0.3">
      <c r="A1118" t="s">
        <v>95</v>
      </c>
      <c r="B1118" s="2">
        <v>45527</v>
      </c>
      <c r="C1118" s="3" t="s">
        <v>11</v>
      </c>
      <c r="D1118" s="4" t="s">
        <v>17</v>
      </c>
      <c r="E1118" s="4" t="s">
        <v>13</v>
      </c>
      <c r="F1118" s="6">
        <v>24</v>
      </c>
      <c r="G1118" s="6">
        <v>18</v>
      </c>
      <c r="H1118" s="6">
        <v>24</v>
      </c>
      <c r="I1118" s="6">
        <v>22</v>
      </c>
      <c r="J1118" s="6">
        <v>24</v>
      </c>
    </row>
    <row r="1119" spans="1:10" ht="28.8" x14ac:dyDescent="0.3">
      <c r="A1119" t="s">
        <v>95</v>
      </c>
      <c r="B1119" s="2">
        <v>45527</v>
      </c>
      <c r="C1119" s="7" t="s">
        <v>11</v>
      </c>
      <c r="D1119" s="8" t="s">
        <v>18</v>
      </c>
      <c r="E1119" s="8" t="s">
        <v>13</v>
      </c>
      <c r="F1119" s="10">
        <v>60</v>
      </c>
      <c r="G1119" s="10">
        <v>60</v>
      </c>
      <c r="H1119" s="10">
        <v>60</v>
      </c>
      <c r="I1119" s="10">
        <v>60</v>
      </c>
      <c r="J1119" s="10">
        <v>60</v>
      </c>
    </row>
    <row r="1120" spans="1:10" ht="28.8" x14ac:dyDescent="0.3">
      <c r="A1120" t="s">
        <v>95</v>
      </c>
      <c r="B1120" s="2">
        <v>45527</v>
      </c>
      <c r="C1120" s="3" t="s">
        <v>11</v>
      </c>
      <c r="D1120" s="4" t="s">
        <v>19</v>
      </c>
      <c r="E1120" s="4" t="s">
        <v>13</v>
      </c>
      <c r="F1120" s="6">
        <v>60</v>
      </c>
      <c r="G1120" s="6">
        <v>48</v>
      </c>
      <c r="H1120" s="6">
        <v>66</v>
      </c>
      <c r="I1120" s="6" t="s">
        <v>428</v>
      </c>
      <c r="J1120" s="6">
        <v>60</v>
      </c>
    </row>
    <row r="1121" spans="1:10" ht="28.8" x14ac:dyDescent="0.3">
      <c r="A1121" t="s">
        <v>95</v>
      </c>
      <c r="B1121" s="2">
        <v>45527</v>
      </c>
      <c r="C1121" s="7" t="s">
        <v>11</v>
      </c>
      <c r="D1121" s="8" t="s">
        <v>20</v>
      </c>
      <c r="E1121" s="8" t="s">
        <v>13</v>
      </c>
      <c r="F1121" s="10">
        <v>60</v>
      </c>
      <c r="G1121" s="10">
        <v>60</v>
      </c>
      <c r="H1121" s="10">
        <v>72</v>
      </c>
      <c r="I1121" s="10">
        <v>66</v>
      </c>
      <c r="J1121" s="10">
        <v>66</v>
      </c>
    </row>
    <row r="1122" spans="1:10" ht="28.8" x14ac:dyDescent="0.3">
      <c r="A1122" t="s">
        <v>95</v>
      </c>
      <c r="B1122" s="2">
        <v>45527</v>
      </c>
      <c r="C1122" s="3" t="s">
        <v>11</v>
      </c>
      <c r="D1122" s="4" t="s">
        <v>21</v>
      </c>
      <c r="E1122" s="4" t="s">
        <v>13</v>
      </c>
      <c r="F1122" s="6">
        <v>18</v>
      </c>
      <c r="G1122" s="6">
        <v>18</v>
      </c>
      <c r="H1122" s="6">
        <v>24</v>
      </c>
      <c r="I1122" s="6">
        <v>20</v>
      </c>
      <c r="J1122" s="6">
        <v>19</v>
      </c>
    </row>
    <row r="1123" spans="1:10" ht="28.8" x14ac:dyDescent="0.3">
      <c r="A1123" t="s">
        <v>95</v>
      </c>
      <c r="B1123" s="2">
        <v>45527</v>
      </c>
      <c r="C1123" s="7" t="s">
        <v>11</v>
      </c>
      <c r="D1123" s="8" t="s">
        <v>65</v>
      </c>
      <c r="E1123" s="8" t="s">
        <v>13</v>
      </c>
      <c r="F1123" s="9"/>
      <c r="G1123" s="10">
        <v>48</v>
      </c>
      <c r="H1123" s="10">
        <v>72</v>
      </c>
      <c r="I1123" s="10" t="s">
        <v>260</v>
      </c>
      <c r="J1123" s="10">
        <v>50</v>
      </c>
    </row>
    <row r="1124" spans="1:10" ht="28.8" x14ac:dyDescent="0.3">
      <c r="A1124" t="s">
        <v>95</v>
      </c>
      <c r="B1124" s="2">
        <v>45527</v>
      </c>
      <c r="C1124" s="3" t="s">
        <v>11</v>
      </c>
      <c r="D1124" s="4" t="s">
        <v>23</v>
      </c>
      <c r="E1124" s="4" t="s">
        <v>13</v>
      </c>
      <c r="F1124" s="6">
        <v>18</v>
      </c>
      <c r="G1124" s="6">
        <v>18</v>
      </c>
      <c r="H1124" s="6">
        <v>24</v>
      </c>
      <c r="I1124" s="6">
        <v>21</v>
      </c>
      <c r="J1124" s="6">
        <v>21</v>
      </c>
    </row>
    <row r="1125" spans="1:10" ht="28.8" x14ac:dyDescent="0.3">
      <c r="A1125" t="s">
        <v>95</v>
      </c>
      <c r="B1125" s="2">
        <v>45527</v>
      </c>
      <c r="C1125" s="7" t="s">
        <v>11</v>
      </c>
      <c r="D1125" s="8" t="s">
        <v>24</v>
      </c>
      <c r="E1125" s="8" t="s">
        <v>13</v>
      </c>
      <c r="F1125" s="10">
        <v>60</v>
      </c>
      <c r="G1125" s="10">
        <v>48</v>
      </c>
      <c r="H1125" s="10">
        <v>60</v>
      </c>
      <c r="I1125" s="10">
        <v>56</v>
      </c>
      <c r="J1125" s="10">
        <v>60</v>
      </c>
    </row>
    <row r="1126" spans="1:10" ht="28.8" x14ac:dyDescent="0.3">
      <c r="A1126" t="s">
        <v>95</v>
      </c>
      <c r="B1126" s="2">
        <v>45527</v>
      </c>
      <c r="C1126" s="3" t="s">
        <v>11</v>
      </c>
      <c r="D1126" s="4" t="s">
        <v>25</v>
      </c>
      <c r="E1126" s="4" t="s">
        <v>26</v>
      </c>
      <c r="F1126" s="6">
        <v>48</v>
      </c>
      <c r="G1126" s="6">
        <v>48</v>
      </c>
      <c r="H1126" s="6">
        <v>60</v>
      </c>
      <c r="I1126" s="6">
        <v>54</v>
      </c>
      <c r="J1126" s="6">
        <v>54</v>
      </c>
    </row>
    <row r="1127" spans="1:10" ht="28.8" x14ac:dyDescent="0.3">
      <c r="A1127" t="s">
        <v>95</v>
      </c>
      <c r="B1127" s="2">
        <v>45527</v>
      </c>
      <c r="C1127" s="7" t="s">
        <v>11</v>
      </c>
      <c r="D1127" s="8" t="s">
        <v>27</v>
      </c>
      <c r="E1127" s="8" t="s">
        <v>13</v>
      </c>
      <c r="F1127" s="10">
        <v>60</v>
      </c>
      <c r="G1127" s="10">
        <v>48</v>
      </c>
      <c r="H1127" s="10">
        <v>60</v>
      </c>
      <c r="I1127" s="10">
        <v>56</v>
      </c>
      <c r="J1127" s="10">
        <v>60</v>
      </c>
    </row>
    <row r="1128" spans="1:10" ht="28.8" x14ac:dyDescent="0.3">
      <c r="A1128" t="s">
        <v>95</v>
      </c>
      <c r="B1128" s="2">
        <v>45527</v>
      </c>
      <c r="C1128" s="3" t="s">
        <v>11</v>
      </c>
      <c r="D1128" s="4" t="s">
        <v>28</v>
      </c>
      <c r="E1128" s="4" t="s">
        <v>13</v>
      </c>
      <c r="F1128" s="6">
        <v>36</v>
      </c>
      <c r="G1128" s="6">
        <v>36</v>
      </c>
      <c r="H1128" s="6">
        <v>45</v>
      </c>
      <c r="I1128" s="6" t="s">
        <v>492</v>
      </c>
      <c r="J1128" s="6">
        <v>38</v>
      </c>
    </row>
    <row r="1129" spans="1:10" ht="28.8" x14ac:dyDescent="0.3">
      <c r="A1129" t="s">
        <v>95</v>
      </c>
      <c r="B1129" s="2">
        <v>45527</v>
      </c>
      <c r="C1129" s="7" t="s">
        <v>11</v>
      </c>
      <c r="D1129" s="8" t="s">
        <v>29</v>
      </c>
      <c r="E1129" s="8" t="s">
        <v>13</v>
      </c>
      <c r="F1129" s="10">
        <v>48</v>
      </c>
      <c r="G1129" s="10">
        <v>42</v>
      </c>
      <c r="H1129" s="10">
        <v>48</v>
      </c>
      <c r="I1129" s="10" t="s">
        <v>360</v>
      </c>
      <c r="J1129" s="10">
        <v>48</v>
      </c>
    </row>
    <row r="1130" spans="1:10" ht="28.8" x14ac:dyDescent="0.3">
      <c r="A1130" t="s">
        <v>95</v>
      </c>
      <c r="B1130" s="2">
        <v>45527</v>
      </c>
      <c r="C1130" s="3" t="s">
        <v>11</v>
      </c>
      <c r="D1130" s="4" t="s">
        <v>31</v>
      </c>
      <c r="E1130" s="4" t="s">
        <v>32</v>
      </c>
      <c r="F1130" s="6">
        <v>5</v>
      </c>
      <c r="G1130" s="6">
        <v>5</v>
      </c>
      <c r="H1130" s="6" t="s">
        <v>398</v>
      </c>
      <c r="I1130" s="6" t="s">
        <v>493</v>
      </c>
      <c r="J1130" s="6">
        <v>5</v>
      </c>
    </row>
    <row r="1131" spans="1:10" ht="28.8" x14ac:dyDescent="0.3">
      <c r="A1131" t="s">
        <v>95</v>
      </c>
      <c r="B1131" s="2">
        <v>45527</v>
      </c>
      <c r="C1131" s="7" t="s">
        <v>11</v>
      </c>
      <c r="D1131" s="8" t="s">
        <v>33</v>
      </c>
      <c r="E1131" s="8" t="s">
        <v>34</v>
      </c>
      <c r="F1131" s="10">
        <v>12</v>
      </c>
      <c r="G1131" s="10">
        <v>10</v>
      </c>
      <c r="H1131" s="10">
        <v>12</v>
      </c>
      <c r="I1131" s="10">
        <v>11</v>
      </c>
      <c r="J1131" s="10">
        <v>11</v>
      </c>
    </row>
    <row r="1132" spans="1:10" ht="28.8" x14ac:dyDescent="0.3">
      <c r="A1132" t="s">
        <v>95</v>
      </c>
      <c r="B1132" s="2">
        <v>45527</v>
      </c>
      <c r="C1132" s="3" t="s">
        <v>11</v>
      </c>
      <c r="D1132" s="4" t="s">
        <v>35</v>
      </c>
      <c r="E1132" s="4" t="s">
        <v>34</v>
      </c>
      <c r="F1132" s="5"/>
      <c r="G1132" s="6">
        <v>10</v>
      </c>
      <c r="H1132" s="6">
        <v>30</v>
      </c>
      <c r="I1132" s="6" t="s">
        <v>494</v>
      </c>
      <c r="J1132" s="6" t="s">
        <v>495</v>
      </c>
    </row>
    <row r="1133" spans="1:10" ht="43.2" x14ac:dyDescent="0.3">
      <c r="A1133" t="s">
        <v>95</v>
      </c>
      <c r="B1133" s="2">
        <v>45527</v>
      </c>
      <c r="C1133" s="7" t="s">
        <v>36</v>
      </c>
      <c r="D1133" s="8" t="s">
        <v>73</v>
      </c>
      <c r="E1133" s="8" t="s">
        <v>74</v>
      </c>
      <c r="F1133" s="9"/>
      <c r="G1133" s="10">
        <v>75</v>
      </c>
      <c r="H1133" s="10">
        <v>75</v>
      </c>
      <c r="I1133" s="10">
        <v>75</v>
      </c>
      <c r="J1133" s="10">
        <v>75</v>
      </c>
    </row>
    <row r="1134" spans="1:10" ht="43.2" x14ac:dyDescent="0.3">
      <c r="A1134" t="s">
        <v>95</v>
      </c>
      <c r="B1134" s="2">
        <v>45527</v>
      </c>
      <c r="C1134" s="3" t="s">
        <v>36</v>
      </c>
      <c r="D1134" s="4" t="s">
        <v>37</v>
      </c>
      <c r="E1134" s="4" t="s">
        <v>38</v>
      </c>
      <c r="F1134" s="6">
        <v>60</v>
      </c>
      <c r="G1134" s="6">
        <v>50</v>
      </c>
      <c r="H1134" s="6">
        <v>60</v>
      </c>
      <c r="I1134" s="6">
        <v>57</v>
      </c>
      <c r="J1134" s="6">
        <v>60</v>
      </c>
    </row>
    <row r="1135" spans="1:10" ht="43.2" x14ac:dyDescent="0.3">
      <c r="A1135" t="s">
        <v>95</v>
      </c>
      <c r="B1135" s="2">
        <v>45527</v>
      </c>
      <c r="C1135" s="7" t="s">
        <v>36</v>
      </c>
      <c r="D1135" s="8" t="s">
        <v>39</v>
      </c>
      <c r="E1135" s="8" t="s">
        <v>40</v>
      </c>
      <c r="F1135" s="10">
        <v>70</v>
      </c>
      <c r="G1135" s="10">
        <v>45</v>
      </c>
      <c r="H1135" s="10">
        <v>70</v>
      </c>
      <c r="I1135" s="10">
        <v>63</v>
      </c>
      <c r="J1135" s="10">
        <v>70</v>
      </c>
    </row>
    <row r="1136" spans="1:10" ht="43.2" x14ac:dyDescent="0.3">
      <c r="A1136" t="s">
        <v>95</v>
      </c>
      <c r="B1136" s="2">
        <v>45527</v>
      </c>
      <c r="C1136" s="3" t="s">
        <v>36</v>
      </c>
      <c r="D1136" s="4" t="s">
        <v>41</v>
      </c>
      <c r="E1136" s="4" t="s">
        <v>42</v>
      </c>
      <c r="F1136" s="6">
        <v>50</v>
      </c>
      <c r="G1136" s="6">
        <v>45</v>
      </c>
      <c r="H1136" s="6">
        <v>60</v>
      </c>
      <c r="I1136" s="6">
        <v>52</v>
      </c>
      <c r="J1136" s="6">
        <v>50</v>
      </c>
    </row>
    <row r="1137" spans="1:10" ht="43.2" x14ac:dyDescent="0.3">
      <c r="A1137" t="s">
        <v>95</v>
      </c>
      <c r="B1137" s="2">
        <v>45527</v>
      </c>
      <c r="C1137" s="7" t="s">
        <v>36</v>
      </c>
      <c r="D1137" s="8" t="s">
        <v>43</v>
      </c>
      <c r="E1137" s="8" t="s">
        <v>42</v>
      </c>
      <c r="F1137" s="9"/>
      <c r="G1137" s="10">
        <v>90</v>
      </c>
      <c r="H1137" s="10">
        <v>90</v>
      </c>
      <c r="I1137" s="10">
        <v>90</v>
      </c>
      <c r="J1137" s="10">
        <v>90</v>
      </c>
    </row>
    <row r="1138" spans="1:10" ht="43.2" x14ac:dyDescent="0.3">
      <c r="A1138" t="s">
        <v>95</v>
      </c>
      <c r="B1138" s="2">
        <v>45527</v>
      </c>
      <c r="C1138" s="3" t="s">
        <v>36</v>
      </c>
      <c r="D1138" s="4" t="s">
        <v>44</v>
      </c>
      <c r="E1138" s="4" t="s">
        <v>45</v>
      </c>
      <c r="F1138" s="6">
        <v>70</v>
      </c>
      <c r="G1138" s="6">
        <v>60</v>
      </c>
      <c r="H1138" s="6">
        <v>70</v>
      </c>
      <c r="I1138" s="6">
        <v>65</v>
      </c>
      <c r="J1138" s="6">
        <v>65</v>
      </c>
    </row>
    <row r="1139" spans="1:10" ht="43.2" x14ac:dyDescent="0.3">
      <c r="A1139" t="s">
        <v>95</v>
      </c>
      <c r="B1139" s="2">
        <v>45527</v>
      </c>
      <c r="C1139" s="7" t="s">
        <v>36</v>
      </c>
      <c r="D1139" s="8" t="s">
        <v>46</v>
      </c>
      <c r="E1139" s="8" t="s">
        <v>40</v>
      </c>
      <c r="F1139" s="10">
        <v>60</v>
      </c>
      <c r="G1139" s="10">
        <v>45</v>
      </c>
      <c r="H1139" s="10">
        <v>65</v>
      </c>
      <c r="I1139" s="10">
        <v>57</v>
      </c>
      <c r="J1139" s="10">
        <v>60</v>
      </c>
    </row>
    <row r="1140" spans="1:10" ht="43.2" x14ac:dyDescent="0.3">
      <c r="A1140" t="s">
        <v>95</v>
      </c>
      <c r="B1140" s="2">
        <v>45527</v>
      </c>
      <c r="C1140" s="3" t="s">
        <v>36</v>
      </c>
      <c r="D1140" s="4" t="s">
        <v>47</v>
      </c>
      <c r="E1140" s="4" t="s">
        <v>40</v>
      </c>
      <c r="F1140" s="6">
        <v>60</v>
      </c>
      <c r="G1140" s="6">
        <v>55</v>
      </c>
      <c r="H1140" s="6">
        <v>80</v>
      </c>
      <c r="I1140" s="6">
        <v>66</v>
      </c>
      <c r="J1140" s="6">
        <v>60</v>
      </c>
    </row>
    <row r="1141" spans="1:10" ht="43.2" x14ac:dyDescent="0.3">
      <c r="A1141" t="s">
        <v>95</v>
      </c>
      <c r="B1141" s="2">
        <v>45527</v>
      </c>
      <c r="C1141" s="7" t="s">
        <v>36</v>
      </c>
      <c r="D1141" s="8" t="s">
        <v>48</v>
      </c>
      <c r="E1141" s="8" t="s">
        <v>38</v>
      </c>
      <c r="F1141" s="10">
        <v>90</v>
      </c>
      <c r="G1141" s="10">
        <v>90</v>
      </c>
      <c r="H1141" s="10">
        <v>100</v>
      </c>
      <c r="I1141" s="10" t="s">
        <v>496</v>
      </c>
      <c r="J1141" s="10" t="s">
        <v>497</v>
      </c>
    </row>
    <row r="1142" spans="1:10" ht="43.2" x14ac:dyDescent="0.3">
      <c r="A1142" t="s">
        <v>95</v>
      </c>
      <c r="B1142" s="2">
        <v>45527</v>
      </c>
      <c r="C1142" s="3" t="s">
        <v>36</v>
      </c>
      <c r="D1142" s="4" t="s">
        <v>49</v>
      </c>
      <c r="E1142" s="4" t="s">
        <v>40</v>
      </c>
      <c r="F1142" s="5"/>
      <c r="G1142" s="6">
        <v>50</v>
      </c>
      <c r="H1142" s="6">
        <v>65</v>
      </c>
      <c r="I1142" s="6" t="s">
        <v>256</v>
      </c>
      <c r="J1142" s="6" t="s">
        <v>256</v>
      </c>
    </row>
    <row r="1143" spans="1:10" ht="43.2" x14ac:dyDescent="0.3">
      <c r="A1143" t="s">
        <v>95</v>
      </c>
      <c r="B1143" s="2">
        <v>45527</v>
      </c>
      <c r="C1143" s="7" t="s">
        <v>36</v>
      </c>
      <c r="D1143" s="8" t="s">
        <v>50</v>
      </c>
      <c r="E1143" s="8" t="s">
        <v>38</v>
      </c>
      <c r="F1143" s="9"/>
      <c r="G1143" s="10">
        <v>60</v>
      </c>
      <c r="H1143" s="10">
        <v>85</v>
      </c>
      <c r="I1143" s="10" t="s">
        <v>457</v>
      </c>
      <c r="J1143" s="10">
        <v>70</v>
      </c>
    </row>
    <row r="1144" spans="1:10" ht="43.2" x14ac:dyDescent="0.3">
      <c r="A1144" t="s">
        <v>95</v>
      </c>
      <c r="B1144" s="2">
        <v>45527</v>
      </c>
      <c r="C1144" s="3" t="s">
        <v>36</v>
      </c>
      <c r="D1144" s="4" t="s">
        <v>51</v>
      </c>
      <c r="E1144" s="4" t="s">
        <v>38</v>
      </c>
      <c r="F1144" s="6">
        <v>90</v>
      </c>
      <c r="G1144" s="6">
        <v>80</v>
      </c>
      <c r="H1144" s="6">
        <v>100</v>
      </c>
      <c r="I1144" s="6">
        <v>90</v>
      </c>
      <c r="J1144" s="6">
        <v>90</v>
      </c>
    </row>
    <row r="1145" spans="1:10" ht="43.2" x14ac:dyDescent="0.3">
      <c r="A1145" t="s">
        <v>95</v>
      </c>
      <c r="B1145" s="2">
        <v>45527</v>
      </c>
      <c r="C1145" s="7" t="s">
        <v>36</v>
      </c>
      <c r="D1145" s="8" t="s">
        <v>52</v>
      </c>
      <c r="E1145" s="8" t="s">
        <v>42</v>
      </c>
      <c r="F1145" s="10">
        <v>55</v>
      </c>
      <c r="G1145" s="10">
        <v>50</v>
      </c>
      <c r="H1145" s="10">
        <v>70</v>
      </c>
      <c r="I1145" s="10">
        <v>56</v>
      </c>
      <c r="J1145" s="10">
        <v>55</v>
      </c>
    </row>
    <row r="1146" spans="1:10" ht="43.2" x14ac:dyDescent="0.3">
      <c r="A1146" t="s">
        <v>95</v>
      </c>
      <c r="B1146" s="2">
        <v>45527</v>
      </c>
      <c r="C1146" s="3" t="s">
        <v>36</v>
      </c>
      <c r="D1146" s="4" t="s">
        <v>53</v>
      </c>
      <c r="E1146" s="4" t="s">
        <v>54</v>
      </c>
      <c r="F1146" s="6">
        <v>130</v>
      </c>
      <c r="G1146" s="6">
        <v>130</v>
      </c>
      <c r="H1146" s="6">
        <v>150</v>
      </c>
      <c r="I1146" s="6" t="s">
        <v>356</v>
      </c>
      <c r="J1146" s="6">
        <v>135</v>
      </c>
    </row>
    <row r="1147" spans="1:10" ht="43.2" x14ac:dyDescent="0.3">
      <c r="A1147" t="s">
        <v>95</v>
      </c>
      <c r="B1147" s="2">
        <v>45527</v>
      </c>
      <c r="C1147" s="7" t="s">
        <v>36</v>
      </c>
      <c r="D1147" s="8" t="s">
        <v>55</v>
      </c>
      <c r="E1147" s="8" t="s">
        <v>38</v>
      </c>
      <c r="F1147" s="10">
        <v>60</v>
      </c>
      <c r="G1147" s="10">
        <v>45</v>
      </c>
      <c r="H1147" s="10">
        <v>65</v>
      </c>
      <c r="I1147" s="10">
        <v>58</v>
      </c>
      <c r="J1147" s="10">
        <v>60</v>
      </c>
    </row>
    <row r="1148" spans="1:10" ht="43.2" x14ac:dyDescent="0.3">
      <c r="A1148" t="s">
        <v>95</v>
      </c>
      <c r="B1148" s="2">
        <v>45527</v>
      </c>
      <c r="C1148" s="3" t="s">
        <v>36</v>
      </c>
      <c r="D1148" s="4" t="s">
        <v>56</v>
      </c>
      <c r="E1148" s="4" t="s">
        <v>38</v>
      </c>
      <c r="F1148" s="6">
        <v>150</v>
      </c>
      <c r="G1148" s="6">
        <v>140</v>
      </c>
      <c r="H1148" s="6">
        <v>150</v>
      </c>
      <c r="I1148" s="6" t="s">
        <v>498</v>
      </c>
      <c r="J1148" s="6">
        <v>150</v>
      </c>
    </row>
    <row r="1149" spans="1:10" x14ac:dyDescent="0.3">
      <c r="A1149" t="s">
        <v>95</v>
      </c>
      <c r="B1149" s="2">
        <v>45527</v>
      </c>
      <c r="C1149" s="7" t="s">
        <v>57</v>
      </c>
      <c r="D1149" s="8" t="s">
        <v>58</v>
      </c>
      <c r="E1149" s="8" t="s">
        <v>42</v>
      </c>
      <c r="F1149" s="9"/>
      <c r="G1149" s="9"/>
      <c r="H1149" s="9"/>
      <c r="I1149" s="9"/>
      <c r="J1149" s="9"/>
    </row>
    <row r="1150" spans="1:10" x14ac:dyDescent="0.3">
      <c r="A1150" t="s">
        <v>95</v>
      </c>
      <c r="B1150" s="2">
        <v>45527</v>
      </c>
      <c r="C1150" s="3" t="s">
        <v>57</v>
      </c>
      <c r="D1150" s="4" t="s">
        <v>59</v>
      </c>
      <c r="E1150" s="4" t="s">
        <v>42</v>
      </c>
      <c r="F1150" s="5"/>
      <c r="G1150" s="5"/>
      <c r="H1150" s="5"/>
      <c r="I1150" s="5"/>
      <c r="J1150" s="5"/>
    </row>
    <row r="1151" spans="1:10" x14ac:dyDescent="0.3">
      <c r="A1151" t="s">
        <v>95</v>
      </c>
      <c r="B1151" s="2">
        <v>45527</v>
      </c>
      <c r="C1151" s="7" t="s">
        <v>57</v>
      </c>
      <c r="D1151" s="8" t="s">
        <v>60</v>
      </c>
      <c r="E1151" s="8" t="s">
        <v>42</v>
      </c>
      <c r="F1151" s="9"/>
      <c r="G1151" s="9"/>
      <c r="H1151" s="9"/>
      <c r="I1151" s="9"/>
      <c r="J1151" s="9"/>
    </row>
    <row r="1152" spans="1:10" x14ac:dyDescent="0.3">
      <c r="A1152" t="s">
        <v>95</v>
      </c>
      <c r="B1152" s="2">
        <v>45527</v>
      </c>
      <c r="C1152" s="3" t="s">
        <v>57</v>
      </c>
      <c r="D1152" s="4" t="s">
        <v>61</v>
      </c>
      <c r="E1152" s="4" t="s">
        <v>42</v>
      </c>
      <c r="F1152" s="5"/>
      <c r="G1152" s="6">
        <v>60</v>
      </c>
      <c r="H1152" s="6">
        <v>60</v>
      </c>
      <c r="I1152" s="6">
        <v>60</v>
      </c>
      <c r="J1152" s="6">
        <v>60</v>
      </c>
    </row>
    <row r="1153" spans="1:10" x14ac:dyDescent="0.3">
      <c r="A1153" t="s">
        <v>95</v>
      </c>
      <c r="B1153" s="2">
        <v>45527</v>
      </c>
      <c r="C1153" s="7" t="s">
        <v>57</v>
      </c>
      <c r="D1153" s="8" t="s">
        <v>62</v>
      </c>
      <c r="E1153" s="8" t="s">
        <v>63</v>
      </c>
      <c r="F1153" s="9"/>
      <c r="G1153" s="9"/>
      <c r="H1153" s="9"/>
      <c r="I1153" s="9"/>
      <c r="J1153" s="9"/>
    </row>
    <row r="1154" spans="1:10" ht="28.8" x14ac:dyDescent="0.3">
      <c r="A1154" t="s">
        <v>96</v>
      </c>
      <c r="B1154" s="2">
        <v>45534</v>
      </c>
      <c r="C1154" s="3" t="s">
        <v>11</v>
      </c>
      <c r="D1154" s="4" t="s">
        <v>12</v>
      </c>
      <c r="E1154" s="4" t="s">
        <v>13</v>
      </c>
      <c r="F1154" s="6">
        <v>48</v>
      </c>
      <c r="G1154" s="6">
        <v>48</v>
      </c>
      <c r="H1154" s="6">
        <v>48</v>
      </c>
      <c r="I1154" s="6">
        <v>48</v>
      </c>
      <c r="J1154" s="6">
        <v>48</v>
      </c>
    </row>
    <row r="1155" spans="1:10" ht="28.8" x14ac:dyDescent="0.3">
      <c r="A1155" t="s">
        <v>96</v>
      </c>
      <c r="B1155" s="2">
        <v>45534</v>
      </c>
      <c r="C1155" s="7" t="s">
        <v>11</v>
      </c>
      <c r="D1155" s="8" t="s">
        <v>14</v>
      </c>
      <c r="E1155" s="8" t="s">
        <v>13</v>
      </c>
      <c r="F1155" s="9"/>
      <c r="G1155" s="10">
        <v>60</v>
      </c>
      <c r="H1155" s="10">
        <v>84</v>
      </c>
      <c r="I1155" s="10">
        <v>72</v>
      </c>
      <c r="J1155" s="10">
        <v>72</v>
      </c>
    </row>
    <row r="1156" spans="1:10" ht="28.8" x14ac:dyDescent="0.3">
      <c r="A1156" t="s">
        <v>96</v>
      </c>
      <c r="B1156" s="2">
        <v>45534</v>
      </c>
      <c r="C1156" s="3" t="s">
        <v>11</v>
      </c>
      <c r="D1156" s="4" t="s">
        <v>15</v>
      </c>
      <c r="E1156" s="4" t="s">
        <v>13</v>
      </c>
      <c r="F1156" s="6">
        <v>30</v>
      </c>
      <c r="G1156" s="6">
        <v>30</v>
      </c>
      <c r="H1156" s="6">
        <v>42</v>
      </c>
      <c r="I1156" s="6" t="s">
        <v>499</v>
      </c>
      <c r="J1156" s="6">
        <v>33</v>
      </c>
    </row>
    <row r="1157" spans="1:10" ht="28.8" x14ac:dyDescent="0.3">
      <c r="A1157" t="s">
        <v>96</v>
      </c>
      <c r="B1157" s="2">
        <v>45534</v>
      </c>
      <c r="C1157" s="7" t="s">
        <v>11</v>
      </c>
      <c r="D1157" s="8" t="s">
        <v>16</v>
      </c>
      <c r="E1157" s="8" t="s">
        <v>13</v>
      </c>
      <c r="F1157" s="10">
        <v>24</v>
      </c>
      <c r="G1157" s="10">
        <v>18</v>
      </c>
      <c r="H1157" s="10">
        <v>24</v>
      </c>
      <c r="I1157" s="10">
        <v>21</v>
      </c>
      <c r="J1157" s="10">
        <v>21</v>
      </c>
    </row>
    <row r="1158" spans="1:10" ht="28.8" x14ac:dyDescent="0.3">
      <c r="A1158" t="s">
        <v>96</v>
      </c>
      <c r="B1158" s="2">
        <v>45534</v>
      </c>
      <c r="C1158" s="3" t="s">
        <v>11</v>
      </c>
      <c r="D1158" s="4" t="s">
        <v>17</v>
      </c>
      <c r="E1158" s="4" t="s">
        <v>13</v>
      </c>
      <c r="F1158" s="6">
        <v>24</v>
      </c>
      <c r="G1158" s="6">
        <v>18</v>
      </c>
      <c r="H1158" s="6">
        <v>24</v>
      </c>
      <c r="I1158" s="6">
        <v>22</v>
      </c>
      <c r="J1158" s="6">
        <v>24</v>
      </c>
    </row>
    <row r="1159" spans="1:10" ht="28.8" x14ac:dyDescent="0.3">
      <c r="A1159" t="s">
        <v>96</v>
      </c>
      <c r="B1159" s="2">
        <v>45534</v>
      </c>
      <c r="C1159" s="7" t="s">
        <v>11</v>
      </c>
      <c r="D1159" s="8" t="s">
        <v>18</v>
      </c>
      <c r="E1159" s="8" t="s">
        <v>13</v>
      </c>
      <c r="F1159" s="10">
        <v>60</v>
      </c>
      <c r="G1159" s="10">
        <v>48</v>
      </c>
      <c r="H1159" s="10">
        <v>60</v>
      </c>
      <c r="I1159" s="10">
        <v>56</v>
      </c>
      <c r="J1159" s="10">
        <v>60</v>
      </c>
    </row>
    <row r="1160" spans="1:10" ht="28.8" x14ac:dyDescent="0.3">
      <c r="A1160" t="s">
        <v>96</v>
      </c>
      <c r="B1160" s="2">
        <v>45534</v>
      </c>
      <c r="C1160" s="3" t="s">
        <v>11</v>
      </c>
      <c r="D1160" s="4" t="s">
        <v>19</v>
      </c>
      <c r="E1160" s="4" t="s">
        <v>13</v>
      </c>
      <c r="F1160" s="6">
        <v>60</v>
      </c>
      <c r="G1160" s="6">
        <v>60</v>
      </c>
      <c r="H1160" s="6">
        <v>60</v>
      </c>
      <c r="I1160" s="6">
        <v>60</v>
      </c>
      <c r="J1160" s="6">
        <v>60</v>
      </c>
    </row>
    <row r="1161" spans="1:10" ht="28.8" x14ac:dyDescent="0.3">
      <c r="A1161" t="s">
        <v>96</v>
      </c>
      <c r="B1161" s="2">
        <v>45534</v>
      </c>
      <c r="C1161" s="7" t="s">
        <v>11</v>
      </c>
      <c r="D1161" s="8" t="s">
        <v>20</v>
      </c>
      <c r="E1161" s="8" t="s">
        <v>13</v>
      </c>
      <c r="F1161" s="10">
        <v>72</v>
      </c>
      <c r="G1161" s="10">
        <v>40</v>
      </c>
      <c r="H1161" s="10">
        <v>72</v>
      </c>
      <c r="I1161" s="10">
        <v>64</v>
      </c>
      <c r="J1161" s="10">
        <v>72</v>
      </c>
    </row>
    <row r="1162" spans="1:10" ht="28.8" x14ac:dyDescent="0.3">
      <c r="A1162" t="s">
        <v>96</v>
      </c>
      <c r="B1162" s="2">
        <v>45534</v>
      </c>
      <c r="C1162" s="3" t="s">
        <v>11</v>
      </c>
      <c r="D1162" s="4" t="s">
        <v>21</v>
      </c>
      <c r="E1162" s="4" t="s">
        <v>13</v>
      </c>
      <c r="F1162" s="6">
        <v>24</v>
      </c>
      <c r="G1162" s="6">
        <v>15</v>
      </c>
      <c r="H1162" s="6">
        <v>24</v>
      </c>
      <c r="I1162" s="6" t="s">
        <v>308</v>
      </c>
      <c r="J1162" s="6">
        <v>21</v>
      </c>
    </row>
    <row r="1163" spans="1:10" ht="28.8" x14ac:dyDescent="0.3">
      <c r="A1163" t="s">
        <v>96</v>
      </c>
      <c r="B1163" s="2">
        <v>45534</v>
      </c>
      <c r="C1163" s="7" t="s">
        <v>11</v>
      </c>
      <c r="D1163" s="8" t="s">
        <v>65</v>
      </c>
      <c r="E1163" s="8" t="s">
        <v>13</v>
      </c>
      <c r="F1163" s="10">
        <v>60</v>
      </c>
      <c r="G1163" s="10">
        <v>60</v>
      </c>
      <c r="H1163" s="10">
        <v>72</v>
      </c>
      <c r="I1163" s="10">
        <v>64</v>
      </c>
      <c r="J1163" s="10">
        <v>60</v>
      </c>
    </row>
    <row r="1164" spans="1:10" ht="28.8" x14ac:dyDescent="0.3">
      <c r="A1164" t="s">
        <v>96</v>
      </c>
      <c r="B1164" s="2">
        <v>45534</v>
      </c>
      <c r="C1164" s="3" t="s">
        <v>11</v>
      </c>
      <c r="D1164" s="4" t="s">
        <v>23</v>
      </c>
      <c r="E1164" s="4" t="s">
        <v>13</v>
      </c>
      <c r="F1164" s="6">
        <v>24</v>
      </c>
      <c r="G1164" s="6">
        <v>18</v>
      </c>
      <c r="H1164" s="6">
        <v>24</v>
      </c>
      <c r="I1164" s="6" t="s">
        <v>255</v>
      </c>
      <c r="J1164" s="6">
        <v>24</v>
      </c>
    </row>
    <row r="1165" spans="1:10" ht="28.8" x14ac:dyDescent="0.3">
      <c r="A1165" t="s">
        <v>96</v>
      </c>
      <c r="B1165" s="2">
        <v>45534</v>
      </c>
      <c r="C1165" s="7" t="s">
        <v>11</v>
      </c>
      <c r="D1165" s="8" t="s">
        <v>24</v>
      </c>
      <c r="E1165" s="8" t="s">
        <v>13</v>
      </c>
      <c r="F1165" s="10">
        <v>60</v>
      </c>
      <c r="G1165" s="10">
        <v>48</v>
      </c>
      <c r="H1165" s="10">
        <v>60</v>
      </c>
      <c r="I1165" s="10">
        <v>56</v>
      </c>
      <c r="J1165" s="10">
        <v>60</v>
      </c>
    </row>
    <row r="1166" spans="1:10" ht="28.8" x14ac:dyDescent="0.3">
      <c r="A1166" t="s">
        <v>96</v>
      </c>
      <c r="B1166" s="2">
        <v>45534</v>
      </c>
      <c r="C1166" s="3" t="s">
        <v>11</v>
      </c>
      <c r="D1166" s="4" t="s">
        <v>25</v>
      </c>
      <c r="E1166" s="4" t="s">
        <v>26</v>
      </c>
      <c r="F1166" s="6">
        <v>48</v>
      </c>
      <c r="G1166" s="6">
        <v>42</v>
      </c>
      <c r="H1166" s="6">
        <v>48</v>
      </c>
      <c r="I1166" s="6" t="s">
        <v>360</v>
      </c>
      <c r="J1166" s="6">
        <v>48</v>
      </c>
    </row>
    <row r="1167" spans="1:10" ht="28.8" x14ac:dyDescent="0.3">
      <c r="A1167" t="s">
        <v>96</v>
      </c>
      <c r="B1167" s="2">
        <v>45534</v>
      </c>
      <c r="C1167" s="7" t="s">
        <v>11</v>
      </c>
      <c r="D1167" s="8" t="s">
        <v>27</v>
      </c>
      <c r="E1167" s="8" t="s">
        <v>13</v>
      </c>
      <c r="F1167" s="10">
        <v>60</v>
      </c>
      <c r="G1167" s="10">
        <v>60</v>
      </c>
      <c r="H1167" s="10">
        <v>60</v>
      </c>
      <c r="I1167" s="10">
        <v>60</v>
      </c>
      <c r="J1167" s="10">
        <v>60</v>
      </c>
    </row>
    <row r="1168" spans="1:10" ht="28.8" x14ac:dyDescent="0.3">
      <c r="A1168" t="s">
        <v>96</v>
      </c>
      <c r="B1168" s="2">
        <v>45534</v>
      </c>
      <c r="C1168" s="3" t="s">
        <v>11</v>
      </c>
      <c r="D1168" s="4" t="s">
        <v>28</v>
      </c>
      <c r="E1168" s="4" t="s">
        <v>13</v>
      </c>
      <c r="F1168" s="6">
        <v>36</v>
      </c>
      <c r="G1168" s="6">
        <v>30</v>
      </c>
      <c r="H1168" s="6">
        <v>36</v>
      </c>
      <c r="I1168" s="6" t="s">
        <v>294</v>
      </c>
      <c r="J1168" s="6" t="s">
        <v>333</v>
      </c>
    </row>
    <row r="1169" spans="1:10" ht="28.8" x14ac:dyDescent="0.3">
      <c r="A1169" t="s">
        <v>96</v>
      </c>
      <c r="B1169" s="2">
        <v>45534</v>
      </c>
      <c r="C1169" s="7" t="s">
        <v>11</v>
      </c>
      <c r="D1169" s="8" t="s">
        <v>29</v>
      </c>
      <c r="E1169" s="8" t="s">
        <v>13</v>
      </c>
      <c r="F1169" s="10">
        <v>48</v>
      </c>
      <c r="G1169" s="10">
        <v>48</v>
      </c>
      <c r="H1169" s="10">
        <v>54</v>
      </c>
      <c r="I1169" s="10" t="s">
        <v>359</v>
      </c>
      <c r="J1169" s="10">
        <v>48</v>
      </c>
    </row>
    <row r="1170" spans="1:10" ht="28.8" x14ac:dyDescent="0.3">
      <c r="A1170" t="s">
        <v>96</v>
      </c>
      <c r="B1170" s="2">
        <v>45534</v>
      </c>
      <c r="C1170" s="3" t="s">
        <v>11</v>
      </c>
      <c r="D1170" s="4" t="s">
        <v>31</v>
      </c>
      <c r="E1170" s="4" t="s">
        <v>32</v>
      </c>
      <c r="F1170" s="6">
        <v>5</v>
      </c>
      <c r="G1170" s="6">
        <v>5</v>
      </c>
      <c r="H1170" s="6">
        <v>5</v>
      </c>
      <c r="I1170" s="6">
        <v>5</v>
      </c>
      <c r="J1170" s="6">
        <v>5</v>
      </c>
    </row>
    <row r="1171" spans="1:10" ht="28.8" x14ac:dyDescent="0.3">
      <c r="A1171" t="s">
        <v>96</v>
      </c>
      <c r="B1171" s="2">
        <v>45534</v>
      </c>
      <c r="C1171" s="7" t="s">
        <v>11</v>
      </c>
      <c r="D1171" s="8" t="s">
        <v>33</v>
      </c>
      <c r="E1171" s="8" t="s">
        <v>34</v>
      </c>
      <c r="F1171" s="10">
        <v>10</v>
      </c>
      <c r="G1171" s="10">
        <v>10</v>
      </c>
      <c r="H1171" s="10">
        <v>10</v>
      </c>
      <c r="I1171" s="10">
        <v>10</v>
      </c>
      <c r="J1171" s="10">
        <v>10</v>
      </c>
    </row>
    <row r="1172" spans="1:10" ht="28.8" x14ac:dyDescent="0.3">
      <c r="A1172" t="s">
        <v>96</v>
      </c>
      <c r="B1172" s="2">
        <v>45534</v>
      </c>
      <c r="C1172" s="3" t="s">
        <v>11</v>
      </c>
      <c r="D1172" s="4" t="s">
        <v>35</v>
      </c>
      <c r="E1172" s="4" t="s">
        <v>34</v>
      </c>
      <c r="F1172" s="6">
        <v>20</v>
      </c>
      <c r="G1172" s="6">
        <v>20</v>
      </c>
      <c r="H1172" s="6">
        <v>30</v>
      </c>
      <c r="I1172" s="6" t="s">
        <v>500</v>
      </c>
      <c r="J1172" s="6" t="s">
        <v>255</v>
      </c>
    </row>
    <row r="1173" spans="1:10" ht="43.2" x14ac:dyDescent="0.3">
      <c r="A1173" t="s">
        <v>96</v>
      </c>
      <c r="B1173" s="2">
        <v>45534</v>
      </c>
      <c r="C1173" s="7" t="s">
        <v>36</v>
      </c>
      <c r="D1173" s="8" t="s">
        <v>73</v>
      </c>
      <c r="E1173" s="8" t="s">
        <v>74</v>
      </c>
      <c r="F1173" s="9"/>
      <c r="G1173" s="10">
        <v>70</v>
      </c>
      <c r="H1173" s="10">
        <v>80</v>
      </c>
      <c r="I1173" s="10">
        <v>75</v>
      </c>
      <c r="J1173" s="10">
        <v>75</v>
      </c>
    </row>
    <row r="1174" spans="1:10" ht="43.2" x14ac:dyDescent="0.3">
      <c r="A1174" t="s">
        <v>96</v>
      </c>
      <c r="B1174" s="2">
        <v>45534</v>
      </c>
      <c r="C1174" s="3" t="s">
        <v>36</v>
      </c>
      <c r="D1174" s="4" t="s">
        <v>37</v>
      </c>
      <c r="E1174" s="4" t="s">
        <v>38</v>
      </c>
      <c r="F1174" s="6">
        <v>60</v>
      </c>
      <c r="G1174" s="6">
        <v>50</v>
      </c>
      <c r="H1174" s="6">
        <v>60</v>
      </c>
      <c r="I1174" s="6" t="s">
        <v>256</v>
      </c>
      <c r="J1174" s="6">
        <v>60</v>
      </c>
    </row>
    <row r="1175" spans="1:10" ht="43.2" x14ac:dyDescent="0.3">
      <c r="A1175" t="s">
        <v>96</v>
      </c>
      <c r="B1175" s="2">
        <v>45534</v>
      </c>
      <c r="C1175" s="7" t="s">
        <v>36</v>
      </c>
      <c r="D1175" s="8" t="s">
        <v>39</v>
      </c>
      <c r="E1175" s="8" t="s">
        <v>40</v>
      </c>
      <c r="F1175" s="9"/>
      <c r="G1175" s="10">
        <v>35</v>
      </c>
      <c r="H1175" s="10">
        <v>80</v>
      </c>
      <c r="I1175" s="10">
        <v>56</v>
      </c>
      <c r="J1175" s="10">
        <v>50</v>
      </c>
    </row>
    <row r="1176" spans="1:10" ht="43.2" x14ac:dyDescent="0.3">
      <c r="A1176" t="s">
        <v>96</v>
      </c>
      <c r="B1176" s="2">
        <v>45534</v>
      </c>
      <c r="C1176" s="3" t="s">
        <v>36</v>
      </c>
      <c r="D1176" s="4" t="s">
        <v>41</v>
      </c>
      <c r="E1176" s="4" t="s">
        <v>42</v>
      </c>
      <c r="F1176" s="6">
        <v>45</v>
      </c>
      <c r="G1176" s="6">
        <v>45</v>
      </c>
      <c r="H1176" s="6">
        <v>60</v>
      </c>
      <c r="I1176" s="6">
        <v>50</v>
      </c>
      <c r="J1176" s="6" t="s">
        <v>279</v>
      </c>
    </row>
    <row r="1177" spans="1:10" ht="43.2" x14ac:dyDescent="0.3">
      <c r="A1177" t="s">
        <v>96</v>
      </c>
      <c r="B1177" s="2">
        <v>45534</v>
      </c>
      <c r="C1177" s="7" t="s">
        <v>36</v>
      </c>
      <c r="D1177" s="8" t="s">
        <v>43</v>
      </c>
      <c r="E1177" s="8" t="s">
        <v>42</v>
      </c>
      <c r="F1177" s="9"/>
      <c r="G1177" s="9"/>
      <c r="H1177" s="9"/>
      <c r="I1177" s="9"/>
      <c r="J1177" s="9"/>
    </row>
    <row r="1178" spans="1:10" ht="43.2" x14ac:dyDescent="0.3">
      <c r="A1178" t="s">
        <v>96</v>
      </c>
      <c r="B1178" s="2">
        <v>45534</v>
      </c>
      <c r="C1178" s="3" t="s">
        <v>36</v>
      </c>
      <c r="D1178" s="4" t="s">
        <v>44</v>
      </c>
      <c r="E1178" s="4" t="s">
        <v>45</v>
      </c>
      <c r="F1178" s="6">
        <v>60</v>
      </c>
      <c r="G1178" s="6">
        <v>35</v>
      </c>
      <c r="H1178" s="6">
        <v>70</v>
      </c>
      <c r="I1178" s="6">
        <v>57</v>
      </c>
      <c r="J1178" s="6">
        <v>60</v>
      </c>
    </row>
    <row r="1179" spans="1:10" ht="43.2" x14ac:dyDescent="0.3">
      <c r="A1179" t="s">
        <v>96</v>
      </c>
      <c r="B1179" s="2">
        <v>45534</v>
      </c>
      <c r="C1179" s="7" t="s">
        <v>36</v>
      </c>
      <c r="D1179" s="8" t="s">
        <v>46</v>
      </c>
      <c r="E1179" s="8" t="s">
        <v>40</v>
      </c>
      <c r="F1179" s="10">
        <v>60</v>
      </c>
      <c r="G1179" s="10">
        <v>35</v>
      </c>
      <c r="H1179" s="10">
        <v>60</v>
      </c>
      <c r="I1179" s="10">
        <v>46</v>
      </c>
      <c r="J1179" s="10">
        <v>40</v>
      </c>
    </row>
    <row r="1180" spans="1:10" ht="43.2" x14ac:dyDescent="0.3">
      <c r="A1180" t="s">
        <v>96</v>
      </c>
      <c r="B1180" s="2">
        <v>45534</v>
      </c>
      <c r="C1180" s="3" t="s">
        <v>36</v>
      </c>
      <c r="D1180" s="4" t="s">
        <v>47</v>
      </c>
      <c r="E1180" s="4" t="s">
        <v>40</v>
      </c>
      <c r="F1180" s="5"/>
      <c r="G1180" s="6">
        <v>50</v>
      </c>
      <c r="H1180" s="6">
        <v>80</v>
      </c>
      <c r="I1180" s="6">
        <v>65</v>
      </c>
      <c r="J1180" s="6">
        <v>65</v>
      </c>
    </row>
    <row r="1181" spans="1:10" ht="43.2" x14ac:dyDescent="0.3">
      <c r="A1181" t="s">
        <v>96</v>
      </c>
      <c r="B1181" s="2">
        <v>45534</v>
      </c>
      <c r="C1181" s="7" t="s">
        <v>36</v>
      </c>
      <c r="D1181" s="8" t="s">
        <v>48</v>
      </c>
      <c r="E1181" s="8" t="s">
        <v>38</v>
      </c>
      <c r="F1181" s="9"/>
      <c r="G1181" s="10">
        <v>80</v>
      </c>
      <c r="H1181" s="10">
        <v>110</v>
      </c>
      <c r="I1181" s="10">
        <v>95</v>
      </c>
      <c r="J1181" s="10">
        <v>95</v>
      </c>
    </row>
    <row r="1182" spans="1:10" ht="43.2" x14ac:dyDescent="0.3">
      <c r="A1182" t="s">
        <v>96</v>
      </c>
      <c r="B1182" s="2">
        <v>45534</v>
      </c>
      <c r="C1182" s="3" t="s">
        <v>36</v>
      </c>
      <c r="D1182" s="4" t="s">
        <v>49</v>
      </c>
      <c r="E1182" s="4" t="s">
        <v>40</v>
      </c>
      <c r="F1182" s="5"/>
      <c r="G1182" s="5"/>
      <c r="H1182" s="5"/>
      <c r="I1182" s="5"/>
      <c r="J1182" s="5"/>
    </row>
    <row r="1183" spans="1:10" ht="43.2" x14ac:dyDescent="0.3">
      <c r="A1183" t="s">
        <v>96</v>
      </c>
      <c r="B1183" s="2">
        <v>45534</v>
      </c>
      <c r="C1183" s="7" t="s">
        <v>36</v>
      </c>
      <c r="D1183" s="8" t="s">
        <v>50</v>
      </c>
      <c r="E1183" s="8" t="s">
        <v>38</v>
      </c>
      <c r="F1183" s="9"/>
      <c r="G1183" s="10">
        <v>25</v>
      </c>
      <c r="H1183" s="10">
        <v>80</v>
      </c>
      <c r="I1183" s="10" t="s">
        <v>441</v>
      </c>
      <c r="J1183" s="10">
        <v>70</v>
      </c>
    </row>
    <row r="1184" spans="1:10" ht="43.2" x14ac:dyDescent="0.3">
      <c r="A1184" t="s">
        <v>96</v>
      </c>
      <c r="B1184" s="2">
        <v>45534</v>
      </c>
      <c r="C1184" s="3" t="s">
        <v>36</v>
      </c>
      <c r="D1184" s="4" t="s">
        <v>51</v>
      </c>
      <c r="E1184" s="4" t="s">
        <v>38</v>
      </c>
      <c r="F1184" s="5"/>
      <c r="G1184" s="6">
        <v>70</v>
      </c>
      <c r="H1184" s="6">
        <v>120</v>
      </c>
      <c r="I1184" s="6">
        <v>90</v>
      </c>
      <c r="J1184" s="6">
        <v>80</v>
      </c>
    </row>
    <row r="1185" spans="1:10" ht="43.2" x14ac:dyDescent="0.3">
      <c r="A1185" t="s">
        <v>96</v>
      </c>
      <c r="B1185" s="2">
        <v>45534</v>
      </c>
      <c r="C1185" s="7" t="s">
        <v>36</v>
      </c>
      <c r="D1185" s="8" t="s">
        <v>52</v>
      </c>
      <c r="E1185" s="8" t="s">
        <v>42</v>
      </c>
      <c r="F1185" s="10">
        <v>50</v>
      </c>
      <c r="G1185" s="10">
        <v>25</v>
      </c>
      <c r="H1185" s="10">
        <v>60</v>
      </c>
      <c r="I1185" s="10">
        <v>48</v>
      </c>
      <c r="J1185" s="10">
        <v>50</v>
      </c>
    </row>
    <row r="1186" spans="1:10" ht="43.2" x14ac:dyDescent="0.3">
      <c r="A1186" t="s">
        <v>96</v>
      </c>
      <c r="B1186" s="2">
        <v>45534</v>
      </c>
      <c r="C1186" s="3" t="s">
        <v>36</v>
      </c>
      <c r="D1186" s="4" t="s">
        <v>53</v>
      </c>
      <c r="E1186" s="4" t="s">
        <v>54</v>
      </c>
      <c r="F1186" s="5"/>
      <c r="G1186" s="6">
        <v>120</v>
      </c>
      <c r="H1186" s="6">
        <v>140</v>
      </c>
      <c r="I1186" s="6">
        <v>130</v>
      </c>
      <c r="J1186" s="6">
        <v>130</v>
      </c>
    </row>
    <row r="1187" spans="1:10" ht="43.2" x14ac:dyDescent="0.3">
      <c r="A1187" t="s">
        <v>96</v>
      </c>
      <c r="B1187" s="2">
        <v>45534</v>
      </c>
      <c r="C1187" s="7" t="s">
        <v>36</v>
      </c>
      <c r="D1187" s="8" t="s">
        <v>55</v>
      </c>
      <c r="E1187" s="8" t="s">
        <v>38</v>
      </c>
      <c r="F1187" s="10">
        <v>60</v>
      </c>
      <c r="G1187" s="10">
        <v>45</v>
      </c>
      <c r="H1187" s="10">
        <v>60</v>
      </c>
      <c r="I1187" s="10" t="s">
        <v>280</v>
      </c>
      <c r="J1187" s="10">
        <v>55</v>
      </c>
    </row>
    <row r="1188" spans="1:10" ht="43.2" x14ac:dyDescent="0.3">
      <c r="A1188" t="s">
        <v>96</v>
      </c>
      <c r="B1188" s="2">
        <v>45534</v>
      </c>
      <c r="C1188" s="3" t="s">
        <v>36</v>
      </c>
      <c r="D1188" s="4" t="s">
        <v>56</v>
      </c>
      <c r="E1188" s="4" t="s">
        <v>38</v>
      </c>
      <c r="F1188" s="5"/>
      <c r="G1188" s="6">
        <v>120</v>
      </c>
      <c r="H1188" s="6">
        <v>120</v>
      </c>
      <c r="I1188" s="6">
        <v>120</v>
      </c>
      <c r="J1188" s="6">
        <v>120</v>
      </c>
    </row>
    <row r="1189" spans="1:10" x14ac:dyDescent="0.3">
      <c r="A1189" t="s">
        <v>96</v>
      </c>
      <c r="B1189" s="2">
        <v>45534</v>
      </c>
      <c r="C1189" s="7" t="s">
        <v>57</v>
      </c>
      <c r="D1189" s="8" t="s">
        <v>58</v>
      </c>
      <c r="E1189" s="8" t="s">
        <v>42</v>
      </c>
      <c r="F1189" s="9"/>
      <c r="G1189" s="9"/>
      <c r="H1189" s="9"/>
      <c r="I1189" s="9"/>
      <c r="J1189" s="9"/>
    </row>
    <row r="1190" spans="1:10" x14ac:dyDescent="0.3">
      <c r="A1190" t="s">
        <v>96</v>
      </c>
      <c r="B1190" s="2">
        <v>45534</v>
      </c>
      <c r="C1190" s="3" t="s">
        <v>57</v>
      </c>
      <c r="D1190" s="4" t="s">
        <v>59</v>
      </c>
      <c r="E1190" s="4" t="s">
        <v>42</v>
      </c>
      <c r="F1190" s="5"/>
      <c r="G1190" s="5"/>
      <c r="H1190" s="5"/>
      <c r="I1190" s="5"/>
      <c r="J1190" s="5"/>
    </row>
    <row r="1191" spans="1:10" x14ac:dyDescent="0.3">
      <c r="A1191" t="s">
        <v>96</v>
      </c>
      <c r="B1191" s="2">
        <v>45534</v>
      </c>
      <c r="C1191" s="7" t="s">
        <v>57</v>
      </c>
      <c r="D1191" s="8" t="s">
        <v>60</v>
      </c>
      <c r="E1191" s="8" t="s">
        <v>42</v>
      </c>
      <c r="F1191" s="9"/>
      <c r="G1191" s="9"/>
      <c r="H1191" s="9"/>
      <c r="I1191" s="9"/>
      <c r="J1191" s="9"/>
    </row>
    <row r="1192" spans="1:10" x14ac:dyDescent="0.3">
      <c r="A1192" t="s">
        <v>96</v>
      </c>
      <c r="B1192" s="2">
        <v>45534</v>
      </c>
      <c r="C1192" s="3" t="s">
        <v>57</v>
      </c>
      <c r="D1192" s="4" t="s">
        <v>61</v>
      </c>
      <c r="E1192" s="4" t="s">
        <v>42</v>
      </c>
      <c r="F1192" s="5"/>
      <c r="G1192" s="6">
        <v>60</v>
      </c>
      <c r="H1192" s="6">
        <v>60</v>
      </c>
      <c r="I1192" s="6">
        <v>60</v>
      </c>
      <c r="J1192" s="6">
        <v>60</v>
      </c>
    </row>
    <row r="1193" spans="1:10" x14ac:dyDescent="0.3">
      <c r="A1193" t="s">
        <v>96</v>
      </c>
      <c r="B1193" s="2">
        <v>45534</v>
      </c>
      <c r="C1193" s="7" t="s">
        <v>57</v>
      </c>
      <c r="D1193" s="8" t="s">
        <v>62</v>
      </c>
      <c r="E1193" s="8" t="s">
        <v>63</v>
      </c>
      <c r="F1193" s="9"/>
      <c r="G1193" s="10">
        <v>80</v>
      </c>
      <c r="H1193" s="10">
        <v>80</v>
      </c>
      <c r="I1193" s="10">
        <v>80</v>
      </c>
      <c r="J1193" s="10">
        <v>80</v>
      </c>
    </row>
    <row r="1194" spans="1:10" ht="28.8" x14ac:dyDescent="0.3">
      <c r="A1194" t="s">
        <v>97</v>
      </c>
      <c r="B1194" s="2">
        <v>45541</v>
      </c>
      <c r="C1194" s="3" t="s">
        <v>11</v>
      </c>
      <c r="D1194" s="4" t="s">
        <v>12</v>
      </c>
      <c r="E1194" s="4" t="s">
        <v>13</v>
      </c>
      <c r="F1194" s="6">
        <v>48</v>
      </c>
      <c r="G1194" s="6">
        <v>48</v>
      </c>
      <c r="H1194" s="6">
        <v>60</v>
      </c>
      <c r="I1194" s="6" t="s">
        <v>478</v>
      </c>
      <c r="J1194" s="6">
        <v>48</v>
      </c>
    </row>
    <row r="1195" spans="1:10" ht="28.8" x14ac:dyDescent="0.3">
      <c r="A1195" t="s">
        <v>97</v>
      </c>
      <c r="B1195" s="2">
        <v>45541</v>
      </c>
      <c r="C1195" s="7" t="s">
        <v>11</v>
      </c>
      <c r="D1195" s="8" t="s">
        <v>14</v>
      </c>
      <c r="E1195" s="8" t="s">
        <v>13</v>
      </c>
      <c r="F1195" s="10">
        <v>72</v>
      </c>
      <c r="G1195" s="10">
        <v>72</v>
      </c>
      <c r="H1195" s="10">
        <v>96</v>
      </c>
      <c r="I1195" s="10">
        <v>81</v>
      </c>
      <c r="J1195" s="10">
        <v>78</v>
      </c>
    </row>
    <row r="1196" spans="1:10" ht="28.8" x14ac:dyDescent="0.3">
      <c r="A1196" t="s">
        <v>97</v>
      </c>
      <c r="B1196" s="2">
        <v>45541</v>
      </c>
      <c r="C1196" s="3" t="s">
        <v>11</v>
      </c>
      <c r="D1196" s="4" t="s">
        <v>15</v>
      </c>
      <c r="E1196" s="4" t="s">
        <v>13</v>
      </c>
      <c r="F1196" s="6">
        <v>36</v>
      </c>
      <c r="G1196" s="6">
        <v>25</v>
      </c>
      <c r="H1196" s="6">
        <v>42</v>
      </c>
      <c r="I1196" s="6">
        <v>35</v>
      </c>
      <c r="J1196" s="6">
        <v>36</v>
      </c>
    </row>
    <row r="1197" spans="1:10" ht="28.8" x14ac:dyDescent="0.3">
      <c r="A1197" t="s">
        <v>97</v>
      </c>
      <c r="B1197" s="2">
        <v>45541</v>
      </c>
      <c r="C1197" s="7" t="s">
        <v>11</v>
      </c>
      <c r="D1197" s="8" t="s">
        <v>16</v>
      </c>
      <c r="E1197" s="8" t="s">
        <v>13</v>
      </c>
      <c r="F1197" s="10">
        <v>24</v>
      </c>
      <c r="G1197" s="10">
        <v>18</v>
      </c>
      <c r="H1197" s="10">
        <v>24</v>
      </c>
      <c r="I1197" s="10" t="s">
        <v>306</v>
      </c>
      <c r="J1197" s="10">
        <v>24</v>
      </c>
    </row>
    <row r="1198" spans="1:10" ht="28.8" x14ac:dyDescent="0.3">
      <c r="A1198" t="s">
        <v>97</v>
      </c>
      <c r="B1198" s="2">
        <v>45541</v>
      </c>
      <c r="C1198" s="3" t="s">
        <v>11</v>
      </c>
      <c r="D1198" s="4" t="s">
        <v>17</v>
      </c>
      <c r="E1198" s="4" t="s">
        <v>13</v>
      </c>
      <c r="F1198" s="6">
        <v>24</v>
      </c>
      <c r="G1198" s="6">
        <v>18</v>
      </c>
      <c r="H1198" s="6">
        <v>24</v>
      </c>
      <c r="I1198" s="6">
        <v>21</v>
      </c>
      <c r="J1198" s="6">
        <v>21</v>
      </c>
    </row>
    <row r="1199" spans="1:10" ht="28.8" x14ac:dyDescent="0.3">
      <c r="A1199" t="s">
        <v>97</v>
      </c>
      <c r="B1199" s="2">
        <v>45541</v>
      </c>
      <c r="C1199" s="7" t="s">
        <v>11</v>
      </c>
      <c r="D1199" s="8" t="s">
        <v>18</v>
      </c>
      <c r="E1199" s="8" t="s">
        <v>13</v>
      </c>
      <c r="F1199" s="10">
        <v>60</v>
      </c>
      <c r="G1199" s="10">
        <v>48</v>
      </c>
      <c r="H1199" s="10">
        <v>60</v>
      </c>
      <c r="I1199" s="10">
        <v>54</v>
      </c>
      <c r="J1199" s="10">
        <v>54</v>
      </c>
    </row>
    <row r="1200" spans="1:10" ht="28.8" x14ac:dyDescent="0.3">
      <c r="A1200" t="s">
        <v>97</v>
      </c>
      <c r="B1200" s="2">
        <v>45541</v>
      </c>
      <c r="C1200" s="3" t="s">
        <v>11</v>
      </c>
      <c r="D1200" s="4" t="s">
        <v>19</v>
      </c>
      <c r="E1200" s="4" t="s">
        <v>13</v>
      </c>
      <c r="F1200" s="6">
        <v>60</v>
      </c>
      <c r="G1200" s="6">
        <v>48</v>
      </c>
      <c r="H1200" s="6">
        <v>72</v>
      </c>
      <c r="I1200" s="6">
        <v>60</v>
      </c>
      <c r="J1200" s="6">
        <v>60</v>
      </c>
    </row>
    <row r="1201" spans="1:10" ht="28.8" x14ac:dyDescent="0.3">
      <c r="A1201" t="s">
        <v>97</v>
      </c>
      <c r="B1201" s="2">
        <v>45541</v>
      </c>
      <c r="C1201" s="7" t="s">
        <v>11</v>
      </c>
      <c r="D1201" s="8" t="s">
        <v>20</v>
      </c>
      <c r="E1201" s="8" t="s">
        <v>13</v>
      </c>
      <c r="F1201" s="10">
        <v>72</v>
      </c>
      <c r="G1201" s="10">
        <v>60</v>
      </c>
      <c r="H1201" s="10">
        <v>72</v>
      </c>
      <c r="I1201" s="10" t="s">
        <v>501</v>
      </c>
      <c r="J1201" s="10">
        <v>72</v>
      </c>
    </row>
    <row r="1202" spans="1:10" ht="28.8" x14ac:dyDescent="0.3">
      <c r="A1202" t="s">
        <v>97</v>
      </c>
      <c r="B1202" s="2">
        <v>45541</v>
      </c>
      <c r="C1202" s="3" t="s">
        <v>11</v>
      </c>
      <c r="D1202" s="4" t="s">
        <v>21</v>
      </c>
      <c r="E1202" s="4" t="s">
        <v>13</v>
      </c>
      <c r="F1202" s="6">
        <v>18</v>
      </c>
      <c r="G1202" s="6">
        <v>18</v>
      </c>
      <c r="H1202" s="6">
        <v>24</v>
      </c>
      <c r="I1202" s="6" t="s">
        <v>502</v>
      </c>
      <c r="J1202" s="6">
        <v>18</v>
      </c>
    </row>
    <row r="1203" spans="1:10" ht="28.8" x14ac:dyDescent="0.3">
      <c r="A1203" t="s">
        <v>97</v>
      </c>
      <c r="B1203" s="2">
        <v>45541</v>
      </c>
      <c r="C1203" s="7" t="s">
        <v>11</v>
      </c>
      <c r="D1203" s="8" t="s">
        <v>65</v>
      </c>
      <c r="E1203" s="8" t="s">
        <v>13</v>
      </c>
      <c r="F1203" s="10">
        <v>60</v>
      </c>
      <c r="G1203" s="10">
        <v>60</v>
      </c>
      <c r="H1203" s="10">
        <v>78</v>
      </c>
      <c r="I1203" s="10" t="s">
        <v>364</v>
      </c>
      <c r="J1203" s="10">
        <v>60</v>
      </c>
    </row>
    <row r="1204" spans="1:10" ht="28.8" x14ac:dyDescent="0.3">
      <c r="A1204" t="s">
        <v>97</v>
      </c>
      <c r="B1204" s="2">
        <v>45541</v>
      </c>
      <c r="C1204" s="3" t="s">
        <v>11</v>
      </c>
      <c r="D1204" s="4" t="s">
        <v>23</v>
      </c>
      <c r="E1204" s="4" t="s">
        <v>13</v>
      </c>
      <c r="F1204" s="6">
        <v>24</v>
      </c>
      <c r="G1204" s="6">
        <v>18</v>
      </c>
      <c r="H1204" s="6">
        <v>24</v>
      </c>
      <c r="I1204" s="6" t="s">
        <v>465</v>
      </c>
      <c r="J1204" s="6">
        <v>24</v>
      </c>
    </row>
    <row r="1205" spans="1:10" ht="28.8" x14ac:dyDescent="0.3">
      <c r="A1205" t="s">
        <v>97</v>
      </c>
      <c r="B1205" s="2">
        <v>45541</v>
      </c>
      <c r="C1205" s="7" t="s">
        <v>11</v>
      </c>
      <c r="D1205" s="8" t="s">
        <v>24</v>
      </c>
      <c r="E1205" s="8" t="s">
        <v>13</v>
      </c>
      <c r="F1205" s="10">
        <v>60</v>
      </c>
      <c r="G1205" s="10">
        <v>48</v>
      </c>
      <c r="H1205" s="10">
        <v>60</v>
      </c>
      <c r="I1205" s="10">
        <v>54</v>
      </c>
      <c r="J1205" s="10">
        <v>54</v>
      </c>
    </row>
    <row r="1206" spans="1:10" ht="28.8" x14ac:dyDescent="0.3">
      <c r="A1206" t="s">
        <v>97</v>
      </c>
      <c r="B1206" s="2">
        <v>45541</v>
      </c>
      <c r="C1206" s="3" t="s">
        <v>11</v>
      </c>
      <c r="D1206" s="4" t="s">
        <v>25</v>
      </c>
      <c r="E1206" s="4" t="s">
        <v>26</v>
      </c>
      <c r="F1206" s="6">
        <v>48</v>
      </c>
      <c r="G1206" s="6">
        <v>42</v>
      </c>
      <c r="H1206" s="6">
        <v>60</v>
      </c>
      <c r="I1206" s="6" t="s">
        <v>489</v>
      </c>
      <c r="J1206" s="6">
        <v>48</v>
      </c>
    </row>
    <row r="1207" spans="1:10" ht="28.8" x14ac:dyDescent="0.3">
      <c r="A1207" t="s">
        <v>97</v>
      </c>
      <c r="B1207" s="2">
        <v>45541</v>
      </c>
      <c r="C1207" s="7" t="s">
        <v>11</v>
      </c>
      <c r="D1207" s="8" t="s">
        <v>27</v>
      </c>
      <c r="E1207" s="8" t="s">
        <v>13</v>
      </c>
      <c r="F1207" s="10">
        <v>48</v>
      </c>
      <c r="G1207" s="10">
        <v>48</v>
      </c>
      <c r="H1207" s="10">
        <v>84</v>
      </c>
      <c r="I1207" s="10">
        <v>60</v>
      </c>
      <c r="J1207" s="10">
        <v>54</v>
      </c>
    </row>
    <row r="1208" spans="1:10" ht="28.8" x14ac:dyDescent="0.3">
      <c r="A1208" t="s">
        <v>97</v>
      </c>
      <c r="B1208" s="2">
        <v>45541</v>
      </c>
      <c r="C1208" s="3" t="s">
        <v>11</v>
      </c>
      <c r="D1208" s="4" t="s">
        <v>28</v>
      </c>
      <c r="E1208" s="4" t="s">
        <v>13</v>
      </c>
      <c r="F1208" s="6">
        <v>36</v>
      </c>
      <c r="G1208" s="6">
        <v>20</v>
      </c>
      <c r="H1208" s="6">
        <v>40</v>
      </c>
      <c r="I1208" s="6" t="s">
        <v>503</v>
      </c>
      <c r="J1208" s="6">
        <v>36</v>
      </c>
    </row>
    <row r="1209" spans="1:10" ht="28.8" x14ac:dyDescent="0.3">
      <c r="A1209" t="s">
        <v>97</v>
      </c>
      <c r="B1209" s="2">
        <v>45541</v>
      </c>
      <c r="C1209" s="7" t="s">
        <v>11</v>
      </c>
      <c r="D1209" s="8" t="s">
        <v>29</v>
      </c>
      <c r="E1209" s="8" t="s">
        <v>13</v>
      </c>
      <c r="F1209" s="10">
        <v>48</v>
      </c>
      <c r="G1209" s="10">
        <v>48</v>
      </c>
      <c r="H1209" s="10">
        <v>54</v>
      </c>
      <c r="I1209" s="10" t="s">
        <v>489</v>
      </c>
      <c r="J1209" s="10">
        <v>48</v>
      </c>
    </row>
    <row r="1210" spans="1:10" ht="28.8" x14ac:dyDescent="0.3">
      <c r="A1210" t="s">
        <v>97</v>
      </c>
      <c r="B1210" s="2">
        <v>45541</v>
      </c>
      <c r="C1210" s="3" t="s">
        <v>11</v>
      </c>
      <c r="D1210" s="4" t="s">
        <v>31</v>
      </c>
      <c r="E1210" s="4" t="s">
        <v>32</v>
      </c>
      <c r="F1210" s="6">
        <v>5</v>
      </c>
      <c r="G1210" s="6">
        <v>5</v>
      </c>
      <c r="H1210" s="6">
        <v>5</v>
      </c>
      <c r="I1210" s="6">
        <v>5</v>
      </c>
      <c r="J1210" s="6">
        <v>5</v>
      </c>
    </row>
    <row r="1211" spans="1:10" ht="28.8" x14ac:dyDescent="0.3">
      <c r="A1211" t="s">
        <v>97</v>
      </c>
      <c r="B1211" s="2">
        <v>45541</v>
      </c>
      <c r="C1211" s="7" t="s">
        <v>11</v>
      </c>
      <c r="D1211" s="8" t="s">
        <v>33</v>
      </c>
      <c r="E1211" s="8" t="s">
        <v>34</v>
      </c>
      <c r="F1211" s="10">
        <v>10</v>
      </c>
      <c r="G1211" s="10">
        <v>10</v>
      </c>
      <c r="H1211" s="10">
        <v>10</v>
      </c>
      <c r="I1211" s="10">
        <v>10</v>
      </c>
      <c r="J1211" s="10">
        <v>10</v>
      </c>
    </row>
    <row r="1212" spans="1:10" ht="28.8" x14ac:dyDescent="0.3">
      <c r="A1212" t="s">
        <v>97</v>
      </c>
      <c r="B1212" s="2">
        <v>45541</v>
      </c>
      <c r="C1212" s="3" t="s">
        <v>11</v>
      </c>
      <c r="D1212" s="4" t="s">
        <v>35</v>
      </c>
      <c r="E1212" s="4" t="s">
        <v>34</v>
      </c>
      <c r="F1212" s="6">
        <v>15</v>
      </c>
      <c r="G1212" s="6">
        <v>15</v>
      </c>
      <c r="H1212" s="6">
        <v>30</v>
      </c>
      <c r="I1212" s="6">
        <v>21</v>
      </c>
      <c r="J1212" s="6">
        <v>20</v>
      </c>
    </row>
    <row r="1213" spans="1:10" ht="43.2" x14ac:dyDescent="0.3">
      <c r="A1213" t="s">
        <v>97</v>
      </c>
      <c r="B1213" s="2">
        <v>45541</v>
      </c>
      <c r="C1213" s="7" t="s">
        <v>36</v>
      </c>
      <c r="D1213" s="8" t="s">
        <v>73</v>
      </c>
      <c r="E1213" s="8" t="s">
        <v>74</v>
      </c>
      <c r="F1213" s="10">
        <v>75</v>
      </c>
      <c r="G1213" s="10">
        <v>75</v>
      </c>
      <c r="H1213" s="10">
        <v>75</v>
      </c>
      <c r="I1213" s="10">
        <v>75</v>
      </c>
      <c r="J1213" s="10">
        <v>75</v>
      </c>
    </row>
    <row r="1214" spans="1:10" ht="43.2" x14ac:dyDescent="0.3">
      <c r="A1214" t="s">
        <v>97</v>
      </c>
      <c r="B1214" s="2">
        <v>45541</v>
      </c>
      <c r="C1214" s="3" t="s">
        <v>36</v>
      </c>
      <c r="D1214" s="4" t="s">
        <v>37</v>
      </c>
      <c r="E1214" s="4" t="s">
        <v>38</v>
      </c>
      <c r="F1214" s="6">
        <v>45</v>
      </c>
      <c r="G1214" s="6">
        <v>30</v>
      </c>
      <c r="H1214" s="6">
        <v>50</v>
      </c>
      <c r="I1214" s="6">
        <v>42</v>
      </c>
      <c r="J1214" s="6">
        <v>45</v>
      </c>
    </row>
    <row r="1215" spans="1:10" ht="43.2" x14ac:dyDescent="0.3">
      <c r="A1215" t="s">
        <v>97</v>
      </c>
      <c r="B1215" s="2">
        <v>45541</v>
      </c>
      <c r="C1215" s="7" t="s">
        <v>36</v>
      </c>
      <c r="D1215" s="8" t="s">
        <v>39</v>
      </c>
      <c r="E1215" s="8" t="s">
        <v>40</v>
      </c>
      <c r="F1215" s="10">
        <v>70</v>
      </c>
      <c r="G1215" s="10">
        <v>45</v>
      </c>
      <c r="H1215" s="10">
        <v>70</v>
      </c>
      <c r="I1215" s="10">
        <v>60</v>
      </c>
      <c r="J1215" s="10">
        <v>65</v>
      </c>
    </row>
    <row r="1216" spans="1:10" ht="43.2" x14ac:dyDescent="0.3">
      <c r="A1216" t="s">
        <v>97</v>
      </c>
      <c r="B1216" s="2">
        <v>45541</v>
      </c>
      <c r="C1216" s="3" t="s">
        <v>36</v>
      </c>
      <c r="D1216" s="4" t="s">
        <v>41</v>
      </c>
      <c r="E1216" s="4" t="s">
        <v>42</v>
      </c>
      <c r="F1216" s="6">
        <v>50</v>
      </c>
      <c r="G1216" s="6">
        <v>40</v>
      </c>
      <c r="H1216" s="6">
        <v>50</v>
      </c>
      <c r="I1216" s="6">
        <v>46</v>
      </c>
      <c r="J1216" s="6">
        <v>50</v>
      </c>
    </row>
    <row r="1217" spans="1:10" ht="43.2" x14ac:dyDescent="0.3">
      <c r="A1217" t="s">
        <v>97</v>
      </c>
      <c r="B1217" s="2">
        <v>45541</v>
      </c>
      <c r="C1217" s="7" t="s">
        <v>36</v>
      </c>
      <c r="D1217" s="8" t="s">
        <v>43</v>
      </c>
      <c r="E1217" s="8" t="s">
        <v>42</v>
      </c>
      <c r="F1217" s="9"/>
      <c r="G1217" s="10">
        <v>90</v>
      </c>
      <c r="H1217" s="10">
        <v>100</v>
      </c>
      <c r="I1217" s="10">
        <v>95</v>
      </c>
      <c r="J1217" s="10">
        <v>95</v>
      </c>
    </row>
    <row r="1218" spans="1:10" ht="43.2" x14ac:dyDescent="0.3">
      <c r="A1218" t="s">
        <v>97</v>
      </c>
      <c r="B1218" s="2">
        <v>45541</v>
      </c>
      <c r="C1218" s="3" t="s">
        <v>36</v>
      </c>
      <c r="D1218" s="4" t="s">
        <v>44</v>
      </c>
      <c r="E1218" s="4" t="s">
        <v>45</v>
      </c>
      <c r="F1218" s="6">
        <v>60</v>
      </c>
      <c r="G1218" s="6">
        <v>60</v>
      </c>
      <c r="H1218" s="6">
        <v>65</v>
      </c>
      <c r="I1218" s="6">
        <v>62</v>
      </c>
      <c r="J1218" s="6">
        <v>60</v>
      </c>
    </row>
    <row r="1219" spans="1:10" ht="43.2" x14ac:dyDescent="0.3">
      <c r="A1219" t="s">
        <v>97</v>
      </c>
      <c r="B1219" s="2">
        <v>45541</v>
      </c>
      <c r="C1219" s="7" t="s">
        <v>36</v>
      </c>
      <c r="D1219" s="8" t="s">
        <v>46</v>
      </c>
      <c r="E1219" s="8" t="s">
        <v>40</v>
      </c>
      <c r="F1219" s="10">
        <v>55</v>
      </c>
      <c r="G1219" s="10">
        <v>35</v>
      </c>
      <c r="H1219" s="10">
        <v>60</v>
      </c>
      <c r="I1219" s="10">
        <v>51</v>
      </c>
      <c r="J1219" s="10">
        <v>55</v>
      </c>
    </row>
    <row r="1220" spans="1:10" ht="43.2" x14ac:dyDescent="0.3">
      <c r="A1220" t="s">
        <v>97</v>
      </c>
      <c r="B1220" s="2">
        <v>45541</v>
      </c>
      <c r="C1220" s="3" t="s">
        <v>36</v>
      </c>
      <c r="D1220" s="4" t="s">
        <v>47</v>
      </c>
      <c r="E1220" s="4" t="s">
        <v>40</v>
      </c>
      <c r="F1220" s="6">
        <v>65</v>
      </c>
      <c r="G1220" s="6">
        <v>50</v>
      </c>
      <c r="H1220" s="6">
        <v>65</v>
      </c>
      <c r="I1220" s="6">
        <v>58</v>
      </c>
      <c r="J1220" s="6">
        <v>60</v>
      </c>
    </row>
    <row r="1221" spans="1:10" ht="43.2" x14ac:dyDescent="0.3">
      <c r="A1221" t="s">
        <v>97</v>
      </c>
      <c r="B1221" s="2">
        <v>45541</v>
      </c>
      <c r="C1221" s="7" t="s">
        <v>36</v>
      </c>
      <c r="D1221" s="8" t="s">
        <v>48</v>
      </c>
      <c r="E1221" s="8" t="s">
        <v>38</v>
      </c>
      <c r="F1221" s="10">
        <v>90</v>
      </c>
      <c r="G1221" s="10">
        <v>70</v>
      </c>
      <c r="H1221" s="10">
        <v>100</v>
      </c>
      <c r="I1221" s="10" t="s">
        <v>425</v>
      </c>
      <c r="J1221" s="10">
        <v>90</v>
      </c>
    </row>
    <row r="1222" spans="1:10" ht="43.2" x14ac:dyDescent="0.3">
      <c r="A1222" t="s">
        <v>97</v>
      </c>
      <c r="B1222" s="2">
        <v>45541</v>
      </c>
      <c r="C1222" s="3" t="s">
        <v>36</v>
      </c>
      <c r="D1222" s="4" t="s">
        <v>49</v>
      </c>
      <c r="E1222" s="4" t="s">
        <v>40</v>
      </c>
      <c r="F1222" s="5"/>
      <c r="G1222" s="6">
        <v>60</v>
      </c>
      <c r="H1222" s="6">
        <v>60</v>
      </c>
      <c r="I1222" s="6">
        <v>60</v>
      </c>
      <c r="J1222" s="6">
        <v>60</v>
      </c>
    </row>
    <row r="1223" spans="1:10" ht="43.2" x14ac:dyDescent="0.3">
      <c r="A1223" t="s">
        <v>97</v>
      </c>
      <c r="B1223" s="2">
        <v>45541</v>
      </c>
      <c r="C1223" s="7" t="s">
        <v>36</v>
      </c>
      <c r="D1223" s="8" t="s">
        <v>50</v>
      </c>
      <c r="E1223" s="8" t="s">
        <v>38</v>
      </c>
      <c r="F1223" s="9"/>
      <c r="G1223" s="10">
        <v>70</v>
      </c>
      <c r="H1223" s="10">
        <v>85</v>
      </c>
      <c r="I1223" s="10" t="s">
        <v>322</v>
      </c>
      <c r="J1223" s="10" t="s">
        <v>322</v>
      </c>
    </row>
    <row r="1224" spans="1:10" ht="43.2" x14ac:dyDescent="0.3">
      <c r="A1224" t="s">
        <v>97</v>
      </c>
      <c r="B1224" s="2">
        <v>45541</v>
      </c>
      <c r="C1224" s="3" t="s">
        <v>36</v>
      </c>
      <c r="D1224" s="4" t="s">
        <v>51</v>
      </c>
      <c r="E1224" s="4" t="s">
        <v>38</v>
      </c>
      <c r="F1224" s="6">
        <v>120</v>
      </c>
      <c r="G1224" s="6">
        <v>80</v>
      </c>
      <c r="H1224" s="6">
        <v>120</v>
      </c>
      <c r="I1224" s="6">
        <v>103</v>
      </c>
      <c r="J1224" s="6">
        <v>110</v>
      </c>
    </row>
    <row r="1225" spans="1:10" ht="43.2" x14ac:dyDescent="0.3">
      <c r="A1225" t="s">
        <v>97</v>
      </c>
      <c r="B1225" s="2">
        <v>45541</v>
      </c>
      <c r="C1225" s="7" t="s">
        <v>36</v>
      </c>
      <c r="D1225" s="8" t="s">
        <v>52</v>
      </c>
      <c r="E1225" s="8" t="s">
        <v>42</v>
      </c>
      <c r="F1225" s="10">
        <v>50</v>
      </c>
      <c r="G1225" s="10">
        <v>50</v>
      </c>
      <c r="H1225" s="10">
        <v>60</v>
      </c>
      <c r="I1225" s="10">
        <v>53</v>
      </c>
      <c r="J1225" s="10">
        <v>50</v>
      </c>
    </row>
    <row r="1226" spans="1:10" ht="43.2" x14ac:dyDescent="0.3">
      <c r="A1226" t="s">
        <v>97</v>
      </c>
      <c r="B1226" s="2">
        <v>45541</v>
      </c>
      <c r="C1226" s="3" t="s">
        <v>36</v>
      </c>
      <c r="D1226" s="4" t="s">
        <v>53</v>
      </c>
      <c r="E1226" s="4" t="s">
        <v>54</v>
      </c>
      <c r="F1226" s="5"/>
      <c r="G1226" s="6">
        <v>110</v>
      </c>
      <c r="H1226" s="6">
        <v>160</v>
      </c>
      <c r="I1226" s="6">
        <v>137</v>
      </c>
      <c r="J1226" s="6">
        <v>140</v>
      </c>
    </row>
    <row r="1227" spans="1:10" ht="43.2" x14ac:dyDescent="0.3">
      <c r="A1227" t="s">
        <v>97</v>
      </c>
      <c r="B1227" s="2">
        <v>45541</v>
      </c>
      <c r="C1227" s="7" t="s">
        <v>36</v>
      </c>
      <c r="D1227" s="8" t="s">
        <v>55</v>
      </c>
      <c r="E1227" s="8" t="s">
        <v>38</v>
      </c>
      <c r="F1227" s="10">
        <v>60</v>
      </c>
      <c r="G1227" s="10">
        <v>45</v>
      </c>
      <c r="H1227" s="10">
        <v>60</v>
      </c>
      <c r="I1227" s="10">
        <v>53</v>
      </c>
      <c r="J1227" s="10">
        <v>50</v>
      </c>
    </row>
    <row r="1228" spans="1:10" ht="43.2" x14ac:dyDescent="0.3">
      <c r="A1228" t="s">
        <v>97</v>
      </c>
      <c r="B1228" s="2">
        <v>45541</v>
      </c>
      <c r="C1228" s="3" t="s">
        <v>36</v>
      </c>
      <c r="D1228" s="4" t="s">
        <v>56</v>
      </c>
      <c r="E1228" s="4" t="s">
        <v>38</v>
      </c>
      <c r="F1228" s="5"/>
      <c r="G1228" s="6">
        <v>120</v>
      </c>
      <c r="H1228" s="6">
        <v>150</v>
      </c>
      <c r="I1228" s="6">
        <v>135</v>
      </c>
      <c r="J1228" s="6">
        <v>135</v>
      </c>
    </row>
    <row r="1229" spans="1:10" x14ac:dyDescent="0.3">
      <c r="A1229" t="s">
        <v>97</v>
      </c>
      <c r="B1229" s="2">
        <v>45541</v>
      </c>
      <c r="C1229" s="7" t="s">
        <v>57</v>
      </c>
      <c r="D1229" s="8" t="s">
        <v>58</v>
      </c>
      <c r="E1229" s="8" t="s">
        <v>42</v>
      </c>
      <c r="F1229" s="9"/>
      <c r="G1229" s="9"/>
      <c r="H1229" s="9"/>
      <c r="I1229" s="9"/>
      <c r="J1229" s="9"/>
    </row>
    <row r="1230" spans="1:10" x14ac:dyDescent="0.3">
      <c r="A1230" t="s">
        <v>97</v>
      </c>
      <c r="B1230" s="2">
        <v>45541</v>
      </c>
      <c r="C1230" s="3" t="s">
        <v>57</v>
      </c>
      <c r="D1230" s="4" t="s">
        <v>59</v>
      </c>
      <c r="E1230" s="4" t="s">
        <v>42</v>
      </c>
      <c r="F1230" s="5"/>
      <c r="G1230" s="5"/>
      <c r="H1230" s="5"/>
      <c r="I1230" s="5"/>
      <c r="J1230" s="5"/>
    </row>
    <row r="1231" spans="1:10" x14ac:dyDescent="0.3">
      <c r="A1231" t="s">
        <v>97</v>
      </c>
      <c r="B1231" s="2">
        <v>45541</v>
      </c>
      <c r="C1231" s="7" t="s">
        <v>57</v>
      </c>
      <c r="D1231" s="8" t="s">
        <v>60</v>
      </c>
      <c r="E1231" s="8" t="s">
        <v>42</v>
      </c>
      <c r="F1231" s="9"/>
      <c r="G1231" s="9"/>
      <c r="H1231" s="9"/>
      <c r="I1231" s="9"/>
      <c r="J1231" s="9"/>
    </row>
    <row r="1232" spans="1:10" x14ac:dyDescent="0.3">
      <c r="A1232" t="s">
        <v>97</v>
      </c>
      <c r="B1232" s="2">
        <v>45541</v>
      </c>
      <c r="C1232" s="3" t="s">
        <v>57</v>
      </c>
      <c r="D1232" s="4" t="s">
        <v>61</v>
      </c>
      <c r="E1232" s="4" t="s">
        <v>42</v>
      </c>
      <c r="F1232" s="5"/>
      <c r="G1232" s="6">
        <v>60</v>
      </c>
      <c r="H1232" s="6">
        <v>60</v>
      </c>
      <c r="I1232" s="6">
        <v>60</v>
      </c>
      <c r="J1232" s="6">
        <v>60</v>
      </c>
    </row>
    <row r="1233" spans="1:10" x14ac:dyDescent="0.3">
      <c r="A1233" t="s">
        <v>97</v>
      </c>
      <c r="B1233" s="2">
        <v>45541</v>
      </c>
      <c r="C1233" s="7" t="s">
        <v>57</v>
      </c>
      <c r="D1233" s="8" t="s">
        <v>62</v>
      </c>
      <c r="E1233" s="8" t="s">
        <v>63</v>
      </c>
      <c r="F1233" s="9"/>
      <c r="G1233" s="9"/>
      <c r="H1233" s="9"/>
      <c r="I1233" s="9"/>
      <c r="J1233" s="9"/>
    </row>
    <row r="1234" spans="1:10" ht="28.8" x14ac:dyDescent="0.3">
      <c r="A1234" t="s">
        <v>98</v>
      </c>
      <c r="B1234" s="2">
        <v>45548</v>
      </c>
      <c r="C1234" s="3" t="s">
        <v>11</v>
      </c>
      <c r="D1234" s="4" t="s">
        <v>12</v>
      </c>
      <c r="E1234" s="4" t="s">
        <v>13</v>
      </c>
      <c r="F1234" s="6">
        <v>48</v>
      </c>
      <c r="G1234" s="6">
        <v>5</v>
      </c>
      <c r="H1234" s="6">
        <v>48</v>
      </c>
      <c r="I1234" s="6" t="s">
        <v>504</v>
      </c>
      <c r="J1234" s="6">
        <v>36</v>
      </c>
    </row>
    <row r="1235" spans="1:10" ht="28.8" x14ac:dyDescent="0.3">
      <c r="A1235" t="s">
        <v>98</v>
      </c>
      <c r="B1235" s="2">
        <v>45548</v>
      </c>
      <c r="C1235" s="7" t="s">
        <v>11</v>
      </c>
      <c r="D1235" s="8" t="s">
        <v>14</v>
      </c>
      <c r="E1235" s="8" t="s">
        <v>13</v>
      </c>
      <c r="F1235" s="10">
        <v>60</v>
      </c>
      <c r="G1235" s="10">
        <v>7</v>
      </c>
      <c r="H1235" s="10">
        <v>72</v>
      </c>
      <c r="I1235" s="10" t="s">
        <v>505</v>
      </c>
      <c r="J1235" s="10">
        <v>60</v>
      </c>
    </row>
    <row r="1236" spans="1:10" ht="28.8" x14ac:dyDescent="0.3">
      <c r="A1236" t="s">
        <v>98</v>
      </c>
      <c r="B1236" s="2">
        <v>45548</v>
      </c>
      <c r="C1236" s="3" t="s">
        <v>11</v>
      </c>
      <c r="D1236" s="4" t="s">
        <v>15</v>
      </c>
      <c r="E1236" s="4" t="s">
        <v>13</v>
      </c>
      <c r="F1236" s="6">
        <v>30</v>
      </c>
      <c r="G1236" s="6">
        <v>30</v>
      </c>
      <c r="H1236" s="6">
        <v>36</v>
      </c>
      <c r="I1236" s="6">
        <v>31</v>
      </c>
      <c r="J1236" s="6">
        <v>30</v>
      </c>
    </row>
    <row r="1237" spans="1:10" ht="28.8" x14ac:dyDescent="0.3">
      <c r="A1237" t="s">
        <v>98</v>
      </c>
      <c r="B1237" s="2">
        <v>45548</v>
      </c>
      <c r="C1237" s="7" t="s">
        <v>11</v>
      </c>
      <c r="D1237" s="8" t="s">
        <v>16</v>
      </c>
      <c r="E1237" s="8" t="s">
        <v>13</v>
      </c>
      <c r="F1237" s="10">
        <v>18</v>
      </c>
      <c r="G1237" s="10">
        <v>15</v>
      </c>
      <c r="H1237" s="10">
        <v>24</v>
      </c>
      <c r="I1237" s="10">
        <v>19</v>
      </c>
      <c r="J1237" s="10">
        <v>18</v>
      </c>
    </row>
    <row r="1238" spans="1:10" ht="28.8" x14ac:dyDescent="0.3">
      <c r="A1238" t="s">
        <v>98</v>
      </c>
      <c r="B1238" s="2">
        <v>45548</v>
      </c>
      <c r="C1238" s="3" t="s">
        <v>11</v>
      </c>
      <c r="D1238" s="4" t="s">
        <v>17</v>
      </c>
      <c r="E1238" s="4" t="s">
        <v>13</v>
      </c>
      <c r="F1238" s="6">
        <v>24</v>
      </c>
      <c r="G1238" s="6">
        <v>15</v>
      </c>
      <c r="H1238" s="6">
        <v>24</v>
      </c>
      <c r="I1238" s="6" t="s">
        <v>502</v>
      </c>
      <c r="J1238" s="6">
        <v>24</v>
      </c>
    </row>
    <row r="1239" spans="1:10" ht="28.8" x14ac:dyDescent="0.3">
      <c r="A1239" t="s">
        <v>98</v>
      </c>
      <c r="B1239" s="2">
        <v>45548</v>
      </c>
      <c r="C1239" s="7" t="s">
        <v>11</v>
      </c>
      <c r="D1239" s="8" t="s">
        <v>18</v>
      </c>
      <c r="E1239" s="8" t="s">
        <v>13</v>
      </c>
      <c r="F1239" s="10">
        <v>60</v>
      </c>
      <c r="G1239" s="10">
        <v>5</v>
      </c>
      <c r="H1239" s="10">
        <v>60</v>
      </c>
      <c r="I1239" s="10" t="s">
        <v>506</v>
      </c>
      <c r="J1239" s="10">
        <v>60</v>
      </c>
    </row>
    <row r="1240" spans="1:10" ht="28.8" x14ac:dyDescent="0.3">
      <c r="A1240" t="s">
        <v>98</v>
      </c>
      <c r="B1240" s="2">
        <v>45548</v>
      </c>
      <c r="C1240" s="3" t="s">
        <v>11</v>
      </c>
      <c r="D1240" s="4" t="s">
        <v>19</v>
      </c>
      <c r="E1240" s="4" t="s">
        <v>13</v>
      </c>
      <c r="F1240" s="5"/>
      <c r="G1240" s="6">
        <v>6</v>
      </c>
      <c r="H1240" s="6">
        <v>60</v>
      </c>
      <c r="I1240" s="6">
        <v>42</v>
      </c>
      <c r="J1240" s="6">
        <v>48</v>
      </c>
    </row>
    <row r="1241" spans="1:10" ht="28.8" x14ac:dyDescent="0.3">
      <c r="A1241" t="s">
        <v>98</v>
      </c>
      <c r="B1241" s="2">
        <v>45548</v>
      </c>
      <c r="C1241" s="7" t="s">
        <v>11</v>
      </c>
      <c r="D1241" s="8" t="s">
        <v>20</v>
      </c>
      <c r="E1241" s="8" t="s">
        <v>13</v>
      </c>
      <c r="F1241" s="10">
        <v>72</v>
      </c>
      <c r="G1241" s="10">
        <v>7</v>
      </c>
      <c r="H1241" s="10">
        <v>96</v>
      </c>
      <c r="I1241" s="10" t="s">
        <v>507</v>
      </c>
      <c r="J1241" s="10">
        <v>66</v>
      </c>
    </row>
    <row r="1242" spans="1:10" ht="28.8" x14ac:dyDescent="0.3">
      <c r="A1242" t="s">
        <v>98</v>
      </c>
      <c r="B1242" s="2">
        <v>45548</v>
      </c>
      <c r="C1242" s="3" t="s">
        <v>11</v>
      </c>
      <c r="D1242" s="4" t="s">
        <v>21</v>
      </c>
      <c r="E1242" s="4" t="s">
        <v>13</v>
      </c>
      <c r="F1242" s="6">
        <v>24</v>
      </c>
      <c r="G1242" s="6">
        <v>2</v>
      </c>
      <c r="H1242" s="6">
        <v>24</v>
      </c>
      <c r="I1242" s="6" t="s">
        <v>508</v>
      </c>
      <c r="J1242" s="6">
        <v>21</v>
      </c>
    </row>
    <row r="1243" spans="1:10" ht="28.8" x14ac:dyDescent="0.3">
      <c r="A1243" t="s">
        <v>98</v>
      </c>
      <c r="B1243" s="2">
        <v>45548</v>
      </c>
      <c r="C1243" s="7" t="s">
        <v>11</v>
      </c>
      <c r="D1243" s="8" t="s">
        <v>65</v>
      </c>
      <c r="E1243" s="8" t="s">
        <v>13</v>
      </c>
      <c r="F1243" s="10">
        <v>60</v>
      </c>
      <c r="G1243" s="10">
        <v>15</v>
      </c>
      <c r="H1243" s="10">
        <v>60</v>
      </c>
      <c r="I1243" s="10" t="s">
        <v>509</v>
      </c>
      <c r="J1243" s="10">
        <v>48</v>
      </c>
    </row>
    <row r="1244" spans="1:10" ht="28.8" x14ac:dyDescent="0.3">
      <c r="A1244" t="s">
        <v>98</v>
      </c>
      <c r="B1244" s="2">
        <v>45548</v>
      </c>
      <c r="C1244" s="3" t="s">
        <v>11</v>
      </c>
      <c r="D1244" s="4" t="s">
        <v>23</v>
      </c>
      <c r="E1244" s="4" t="s">
        <v>13</v>
      </c>
      <c r="F1244" s="6">
        <v>24</v>
      </c>
      <c r="G1244" s="6">
        <v>6</v>
      </c>
      <c r="H1244" s="6">
        <v>60</v>
      </c>
      <c r="I1244" s="6">
        <v>27</v>
      </c>
      <c r="J1244" s="6">
        <v>24</v>
      </c>
    </row>
    <row r="1245" spans="1:10" ht="28.8" x14ac:dyDescent="0.3">
      <c r="A1245" t="s">
        <v>98</v>
      </c>
      <c r="B1245" s="2">
        <v>45548</v>
      </c>
      <c r="C1245" s="7" t="s">
        <v>11</v>
      </c>
      <c r="D1245" s="8" t="s">
        <v>24</v>
      </c>
      <c r="E1245" s="8" t="s">
        <v>13</v>
      </c>
      <c r="F1245" s="10">
        <v>48</v>
      </c>
      <c r="G1245" s="10">
        <v>5</v>
      </c>
      <c r="H1245" s="10">
        <v>60</v>
      </c>
      <c r="I1245" s="10" t="s">
        <v>510</v>
      </c>
      <c r="J1245" s="10">
        <v>48</v>
      </c>
    </row>
    <row r="1246" spans="1:10" ht="28.8" x14ac:dyDescent="0.3">
      <c r="A1246" t="s">
        <v>98</v>
      </c>
      <c r="B1246" s="2">
        <v>45548</v>
      </c>
      <c r="C1246" s="3" t="s">
        <v>11</v>
      </c>
      <c r="D1246" s="4" t="s">
        <v>25</v>
      </c>
      <c r="E1246" s="4" t="s">
        <v>26</v>
      </c>
      <c r="F1246" s="6">
        <v>48</v>
      </c>
      <c r="G1246" s="6">
        <v>7</v>
      </c>
      <c r="H1246" s="6">
        <v>60</v>
      </c>
      <c r="I1246" s="6" t="s">
        <v>511</v>
      </c>
      <c r="J1246" s="6">
        <v>48</v>
      </c>
    </row>
    <row r="1247" spans="1:10" ht="28.8" x14ac:dyDescent="0.3">
      <c r="A1247" t="s">
        <v>98</v>
      </c>
      <c r="B1247" s="2">
        <v>45548</v>
      </c>
      <c r="C1247" s="7" t="s">
        <v>11</v>
      </c>
      <c r="D1247" s="8" t="s">
        <v>27</v>
      </c>
      <c r="E1247" s="8" t="s">
        <v>13</v>
      </c>
      <c r="F1247" s="10">
        <v>48</v>
      </c>
      <c r="G1247" s="10">
        <v>20</v>
      </c>
      <c r="H1247" s="10">
        <v>60</v>
      </c>
      <c r="I1247" s="10" t="s">
        <v>512</v>
      </c>
      <c r="J1247" s="10">
        <v>48</v>
      </c>
    </row>
    <row r="1248" spans="1:10" ht="28.8" x14ac:dyDescent="0.3">
      <c r="A1248" t="s">
        <v>98</v>
      </c>
      <c r="B1248" s="2">
        <v>45548</v>
      </c>
      <c r="C1248" s="3" t="s">
        <v>11</v>
      </c>
      <c r="D1248" s="4" t="s">
        <v>28</v>
      </c>
      <c r="E1248" s="4" t="s">
        <v>13</v>
      </c>
      <c r="F1248" s="6">
        <v>36</v>
      </c>
      <c r="G1248" s="6">
        <v>4</v>
      </c>
      <c r="H1248" s="6">
        <v>50</v>
      </c>
      <c r="I1248" s="6">
        <v>33</v>
      </c>
      <c r="J1248" s="6">
        <v>36</v>
      </c>
    </row>
    <row r="1249" spans="1:10" ht="28.8" x14ac:dyDescent="0.3">
      <c r="A1249" t="s">
        <v>98</v>
      </c>
      <c r="B1249" s="2">
        <v>45548</v>
      </c>
      <c r="C1249" s="7" t="s">
        <v>11</v>
      </c>
      <c r="D1249" s="8" t="s">
        <v>29</v>
      </c>
      <c r="E1249" s="8" t="s">
        <v>13</v>
      </c>
      <c r="F1249" s="10">
        <v>48</v>
      </c>
      <c r="G1249" s="10" t="s">
        <v>285</v>
      </c>
      <c r="H1249" s="10">
        <v>60</v>
      </c>
      <c r="I1249" s="10" t="s">
        <v>513</v>
      </c>
      <c r="J1249" s="10">
        <v>48</v>
      </c>
    </row>
    <row r="1250" spans="1:10" ht="28.8" x14ac:dyDescent="0.3">
      <c r="A1250" t="s">
        <v>98</v>
      </c>
      <c r="B1250" s="2">
        <v>45548</v>
      </c>
      <c r="C1250" s="3" t="s">
        <v>11</v>
      </c>
      <c r="D1250" s="4" t="s">
        <v>31</v>
      </c>
      <c r="E1250" s="4" t="s">
        <v>32</v>
      </c>
      <c r="F1250" s="6">
        <v>5</v>
      </c>
      <c r="G1250" s="6">
        <v>4</v>
      </c>
      <c r="H1250" s="6">
        <v>5</v>
      </c>
      <c r="I1250" s="6" t="s">
        <v>479</v>
      </c>
      <c r="J1250" s="6">
        <v>5</v>
      </c>
    </row>
    <row r="1251" spans="1:10" ht="28.8" x14ac:dyDescent="0.3">
      <c r="A1251" t="s">
        <v>98</v>
      </c>
      <c r="B1251" s="2">
        <v>45548</v>
      </c>
      <c r="C1251" s="7" t="s">
        <v>11</v>
      </c>
      <c r="D1251" s="8" t="s">
        <v>33</v>
      </c>
      <c r="E1251" s="8" t="s">
        <v>34</v>
      </c>
      <c r="F1251" s="10">
        <v>10</v>
      </c>
      <c r="G1251" s="10">
        <v>8</v>
      </c>
      <c r="H1251" s="10">
        <v>12</v>
      </c>
      <c r="I1251" s="10">
        <v>10</v>
      </c>
      <c r="J1251" s="10">
        <v>10</v>
      </c>
    </row>
    <row r="1252" spans="1:10" ht="28.8" x14ac:dyDescent="0.3">
      <c r="A1252" t="s">
        <v>98</v>
      </c>
      <c r="B1252" s="2">
        <v>45548</v>
      </c>
      <c r="C1252" s="3" t="s">
        <v>11</v>
      </c>
      <c r="D1252" s="4" t="s">
        <v>35</v>
      </c>
      <c r="E1252" s="4" t="s">
        <v>34</v>
      </c>
      <c r="F1252" s="6">
        <v>30</v>
      </c>
      <c r="G1252" s="6">
        <v>10</v>
      </c>
      <c r="H1252" s="6">
        <v>30</v>
      </c>
      <c r="I1252" s="6">
        <v>21</v>
      </c>
      <c r="J1252" s="6">
        <v>20</v>
      </c>
    </row>
    <row r="1253" spans="1:10" ht="43.2" x14ac:dyDescent="0.3">
      <c r="A1253" t="s">
        <v>98</v>
      </c>
      <c r="B1253" s="2">
        <v>45548</v>
      </c>
      <c r="C1253" s="7" t="s">
        <v>36</v>
      </c>
      <c r="D1253" s="8" t="s">
        <v>73</v>
      </c>
      <c r="E1253" s="8" t="s">
        <v>74</v>
      </c>
      <c r="F1253" s="10">
        <v>70</v>
      </c>
      <c r="G1253" s="10">
        <v>65</v>
      </c>
      <c r="H1253" s="10">
        <v>70</v>
      </c>
      <c r="I1253" s="10" t="s">
        <v>261</v>
      </c>
      <c r="J1253" s="10">
        <v>70</v>
      </c>
    </row>
    <row r="1254" spans="1:10" ht="43.2" x14ac:dyDescent="0.3">
      <c r="A1254" t="s">
        <v>98</v>
      </c>
      <c r="B1254" s="2">
        <v>45548</v>
      </c>
      <c r="C1254" s="3" t="s">
        <v>36</v>
      </c>
      <c r="D1254" s="4" t="s">
        <v>37</v>
      </c>
      <c r="E1254" s="4" t="s">
        <v>38</v>
      </c>
      <c r="F1254" s="6">
        <v>50</v>
      </c>
      <c r="G1254" s="6">
        <v>25</v>
      </c>
      <c r="H1254" s="6">
        <v>50</v>
      </c>
      <c r="I1254" s="6">
        <v>40</v>
      </c>
      <c r="J1254" s="6">
        <v>40</v>
      </c>
    </row>
    <row r="1255" spans="1:10" ht="43.2" x14ac:dyDescent="0.3">
      <c r="A1255" t="s">
        <v>98</v>
      </c>
      <c r="B1255" s="2">
        <v>45548</v>
      </c>
      <c r="C1255" s="7" t="s">
        <v>36</v>
      </c>
      <c r="D1255" s="8" t="s">
        <v>39</v>
      </c>
      <c r="E1255" s="8" t="s">
        <v>40</v>
      </c>
      <c r="F1255" s="10">
        <v>80</v>
      </c>
      <c r="G1255" s="10">
        <v>45</v>
      </c>
      <c r="H1255" s="10">
        <v>80</v>
      </c>
      <c r="I1255" s="10">
        <v>68</v>
      </c>
      <c r="J1255" s="10">
        <v>70</v>
      </c>
    </row>
    <row r="1256" spans="1:10" ht="43.2" x14ac:dyDescent="0.3">
      <c r="A1256" t="s">
        <v>98</v>
      </c>
      <c r="B1256" s="2">
        <v>45548</v>
      </c>
      <c r="C1256" s="3" t="s">
        <v>36</v>
      </c>
      <c r="D1256" s="4" t="s">
        <v>41</v>
      </c>
      <c r="E1256" s="4" t="s">
        <v>42</v>
      </c>
      <c r="F1256" s="6">
        <v>50</v>
      </c>
      <c r="G1256" s="6">
        <v>45</v>
      </c>
      <c r="H1256" s="6">
        <v>60</v>
      </c>
      <c r="I1256" s="6">
        <v>51</v>
      </c>
      <c r="J1256" s="6">
        <v>50</v>
      </c>
    </row>
    <row r="1257" spans="1:10" ht="43.2" x14ac:dyDescent="0.3">
      <c r="A1257" t="s">
        <v>98</v>
      </c>
      <c r="B1257" s="2">
        <v>45548</v>
      </c>
      <c r="C1257" s="7" t="s">
        <v>36</v>
      </c>
      <c r="D1257" s="8" t="s">
        <v>43</v>
      </c>
      <c r="E1257" s="8" t="s">
        <v>42</v>
      </c>
      <c r="F1257" s="10">
        <v>90</v>
      </c>
      <c r="G1257" s="10">
        <v>90</v>
      </c>
      <c r="H1257" s="10">
        <v>100</v>
      </c>
      <c r="I1257" s="10" t="s">
        <v>382</v>
      </c>
      <c r="J1257" s="10">
        <v>90</v>
      </c>
    </row>
    <row r="1258" spans="1:10" ht="43.2" x14ac:dyDescent="0.3">
      <c r="A1258" t="s">
        <v>98</v>
      </c>
      <c r="B1258" s="2">
        <v>45548</v>
      </c>
      <c r="C1258" s="3" t="s">
        <v>36</v>
      </c>
      <c r="D1258" s="4" t="s">
        <v>44</v>
      </c>
      <c r="E1258" s="4" t="s">
        <v>45</v>
      </c>
      <c r="F1258" s="6">
        <v>60</v>
      </c>
      <c r="G1258" s="6">
        <v>60</v>
      </c>
      <c r="H1258" s="6">
        <v>80</v>
      </c>
      <c r="I1258" s="6">
        <v>68</v>
      </c>
      <c r="J1258" s="6">
        <v>70</v>
      </c>
    </row>
    <row r="1259" spans="1:10" ht="43.2" x14ac:dyDescent="0.3">
      <c r="A1259" t="s">
        <v>98</v>
      </c>
      <c r="B1259" s="2">
        <v>45548</v>
      </c>
      <c r="C1259" s="7" t="s">
        <v>36</v>
      </c>
      <c r="D1259" s="8" t="s">
        <v>46</v>
      </c>
      <c r="E1259" s="8" t="s">
        <v>40</v>
      </c>
      <c r="F1259" s="10">
        <v>55</v>
      </c>
      <c r="G1259" s="10">
        <v>40</v>
      </c>
      <c r="H1259" s="10">
        <v>55</v>
      </c>
      <c r="I1259" s="10">
        <v>48</v>
      </c>
      <c r="J1259" s="10">
        <v>50</v>
      </c>
    </row>
    <row r="1260" spans="1:10" ht="43.2" x14ac:dyDescent="0.3">
      <c r="A1260" t="s">
        <v>98</v>
      </c>
      <c r="B1260" s="2">
        <v>45548</v>
      </c>
      <c r="C1260" s="3" t="s">
        <v>36</v>
      </c>
      <c r="D1260" s="4" t="s">
        <v>47</v>
      </c>
      <c r="E1260" s="4" t="s">
        <v>40</v>
      </c>
      <c r="F1260" s="6">
        <v>50</v>
      </c>
      <c r="G1260" s="6">
        <v>50</v>
      </c>
      <c r="H1260" s="6">
        <v>80</v>
      </c>
      <c r="I1260" s="6">
        <v>57</v>
      </c>
      <c r="J1260" s="6">
        <v>50</v>
      </c>
    </row>
    <row r="1261" spans="1:10" ht="43.2" x14ac:dyDescent="0.3">
      <c r="A1261" t="s">
        <v>98</v>
      </c>
      <c r="B1261" s="2">
        <v>45548</v>
      </c>
      <c r="C1261" s="7" t="s">
        <v>36</v>
      </c>
      <c r="D1261" s="8" t="s">
        <v>48</v>
      </c>
      <c r="E1261" s="8" t="s">
        <v>38</v>
      </c>
      <c r="F1261" s="10">
        <v>90</v>
      </c>
      <c r="G1261" s="10">
        <v>70</v>
      </c>
      <c r="H1261" s="10">
        <v>100</v>
      </c>
      <c r="I1261" s="10" t="s">
        <v>425</v>
      </c>
      <c r="J1261" s="10">
        <v>90</v>
      </c>
    </row>
    <row r="1262" spans="1:10" ht="43.2" x14ac:dyDescent="0.3">
      <c r="A1262" t="s">
        <v>98</v>
      </c>
      <c r="B1262" s="2">
        <v>45548</v>
      </c>
      <c r="C1262" s="3" t="s">
        <v>36</v>
      </c>
      <c r="D1262" s="4" t="s">
        <v>49</v>
      </c>
      <c r="E1262" s="4" t="s">
        <v>40</v>
      </c>
      <c r="F1262" s="5"/>
      <c r="G1262" s="6">
        <v>35</v>
      </c>
      <c r="H1262" s="6">
        <v>50</v>
      </c>
      <c r="I1262" s="6" t="s">
        <v>514</v>
      </c>
      <c r="J1262" s="6">
        <v>40</v>
      </c>
    </row>
    <row r="1263" spans="1:10" ht="43.2" x14ac:dyDescent="0.3">
      <c r="A1263" t="s">
        <v>98</v>
      </c>
      <c r="B1263" s="2">
        <v>45548</v>
      </c>
      <c r="C1263" s="7" t="s">
        <v>36</v>
      </c>
      <c r="D1263" s="8" t="s">
        <v>50</v>
      </c>
      <c r="E1263" s="8" t="s">
        <v>38</v>
      </c>
      <c r="F1263" s="9"/>
      <c r="G1263" s="10">
        <v>85</v>
      </c>
      <c r="H1263" s="10">
        <v>100</v>
      </c>
      <c r="I1263" s="10" t="s">
        <v>416</v>
      </c>
      <c r="J1263" s="10">
        <v>90</v>
      </c>
    </row>
    <row r="1264" spans="1:10" ht="43.2" x14ac:dyDescent="0.3">
      <c r="A1264" t="s">
        <v>98</v>
      </c>
      <c r="B1264" s="2">
        <v>45548</v>
      </c>
      <c r="C1264" s="3" t="s">
        <v>36</v>
      </c>
      <c r="D1264" s="4" t="s">
        <v>51</v>
      </c>
      <c r="E1264" s="4" t="s">
        <v>38</v>
      </c>
      <c r="F1264" s="6">
        <v>100</v>
      </c>
      <c r="G1264" s="6">
        <v>100</v>
      </c>
      <c r="H1264" s="6">
        <v>135</v>
      </c>
      <c r="I1264" s="6">
        <v>117</v>
      </c>
      <c r="J1264" s="6">
        <v>120</v>
      </c>
    </row>
    <row r="1265" spans="1:10" ht="43.2" x14ac:dyDescent="0.3">
      <c r="A1265" t="s">
        <v>98</v>
      </c>
      <c r="B1265" s="2">
        <v>45548</v>
      </c>
      <c r="C1265" s="7" t="s">
        <v>36</v>
      </c>
      <c r="D1265" s="8" t="s">
        <v>52</v>
      </c>
      <c r="E1265" s="8" t="s">
        <v>42</v>
      </c>
      <c r="F1265" s="10">
        <v>60</v>
      </c>
      <c r="G1265" s="10">
        <v>40</v>
      </c>
      <c r="H1265" s="10">
        <v>60</v>
      </c>
      <c r="I1265" s="10">
        <v>53</v>
      </c>
      <c r="J1265" s="10">
        <v>55</v>
      </c>
    </row>
    <row r="1266" spans="1:10" ht="43.2" x14ac:dyDescent="0.3">
      <c r="A1266" t="s">
        <v>98</v>
      </c>
      <c r="B1266" s="2">
        <v>45548</v>
      </c>
      <c r="C1266" s="3" t="s">
        <v>36</v>
      </c>
      <c r="D1266" s="4" t="s">
        <v>53</v>
      </c>
      <c r="E1266" s="4" t="s">
        <v>54</v>
      </c>
      <c r="F1266" s="6">
        <v>150</v>
      </c>
      <c r="G1266" s="6">
        <v>140</v>
      </c>
      <c r="H1266" s="6">
        <v>150</v>
      </c>
      <c r="I1266" s="6">
        <v>146</v>
      </c>
      <c r="J1266" s="6">
        <v>150</v>
      </c>
    </row>
    <row r="1267" spans="1:10" ht="43.2" x14ac:dyDescent="0.3">
      <c r="A1267" t="s">
        <v>98</v>
      </c>
      <c r="B1267" s="2">
        <v>45548</v>
      </c>
      <c r="C1267" s="7" t="s">
        <v>36</v>
      </c>
      <c r="D1267" s="8" t="s">
        <v>55</v>
      </c>
      <c r="E1267" s="8" t="s">
        <v>38</v>
      </c>
      <c r="F1267" s="10">
        <v>70</v>
      </c>
      <c r="G1267" s="10">
        <v>60</v>
      </c>
      <c r="H1267" s="10">
        <v>80</v>
      </c>
      <c r="I1267" s="10">
        <v>69</v>
      </c>
      <c r="J1267" s="10">
        <v>70</v>
      </c>
    </row>
    <row r="1268" spans="1:10" ht="43.2" x14ac:dyDescent="0.3">
      <c r="A1268" t="s">
        <v>98</v>
      </c>
      <c r="B1268" s="2">
        <v>45548</v>
      </c>
      <c r="C1268" s="3" t="s">
        <v>36</v>
      </c>
      <c r="D1268" s="4" t="s">
        <v>56</v>
      </c>
      <c r="E1268" s="4" t="s">
        <v>38</v>
      </c>
      <c r="F1268" s="6">
        <v>150</v>
      </c>
      <c r="G1268" s="6">
        <v>120</v>
      </c>
      <c r="H1268" s="6">
        <v>150</v>
      </c>
      <c r="I1268" s="6">
        <v>140</v>
      </c>
      <c r="J1268" s="6">
        <v>150</v>
      </c>
    </row>
    <row r="1269" spans="1:10" x14ac:dyDescent="0.3">
      <c r="A1269" t="s">
        <v>98</v>
      </c>
      <c r="B1269" s="2">
        <v>45548</v>
      </c>
      <c r="C1269" s="7" t="s">
        <v>57</v>
      </c>
      <c r="D1269" s="8" t="s">
        <v>58</v>
      </c>
      <c r="E1269" s="8" t="s">
        <v>42</v>
      </c>
      <c r="F1269" s="9"/>
      <c r="G1269" s="9"/>
      <c r="H1269" s="9"/>
      <c r="I1269" s="9"/>
      <c r="J1269" s="9"/>
    </row>
    <row r="1270" spans="1:10" x14ac:dyDescent="0.3">
      <c r="A1270" t="s">
        <v>98</v>
      </c>
      <c r="B1270" s="2">
        <v>45548</v>
      </c>
      <c r="C1270" s="3" t="s">
        <v>57</v>
      </c>
      <c r="D1270" s="4" t="s">
        <v>59</v>
      </c>
      <c r="E1270" s="4" t="s">
        <v>42</v>
      </c>
      <c r="F1270" s="5"/>
      <c r="G1270" s="5"/>
      <c r="H1270" s="5"/>
      <c r="I1270" s="5"/>
      <c r="J1270" s="5"/>
    </row>
    <row r="1271" spans="1:10" x14ac:dyDescent="0.3">
      <c r="A1271" t="s">
        <v>98</v>
      </c>
      <c r="B1271" s="2">
        <v>45548</v>
      </c>
      <c r="C1271" s="7" t="s">
        <v>57</v>
      </c>
      <c r="D1271" s="8" t="s">
        <v>60</v>
      </c>
      <c r="E1271" s="8" t="s">
        <v>42</v>
      </c>
      <c r="F1271" s="9"/>
      <c r="G1271" s="9"/>
      <c r="H1271" s="9"/>
      <c r="I1271" s="9"/>
      <c r="J1271" s="9"/>
    </row>
    <row r="1272" spans="1:10" x14ac:dyDescent="0.3">
      <c r="A1272" t="s">
        <v>98</v>
      </c>
      <c r="B1272" s="2">
        <v>45548</v>
      </c>
      <c r="C1272" s="3" t="s">
        <v>57</v>
      </c>
      <c r="D1272" s="4" t="s">
        <v>61</v>
      </c>
      <c r="E1272" s="4" t="s">
        <v>42</v>
      </c>
      <c r="F1272" s="5"/>
      <c r="G1272" s="6">
        <v>50</v>
      </c>
      <c r="H1272" s="6">
        <v>50</v>
      </c>
      <c r="I1272" s="6">
        <v>50</v>
      </c>
      <c r="J1272" s="6">
        <v>50</v>
      </c>
    </row>
    <row r="1273" spans="1:10" x14ac:dyDescent="0.3">
      <c r="A1273" t="s">
        <v>98</v>
      </c>
      <c r="B1273" s="2">
        <v>45548</v>
      </c>
      <c r="C1273" s="7" t="s">
        <v>57</v>
      </c>
      <c r="D1273" s="8" t="s">
        <v>62</v>
      </c>
      <c r="E1273" s="8" t="s">
        <v>63</v>
      </c>
      <c r="F1273" s="9"/>
      <c r="G1273" s="9"/>
      <c r="H1273" s="9"/>
      <c r="I1273" s="9"/>
      <c r="J1273" s="9"/>
    </row>
    <row r="1274" spans="1:10" ht="28.8" x14ac:dyDescent="0.3">
      <c r="A1274" t="s">
        <v>99</v>
      </c>
      <c r="B1274" s="2">
        <v>45555</v>
      </c>
      <c r="C1274" s="3" t="s">
        <v>11</v>
      </c>
      <c r="D1274" s="4" t="s">
        <v>12</v>
      </c>
      <c r="E1274" s="4" t="s">
        <v>13</v>
      </c>
      <c r="F1274" s="6">
        <v>48</v>
      </c>
      <c r="G1274" s="6">
        <v>48</v>
      </c>
      <c r="H1274" s="6">
        <v>60</v>
      </c>
      <c r="I1274" s="6">
        <v>51</v>
      </c>
      <c r="J1274" s="6">
        <v>48</v>
      </c>
    </row>
    <row r="1275" spans="1:10" ht="28.8" x14ac:dyDescent="0.3">
      <c r="A1275" t="s">
        <v>99</v>
      </c>
      <c r="B1275" s="2">
        <v>45555</v>
      </c>
      <c r="C1275" s="7" t="s">
        <v>11</v>
      </c>
      <c r="D1275" s="8" t="s">
        <v>14</v>
      </c>
      <c r="E1275" s="8" t="s">
        <v>13</v>
      </c>
      <c r="F1275" s="10">
        <v>84</v>
      </c>
      <c r="G1275" s="10">
        <v>60</v>
      </c>
      <c r="H1275" s="10">
        <v>84</v>
      </c>
      <c r="I1275" s="10">
        <v>75</v>
      </c>
      <c r="J1275" s="10">
        <v>78</v>
      </c>
    </row>
    <row r="1276" spans="1:10" ht="28.8" x14ac:dyDescent="0.3">
      <c r="A1276" t="s">
        <v>99</v>
      </c>
      <c r="B1276" s="2">
        <v>45555</v>
      </c>
      <c r="C1276" s="3" t="s">
        <v>11</v>
      </c>
      <c r="D1276" s="4" t="s">
        <v>15</v>
      </c>
      <c r="E1276" s="4" t="s">
        <v>13</v>
      </c>
      <c r="F1276" s="6">
        <v>36</v>
      </c>
      <c r="G1276" s="6">
        <v>36</v>
      </c>
      <c r="H1276" s="6">
        <v>48</v>
      </c>
      <c r="I1276" s="6" t="s">
        <v>515</v>
      </c>
      <c r="J1276" s="6">
        <v>36</v>
      </c>
    </row>
    <row r="1277" spans="1:10" ht="28.8" x14ac:dyDescent="0.3">
      <c r="A1277" t="s">
        <v>99</v>
      </c>
      <c r="B1277" s="2">
        <v>45555</v>
      </c>
      <c r="C1277" s="7" t="s">
        <v>11</v>
      </c>
      <c r="D1277" s="8" t="s">
        <v>16</v>
      </c>
      <c r="E1277" s="8" t="s">
        <v>13</v>
      </c>
      <c r="F1277" s="10">
        <v>24</v>
      </c>
      <c r="G1277" s="10">
        <v>15</v>
      </c>
      <c r="H1277" s="10">
        <v>36</v>
      </c>
      <c r="I1277" s="10" t="s">
        <v>516</v>
      </c>
      <c r="J1277" s="10">
        <v>24</v>
      </c>
    </row>
    <row r="1278" spans="1:10" ht="28.8" x14ac:dyDescent="0.3">
      <c r="A1278" t="s">
        <v>99</v>
      </c>
      <c r="B1278" s="2">
        <v>45555</v>
      </c>
      <c r="C1278" s="3" t="s">
        <v>11</v>
      </c>
      <c r="D1278" s="4" t="s">
        <v>17</v>
      </c>
      <c r="E1278" s="4" t="s">
        <v>13</v>
      </c>
      <c r="F1278" s="6">
        <v>24</v>
      </c>
      <c r="G1278" s="6">
        <v>15</v>
      </c>
      <c r="H1278" s="6">
        <v>36</v>
      </c>
      <c r="I1278" s="6" t="s">
        <v>307</v>
      </c>
      <c r="J1278" s="6">
        <v>24</v>
      </c>
    </row>
    <row r="1279" spans="1:10" ht="28.8" x14ac:dyDescent="0.3">
      <c r="A1279" t="s">
        <v>99</v>
      </c>
      <c r="B1279" s="2">
        <v>45555</v>
      </c>
      <c r="C1279" s="7" t="s">
        <v>11</v>
      </c>
      <c r="D1279" s="8" t="s">
        <v>18</v>
      </c>
      <c r="E1279" s="8" t="s">
        <v>13</v>
      </c>
      <c r="F1279" s="10">
        <v>60</v>
      </c>
      <c r="G1279" s="10">
        <v>60</v>
      </c>
      <c r="H1279" s="10">
        <v>60</v>
      </c>
      <c r="I1279" s="10">
        <v>60</v>
      </c>
      <c r="J1279" s="10">
        <v>60</v>
      </c>
    </row>
    <row r="1280" spans="1:10" ht="28.8" x14ac:dyDescent="0.3">
      <c r="A1280" t="s">
        <v>99</v>
      </c>
      <c r="B1280" s="2">
        <v>45555</v>
      </c>
      <c r="C1280" s="3" t="s">
        <v>11</v>
      </c>
      <c r="D1280" s="4" t="s">
        <v>19</v>
      </c>
      <c r="E1280" s="4" t="s">
        <v>13</v>
      </c>
      <c r="F1280" s="6">
        <v>48</v>
      </c>
      <c r="G1280" s="6">
        <v>48</v>
      </c>
      <c r="H1280" s="6">
        <v>72</v>
      </c>
      <c r="I1280" s="6">
        <v>57</v>
      </c>
      <c r="J1280" s="6">
        <v>54</v>
      </c>
    </row>
    <row r="1281" spans="1:10" ht="28.8" x14ac:dyDescent="0.3">
      <c r="A1281" t="s">
        <v>99</v>
      </c>
      <c r="B1281" s="2">
        <v>45555</v>
      </c>
      <c r="C1281" s="7" t="s">
        <v>11</v>
      </c>
      <c r="D1281" s="8" t="s">
        <v>20</v>
      </c>
      <c r="E1281" s="8" t="s">
        <v>13</v>
      </c>
      <c r="F1281" s="10">
        <v>72</v>
      </c>
      <c r="G1281" s="10">
        <v>60</v>
      </c>
      <c r="H1281" s="10">
        <v>72</v>
      </c>
      <c r="I1281" s="10" t="s">
        <v>517</v>
      </c>
      <c r="J1281" s="10">
        <v>72</v>
      </c>
    </row>
    <row r="1282" spans="1:10" ht="28.8" x14ac:dyDescent="0.3">
      <c r="A1282" t="s">
        <v>99</v>
      </c>
      <c r="B1282" s="2">
        <v>45555</v>
      </c>
      <c r="C1282" s="3" t="s">
        <v>11</v>
      </c>
      <c r="D1282" s="4" t="s">
        <v>21</v>
      </c>
      <c r="E1282" s="4" t="s">
        <v>13</v>
      </c>
      <c r="F1282" s="6">
        <v>24</v>
      </c>
      <c r="G1282" s="6">
        <v>18</v>
      </c>
      <c r="H1282" s="6">
        <v>24</v>
      </c>
      <c r="I1282" s="6" t="s">
        <v>306</v>
      </c>
      <c r="J1282" s="6">
        <v>24</v>
      </c>
    </row>
    <row r="1283" spans="1:10" ht="28.8" x14ac:dyDescent="0.3">
      <c r="A1283" t="s">
        <v>99</v>
      </c>
      <c r="B1283" s="2">
        <v>45555</v>
      </c>
      <c r="C1283" s="7" t="s">
        <v>11</v>
      </c>
      <c r="D1283" s="8" t="s">
        <v>65</v>
      </c>
      <c r="E1283" s="8" t="s">
        <v>13</v>
      </c>
      <c r="F1283" s="10">
        <v>60</v>
      </c>
      <c r="G1283" s="10">
        <v>60</v>
      </c>
      <c r="H1283" s="10">
        <v>72</v>
      </c>
      <c r="I1283" s="10" t="s">
        <v>518</v>
      </c>
      <c r="J1283" s="10">
        <v>65</v>
      </c>
    </row>
    <row r="1284" spans="1:10" ht="28.8" x14ac:dyDescent="0.3">
      <c r="A1284" t="s">
        <v>99</v>
      </c>
      <c r="B1284" s="2">
        <v>45555</v>
      </c>
      <c r="C1284" s="3" t="s">
        <v>11</v>
      </c>
      <c r="D1284" s="4" t="s">
        <v>23</v>
      </c>
      <c r="E1284" s="4" t="s">
        <v>13</v>
      </c>
      <c r="F1284" s="6">
        <v>24</v>
      </c>
      <c r="G1284" s="6">
        <v>15</v>
      </c>
      <c r="H1284" s="6">
        <v>24</v>
      </c>
      <c r="I1284" s="6">
        <v>21</v>
      </c>
      <c r="J1284" s="6">
        <v>24</v>
      </c>
    </row>
    <row r="1285" spans="1:10" ht="28.8" x14ac:dyDescent="0.3">
      <c r="A1285" t="s">
        <v>99</v>
      </c>
      <c r="B1285" s="2">
        <v>45555</v>
      </c>
      <c r="C1285" s="7" t="s">
        <v>11</v>
      </c>
      <c r="D1285" s="8" t="s">
        <v>24</v>
      </c>
      <c r="E1285" s="8" t="s">
        <v>13</v>
      </c>
      <c r="F1285" s="10">
        <v>48</v>
      </c>
      <c r="G1285" s="10">
        <v>48</v>
      </c>
      <c r="H1285" s="10">
        <v>72</v>
      </c>
      <c r="I1285" s="10">
        <v>57</v>
      </c>
      <c r="J1285" s="10">
        <v>54</v>
      </c>
    </row>
    <row r="1286" spans="1:10" ht="28.8" x14ac:dyDescent="0.3">
      <c r="A1286" t="s">
        <v>99</v>
      </c>
      <c r="B1286" s="2">
        <v>45555</v>
      </c>
      <c r="C1286" s="3" t="s">
        <v>11</v>
      </c>
      <c r="D1286" s="4" t="s">
        <v>25</v>
      </c>
      <c r="E1286" s="4" t="s">
        <v>26</v>
      </c>
      <c r="F1286" s="6">
        <v>48</v>
      </c>
      <c r="G1286" s="6">
        <v>36</v>
      </c>
      <c r="H1286" s="6">
        <v>60</v>
      </c>
      <c r="I1286" s="6" t="s">
        <v>478</v>
      </c>
      <c r="J1286" s="6">
        <v>48</v>
      </c>
    </row>
    <row r="1287" spans="1:10" ht="28.8" x14ac:dyDescent="0.3">
      <c r="A1287" t="s">
        <v>99</v>
      </c>
      <c r="B1287" s="2">
        <v>45555</v>
      </c>
      <c r="C1287" s="7" t="s">
        <v>11</v>
      </c>
      <c r="D1287" s="8" t="s">
        <v>27</v>
      </c>
      <c r="E1287" s="8" t="s">
        <v>13</v>
      </c>
      <c r="F1287" s="10">
        <v>60</v>
      </c>
      <c r="G1287" s="10">
        <v>48</v>
      </c>
      <c r="H1287" s="10">
        <v>60</v>
      </c>
      <c r="I1287" s="10">
        <v>54</v>
      </c>
      <c r="J1287" s="10">
        <v>54</v>
      </c>
    </row>
    <row r="1288" spans="1:10" ht="28.8" x14ac:dyDescent="0.3">
      <c r="A1288" t="s">
        <v>99</v>
      </c>
      <c r="B1288" s="2">
        <v>45555</v>
      </c>
      <c r="C1288" s="3" t="s">
        <v>11</v>
      </c>
      <c r="D1288" s="4" t="s">
        <v>28</v>
      </c>
      <c r="E1288" s="4" t="s">
        <v>13</v>
      </c>
      <c r="F1288" s="6">
        <v>36</v>
      </c>
      <c r="G1288" s="6">
        <v>20</v>
      </c>
      <c r="H1288" s="6">
        <v>36</v>
      </c>
      <c r="I1288" s="6" t="s">
        <v>519</v>
      </c>
      <c r="J1288" s="6">
        <v>36</v>
      </c>
    </row>
    <row r="1289" spans="1:10" ht="28.8" x14ac:dyDescent="0.3">
      <c r="A1289" t="s">
        <v>99</v>
      </c>
      <c r="B1289" s="2">
        <v>45555</v>
      </c>
      <c r="C1289" s="7" t="s">
        <v>11</v>
      </c>
      <c r="D1289" s="8" t="s">
        <v>29</v>
      </c>
      <c r="E1289" s="8" t="s">
        <v>13</v>
      </c>
      <c r="F1289" s="10">
        <v>48</v>
      </c>
      <c r="G1289" s="10">
        <v>48</v>
      </c>
      <c r="H1289" s="10">
        <v>54</v>
      </c>
      <c r="I1289" s="10" t="s">
        <v>489</v>
      </c>
      <c r="J1289" s="10">
        <v>48</v>
      </c>
    </row>
    <row r="1290" spans="1:10" ht="28.8" x14ac:dyDescent="0.3">
      <c r="A1290" t="s">
        <v>99</v>
      </c>
      <c r="B1290" s="2">
        <v>45555</v>
      </c>
      <c r="C1290" s="3" t="s">
        <v>11</v>
      </c>
      <c r="D1290" s="4" t="s">
        <v>31</v>
      </c>
      <c r="E1290" s="4" t="s">
        <v>32</v>
      </c>
      <c r="F1290" s="6">
        <v>5</v>
      </c>
      <c r="G1290" s="6">
        <v>5</v>
      </c>
      <c r="H1290" s="6">
        <v>5</v>
      </c>
      <c r="I1290" s="6">
        <v>5</v>
      </c>
      <c r="J1290" s="6">
        <v>5</v>
      </c>
    </row>
    <row r="1291" spans="1:10" ht="28.8" x14ac:dyDescent="0.3">
      <c r="A1291" t="s">
        <v>99</v>
      </c>
      <c r="B1291" s="2">
        <v>45555</v>
      </c>
      <c r="C1291" s="7" t="s">
        <v>11</v>
      </c>
      <c r="D1291" s="8" t="s">
        <v>33</v>
      </c>
      <c r="E1291" s="8" t="s">
        <v>34</v>
      </c>
      <c r="F1291" s="10">
        <v>10</v>
      </c>
      <c r="G1291" s="10">
        <v>10</v>
      </c>
      <c r="H1291" s="10">
        <v>12</v>
      </c>
      <c r="I1291" s="10" t="s">
        <v>520</v>
      </c>
      <c r="J1291" s="10">
        <v>10</v>
      </c>
    </row>
    <row r="1292" spans="1:10" ht="28.8" x14ac:dyDescent="0.3">
      <c r="A1292" t="s">
        <v>99</v>
      </c>
      <c r="B1292" s="2">
        <v>45555</v>
      </c>
      <c r="C1292" s="3" t="s">
        <v>11</v>
      </c>
      <c r="D1292" s="4" t="s">
        <v>35</v>
      </c>
      <c r="E1292" s="4" t="s">
        <v>34</v>
      </c>
      <c r="F1292" s="6">
        <v>30</v>
      </c>
      <c r="G1292" s="6">
        <v>15</v>
      </c>
      <c r="H1292" s="6">
        <v>30</v>
      </c>
      <c r="I1292" s="6">
        <v>25</v>
      </c>
      <c r="J1292" s="6">
        <v>30</v>
      </c>
    </row>
    <row r="1293" spans="1:10" ht="43.2" x14ac:dyDescent="0.3">
      <c r="A1293" t="s">
        <v>99</v>
      </c>
      <c r="B1293" s="2">
        <v>45555</v>
      </c>
      <c r="C1293" s="7" t="s">
        <v>36</v>
      </c>
      <c r="D1293" s="8" t="s">
        <v>73</v>
      </c>
      <c r="E1293" s="8" t="s">
        <v>74</v>
      </c>
      <c r="F1293" s="9"/>
      <c r="G1293" s="10">
        <v>70</v>
      </c>
      <c r="H1293" s="10">
        <v>80</v>
      </c>
      <c r="I1293" s="10">
        <v>75</v>
      </c>
      <c r="J1293" s="10">
        <v>75</v>
      </c>
    </row>
    <row r="1294" spans="1:10" ht="43.2" x14ac:dyDescent="0.3">
      <c r="A1294" t="s">
        <v>99</v>
      </c>
      <c r="B1294" s="2">
        <v>45555</v>
      </c>
      <c r="C1294" s="3" t="s">
        <v>36</v>
      </c>
      <c r="D1294" s="4" t="s">
        <v>37</v>
      </c>
      <c r="E1294" s="4" t="s">
        <v>38</v>
      </c>
      <c r="F1294" s="6">
        <v>40</v>
      </c>
      <c r="G1294" s="6">
        <v>40</v>
      </c>
      <c r="H1294" s="6">
        <v>50</v>
      </c>
      <c r="I1294" s="6">
        <v>45</v>
      </c>
      <c r="J1294" s="6">
        <v>45</v>
      </c>
    </row>
    <row r="1295" spans="1:10" ht="43.2" x14ac:dyDescent="0.3">
      <c r="A1295" t="s">
        <v>99</v>
      </c>
      <c r="B1295" s="2">
        <v>45555</v>
      </c>
      <c r="C1295" s="7" t="s">
        <v>36</v>
      </c>
      <c r="D1295" s="8" t="s">
        <v>39</v>
      </c>
      <c r="E1295" s="8" t="s">
        <v>40</v>
      </c>
      <c r="F1295" s="10">
        <v>70</v>
      </c>
      <c r="G1295" s="10">
        <v>45</v>
      </c>
      <c r="H1295" s="10">
        <v>70</v>
      </c>
      <c r="I1295" s="10" t="s">
        <v>441</v>
      </c>
      <c r="J1295" s="10" t="s">
        <v>256</v>
      </c>
    </row>
    <row r="1296" spans="1:10" ht="43.2" x14ac:dyDescent="0.3">
      <c r="A1296" t="s">
        <v>99</v>
      </c>
      <c r="B1296" s="2">
        <v>45555</v>
      </c>
      <c r="C1296" s="3" t="s">
        <v>36</v>
      </c>
      <c r="D1296" s="4" t="s">
        <v>41</v>
      </c>
      <c r="E1296" s="4" t="s">
        <v>42</v>
      </c>
      <c r="F1296" s="6">
        <v>50</v>
      </c>
      <c r="G1296" s="6">
        <v>50</v>
      </c>
      <c r="H1296" s="6">
        <v>90</v>
      </c>
      <c r="I1296" s="6">
        <v>59</v>
      </c>
      <c r="J1296" s="6">
        <v>50</v>
      </c>
    </row>
    <row r="1297" spans="1:10" ht="43.2" x14ac:dyDescent="0.3">
      <c r="A1297" t="s">
        <v>99</v>
      </c>
      <c r="B1297" s="2">
        <v>45555</v>
      </c>
      <c r="C1297" s="7" t="s">
        <v>36</v>
      </c>
      <c r="D1297" s="8" t="s">
        <v>43</v>
      </c>
      <c r="E1297" s="8" t="s">
        <v>42</v>
      </c>
      <c r="F1297" s="9"/>
      <c r="G1297" s="10">
        <v>45</v>
      </c>
      <c r="H1297" s="10">
        <v>100</v>
      </c>
      <c r="I1297" s="10" t="s">
        <v>445</v>
      </c>
      <c r="J1297" s="10">
        <v>90</v>
      </c>
    </row>
    <row r="1298" spans="1:10" ht="43.2" x14ac:dyDescent="0.3">
      <c r="A1298" t="s">
        <v>99</v>
      </c>
      <c r="B1298" s="2">
        <v>45555</v>
      </c>
      <c r="C1298" s="3" t="s">
        <v>36</v>
      </c>
      <c r="D1298" s="4" t="s">
        <v>44</v>
      </c>
      <c r="E1298" s="4" t="s">
        <v>45</v>
      </c>
      <c r="F1298" s="6">
        <v>60</v>
      </c>
      <c r="G1298" s="6">
        <v>60</v>
      </c>
      <c r="H1298" s="6">
        <v>70</v>
      </c>
      <c r="I1298" s="6" t="s">
        <v>521</v>
      </c>
      <c r="J1298" s="6" t="s">
        <v>268</v>
      </c>
    </row>
    <row r="1299" spans="1:10" ht="43.2" x14ac:dyDescent="0.3">
      <c r="A1299" t="s">
        <v>99</v>
      </c>
      <c r="B1299" s="2">
        <v>45555</v>
      </c>
      <c r="C1299" s="7" t="s">
        <v>36</v>
      </c>
      <c r="D1299" s="8" t="s">
        <v>46</v>
      </c>
      <c r="E1299" s="8" t="s">
        <v>40</v>
      </c>
      <c r="F1299" s="10">
        <v>55</v>
      </c>
      <c r="G1299" s="10">
        <v>40</v>
      </c>
      <c r="H1299" s="10">
        <v>60</v>
      </c>
      <c r="I1299" s="10" t="s">
        <v>522</v>
      </c>
      <c r="J1299" s="10" t="s">
        <v>266</v>
      </c>
    </row>
    <row r="1300" spans="1:10" ht="43.2" x14ac:dyDescent="0.3">
      <c r="A1300" t="s">
        <v>99</v>
      </c>
      <c r="B1300" s="2">
        <v>45555</v>
      </c>
      <c r="C1300" s="3" t="s">
        <v>36</v>
      </c>
      <c r="D1300" s="4" t="s">
        <v>47</v>
      </c>
      <c r="E1300" s="4" t="s">
        <v>40</v>
      </c>
      <c r="F1300" s="6">
        <v>60</v>
      </c>
      <c r="G1300" s="6">
        <v>50</v>
      </c>
      <c r="H1300" s="6">
        <v>70</v>
      </c>
      <c r="I1300" s="6" t="s">
        <v>268</v>
      </c>
      <c r="J1300" s="6" t="s">
        <v>268</v>
      </c>
    </row>
    <row r="1301" spans="1:10" ht="43.2" x14ac:dyDescent="0.3">
      <c r="A1301" t="s">
        <v>99</v>
      </c>
      <c r="B1301" s="2">
        <v>45555</v>
      </c>
      <c r="C1301" s="7" t="s">
        <v>36</v>
      </c>
      <c r="D1301" s="8" t="s">
        <v>48</v>
      </c>
      <c r="E1301" s="8" t="s">
        <v>38</v>
      </c>
      <c r="F1301" s="10">
        <v>100</v>
      </c>
      <c r="G1301" s="10">
        <v>80</v>
      </c>
      <c r="H1301" s="10">
        <v>120</v>
      </c>
      <c r="I1301" s="10">
        <v>98</v>
      </c>
      <c r="J1301" s="10">
        <v>100</v>
      </c>
    </row>
    <row r="1302" spans="1:10" ht="43.2" x14ac:dyDescent="0.3">
      <c r="A1302" t="s">
        <v>99</v>
      </c>
      <c r="B1302" s="2">
        <v>45555</v>
      </c>
      <c r="C1302" s="3" t="s">
        <v>36</v>
      </c>
      <c r="D1302" s="4" t="s">
        <v>49</v>
      </c>
      <c r="E1302" s="4" t="s">
        <v>40</v>
      </c>
      <c r="F1302" s="5"/>
      <c r="G1302" s="6">
        <v>40</v>
      </c>
      <c r="H1302" s="6">
        <v>50</v>
      </c>
      <c r="I1302" s="6">
        <v>45</v>
      </c>
      <c r="J1302" s="6">
        <v>45</v>
      </c>
    </row>
    <row r="1303" spans="1:10" ht="43.2" x14ac:dyDescent="0.3">
      <c r="A1303" t="s">
        <v>99</v>
      </c>
      <c r="B1303" s="2">
        <v>45555</v>
      </c>
      <c r="C1303" s="7" t="s">
        <v>36</v>
      </c>
      <c r="D1303" s="8" t="s">
        <v>50</v>
      </c>
      <c r="E1303" s="8" t="s">
        <v>38</v>
      </c>
      <c r="F1303" s="10">
        <v>100</v>
      </c>
      <c r="G1303" s="10">
        <v>90</v>
      </c>
      <c r="H1303" s="10">
        <v>100</v>
      </c>
      <c r="I1303" s="10" t="s">
        <v>370</v>
      </c>
      <c r="J1303" s="10">
        <v>100</v>
      </c>
    </row>
    <row r="1304" spans="1:10" ht="43.2" x14ac:dyDescent="0.3">
      <c r="A1304" t="s">
        <v>99</v>
      </c>
      <c r="B1304" s="2">
        <v>45555</v>
      </c>
      <c r="C1304" s="3" t="s">
        <v>36</v>
      </c>
      <c r="D1304" s="4" t="s">
        <v>51</v>
      </c>
      <c r="E1304" s="4" t="s">
        <v>38</v>
      </c>
      <c r="F1304" s="6">
        <v>140</v>
      </c>
      <c r="G1304" s="6">
        <v>80</v>
      </c>
      <c r="H1304" s="6">
        <v>140</v>
      </c>
      <c r="I1304" s="6" t="s">
        <v>523</v>
      </c>
      <c r="J1304" s="6">
        <v>135</v>
      </c>
    </row>
    <row r="1305" spans="1:10" ht="43.2" x14ac:dyDescent="0.3">
      <c r="A1305" t="s">
        <v>99</v>
      </c>
      <c r="B1305" s="2">
        <v>45555</v>
      </c>
      <c r="C1305" s="7" t="s">
        <v>36</v>
      </c>
      <c r="D1305" s="8" t="s">
        <v>52</v>
      </c>
      <c r="E1305" s="8" t="s">
        <v>42</v>
      </c>
      <c r="F1305" s="10">
        <v>50</v>
      </c>
      <c r="G1305" s="10">
        <v>50</v>
      </c>
      <c r="H1305" s="10">
        <v>80</v>
      </c>
      <c r="I1305" s="10" t="s">
        <v>277</v>
      </c>
      <c r="J1305" s="10">
        <v>50</v>
      </c>
    </row>
    <row r="1306" spans="1:10" ht="43.2" x14ac:dyDescent="0.3">
      <c r="A1306" t="s">
        <v>99</v>
      </c>
      <c r="B1306" s="2">
        <v>45555</v>
      </c>
      <c r="C1306" s="3" t="s">
        <v>36</v>
      </c>
      <c r="D1306" s="4" t="s">
        <v>53</v>
      </c>
      <c r="E1306" s="4" t="s">
        <v>54</v>
      </c>
      <c r="F1306" s="6">
        <v>140</v>
      </c>
      <c r="G1306" s="6">
        <v>50</v>
      </c>
      <c r="H1306" s="6">
        <v>150</v>
      </c>
      <c r="I1306" s="6" t="s">
        <v>433</v>
      </c>
      <c r="J1306" s="6">
        <v>135</v>
      </c>
    </row>
    <row r="1307" spans="1:10" ht="43.2" x14ac:dyDescent="0.3">
      <c r="A1307" t="s">
        <v>99</v>
      </c>
      <c r="B1307" s="2">
        <v>45555</v>
      </c>
      <c r="C1307" s="7" t="s">
        <v>36</v>
      </c>
      <c r="D1307" s="8" t="s">
        <v>55</v>
      </c>
      <c r="E1307" s="8" t="s">
        <v>38</v>
      </c>
      <c r="F1307" s="10">
        <v>70</v>
      </c>
      <c r="G1307" s="10">
        <v>50</v>
      </c>
      <c r="H1307" s="10">
        <v>80</v>
      </c>
      <c r="I1307" s="10">
        <v>65</v>
      </c>
      <c r="J1307" s="10" t="s">
        <v>272</v>
      </c>
    </row>
    <row r="1308" spans="1:10" ht="43.2" x14ac:dyDescent="0.3">
      <c r="A1308" t="s">
        <v>99</v>
      </c>
      <c r="B1308" s="2">
        <v>45555</v>
      </c>
      <c r="C1308" s="3" t="s">
        <v>36</v>
      </c>
      <c r="D1308" s="4" t="s">
        <v>56</v>
      </c>
      <c r="E1308" s="4" t="s">
        <v>38</v>
      </c>
      <c r="F1308" s="6">
        <v>130</v>
      </c>
      <c r="G1308" s="6">
        <v>120</v>
      </c>
      <c r="H1308" s="6">
        <v>150</v>
      </c>
      <c r="I1308" s="6">
        <v>130</v>
      </c>
      <c r="J1308" s="6">
        <v>130</v>
      </c>
    </row>
    <row r="1309" spans="1:10" x14ac:dyDescent="0.3">
      <c r="A1309" t="s">
        <v>99</v>
      </c>
      <c r="B1309" s="2">
        <v>45555</v>
      </c>
      <c r="C1309" s="7" t="s">
        <v>57</v>
      </c>
      <c r="D1309" s="8" t="s">
        <v>58</v>
      </c>
      <c r="E1309" s="8" t="s">
        <v>42</v>
      </c>
      <c r="F1309" s="9"/>
      <c r="G1309" s="9"/>
      <c r="H1309" s="9"/>
      <c r="I1309" s="9"/>
      <c r="J1309" s="9"/>
    </row>
    <row r="1310" spans="1:10" x14ac:dyDescent="0.3">
      <c r="A1310" t="s">
        <v>99</v>
      </c>
      <c r="B1310" s="2">
        <v>45555</v>
      </c>
      <c r="C1310" s="3" t="s">
        <v>57</v>
      </c>
      <c r="D1310" s="4" t="s">
        <v>59</v>
      </c>
      <c r="E1310" s="4" t="s">
        <v>42</v>
      </c>
      <c r="F1310" s="5"/>
      <c r="G1310" s="5"/>
      <c r="H1310" s="5"/>
      <c r="I1310" s="5"/>
      <c r="J1310" s="5"/>
    </row>
    <row r="1311" spans="1:10" x14ac:dyDescent="0.3">
      <c r="A1311" t="s">
        <v>99</v>
      </c>
      <c r="B1311" s="2">
        <v>45555</v>
      </c>
      <c r="C1311" s="7" t="s">
        <v>57</v>
      </c>
      <c r="D1311" s="8" t="s">
        <v>60</v>
      </c>
      <c r="E1311" s="8" t="s">
        <v>42</v>
      </c>
      <c r="F1311" s="9"/>
      <c r="G1311" s="9"/>
      <c r="H1311" s="9"/>
      <c r="I1311" s="9"/>
      <c r="J1311" s="9"/>
    </row>
    <row r="1312" spans="1:10" x14ac:dyDescent="0.3">
      <c r="A1312" t="s">
        <v>99</v>
      </c>
      <c r="B1312" s="2">
        <v>45555</v>
      </c>
      <c r="C1312" s="3" t="s">
        <v>57</v>
      </c>
      <c r="D1312" s="4" t="s">
        <v>61</v>
      </c>
      <c r="E1312" s="4" t="s">
        <v>42</v>
      </c>
      <c r="F1312" s="5"/>
      <c r="G1312" s="6">
        <v>50</v>
      </c>
      <c r="H1312" s="6">
        <v>50</v>
      </c>
      <c r="I1312" s="6">
        <v>50</v>
      </c>
      <c r="J1312" s="6">
        <v>50</v>
      </c>
    </row>
    <row r="1313" spans="1:10" x14ac:dyDescent="0.3">
      <c r="A1313" t="s">
        <v>99</v>
      </c>
      <c r="B1313" s="2">
        <v>45555</v>
      </c>
      <c r="C1313" s="7" t="s">
        <v>57</v>
      </c>
      <c r="D1313" s="8" t="s">
        <v>62</v>
      </c>
      <c r="E1313" s="8" t="s">
        <v>63</v>
      </c>
      <c r="F1313" s="9"/>
      <c r="G1313" s="9"/>
      <c r="H1313" s="9"/>
      <c r="I1313" s="9"/>
      <c r="J1313" s="9"/>
    </row>
    <row r="1314" spans="1:10" ht="28.8" x14ac:dyDescent="0.3">
      <c r="A1314" t="s">
        <v>100</v>
      </c>
      <c r="B1314" s="2">
        <v>45562</v>
      </c>
      <c r="C1314" s="3" t="s">
        <v>11</v>
      </c>
      <c r="D1314" s="4" t="s">
        <v>12</v>
      </c>
      <c r="E1314" s="4" t="s">
        <v>13</v>
      </c>
      <c r="F1314" s="6">
        <v>36</v>
      </c>
      <c r="G1314" s="6">
        <v>30</v>
      </c>
      <c r="H1314" s="6">
        <v>48</v>
      </c>
      <c r="I1314" s="6" t="s">
        <v>524</v>
      </c>
      <c r="J1314" s="6">
        <v>36</v>
      </c>
    </row>
    <row r="1315" spans="1:10" ht="28.8" x14ac:dyDescent="0.3">
      <c r="A1315" t="s">
        <v>100</v>
      </c>
      <c r="B1315" s="2">
        <v>45562</v>
      </c>
      <c r="C1315" s="7" t="s">
        <v>11</v>
      </c>
      <c r="D1315" s="8" t="s">
        <v>14</v>
      </c>
      <c r="E1315" s="8" t="s">
        <v>13</v>
      </c>
      <c r="F1315" s="10">
        <v>60</v>
      </c>
      <c r="G1315" s="10">
        <v>60</v>
      </c>
      <c r="H1315" s="10">
        <v>72</v>
      </c>
      <c r="I1315" s="10">
        <v>64</v>
      </c>
      <c r="J1315" s="10">
        <v>60</v>
      </c>
    </row>
    <row r="1316" spans="1:10" ht="28.8" x14ac:dyDescent="0.3">
      <c r="A1316" t="s">
        <v>100</v>
      </c>
      <c r="B1316" s="2">
        <v>45562</v>
      </c>
      <c r="C1316" s="3" t="s">
        <v>11</v>
      </c>
      <c r="D1316" s="4" t="s">
        <v>15</v>
      </c>
      <c r="E1316" s="4" t="s">
        <v>13</v>
      </c>
      <c r="F1316" s="6">
        <v>30</v>
      </c>
      <c r="G1316" s="6">
        <v>25</v>
      </c>
      <c r="H1316" s="6">
        <v>36</v>
      </c>
      <c r="I1316" s="6" t="s">
        <v>525</v>
      </c>
      <c r="J1316" s="6">
        <v>30</v>
      </c>
    </row>
    <row r="1317" spans="1:10" ht="28.8" x14ac:dyDescent="0.3">
      <c r="A1317" t="s">
        <v>100</v>
      </c>
      <c r="B1317" s="2">
        <v>45562</v>
      </c>
      <c r="C1317" s="7" t="s">
        <v>11</v>
      </c>
      <c r="D1317" s="8" t="s">
        <v>16</v>
      </c>
      <c r="E1317" s="8" t="s">
        <v>13</v>
      </c>
      <c r="F1317" s="10">
        <v>18</v>
      </c>
      <c r="G1317" s="10">
        <v>18</v>
      </c>
      <c r="H1317" s="10">
        <v>30</v>
      </c>
      <c r="I1317" s="10" t="s">
        <v>255</v>
      </c>
      <c r="J1317" s="10">
        <v>21</v>
      </c>
    </row>
    <row r="1318" spans="1:10" ht="28.8" x14ac:dyDescent="0.3">
      <c r="A1318" t="s">
        <v>100</v>
      </c>
      <c r="B1318" s="2">
        <v>45562</v>
      </c>
      <c r="C1318" s="3" t="s">
        <v>11</v>
      </c>
      <c r="D1318" s="4" t="s">
        <v>17</v>
      </c>
      <c r="E1318" s="4" t="s">
        <v>13</v>
      </c>
      <c r="F1318" s="6">
        <v>18</v>
      </c>
      <c r="G1318" s="6">
        <v>18</v>
      </c>
      <c r="H1318" s="6">
        <v>30</v>
      </c>
      <c r="I1318" s="6" t="s">
        <v>255</v>
      </c>
      <c r="J1318" s="6">
        <v>21</v>
      </c>
    </row>
    <row r="1319" spans="1:10" ht="28.8" x14ac:dyDescent="0.3">
      <c r="A1319" t="s">
        <v>100</v>
      </c>
      <c r="B1319" s="2">
        <v>45562</v>
      </c>
      <c r="C1319" s="7" t="s">
        <v>11</v>
      </c>
      <c r="D1319" s="8" t="s">
        <v>18</v>
      </c>
      <c r="E1319" s="8" t="s">
        <v>13</v>
      </c>
      <c r="F1319" s="10">
        <v>60</v>
      </c>
      <c r="G1319" s="10">
        <v>48</v>
      </c>
      <c r="H1319" s="10">
        <v>60</v>
      </c>
      <c r="I1319" s="10">
        <v>54</v>
      </c>
      <c r="J1319" s="10">
        <v>54</v>
      </c>
    </row>
    <row r="1320" spans="1:10" ht="28.8" x14ac:dyDescent="0.3">
      <c r="A1320" t="s">
        <v>100</v>
      </c>
      <c r="B1320" s="2">
        <v>45562</v>
      </c>
      <c r="C1320" s="3" t="s">
        <v>11</v>
      </c>
      <c r="D1320" s="4" t="s">
        <v>19</v>
      </c>
      <c r="E1320" s="4" t="s">
        <v>13</v>
      </c>
      <c r="F1320" s="5"/>
      <c r="G1320" s="6">
        <v>48</v>
      </c>
      <c r="H1320" s="6">
        <v>72</v>
      </c>
      <c r="I1320" s="6">
        <v>58</v>
      </c>
      <c r="J1320" s="6">
        <v>54</v>
      </c>
    </row>
    <row r="1321" spans="1:10" ht="28.8" x14ac:dyDescent="0.3">
      <c r="A1321" t="s">
        <v>100</v>
      </c>
      <c r="B1321" s="2">
        <v>45562</v>
      </c>
      <c r="C1321" s="7" t="s">
        <v>11</v>
      </c>
      <c r="D1321" s="8" t="s">
        <v>20</v>
      </c>
      <c r="E1321" s="8" t="s">
        <v>13</v>
      </c>
      <c r="F1321" s="10">
        <v>60</v>
      </c>
      <c r="G1321" s="10">
        <v>60</v>
      </c>
      <c r="H1321" s="10">
        <v>60</v>
      </c>
      <c r="I1321" s="10">
        <v>60</v>
      </c>
      <c r="J1321" s="10">
        <v>60</v>
      </c>
    </row>
    <row r="1322" spans="1:10" ht="28.8" x14ac:dyDescent="0.3">
      <c r="A1322" t="s">
        <v>100</v>
      </c>
      <c r="B1322" s="2">
        <v>45562</v>
      </c>
      <c r="C1322" s="3" t="s">
        <v>11</v>
      </c>
      <c r="D1322" s="4" t="s">
        <v>21</v>
      </c>
      <c r="E1322" s="4" t="s">
        <v>13</v>
      </c>
      <c r="F1322" s="6">
        <v>18</v>
      </c>
      <c r="G1322" s="6">
        <v>18</v>
      </c>
      <c r="H1322" s="6">
        <v>48</v>
      </c>
      <c r="I1322" s="6" t="s">
        <v>526</v>
      </c>
      <c r="J1322" s="6">
        <v>20</v>
      </c>
    </row>
    <row r="1323" spans="1:10" ht="28.8" x14ac:dyDescent="0.3">
      <c r="A1323" t="s">
        <v>100</v>
      </c>
      <c r="B1323" s="2">
        <v>45562</v>
      </c>
      <c r="C1323" s="7" t="s">
        <v>11</v>
      </c>
      <c r="D1323" s="8" t="s">
        <v>65</v>
      </c>
      <c r="E1323" s="8" t="s">
        <v>13</v>
      </c>
      <c r="F1323" s="10">
        <v>60</v>
      </c>
      <c r="G1323" s="10">
        <v>60</v>
      </c>
      <c r="H1323" s="10">
        <v>60</v>
      </c>
      <c r="I1323" s="10">
        <v>60</v>
      </c>
      <c r="J1323" s="10">
        <v>60</v>
      </c>
    </row>
    <row r="1324" spans="1:10" ht="28.8" x14ac:dyDescent="0.3">
      <c r="A1324" t="s">
        <v>100</v>
      </c>
      <c r="B1324" s="2">
        <v>45562</v>
      </c>
      <c r="C1324" s="3" t="s">
        <v>11</v>
      </c>
      <c r="D1324" s="4" t="s">
        <v>23</v>
      </c>
      <c r="E1324" s="4" t="s">
        <v>13</v>
      </c>
      <c r="F1324" s="6">
        <v>18</v>
      </c>
      <c r="G1324" s="6">
        <v>18</v>
      </c>
      <c r="H1324" s="6">
        <v>24</v>
      </c>
      <c r="I1324" s="6" t="s">
        <v>527</v>
      </c>
      <c r="J1324" s="6">
        <v>18</v>
      </c>
    </row>
    <row r="1325" spans="1:10" ht="28.8" x14ac:dyDescent="0.3">
      <c r="A1325" t="s">
        <v>100</v>
      </c>
      <c r="B1325" s="2">
        <v>45562</v>
      </c>
      <c r="C1325" s="7" t="s">
        <v>11</v>
      </c>
      <c r="D1325" s="8" t="s">
        <v>24</v>
      </c>
      <c r="E1325" s="8" t="s">
        <v>13</v>
      </c>
      <c r="F1325" s="10">
        <v>48</v>
      </c>
      <c r="G1325" s="10">
        <v>48</v>
      </c>
      <c r="H1325" s="10">
        <v>72</v>
      </c>
      <c r="I1325" s="10">
        <v>56</v>
      </c>
      <c r="J1325" s="10">
        <v>48</v>
      </c>
    </row>
    <row r="1326" spans="1:10" ht="28.8" x14ac:dyDescent="0.3">
      <c r="A1326" t="s">
        <v>100</v>
      </c>
      <c r="B1326" s="2">
        <v>45562</v>
      </c>
      <c r="C1326" s="3" t="s">
        <v>11</v>
      </c>
      <c r="D1326" s="4" t="s">
        <v>25</v>
      </c>
      <c r="E1326" s="4" t="s">
        <v>26</v>
      </c>
      <c r="F1326" s="6">
        <v>48</v>
      </c>
      <c r="G1326" s="6">
        <v>48</v>
      </c>
      <c r="H1326" s="6">
        <v>60</v>
      </c>
      <c r="I1326" s="6">
        <v>51</v>
      </c>
      <c r="J1326" s="6">
        <v>48</v>
      </c>
    </row>
    <row r="1327" spans="1:10" ht="28.8" x14ac:dyDescent="0.3">
      <c r="A1327" t="s">
        <v>100</v>
      </c>
      <c r="B1327" s="2">
        <v>45562</v>
      </c>
      <c r="C1327" s="7" t="s">
        <v>11</v>
      </c>
      <c r="D1327" s="8" t="s">
        <v>27</v>
      </c>
      <c r="E1327" s="8" t="s">
        <v>13</v>
      </c>
      <c r="F1327" s="10">
        <v>48</v>
      </c>
      <c r="G1327" s="10">
        <v>48</v>
      </c>
      <c r="H1327" s="10">
        <v>72</v>
      </c>
      <c r="I1327" s="10">
        <v>57</v>
      </c>
      <c r="J1327" s="10">
        <v>54</v>
      </c>
    </row>
    <row r="1328" spans="1:10" ht="28.8" x14ac:dyDescent="0.3">
      <c r="A1328" t="s">
        <v>100</v>
      </c>
      <c r="B1328" s="2">
        <v>45562</v>
      </c>
      <c r="C1328" s="3" t="s">
        <v>11</v>
      </c>
      <c r="D1328" s="4" t="s">
        <v>28</v>
      </c>
      <c r="E1328" s="4" t="s">
        <v>13</v>
      </c>
      <c r="F1328" s="6">
        <v>36</v>
      </c>
      <c r="G1328" s="6">
        <v>24</v>
      </c>
      <c r="H1328" s="6">
        <v>40</v>
      </c>
      <c r="I1328" s="6">
        <v>32</v>
      </c>
      <c r="J1328" s="6">
        <v>36</v>
      </c>
    </row>
    <row r="1329" spans="1:10" ht="28.8" x14ac:dyDescent="0.3">
      <c r="A1329" t="s">
        <v>100</v>
      </c>
      <c r="B1329" s="2">
        <v>45562</v>
      </c>
      <c r="C1329" s="7" t="s">
        <v>11</v>
      </c>
      <c r="D1329" s="8" t="s">
        <v>29</v>
      </c>
      <c r="E1329" s="8" t="s">
        <v>13</v>
      </c>
      <c r="F1329" s="10">
        <v>48</v>
      </c>
      <c r="G1329" s="10">
        <v>42</v>
      </c>
      <c r="H1329" s="10">
        <v>48</v>
      </c>
      <c r="I1329" s="10" t="s">
        <v>360</v>
      </c>
      <c r="J1329" s="10">
        <v>48</v>
      </c>
    </row>
    <row r="1330" spans="1:10" ht="28.8" x14ac:dyDescent="0.3">
      <c r="A1330" t="s">
        <v>100</v>
      </c>
      <c r="B1330" s="2">
        <v>45562</v>
      </c>
      <c r="C1330" s="3" t="s">
        <v>11</v>
      </c>
      <c r="D1330" s="4" t="s">
        <v>31</v>
      </c>
      <c r="E1330" s="4" t="s">
        <v>32</v>
      </c>
      <c r="F1330" s="6">
        <v>5</v>
      </c>
      <c r="G1330" s="6">
        <v>4</v>
      </c>
      <c r="H1330" s="6">
        <v>5</v>
      </c>
      <c r="I1330" s="6" t="s">
        <v>528</v>
      </c>
      <c r="J1330" s="6">
        <v>5</v>
      </c>
    </row>
    <row r="1331" spans="1:10" ht="28.8" x14ac:dyDescent="0.3">
      <c r="A1331" t="s">
        <v>100</v>
      </c>
      <c r="B1331" s="2">
        <v>45562</v>
      </c>
      <c r="C1331" s="7" t="s">
        <v>11</v>
      </c>
      <c r="D1331" s="8" t="s">
        <v>33</v>
      </c>
      <c r="E1331" s="8" t="s">
        <v>34</v>
      </c>
      <c r="F1331" s="10">
        <v>10</v>
      </c>
      <c r="G1331" s="10">
        <v>10</v>
      </c>
      <c r="H1331" s="10">
        <v>15</v>
      </c>
      <c r="I1331" s="10" t="s">
        <v>529</v>
      </c>
      <c r="J1331" s="10">
        <v>11</v>
      </c>
    </row>
    <row r="1332" spans="1:10" ht="28.8" x14ac:dyDescent="0.3">
      <c r="A1332" t="s">
        <v>100</v>
      </c>
      <c r="B1332" s="2">
        <v>45562</v>
      </c>
      <c r="C1332" s="3" t="s">
        <v>11</v>
      </c>
      <c r="D1332" s="4" t="s">
        <v>35</v>
      </c>
      <c r="E1332" s="4" t="s">
        <v>34</v>
      </c>
      <c r="F1332" s="6">
        <v>20</v>
      </c>
      <c r="G1332" s="6">
        <v>20</v>
      </c>
      <c r="H1332" s="6">
        <v>25</v>
      </c>
      <c r="I1332" s="6" t="s">
        <v>530</v>
      </c>
      <c r="J1332" s="6">
        <v>20</v>
      </c>
    </row>
    <row r="1333" spans="1:10" ht="43.2" x14ac:dyDescent="0.3">
      <c r="A1333" t="s">
        <v>100</v>
      </c>
      <c r="B1333" s="2">
        <v>45562</v>
      </c>
      <c r="C1333" s="7" t="s">
        <v>36</v>
      </c>
      <c r="D1333" s="8" t="s">
        <v>73</v>
      </c>
      <c r="E1333" s="8" t="s">
        <v>74</v>
      </c>
      <c r="F1333" s="9"/>
      <c r="G1333" s="10">
        <v>80</v>
      </c>
      <c r="H1333" s="10">
        <v>85</v>
      </c>
      <c r="I1333" s="10" t="s">
        <v>354</v>
      </c>
      <c r="J1333" s="10" t="s">
        <v>354</v>
      </c>
    </row>
    <row r="1334" spans="1:10" ht="43.2" x14ac:dyDescent="0.3">
      <c r="A1334" t="s">
        <v>100</v>
      </c>
      <c r="B1334" s="2">
        <v>45562</v>
      </c>
      <c r="C1334" s="3" t="s">
        <v>36</v>
      </c>
      <c r="D1334" s="4" t="s">
        <v>37</v>
      </c>
      <c r="E1334" s="4" t="s">
        <v>38</v>
      </c>
      <c r="F1334" s="6">
        <v>35</v>
      </c>
      <c r="G1334" s="6">
        <v>35</v>
      </c>
      <c r="H1334" s="6">
        <v>50</v>
      </c>
      <c r="I1334" s="6">
        <v>42</v>
      </c>
      <c r="J1334" s="6">
        <v>45</v>
      </c>
    </row>
    <row r="1335" spans="1:10" ht="43.2" x14ac:dyDescent="0.3">
      <c r="A1335" t="s">
        <v>100</v>
      </c>
      <c r="B1335" s="2">
        <v>45562</v>
      </c>
      <c r="C1335" s="7" t="s">
        <v>36</v>
      </c>
      <c r="D1335" s="8" t="s">
        <v>39</v>
      </c>
      <c r="E1335" s="8" t="s">
        <v>40</v>
      </c>
      <c r="F1335" s="10">
        <v>70</v>
      </c>
      <c r="G1335" s="10">
        <v>45</v>
      </c>
      <c r="H1335" s="10">
        <v>70</v>
      </c>
      <c r="I1335" s="10">
        <v>64</v>
      </c>
      <c r="J1335" s="10">
        <v>70</v>
      </c>
    </row>
    <row r="1336" spans="1:10" ht="43.2" x14ac:dyDescent="0.3">
      <c r="A1336" t="s">
        <v>100</v>
      </c>
      <c r="B1336" s="2">
        <v>45562</v>
      </c>
      <c r="C1336" s="3" t="s">
        <v>36</v>
      </c>
      <c r="D1336" s="4" t="s">
        <v>41</v>
      </c>
      <c r="E1336" s="4" t="s">
        <v>42</v>
      </c>
      <c r="F1336" s="5"/>
      <c r="G1336" s="6">
        <v>45</v>
      </c>
      <c r="H1336" s="6">
        <v>60</v>
      </c>
      <c r="I1336" s="6" t="s">
        <v>326</v>
      </c>
      <c r="J1336" s="6">
        <v>50</v>
      </c>
    </row>
    <row r="1337" spans="1:10" ht="43.2" x14ac:dyDescent="0.3">
      <c r="A1337" t="s">
        <v>100</v>
      </c>
      <c r="B1337" s="2">
        <v>45562</v>
      </c>
      <c r="C1337" s="7" t="s">
        <v>36</v>
      </c>
      <c r="D1337" s="8" t="s">
        <v>43</v>
      </c>
      <c r="E1337" s="8" t="s">
        <v>42</v>
      </c>
      <c r="F1337" s="9"/>
      <c r="G1337" s="10">
        <v>50</v>
      </c>
      <c r="H1337" s="10">
        <v>110</v>
      </c>
      <c r="I1337" s="10" t="s">
        <v>453</v>
      </c>
      <c r="J1337" s="10">
        <v>90</v>
      </c>
    </row>
    <row r="1338" spans="1:10" ht="43.2" x14ac:dyDescent="0.3">
      <c r="A1338" t="s">
        <v>100</v>
      </c>
      <c r="B1338" s="2">
        <v>45562</v>
      </c>
      <c r="C1338" s="3" t="s">
        <v>36</v>
      </c>
      <c r="D1338" s="4" t="s">
        <v>44</v>
      </c>
      <c r="E1338" s="4" t="s">
        <v>45</v>
      </c>
      <c r="F1338" s="6">
        <v>70</v>
      </c>
      <c r="G1338" s="6">
        <v>60</v>
      </c>
      <c r="H1338" s="6">
        <v>70</v>
      </c>
      <c r="I1338" s="6">
        <v>65</v>
      </c>
      <c r="J1338" s="6">
        <v>65</v>
      </c>
    </row>
    <row r="1339" spans="1:10" ht="43.2" x14ac:dyDescent="0.3">
      <c r="A1339" t="s">
        <v>100</v>
      </c>
      <c r="B1339" s="2">
        <v>45562</v>
      </c>
      <c r="C1339" s="7" t="s">
        <v>36</v>
      </c>
      <c r="D1339" s="8" t="s">
        <v>46</v>
      </c>
      <c r="E1339" s="8" t="s">
        <v>40</v>
      </c>
      <c r="F1339" s="10">
        <v>60</v>
      </c>
      <c r="G1339" s="10">
        <v>35</v>
      </c>
      <c r="H1339" s="10">
        <v>60</v>
      </c>
      <c r="I1339" s="10">
        <v>50</v>
      </c>
      <c r="J1339" s="10">
        <v>55</v>
      </c>
    </row>
    <row r="1340" spans="1:10" ht="43.2" x14ac:dyDescent="0.3">
      <c r="A1340" t="s">
        <v>100</v>
      </c>
      <c r="B1340" s="2">
        <v>45562</v>
      </c>
      <c r="C1340" s="3" t="s">
        <v>36</v>
      </c>
      <c r="D1340" s="4" t="s">
        <v>47</v>
      </c>
      <c r="E1340" s="4" t="s">
        <v>40</v>
      </c>
      <c r="F1340" s="6">
        <v>60</v>
      </c>
      <c r="G1340" s="6">
        <v>60</v>
      </c>
      <c r="H1340" s="6">
        <v>80</v>
      </c>
      <c r="I1340" s="6">
        <v>68</v>
      </c>
      <c r="J1340" s="6">
        <v>70</v>
      </c>
    </row>
    <row r="1341" spans="1:10" ht="43.2" x14ac:dyDescent="0.3">
      <c r="A1341" t="s">
        <v>100</v>
      </c>
      <c r="B1341" s="2">
        <v>45562</v>
      </c>
      <c r="C1341" s="7" t="s">
        <v>36</v>
      </c>
      <c r="D1341" s="8" t="s">
        <v>48</v>
      </c>
      <c r="E1341" s="8" t="s">
        <v>38</v>
      </c>
      <c r="F1341" s="9"/>
      <c r="G1341" s="10">
        <v>90</v>
      </c>
      <c r="H1341" s="10">
        <v>120</v>
      </c>
      <c r="I1341" s="10">
        <v>105</v>
      </c>
      <c r="J1341" s="10">
        <v>105</v>
      </c>
    </row>
    <row r="1342" spans="1:10" ht="43.2" x14ac:dyDescent="0.3">
      <c r="A1342" t="s">
        <v>100</v>
      </c>
      <c r="B1342" s="2">
        <v>45562</v>
      </c>
      <c r="C1342" s="3" t="s">
        <v>36</v>
      </c>
      <c r="D1342" s="4" t="s">
        <v>49</v>
      </c>
      <c r="E1342" s="4" t="s">
        <v>40</v>
      </c>
      <c r="F1342" s="5"/>
      <c r="G1342" s="6">
        <v>65</v>
      </c>
      <c r="H1342" s="6">
        <v>65</v>
      </c>
      <c r="I1342" s="6">
        <v>65</v>
      </c>
      <c r="J1342" s="6">
        <v>65</v>
      </c>
    </row>
    <row r="1343" spans="1:10" ht="43.2" x14ac:dyDescent="0.3">
      <c r="A1343" t="s">
        <v>100</v>
      </c>
      <c r="B1343" s="2">
        <v>45562</v>
      </c>
      <c r="C1343" s="7" t="s">
        <v>36</v>
      </c>
      <c r="D1343" s="8" t="s">
        <v>50</v>
      </c>
      <c r="E1343" s="8" t="s">
        <v>38</v>
      </c>
      <c r="F1343" s="10">
        <v>100</v>
      </c>
      <c r="G1343" s="10">
        <v>80</v>
      </c>
      <c r="H1343" s="10">
        <v>100</v>
      </c>
      <c r="I1343" s="10" t="s">
        <v>382</v>
      </c>
      <c r="J1343" s="10">
        <v>100</v>
      </c>
    </row>
    <row r="1344" spans="1:10" ht="43.2" x14ac:dyDescent="0.3">
      <c r="A1344" t="s">
        <v>100</v>
      </c>
      <c r="B1344" s="2">
        <v>45562</v>
      </c>
      <c r="C1344" s="3" t="s">
        <v>36</v>
      </c>
      <c r="D1344" s="4" t="s">
        <v>51</v>
      </c>
      <c r="E1344" s="4" t="s">
        <v>38</v>
      </c>
      <c r="F1344" s="5"/>
      <c r="G1344" s="6">
        <v>100</v>
      </c>
      <c r="H1344" s="6">
        <v>145</v>
      </c>
      <c r="I1344" s="6" t="s">
        <v>531</v>
      </c>
      <c r="J1344" s="6">
        <v>130</v>
      </c>
    </row>
    <row r="1345" spans="1:10" ht="43.2" x14ac:dyDescent="0.3">
      <c r="A1345" t="s">
        <v>100</v>
      </c>
      <c r="B1345" s="2">
        <v>45562</v>
      </c>
      <c r="C1345" s="7" t="s">
        <v>36</v>
      </c>
      <c r="D1345" s="8" t="s">
        <v>52</v>
      </c>
      <c r="E1345" s="8" t="s">
        <v>42</v>
      </c>
      <c r="F1345" s="10">
        <v>55</v>
      </c>
      <c r="G1345" s="10">
        <v>40</v>
      </c>
      <c r="H1345" s="10">
        <v>55</v>
      </c>
      <c r="I1345" s="10">
        <v>49</v>
      </c>
      <c r="J1345" s="10">
        <v>50</v>
      </c>
    </row>
    <row r="1346" spans="1:10" ht="43.2" x14ac:dyDescent="0.3">
      <c r="A1346" t="s">
        <v>100</v>
      </c>
      <c r="B1346" s="2">
        <v>45562</v>
      </c>
      <c r="C1346" s="3" t="s">
        <v>36</v>
      </c>
      <c r="D1346" s="4" t="s">
        <v>53</v>
      </c>
      <c r="E1346" s="4" t="s">
        <v>54</v>
      </c>
      <c r="F1346" s="6">
        <v>140</v>
      </c>
      <c r="G1346" s="6">
        <v>140</v>
      </c>
      <c r="H1346" s="6">
        <v>150</v>
      </c>
      <c r="I1346" s="6">
        <v>144</v>
      </c>
      <c r="J1346" s="6">
        <v>140</v>
      </c>
    </row>
    <row r="1347" spans="1:10" ht="43.2" x14ac:dyDescent="0.3">
      <c r="A1347" t="s">
        <v>100</v>
      </c>
      <c r="B1347" s="2">
        <v>45562</v>
      </c>
      <c r="C1347" s="7" t="s">
        <v>36</v>
      </c>
      <c r="D1347" s="8" t="s">
        <v>55</v>
      </c>
      <c r="E1347" s="8" t="s">
        <v>38</v>
      </c>
      <c r="F1347" s="10">
        <v>60</v>
      </c>
      <c r="G1347" s="10">
        <v>50</v>
      </c>
      <c r="H1347" s="10">
        <v>90</v>
      </c>
      <c r="I1347" s="10">
        <v>66</v>
      </c>
      <c r="J1347" s="10">
        <v>60</v>
      </c>
    </row>
    <row r="1348" spans="1:10" ht="43.2" x14ac:dyDescent="0.3">
      <c r="A1348" t="s">
        <v>100</v>
      </c>
      <c r="B1348" s="2">
        <v>45562</v>
      </c>
      <c r="C1348" s="3" t="s">
        <v>36</v>
      </c>
      <c r="D1348" s="4" t="s">
        <v>56</v>
      </c>
      <c r="E1348" s="4" t="s">
        <v>38</v>
      </c>
      <c r="F1348" s="5"/>
      <c r="G1348" s="6">
        <v>100</v>
      </c>
      <c r="H1348" s="6">
        <v>130</v>
      </c>
      <c r="I1348" s="6" t="s">
        <v>387</v>
      </c>
      <c r="J1348" s="6">
        <v>120</v>
      </c>
    </row>
    <row r="1349" spans="1:10" x14ac:dyDescent="0.3">
      <c r="A1349" t="s">
        <v>100</v>
      </c>
      <c r="B1349" s="2">
        <v>45562</v>
      </c>
      <c r="C1349" s="7" t="s">
        <v>57</v>
      </c>
      <c r="D1349" s="8" t="s">
        <v>58</v>
      </c>
      <c r="E1349" s="8" t="s">
        <v>42</v>
      </c>
      <c r="F1349" s="9"/>
      <c r="G1349" s="9"/>
      <c r="H1349" s="9"/>
      <c r="I1349" s="9"/>
      <c r="J1349" s="9"/>
    </row>
    <row r="1350" spans="1:10" x14ac:dyDescent="0.3">
      <c r="A1350" t="s">
        <v>100</v>
      </c>
      <c r="B1350" s="2">
        <v>45562</v>
      </c>
      <c r="C1350" s="3" t="s">
        <v>57</v>
      </c>
      <c r="D1350" s="4" t="s">
        <v>59</v>
      </c>
      <c r="E1350" s="4" t="s">
        <v>42</v>
      </c>
      <c r="F1350" s="5"/>
      <c r="G1350" s="5"/>
      <c r="H1350" s="5"/>
      <c r="I1350" s="5"/>
      <c r="J1350" s="5"/>
    </row>
    <row r="1351" spans="1:10" x14ac:dyDescent="0.3">
      <c r="A1351" t="s">
        <v>100</v>
      </c>
      <c r="B1351" s="2">
        <v>45562</v>
      </c>
      <c r="C1351" s="7" t="s">
        <v>57</v>
      </c>
      <c r="D1351" s="8" t="s">
        <v>60</v>
      </c>
      <c r="E1351" s="8" t="s">
        <v>42</v>
      </c>
      <c r="F1351" s="9"/>
      <c r="G1351" s="9"/>
      <c r="H1351" s="9"/>
      <c r="I1351" s="9"/>
      <c r="J1351" s="9"/>
    </row>
    <row r="1352" spans="1:10" x14ac:dyDescent="0.3">
      <c r="A1352" t="s">
        <v>100</v>
      </c>
      <c r="B1352" s="2">
        <v>45562</v>
      </c>
      <c r="C1352" s="3" t="s">
        <v>57</v>
      </c>
      <c r="D1352" s="4" t="s">
        <v>61</v>
      </c>
      <c r="E1352" s="4" t="s">
        <v>42</v>
      </c>
      <c r="F1352" s="5"/>
      <c r="G1352" s="6">
        <v>50</v>
      </c>
      <c r="H1352" s="6">
        <v>50</v>
      </c>
      <c r="I1352" s="6">
        <v>50</v>
      </c>
      <c r="J1352" s="6">
        <v>50</v>
      </c>
    </row>
    <row r="1353" spans="1:10" x14ac:dyDescent="0.3">
      <c r="A1353" t="s">
        <v>100</v>
      </c>
      <c r="B1353" s="2">
        <v>45562</v>
      </c>
      <c r="C1353" s="7" t="s">
        <v>57</v>
      </c>
      <c r="D1353" s="8" t="s">
        <v>62</v>
      </c>
      <c r="E1353" s="8" t="s">
        <v>63</v>
      </c>
      <c r="F1353" s="9"/>
      <c r="G1353" s="9"/>
      <c r="H1353" s="9"/>
      <c r="I1353" s="9"/>
      <c r="J1353" s="9"/>
    </row>
    <row r="1354" spans="1:10" ht="28.8" x14ac:dyDescent="0.3">
      <c r="A1354" t="s">
        <v>101</v>
      </c>
      <c r="B1354" s="2">
        <v>45569</v>
      </c>
      <c r="C1354" s="3" t="s">
        <v>11</v>
      </c>
      <c r="D1354" s="4" t="s">
        <v>12</v>
      </c>
      <c r="E1354" s="4" t="s">
        <v>13</v>
      </c>
      <c r="F1354" s="6">
        <v>48</v>
      </c>
      <c r="G1354" s="6">
        <v>48</v>
      </c>
      <c r="H1354" s="6">
        <v>60</v>
      </c>
      <c r="I1354" s="6">
        <v>51</v>
      </c>
      <c r="J1354" s="6">
        <v>48</v>
      </c>
    </row>
    <row r="1355" spans="1:10" ht="28.8" x14ac:dyDescent="0.3">
      <c r="A1355" t="s">
        <v>101</v>
      </c>
      <c r="B1355" s="2">
        <v>45569</v>
      </c>
      <c r="C1355" s="7" t="s">
        <v>11</v>
      </c>
      <c r="D1355" s="8" t="s">
        <v>14</v>
      </c>
      <c r="E1355" s="8" t="s">
        <v>13</v>
      </c>
      <c r="F1355" s="10">
        <v>72</v>
      </c>
      <c r="G1355" s="10">
        <v>72</v>
      </c>
      <c r="H1355" s="10">
        <v>84</v>
      </c>
      <c r="I1355" s="10">
        <v>76</v>
      </c>
      <c r="J1355" s="10">
        <v>72</v>
      </c>
    </row>
    <row r="1356" spans="1:10" ht="28.8" x14ac:dyDescent="0.3">
      <c r="A1356" t="s">
        <v>101</v>
      </c>
      <c r="B1356" s="2">
        <v>45569</v>
      </c>
      <c r="C1356" s="3" t="s">
        <v>11</v>
      </c>
      <c r="D1356" s="4" t="s">
        <v>15</v>
      </c>
      <c r="E1356" s="4" t="s">
        <v>13</v>
      </c>
      <c r="F1356" s="6">
        <v>30</v>
      </c>
      <c r="G1356" s="6">
        <v>30</v>
      </c>
      <c r="H1356" s="6">
        <v>36</v>
      </c>
      <c r="I1356" s="6">
        <v>33</v>
      </c>
      <c r="J1356" s="6">
        <v>33</v>
      </c>
    </row>
    <row r="1357" spans="1:10" ht="28.8" x14ac:dyDescent="0.3">
      <c r="A1357" t="s">
        <v>101</v>
      </c>
      <c r="B1357" s="2">
        <v>45569</v>
      </c>
      <c r="C1357" s="7" t="s">
        <v>11</v>
      </c>
      <c r="D1357" s="8" t="s">
        <v>16</v>
      </c>
      <c r="E1357" s="8" t="s">
        <v>13</v>
      </c>
      <c r="F1357" s="10">
        <v>24</v>
      </c>
      <c r="G1357" s="10">
        <v>18</v>
      </c>
      <c r="H1357" s="10">
        <v>24</v>
      </c>
      <c r="I1357" s="10" t="s">
        <v>262</v>
      </c>
      <c r="J1357" s="10">
        <v>22</v>
      </c>
    </row>
    <row r="1358" spans="1:10" ht="28.8" x14ac:dyDescent="0.3">
      <c r="A1358" t="s">
        <v>101</v>
      </c>
      <c r="B1358" s="2">
        <v>45569</v>
      </c>
      <c r="C1358" s="3" t="s">
        <v>11</v>
      </c>
      <c r="D1358" s="4" t="s">
        <v>17</v>
      </c>
      <c r="E1358" s="4" t="s">
        <v>13</v>
      </c>
      <c r="F1358" s="6">
        <v>24</v>
      </c>
      <c r="G1358" s="6">
        <v>18</v>
      </c>
      <c r="H1358" s="6">
        <v>24</v>
      </c>
      <c r="I1358" s="6" t="s">
        <v>262</v>
      </c>
      <c r="J1358" s="6">
        <v>22</v>
      </c>
    </row>
    <row r="1359" spans="1:10" ht="28.8" x14ac:dyDescent="0.3">
      <c r="A1359" t="s">
        <v>101</v>
      </c>
      <c r="B1359" s="2">
        <v>45569</v>
      </c>
      <c r="C1359" s="7" t="s">
        <v>11</v>
      </c>
      <c r="D1359" s="8" t="s">
        <v>18</v>
      </c>
      <c r="E1359" s="8" t="s">
        <v>13</v>
      </c>
      <c r="F1359" s="10">
        <v>48</v>
      </c>
      <c r="G1359" s="10">
        <v>48</v>
      </c>
      <c r="H1359" s="10">
        <v>60</v>
      </c>
      <c r="I1359" s="10">
        <v>52</v>
      </c>
      <c r="J1359" s="10">
        <v>48</v>
      </c>
    </row>
    <row r="1360" spans="1:10" ht="28.8" x14ac:dyDescent="0.3">
      <c r="A1360" t="s">
        <v>101</v>
      </c>
      <c r="B1360" s="2">
        <v>45569</v>
      </c>
      <c r="C1360" s="3" t="s">
        <v>11</v>
      </c>
      <c r="D1360" s="4" t="s">
        <v>19</v>
      </c>
      <c r="E1360" s="4" t="s">
        <v>13</v>
      </c>
      <c r="F1360" s="5"/>
      <c r="G1360" s="6">
        <v>48</v>
      </c>
      <c r="H1360" s="6">
        <v>60</v>
      </c>
      <c r="I1360" s="6">
        <v>54</v>
      </c>
      <c r="J1360" s="6">
        <v>54</v>
      </c>
    </row>
    <row r="1361" spans="1:10" ht="28.8" x14ac:dyDescent="0.3">
      <c r="A1361" t="s">
        <v>101</v>
      </c>
      <c r="B1361" s="2">
        <v>45569</v>
      </c>
      <c r="C1361" s="7" t="s">
        <v>11</v>
      </c>
      <c r="D1361" s="8" t="s">
        <v>20</v>
      </c>
      <c r="E1361" s="8" t="s">
        <v>13</v>
      </c>
      <c r="F1361" s="10">
        <v>72</v>
      </c>
      <c r="G1361" s="10">
        <v>72</v>
      </c>
      <c r="H1361" s="10">
        <v>72</v>
      </c>
      <c r="I1361" s="10">
        <v>72</v>
      </c>
      <c r="J1361" s="10">
        <v>72</v>
      </c>
    </row>
    <row r="1362" spans="1:10" ht="28.8" x14ac:dyDescent="0.3">
      <c r="A1362" t="s">
        <v>101</v>
      </c>
      <c r="B1362" s="2">
        <v>45569</v>
      </c>
      <c r="C1362" s="3" t="s">
        <v>11</v>
      </c>
      <c r="D1362" s="4" t="s">
        <v>21</v>
      </c>
      <c r="E1362" s="4" t="s">
        <v>13</v>
      </c>
      <c r="F1362" s="6">
        <v>24</v>
      </c>
      <c r="G1362" s="6">
        <v>18</v>
      </c>
      <c r="H1362" s="6">
        <v>24</v>
      </c>
      <c r="I1362" s="6" t="s">
        <v>255</v>
      </c>
      <c r="J1362" s="6">
        <v>24</v>
      </c>
    </row>
    <row r="1363" spans="1:10" ht="28.8" x14ac:dyDescent="0.3">
      <c r="A1363" t="s">
        <v>101</v>
      </c>
      <c r="B1363" s="2">
        <v>45569</v>
      </c>
      <c r="C1363" s="7" t="s">
        <v>11</v>
      </c>
      <c r="D1363" s="8" t="s">
        <v>65</v>
      </c>
      <c r="E1363" s="8" t="s">
        <v>13</v>
      </c>
      <c r="F1363" s="10">
        <v>60</v>
      </c>
      <c r="G1363" s="10">
        <v>50</v>
      </c>
      <c r="H1363" s="10">
        <v>60</v>
      </c>
      <c r="I1363" s="10" t="s">
        <v>260</v>
      </c>
      <c r="J1363" s="10">
        <v>60</v>
      </c>
    </row>
    <row r="1364" spans="1:10" ht="28.8" x14ac:dyDescent="0.3">
      <c r="A1364" t="s">
        <v>101</v>
      </c>
      <c r="B1364" s="2">
        <v>45569</v>
      </c>
      <c r="C1364" s="3" t="s">
        <v>11</v>
      </c>
      <c r="D1364" s="4" t="s">
        <v>23</v>
      </c>
      <c r="E1364" s="4" t="s">
        <v>13</v>
      </c>
      <c r="F1364" s="6">
        <v>24</v>
      </c>
      <c r="G1364" s="6">
        <v>20</v>
      </c>
      <c r="H1364" s="6">
        <v>24</v>
      </c>
      <c r="I1364" s="6">
        <v>23</v>
      </c>
      <c r="J1364" s="6">
        <v>24</v>
      </c>
    </row>
    <row r="1365" spans="1:10" ht="28.8" x14ac:dyDescent="0.3">
      <c r="A1365" t="s">
        <v>101</v>
      </c>
      <c r="B1365" s="2">
        <v>45569</v>
      </c>
      <c r="C1365" s="7" t="s">
        <v>11</v>
      </c>
      <c r="D1365" s="8" t="s">
        <v>24</v>
      </c>
      <c r="E1365" s="8" t="s">
        <v>13</v>
      </c>
      <c r="F1365" s="10">
        <v>48</v>
      </c>
      <c r="G1365" s="10">
        <v>48</v>
      </c>
      <c r="H1365" s="10">
        <v>72</v>
      </c>
      <c r="I1365" s="10">
        <v>56</v>
      </c>
      <c r="J1365" s="10">
        <v>48</v>
      </c>
    </row>
    <row r="1366" spans="1:10" ht="28.8" x14ac:dyDescent="0.3">
      <c r="A1366" t="s">
        <v>101</v>
      </c>
      <c r="B1366" s="2">
        <v>45569</v>
      </c>
      <c r="C1366" s="3" t="s">
        <v>11</v>
      </c>
      <c r="D1366" s="4" t="s">
        <v>25</v>
      </c>
      <c r="E1366" s="4" t="s">
        <v>26</v>
      </c>
      <c r="F1366" s="6">
        <v>60</v>
      </c>
      <c r="G1366" s="6">
        <v>48</v>
      </c>
      <c r="H1366" s="6">
        <v>60</v>
      </c>
      <c r="I1366" s="6">
        <v>54</v>
      </c>
      <c r="J1366" s="6">
        <v>54</v>
      </c>
    </row>
    <row r="1367" spans="1:10" ht="28.8" x14ac:dyDescent="0.3">
      <c r="A1367" t="s">
        <v>101</v>
      </c>
      <c r="B1367" s="2">
        <v>45569</v>
      </c>
      <c r="C1367" s="7" t="s">
        <v>11</v>
      </c>
      <c r="D1367" s="8" t="s">
        <v>27</v>
      </c>
      <c r="E1367" s="8" t="s">
        <v>13</v>
      </c>
      <c r="F1367" s="10">
        <v>48</v>
      </c>
      <c r="G1367" s="10">
        <v>35</v>
      </c>
      <c r="H1367" s="10">
        <v>48</v>
      </c>
      <c r="I1367" s="10" t="s">
        <v>532</v>
      </c>
      <c r="J1367" s="10">
        <v>48</v>
      </c>
    </row>
    <row r="1368" spans="1:10" ht="28.8" x14ac:dyDescent="0.3">
      <c r="A1368" t="s">
        <v>101</v>
      </c>
      <c r="B1368" s="2">
        <v>45569</v>
      </c>
      <c r="C1368" s="3" t="s">
        <v>11</v>
      </c>
      <c r="D1368" s="4" t="s">
        <v>28</v>
      </c>
      <c r="E1368" s="4" t="s">
        <v>13</v>
      </c>
      <c r="F1368" s="6">
        <v>30</v>
      </c>
      <c r="G1368" s="6">
        <v>24</v>
      </c>
      <c r="H1368" s="6">
        <v>36</v>
      </c>
      <c r="I1368" s="6">
        <v>30</v>
      </c>
      <c r="J1368" s="6">
        <v>30</v>
      </c>
    </row>
    <row r="1369" spans="1:10" ht="28.8" x14ac:dyDescent="0.3">
      <c r="A1369" t="s">
        <v>101</v>
      </c>
      <c r="B1369" s="2">
        <v>45569</v>
      </c>
      <c r="C1369" s="7" t="s">
        <v>11</v>
      </c>
      <c r="D1369" s="8" t="s">
        <v>29</v>
      </c>
      <c r="E1369" s="8" t="s">
        <v>13</v>
      </c>
      <c r="F1369" s="10">
        <v>48</v>
      </c>
      <c r="G1369" s="10">
        <v>48</v>
      </c>
      <c r="H1369" s="10">
        <v>54</v>
      </c>
      <c r="I1369" s="10" t="s">
        <v>359</v>
      </c>
      <c r="J1369" s="10">
        <v>48</v>
      </c>
    </row>
    <row r="1370" spans="1:10" ht="28.8" x14ac:dyDescent="0.3">
      <c r="A1370" t="s">
        <v>101</v>
      </c>
      <c r="B1370" s="2">
        <v>45569</v>
      </c>
      <c r="C1370" s="3" t="s">
        <v>11</v>
      </c>
      <c r="D1370" s="4" t="s">
        <v>31</v>
      </c>
      <c r="E1370" s="4" t="s">
        <v>32</v>
      </c>
      <c r="F1370" s="6">
        <v>5</v>
      </c>
      <c r="G1370" s="6">
        <v>4</v>
      </c>
      <c r="H1370" s="6">
        <v>5</v>
      </c>
      <c r="I1370" s="6" t="s">
        <v>338</v>
      </c>
      <c r="J1370" s="6">
        <v>5</v>
      </c>
    </row>
    <row r="1371" spans="1:10" ht="28.8" x14ac:dyDescent="0.3">
      <c r="A1371" t="s">
        <v>101</v>
      </c>
      <c r="B1371" s="2">
        <v>45569</v>
      </c>
      <c r="C1371" s="7" t="s">
        <v>11</v>
      </c>
      <c r="D1371" s="8" t="s">
        <v>33</v>
      </c>
      <c r="E1371" s="8" t="s">
        <v>34</v>
      </c>
      <c r="F1371" s="10">
        <v>12</v>
      </c>
      <c r="G1371" s="10">
        <v>12</v>
      </c>
      <c r="H1371" s="10">
        <v>15</v>
      </c>
      <c r="I1371" s="10" t="s">
        <v>533</v>
      </c>
      <c r="J1371" s="10">
        <v>12</v>
      </c>
    </row>
    <row r="1372" spans="1:10" ht="28.8" x14ac:dyDescent="0.3">
      <c r="A1372" t="s">
        <v>101</v>
      </c>
      <c r="B1372" s="2">
        <v>45569</v>
      </c>
      <c r="C1372" s="3" t="s">
        <v>11</v>
      </c>
      <c r="D1372" s="4" t="s">
        <v>35</v>
      </c>
      <c r="E1372" s="4" t="s">
        <v>34</v>
      </c>
      <c r="F1372" s="6">
        <v>20</v>
      </c>
      <c r="G1372" s="6">
        <v>20</v>
      </c>
      <c r="H1372" s="6">
        <v>30</v>
      </c>
      <c r="I1372" s="6" t="s">
        <v>500</v>
      </c>
      <c r="J1372" s="6" t="s">
        <v>255</v>
      </c>
    </row>
    <row r="1373" spans="1:10" ht="43.2" x14ac:dyDescent="0.3">
      <c r="A1373" t="s">
        <v>101</v>
      </c>
      <c r="B1373" s="2">
        <v>45569</v>
      </c>
      <c r="C1373" s="7" t="s">
        <v>36</v>
      </c>
      <c r="D1373" s="8" t="s">
        <v>73</v>
      </c>
      <c r="E1373" s="8" t="s">
        <v>74</v>
      </c>
      <c r="F1373" s="10">
        <v>80</v>
      </c>
      <c r="G1373" s="10">
        <v>75</v>
      </c>
      <c r="H1373" s="10">
        <v>80</v>
      </c>
      <c r="I1373" s="10" t="s">
        <v>445</v>
      </c>
      <c r="J1373" s="10">
        <v>80</v>
      </c>
    </row>
    <row r="1374" spans="1:10" ht="43.2" x14ac:dyDescent="0.3">
      <c r="A1374" t="s">
        <v>101</v>
      </c>
      <c r="B1374" s="2">
        <v>45569</v>
      </c>
      <c r="C1374" s="3" t="s">
        <v>36</v>
      </c>
      <c r="D1374" s="4" t="s">
        <v>37</v>
      </c>
      <c r="E1374" s="4" t="s">
        <v>38</v>
      </c>
      <c r="F1374" s="6">
        <v>35</v>
      </c>
      <c r="G1374" s="6">
        <v>35</v>
      </c>
      <c r="H1374" s="6">
        <v>50</v>
      </c>
      <c r="I1374" s="6" t="s">
        <v>534</v>
      </c>
      <c r="J1374" s="6">
        <v>40</v>
      </c>
    </row>
    <row r="1375" spans="1:10" ht="43.2" x14ac:dyDescent="0.3">
      <c r="A1375" t="s">
        <v>101</v>
      </c>
      <c r="B1375" s="2">
        <v>45569</v>
      </c>
      <c r="C1375" s="7" t="s">
        <v>36</v>
      </c>
      <c r="D1375" s="8" t="s">
        <v>39</v>
      </c>
      <c r="E1375" s="8" t="s">
        <v>40</v>
      </c>
      <c r="F1375" s="10">
        <v>70</v>
      </c>
      <c r="G1375" s="10">
        <v>45</v>
      </c>
      <c r="H1375" s="10">
        <v>70</v>
      </c>
      <c r="I1375" s="10" t="s">
        <v>268</v>
      </c>
      <c r="J1375" s="10" t="s">
        <v>272</v>
      </c>
    </row>
    <row r="1376" spans="1:10" ht="43.2" x14ac:dyDescent="0.3">
      <c r="A1376" t="s">
        <v>101</v>
      </c>
      <c r="B1376" s="2">
        <v>45569</v>
      </c>
      <c r="C1376" s="3" t="s">
        <v>36</v>
      </c>
      <c r="D1376" s="4" t="s">
        <v>41</v>
      </c>
      <c r="E1376" s="4" t="s">
        <v>42</v>
      </c>
      <c r="F1376" s="6">
        <v>60</v>
      </c>
      <c r="G1376" s="6">
        <v>50</v>
      </c>
      <c r="H1376" s="6">
        <v>60</v>
      </c>
      <c r="I1376" s="6" t="s">
        <v>256</v>
      </c>
      <c r="J1376" s="6">
        <v>60</v>
      </c>
    </row>
    <row r="1377" spans="1:10" ht="43.2" x14ac:dyDescent="0.3">
      <c r="A1377" t="s">
        <v>101</v>
      </c>
      <c r="B1377" s="2">
        <v>45569</v>
      </c>
      <c r="C1377" s="7" t="s">
        <v>36</v>
      </c>
      <c r="D1377" s="8" t="s">
        <v>43</v>
      </c>
      <c r="E1377" s="8" t="s">
        <v>42</v>
      </c>
      <c r="F1377" s="9"/>
      <c r="G1377" s="10">
        <v>75</v>
      </c>
      <c r="H1377" s="10">
        <v>120</v>
      </c>
      <c r="I1377" s="10" t="s">
        <v>342</v>
      </c>
      <c r="J1377" s="10" t="s">
        <v>342</v>
      </c>
    </row>
    <row r="1378" spans="1:10" ht="43.2" x14ac:dyDescent="0.3">
      <c r="A1378" t="s">
        <v>101</v>
      </c>
      <c r="B1378" s="2">
        <v>45569</v>
      </c>
      <c r="C1378" s="3" t="s">
        <v>36</v>
      </c>
      <c r="D1378" s="4" t="s">
        <v>44</v>
      </c>
      <c r="E1378" s="4" t="s">
        <v>45</v>
      </c>
      <c r="F1378" s="5"/>
      <c r="G1378" s="6">
        <v>60</v>
      </c>
      <c r="H1378" s="6">
        <v>80</v>
      </c>
      <c r="I1378" s="6" t="s">
        <v>282</v>
      </c>
      <c r="J1378" s="6" t="s">
        <v>272</v>
      </c>
    </row>
    <row r="1379" spans="1:10" ht="43.2" x14ac:dyDescent="0.3">
      <c r="A1379" t="s">
        <v>101</v>
      </c>
      <c r="B1379" s="2">
        <v>45569</v>
      </c>
      <c r="C1379" s="7" t="s">
        <v>36</v>
      </c>
      <c r="D1379" s="8" t="s">
        <v>46</v>
      </c>
      <c r="E1379" s="8" t="s">
        <v>40</v>
      </c>
      <c r="F1379" s="10">
        <v>55</v>
      </c>
      <c r="G1379" s="10">
        <v>30</v>
      </c>
      <c r="H1379" s="10">
        <v>60</v>
      </c>
      <c r="I1379" s="10">
        <v>50</v>
      </c>
      <c r="J1379" s="10">
        <v>55</v>
      </c>
    </row>
    <row r="1380" spans="1:10" ht="43.2" x14ac:dyDescent="0.3">
      <c r="A1380" t="s">
        <v>101</v>
      </c>
      <c r="B1380" s="2">
        <v>45569</v>
      </c>
      <c r="C1380" s="3" t="s">
        <v>36</v>
      </c>
      <c r="D1380" s="4" t="s">
        <v>47</v>
      </c>
      <c r="E1380" s="4" t="s">
        <v>40</v>
      </c>
      <c r="F1380" s="6">
        <v>60</v>
      </c>
      <c r="G1380" s="6">
        <v>60</v>
      </c>
      <c r="H1380" s="6">
        <v>85</v>
      </c>
      <c r="I1380" s="6" t="s">
        <v>272</v>
      </c>
      <c r="J1380" s="6" t="s">
        <v>268</v>
      </c>
    </row>
    <row r="1381" spans="1:10" ht="43.2" x14ac:dyDescent="0.3">
      <c r="A1381" t="s">
        <v>101</v>
      </c>
      <c r="B1381" s="2">
        <v>45569</v>
      </c>
      <c r="C1381" s="7" t="s">
        <v>36</v>
      </c>
      <c r="D1381" s="8" t="s">
        <v>48</v>
      </c>
      <c r="E1381" s="8" t="s">
        <v>38</v>
      </c>
      <c r="F1381" s="10">
        <v>120</v>
      </c>
      <c r="G1381" s="10">
        <v>120</v>
      </c>
      <c r="H1381" s="10">
        <v>120</v>
      </c>
      <c r="I1381" s="10">
        <v>120</v>
      </c>
      <c r="J1381" s="10">
        <v>120</v>
      </c>
    </row>
    <row r="1382" spans="1:10" ht="43.2" x14ac:dyDescent="0.3">
      <c r="A1382" t="s">
        <v>101</v>
      </c>
      <c r="B1382" s="2">
        <v>45569</v>
      </c>
      <c r="C1382" s="3" t="s">
        <v>36</v>
      </c>
      <c r="D1382" s="4" t="s">
        <v>49</v>
      </c>
      <c r="E1382" s="4" t="s">
        <v>40</v>
      </c>
      <c r="F1382" s="5"/>
      <c r="G1382" s="6">
        <v>50</v>
      </c>
      <c r="H1382" s="6">
        <v>50</v>
      </c>
      <c r="I1382" s="6">
        <v>50</v>
      </c>
      <c r="J1382" s="6">
        <v>50</v>
      </c>
    </row>
    <row r="1383" spans="1:10" ht="43.2" x14ac:dyDescent="0.3">
      <c r="A1383" t="s">
        <v>101</v>
      </c>
      <c r="B1383" s="2">
        <v>45569</v>
      </c>
      <c r="C1383" s="7" t="s">
        <v>36</v>
      </c>
      <c r="D1383" s="8" t="s">
        <v>50</v>
      </c>
      <c r="E1383" s="8" t="s">
        <v>38</v>
      </c>
      <c r="F1383" s="10">
        <v>100</v>
      </c>
      <c r="G1383" s="10">
        <v>100</v>
      </c>
      <c r="H1383" s="10">
        <v>100</v>
      </c>
      <c r="I1383" s="10">
        <v>100</v>
      </c>
      <c r="J1383" s="10">
        <v>100</v>
      </c>
    </row>
    <row r="1384" spans="1:10" ht="43.2" x14ac:dyDescent="0.3">
      <c r="A1384" t="s">
        <v>101</v>
      </c>
      <c r="B1384" s="2">
        <v>45569</v>
      </c>
      <c r="C1384" s="3" t="s">
        <v>36</v>
      </c>
      <c r="D1384" s="4" t="s">
        <v>51</v>
      </c>
      <c r="E1384" s="4" t="s">
        <v>38</v>
      </c>
      <c r="F1384" s="6">
        <v>120</v>
      </c>
      <c r="G1384" s="6">
        <v>120</v>
      </c>
      <c r="H1384" s="6">
        <v>140</v>
      </c>
      <c r="I1384" s="6" t="s">
        <v>426</v>
      </c>
      <c r="J1384" s="6">
        <v>125</v>
      </c>
    </row>
    <row r="1385" spans="1:10" ht="43.2" x14ac:dyDescent="0.3">
      <c r="A1385" t="s">
        <v>101</v>
      </c>
      <c r="B1385" s="2">
        <v>45569</v>
      </c>
      <c r="C1385" s="7" t="s">
        <v>36</v>
      </c>
      <c r="D1385" s="8" t="s">
        <v>52</v>
      </c>
      <c r="E1385" s="8" t="s">
        <v>42</v>
      </c>
      <c r="F1385" s="9"/>
      <c r="G1385" s="10">
        <v>45</v>
      </c>
      <c r="H1385" s="10">
        <v>80</v>
      </c>
      <c r="I1385" s="10">
        <v>60</v>
      </c>
      <c r="J1385" s="10" t="s">
        <v>256</v>
      </c>
    </row>
    <row r="1386" spans="1:10" ht="43.2" x14ac:dyDescent="0.3">
      <c r="A1386" t="s">
        <v>101</v>
      </c>
      <c r="B1386" s="2">
        <v>45569</v>
      </c>
      <c r="C1386" s="3" t="s">
        <v>36</v>
      </c>
      <c r="D1386" s="4" t="s">
        <v>53</v>
      </c>
      <c r="E1386" s="4" t="s">
        <v>54</v>
      </c>
      <c r="F1386" s="6">
        <v>140</v>
      </c>
      <c r="G1386" s="6">
        <v>140</v>
      </c>
      <c r="H1386" s="6">
        <v>175</v>
      </c>
      <c r="I1386" s="6" t="s">
        <v>535</v>
      </c>
      <c r="J1386" s="6">
        <v>145</v>
      </c>
    </row>
    <row r="1387" spans="1:10" ht="43.2" x14ac:dyDescent="0.3">
      <c r="A1387" t="s">
        <v>101</v>
      </c>
      <c r="B1387" s="2">
        <v>45569</v>
      </c>
      <c r="C1387" s="7" t="s">
        <v>36</v>
      </c>
      <c r="D1387" s="8" t="s">
        <v>55</v>
      </c>
      <c r="E1387" s="8" t="s">
        <v>38</v>
      </c>
      <c r="F1387" s="10">
        <v>80</v>
      </c>
      <c r="G1387" s="10">
        <v>45</v>
      </c>
      <c r="H1387" s="10">
        <v>90</v>
      </c>
      <c r="I1387" s="10" t="s">
        <v>536</v>
      </c>
      <c r="J1387" s="10">
        <v>80</v>
      </c>
    </row>
    <row r="1388" spans="1:10" ht="43.2" x14ac:dyDescent="0.3">
      <c r="A1388" t="s">
        <v>101</v>
      </c>
      <c r="B1388" s="2">
        <v>45569</v>
      </c>
      <c r="C1388" s="3" t="s">
        <v>36</v>
      </c>
      <c r="D1388" s="4" t="s">
        <v>56</v>
      </c>
      <c r="E1388" s="4" t="s">
        <v>38</v>
      </c>
      <c r="F1388" s="6">
        <v>110</v>
      </c>
      <c r="G1388" s="6">
        <v>110</v>
      </c>
      <c r="H1388" s="6">
        <v>120</v>
      </c>
      <c r="I1388" s="6" t="s">
        <v>400</v>
      </c>
      <c r="J1388" s="6">
        <v>110</v>
      </c>
    </row>
    <row r="1389" spans="1:10" x14ac:dyDescent="0.3">
      <c r="A1389" t="s">
        <v>101</v>
      </c>
      <c r="B1389" s="2">
        <v>45569</v>
      </c>
      <c r="C1389" s="7" t="s">
        <v>57</v>
      </c>
      <c r="D1389" s="8" t="s">
        <v>58</v>
      </c>
      <c r="E1389" s="8" t="s">
        <v>42</v>
      </c>
      <c r="F1389" s="9"/>
      <c r="G1389" s="9"/>
      <c r="H1389" s="9"/>
      <c r="I1389" s="9"/>
      <c r="J1389" s="9"/>
    </row>
    <row r="1390" spans="1:10" x14ac:dyDescent="0.3">
      <c r="A1390" t="s">
        <v>101</v>
      </c>
      <c r="B1390" s="2">
        <v>45569</v>
      </c>
      <c r="C1390" s="3" t="s">
        <v>57</v>
      </c>
      <c r="D1390" s="4" t="s">
        <v>59</v>
      </c>
      <c r="E1390" s="4" t="s">
        <v>42</v>
      </c>
      <c r="F1390" s="5"/>
      <c r="G1390" s="5"/>
      <c r="H1390" s="5"/>
      <c r="I1390" s="5"/>
      <c r="J1390" s="5"/>
    </row>
    <row r="1391" spans="1:10" x14ac:dyDescent="0.3">
      <c r="A1391" t="s">
        <v>101</v>
      </c>
      <c r="B1391" s="2">
        <v>45569</v>
      </c>
      <c r="C1391" s="7" t="s">
        <v>57</v>
      </c>
      <c r="D1391" s="8" t="s">
        <v>60</v>
      </c>
      <c r="E1391" s="8" t="s">
        <v>42</v>
      </c>
      <c r="F1391" s="9"/>
      <c r="G1391" s="9"/>
      <c r="H1391" s="9"/>
      <c r="I1391" s="9"/>
      <c r="J1391" s="9"/>
    </row>
    <row r="1392" spans="1:10" x14ac:dyDescent="0.3">
      <c r="A1392" t="s">
        <v>101</v>
      </c>
      <c r="B1392" s="2">
        <v>45569</v>
      </c>
      <c r="C1392" s="3" t="s">
        <v>57</v>
      </c>
      <c r="D1392" s="4" t="s">
        <v>61</v>
      </c>
      <c r="E1392" s="4" t="s">
        <v>42</v>
      </c>
      <c r="F1392" s="5"/>
      <c r="G1392" s="6">
        <v>60</v>
      </c>
      <c r="H1392" s="6">
        <v>60</v>
      </c>
      <c r="I1392" s="6">
        <v>60</v>
      </c>
      <c r="J1392" s="6">
        <v>60</v>
      </c>
    </row>
    <row r="1393" spans="1:10" x14ac:dyDescent="0.3">
      <c r="A1393" t="s">
        <v>101</v>
      </c>
      <c r="B1393" s="2">
        <v>45569</v>
      </c>
      <c r="C1393" s="7" t="s">
        <v>57</v>
      </c>
      <c r="D1393" s="8" t="s">
        <v>62</v>
      </c>
      <c r="E1393" s="8" t="s">
        <v>63</v>
      </c>
      <c r="F1393" s="9"/>
      <c r="G1393" s="9"/>
      <c r="H1393" s="9"/>
      <c r="I1393" s="9"/>
      <c r="J1393" s="9"/>
    </row>
    <row r="1394" spans="1:10" ht="28.8" x14ac:dyDescent="0.3">
      <c r="A1394" t="s">
        <v>102</v>
      </c>
      <c r="B1394" s="2">
        <v>45576</v>
      </c>
      <c r="C1394" s="3" t="s">
        <v>11</v>
      </c>
      <c r="D1394" s="4" t="s">
        <v>12</v>
      </c>
      <c r="E1394" s="4" t="s">
        <v>13</v>
      </c>
      <c r="F1394" s="6">
        <v>48</v>
      </c>
      <c r="G1394" s="6">
        <v>36</v>
      </c>
      <c r="H1394" s="6">
        <v>60</v>
      </c>
      <c r="I1394" s="6">
        <v>48</v>
      </c>
      <c r="J1394" s="6">
        <v>48</v>
      </c>
    </row>
    <row r="1395" spans="1:10" ht="28.8" x14ac:dyDescent="0.3">
      <c r="A1395" t="s">
        <v>102</v>
      </c>
      <c r="B1395" s="2">
        <v>45576</v>
      </c>
      <c r="C1395" s="7" t="s">
        <v>11</v>
      </c>
      <c r="D1395" s="8" t="s">
        <v>14</v>
      </c>
      <c r="E1395" s="8" t="s">
        <v>13</v>
      </c>
      <c r="F1395" s="10">
        <v>84</v>
      </c>
      <c r="G1395" s="10">
        <v>72</v>
      </c>
      <c r="H1395" s="10">
        <v>84</v>
      </c>
      <c r="I1395" s="10">
        <v>80</v>
      </c>
      <c r="J1395" s="10">
        <v>84</v>
      </c>
    </row>
    <row r="1396" spans="1:10" ht="28.8" x14ac:dyDescent="0.3">
      <c r="A1396" t="s">
        <v>102</v>
      </c>
      <c r="B1396" s="2">
        <v>45576</v>
      </c>
      <c r="C1396" s="3" t="s">
        <v>11</v>
      </c>
      <c r="D1396" s="4" t="s">
        <v>15</v>
      </c>
      <c r="E1396" s="4" t="s">
        <v>13</v>
      </c>
      <c r="F1396" s="6">
        <v>36</v>
      </c>
      <c r="G1396" s="6">
        <v>25</v>
      </c>
      <c r="H1396" s="6">
        <v>42</v>
      </c>
      <c r="I1396" s="6" t="s">
        <v>537</v>
      </c>
      <c r="J1396" s="6">
        <v>36</v>
      </c>
    </row>
    <row r="1397" spans="1:10" ht="28.8" x14ac:dyDescent="0.3">
      <c r="A1397" t="s">
        <v>102</v>
      </c>
      <c r="B1397" s="2">
        <v>45576</v>
      </c>
      <c r="C1397" s="7" t="s">
        <v>11</v>
      </c>
      <c r="D1397" s="8" t="s">
        <v>16</v>
      </c>
      <c r="E1397" s="8" t="s">
        <v>13</v>
      </c>
      <c r="F1397" s="10">
        <v>18</v>
      </c>
      <c r="G1397" s="10">
        <v>18</v>
      </c>
      <c r="H1397" s="10">
        <v>24</v>
      </c>
      <c r="I1397" s="10">
        <v>21</v>
      </c>
      <c r="J1397" s="10">
        <v>21</v>
      </c>
    </row>
    <row r="1398" spans="1:10" ht="28.8" x14ac:dyDescent="0.3">
      <c r="A1398" t="s">
        <v>102</v>
      </c>
      <c r="B1398" s="2">
        <v>45576</v>
      </c>
      <c r="C1398" s="3" t="s">
        <v>11</v>
      </c>
      <c r="D1398" s="4" t="s">
        <v>17</v>
      </c>
      <c r="E1398" s="4" t="s">
        <v>13</v>
      </c>
      <c r="F1398" s="6">
        <v>18</v>
      </c>
      <c r="G1398" s="6">
        <v>18</v>
      </c>
      <c r="H1398" s="6">
        <v>24</v>
      </c>
      <c r="I1398" s="6">
        <v>21</v>
      </c>
      <c r="J1398" s="6">
        <v>21</v>
      </c>
    </row>
    <row r="1399" spans="1:10" ht="28.8" x14ac:dyDescent="0.3">
      <c r="A1399" t="s">
        <v>102</v>
      </c>
      <c r="B1399" s="2">
        <v>45576</v>
      </c>
      <c r="C1399" s="7" t="s">
        <v>11</v>
      </c>
      <c r="D1399" s="8" t="s">
        <v>18</v>
      </c>
      <c r="E1399" s="8" t="s">
        <v>13</v>
      </c>
      <c r="F1399" s="10">
        <v>60</v>
      </c>
      <c r="G1399" s="10">
        <v>60</v>
      </c>
      <c r="H1399" s="10">
        <v>60</v>
      </c>
      <c r="I1399" s="10">
        <v>60</v>
      </c>
      <c r="J1399" s="10">
        <v>60</v>
      </c>
    </row>
    <row r="1400" spans="1:10" ht="28.8" x14ac:dyDescent="0.3">
      <c r="A1400" t="s">
        <v>102</v>
      </c>
      <c r="B1400" s="2">
        <v>45576</v>
      </c>
      <c r="C1400" s="3" t="s">
        <v>11</v>
      </c>
      <c r="D1400" s="4" t="s">
        <v>19</v>
      </c>
      <c r="E1400" s="4" t="s">
        <v>13</v>
      </c>
      <c r="F1400" s="5"/>
      <c r="G1400" s="6">
        <v>42</v>
      </c>
      <c r="H1400" s="6">
        <v>72</v>
      </c>
      <c r="I1400" s="6">
        <v>58</v>
      </c>
      <c r="J1400" s="6">
        <v>60</v>
      </c>
    </row>
    <row r="1401" spans="1:10" ht="28.8" x14ac:dyDescent="0.3">
      <c r="A1401" t="s">
        <v>102</v>
      </c>
      <c r="B1401" s="2">
        <v>45576</v>
      </c>
      <c r="C1401" s="7" t="s">
        <v>11</v>
      </c>
      <c r="D1401" s="8" t="s">
        <v>20</v>
      </c>
      <c r="E1401" s="8" t="s">
        <v>13</v>
      </c>
      <c r="F1401" s="10">
        <v>72</v>
      </c>
      <c r="G1401" s="10">
        <v>60</v>
      </c>
      <c r="H1401" s="10">
        <v>72</v>
      </c>
      <c r="I1401" s="10">
        <v>69</v>
      </c>
      <c r="J1401" s="10">
        <v>72</v>
      </c>
    </row>
    <row r="1402" spans="1:10" ht="28.8" x14ac:dyDescent="0.3">
      <c r="A1402" t="s">
        <v>102</v>
      </c>
      <c r="B1402" s="2">
        <v>45576</v>
      </c>
      <c r="C1402" s="3" t="s">
        <v>11</v>
      </c>
      <c r="D1402" s="4" t="s">
        <v>21</v>
      </c>
      <c r="E1402" s="4" t="s">
        <v>13</v>
      </c>
      <c r="F1402" s="6">
        <v>18</v>
      </c>
      <c r="G1402" s="6">
        <v>18</v>
      </c>
      <c r="H1402" s="6">
        <v>24</v>
      </c>
      <c r="I1402" s="6">
        <v>21</v>
      </c>
      <c r="J1402" s="6">
        <v>21</v>
      </c>
    </row>
    <row r="1403" spans="1:10" ht="28.8" x14ac:dyDescent="0.3">
      <c r="A1403" t="s">
        <v>102</v>
      </c>
      <c r="B1403" s="2">
        <v>45576</v>
      </c>
      <c r="C1403" s="7" t="s">
        <v>11</v>
      </c>
      <c r="D1403" s="8" t="s">
        <v>65</v>
      </c>
      <c r="E1403" s="8" t="s">
        <v>13</v>
      </c>
      <c r="F1403" s="9"/>
      <c r="G1403" s="10">
        <v>50</v>
      </c>
      <c r="H1403" s="10">
        <v>78</v>
      </c>
      <c r="I1403" s="10" t="s">
        <v>358</v>
      </c>
      <c r="J1403" s="10">
        <v>60</v>
      </c>
    </row>
    <row r="1404" spans="1:10" ht="28.8" x14ac:dyDescent="0.3">
      <c r="A1404" t="s">
        <v>102</v>
      </c>
      <c r="B1404" s="2">
        <v>45576</v>
      </c>
      <c r="C1404" s="3" t="s">
        <v>11</v>
      </c>
      <c r="D1404" s="4" t="s">
        <v>23</v>
      </c>
      <c r="E1404" s="4" t="s">
        <v>13</v>
      </c>
      <c r="F1404" s="6">
        <v>18</v>
      </c>
      <c r="G1404" s="6">
        <v>18</v>
      </c>
      <c r="H1404" s="6">
        <v>24</v>
      </c>
      <c r="I1404" s="6">
        <v>21</v>
      </c>
      <c r="J1404" s="6">
        <v>21</v>
      </c>
    </row>
    <row r="1405" spans="1:10" ht="28.8" x14ac:dyDescent="0.3">
      <c r="A1405" t="s">
        <v>102</v>
      </c>
      <c r="B1405" s="2">
        <v>45576</v>
      </c>
      <c r="C1405" s="7" t="s">
        <v>11</v>
      </c>
      <c r="D1405" s="8" t="s">
        <v>24</v>
      </c>
      <c r="E1405" s="8" t="s">
        <v>13</v>
      </c>
      <c r="F1405" s="10">
        <v>60</v>
      </c>
      <c r="G1405" s="10">
        <v>48</v>
      </c>
      <c r="H1405" s="10">
        <v>60</v>
      </c>
      <c r="I1405" s="10">
        <v>56</v>
      </c>
      <c r="J1405" s="10">
        <v>60</v>
      </c>
    </row>
    <row r="1406" spans="1:10" ht="28.8" x14ac:dyDescent="0.3">
      <c r="A1406" t="s">
        <v>102</v>
      </c>
      <c r="B1406" s="2">
        <v>45576</v>
      </c>
      <c r="C1406" s="3" t="s">
        <v>11</v>
      </c>
      <c r="D1406" s="4" t="s">
        <v>25</v>
      </c>
      <c r="E1406" s="4" t="s">
        <v>26</v>
      </c>
      <c r="F1406" s="6">
        <v>60</v>
      </c>
      <c r="G1406" s="6">
        <v>36</v>
      </c>
      <c r="H1406" s="6">
        <v>60</v>
      </c>
      <c r="I1406" s="6">
        <v>51</v>
      </c>
      <c r="J1406" s="6">
        <v>54</v>
      </c>
    </row>
    <row r="1407" spans="1:10" ht="28.8" x14ac:dyDescent="0.3">
      <c r="A1407" t="s">
        <v>102</v>
      </c>
      <c r="B1407" s="2">
        <v>45576</v>
      </c>
      <c r="C1407" s="7" t="s">
        <v>11</v>
      </c>
      <c r="D1407" s="8" t="s">
        <v>27</v>
      </c>
      <c r="E1407" s="8" t="s">
        <v>13</v>
      </c>
      <c r="F1407" s="9"/>
      <c r="G1407" s="10">
        <v>48</v>
      </c>
      <c r="H1407" s="10">
        <v>72</v>
      </c>
      <c r="I1407" s="10">
        <v>60</v>
      </c>
      <c r="J1407" s="10">
        <v>60</v>
      </c>
    </row>
    <row r="1408" spans="1:10" ht="28.8" x14ac:dyDescent="0.3">
      <c r="A1408" t="s">
        <v>102</v>
      </c>
      <c r="B1408" s="2">
        <v>45576</v>
      </c>
      <c r="C1408" s="3" t="s">
        <v>11</v>
      </c>
      <c r="D1408" s="4" t="s">
        <v>28</v>
      </c>
      <c r="E1408" s="4" t="s">
        <v>13</v>
      </c>
      <c r="F1408" s="6">
        <v>24</v>
      </c>
      <c r="G1408" s="6">
        <v>24</v>
      </c>
      <c r="H1408" s="6">
        <v>36</v>
      </c>
      <c r="I1408" s="6" t="s">
        <v>365</v>
      </c>
      <c r="J1408" s="6">
        <v>27</v>
      </c>
    </row>
    <row r="1409" spans="1:10" ht="28.8" x14ac:dyDescent="0.3">
      <c r="A1409" t="s">
        <v>102</v>
      </c>
      <c r="B1409" s="2">
        <v>45576</v>
      </c>
      <c r="C1409" s="7" t="s">
        <v>30</v>
      </c>
      <c r="D1409" s="8" t="s">
        <v>31</v>
      </c>
      <c r="E1409" s="8" t="s">
        <v>32</v>
      </c>
      <c r="F1409" s="10">
        <v>5</v>
      </c>
      <c r="G1409" s="10">
        <v>5</v>
      </c>
      <c r="H1409" s="10">
        <v>5</v>
      </c>
      <c r="I1409" s="10">
        <v>5</v>
      </c>
      <c r="J1409" s="10">
        <v>5</v>
      </c>
    </row>
    <row r="1410" spans="1:10" ht="28.8" x14ac:dyDescent="0.3">
      <c r="A1410" t="s">
        <v>102</v>
      </c>
      <c r="B1410" s="2">
        <v>45576</v>
      </c>
      <c r="C1410" s="3" t="s">
        <v>30</v>
      </c>
      <c r="D1410" s="4" t="s">
        <v>33</v>
      </c>
      <c r="E1410" s="4" t="s">
        <v>34</v>
      </c>
      <c r="F1410" s="6">
        <v>12</v>
      </c>
      <c r="G1410" s="6">
        <v>12</v>
      </c>
      <c r="H1410" s="6">
        <v>15</v>
      </c>
      <c r="I1410" s="6" t="s">
        <v>461</v>
      </c>
      <c r="J1410" s="6" t="s">
        <v>461</v>
      </c>
    </row>
    <row r="1411" spans="1:10" ht="28.8" x14ac:dyDescent="0.3">
      <c r="A1411" t="s">
        <v>102</v>
      </c>
      <c r="B1411" s="2">
        <v>45576</v>
      </c>
      <c r="C1411" s="7" t="s">
        <v>30</v>
      </c>
      <c r="D1411" s="8" t="s">
        <v>35</v>
      </c>
      <c r="E1411" s="8" t="s">
        <v>34</v>
      </c>
      <c r="F1411" s="9"/>
      <c r="G1411" s="10">
        <v>35</v>
      </c>
      <c r="H1411" s="10">
        <v>20</v>
      </c>
      <c r="I1411" s="10">
        <v>35</v>
      </c>
      <c r="J1411" s="10" t="s">
        <v>538</v>
      </c>
    </row>
    <row r="1412" spans="1:10" ht="43.2" x14ac:dyDescent="0.3">
      <c r="A1412" t="s">
        <v>102</v>
      </c>
      <c r="B1412" s="2">
        <v>45576</v>
      </c>
      <c r="C1412" s="3" t="s">
        <v>36</v>
      </c>
      <c r="D1412" s="4" t="s">
        <v>73</v>
      </c>
      <c r="E1412" s="4" t="s">
        <v>74</v>
      </c>
      <c r="F1412" s="5"/>
      <c r="G1412" s="6">
        <v>80</v>
      </c>
      <c r="H1412" s="6">
        <v>80</v>
      </c>
      <c r="I1412" s="6">
        <v>80</v>
      </c>
      <c r="J1412" s="6">
        <v>80</v>
      </c>
    </row>
    <row r="1413" spans="1:10" ht="43.2" x14ac:dyDescent="0.3">
      <c r="A1413" t="s">
        <v>102</v>
      </c>
      <c r="B1413" s="2">
        <v>45576</v>
      </c>
      <c r="C1413" s="7" t="s">
        <v>36</v>
      </c>
      <c r="D1413" s="8" t="s">
        <v>37</v>
      </c>
      <c r="E1413" s="8" t="s">
        <v>38</v>
      </c>
      <c r="F1413" s="10">
        <v>40</v>
      </c>
      <c r="G1413" s="10">
        <v>30</v>
      </c>
      <c r="H1413" s="10">
        <v>40</v>
      </c>
      <c r="I1413" s="10">
        <v>35</v>
      </c>
      <c r="J1413" s="10">
        <v>35</v>
      </c>
    </row>
    <row r="1414" spans="1:10" ht="43.2" x14ac:dyDescent="0.3">
      <c r="A1414" t="s">
        <v>102</v>
      </c>
      <c r="B1414" s="2">
        <v>45576</v>
      </c>
      <c r="C1414" s="3" t="s">
        <v>36</v>
      </c>
      <c r="D1414" s="4" t="s">
        <v>39</v>
      </c>
      <c r="E1414" s="4" t="s">
        <v>40</v>
      </c>
      <c r="F1414" s="6">
        <v>45</v>
      </c>
      <c r="G1414" s="6">
        <v>45</v>
      </c>
      <c r="H1414" s="6">
        <v>70</v>
      </c>
      <c r="I1414" s="6" t="s">
        <v>421</v>
      </c>
      <c r="J1414" s="6">
        <v>55</v>
      </c>
    </row>
    <row r="1415" spans="1:10" ht="43.2" x14ac:dyDescent="0.3">
      <c r="A1415" t="s">
        <v>102</v>
      </c>
      <c r="B1415" s="2">
        <v>45576</v>
      </c>
      <c r="C1415" s="7" t="s">
        <v>36</v>
      </c>
      <c r="D1415" s="8" t="s">
        <v>41</v>
      </c>
      <c r="E1415" s="8" t="s">
        <v>42</v>
      </c>
      <c r="F1415" s="9"/>
      <c r="G1415" s="10">
        <v>50</v>
      </c>
      <c r="H1415" s="10">
        <v>70</v>
      </c>
      <c r="I1415" s="10">
        <v>60</v>
      </c>
      <c r="J1415" s="10">
        <v>60</v>
      </c>
    </row>
    <row r="1416" spans="1:10" ht="43.2" x14ac:dyDescent="0.3">
      <c r="A1416" t="s">
        <v>102</v>
      </c>
      <c r="B1416" s="2">
        <v>45576</v>
      </c>
      <c r="C1416" s="3" t="s">
        <v>36</v>
      </c>
      <c r="D1416" s="4" t="s">
        <v>43</v>
      </c>
      <c r="E1416" s="4" t="s">
        <v>42</v>
      </c>
      <c r="F1416" s="5"/>
      <c r="G1416" s="6">
        <v>45</v>
      </c>
      <c r="H1416" s="6">
        <v>110</v>
      </c>
      <c r="I1416" s="6" t="s">
        <v>539</v>
      </c>
      <c r="J1416" s="6">
        <v>90</v>
      </c>
    </row>
    <row r="1417" spans="1:10" ht="43.2" x14ac:dyDescent="0.3">
      <c r="A1417" t="s">
        <v>102</v>
      </c>
      <c r="B1417" s="2">
        <v>45576</v>
      </c>
      <c r="C1417" s="7" t="s">
        <v>36</v>
      </c>
      <c r="D1417" s="8" t="s">
        <v>46</v>
      </c>
      <c r="E1417" s="8" t="s">
        <v>40</v>
      </c>
      <c r="F1417" s="10">
        <v>55</v>
      </c>
      <c r="G1417" s="10">
        <v>40</v>
      </c>
      <c r="H1417" s="10">
        <v>55</v>
      </c>
      <c r="I1417" s="10" t="s">
        <v>325</v>
      </c>
      <c r="J1417" s="10">
        <v>50</v>
      </c>
    </row>
    <row r="1418" spans="1:10" ht="43.2" x14ac:dyDescent="0.3">
      <c r="A1418" t="s">
        <v>102</v>
      </c>
      <c r="B1418" s="2">
        <v>45576</v>
      </c>
      <c r="C1418" s="3" t="s">
        <v>36</v>
      </c>
      <c r="D1418" s="4" t="s">
        <v>47</v>
      </c>
      <c r="E1418" s="4" t="s">
        <v>40</v>
      </c>
      <c r="F1418" s="5"/>
      <c r="G1418" s="6">
        <v>55</v>
      </c>
      <c r="H1418" s="6">
        <v>85</v>
      </c>
      <c r="I1418" s="6" t="s">
        <v>282</v>
      </c>
      <c r="J1418" s="6" t="s">
        <v>272</v>
      </c>
    </row>
    <row r="1419" spans="1:10" ht="43.2" x14ac:dyDescent="0.3">
      <c r="A1419" t="s">
        <v>102</v>
      </c>
      <c r="B1419" s="2">
        <v>45576</v>
      </c>
      <c r="C1419" s="7" t="s">
        <v>36</v>
      </c>
      <c r="D1419" s="8" t="s">
        <v>48</v>
      </c>
      <c r="E1419" s="8" t="s">
        <v>38</v>
      </c>
      <c r="F1419" s="9"/>
      <c r="G1419" s="10">
        <v>90</v>
      </c>
      <c r="H1419" s="10">
        <v>100</v>
      </c>
      <c r="I1419" s="10">
        <v>95</v>
      </c>
      <c r="J1419" s="10">
        <v>95</v>
      </c>
    </row>
    <row r="1420" spans="1:10" ht="43.2" x14ac:dyDescent="0.3">
      <c r="A1420" t="s">
        <v>102</v>
      </c>
      <c r="B1420" s="2">
        <v>45576</v>
      </c>
      <c r="C1420" s="3" t="s">
        <v>36</v>
      </c>
      <c r="D1420" s="4" t="s">
        <v>49</v>
      </c>
      <c r="E1420" s="4" t="s">
        <v>40</v>
      </c>
      <c r="F1420" s="5"/>
      <c r="G1420" s="6">
        <v>70</v>
      </c>
      <c r="H1420" s="6">
        <v>70</v>
      </c>
      <c r="I1420" s="6">
        <v>70</v>
      </c>
      <c r="J1420" s="6">
        <v>70</v>
      </c>
    </row>
    <row r="1421" spans="1:10" ht="43.2" x14ac:dyDescent="0.3">
      <c r="A1421" t="s">
        <v>102</v>
      </c>
      <c r="B1421" s="2">
        <v>45576</v>
      </c>
      <c r="C1421" s="7" t="s">
        <v>36</v>
      </c>
      <c r="D1421" s="8" t="s">
        <v>50</v>
      </c>
      <c r="E1421" s="8" t="s">
        <v>38</v>
      </c>
      <c r="F1421" s="9"/>
      <c r="G1421" s="10">
        <v>70</v>
      </c>
      <c r="H1421" s="10">
        <v>80</v>
      </c>
      <c r="I1421" s="10">
        <v>75</v>
      </c>
      <c r="J1421" s="10">
        <v>75</v>
      </c>
    </row>
    <row r="1422" spans="1:10" ht="43.2" x14ac:dyDescent="0.3">
      <c r="A1422" t="s">
        <v>102</v>
      </c>
      <c r="B1422" s="2">
        <v>45576</v>
      </c>
      <c r="C1422" s="3" t="s">
        <v>36</v>
      </c>
      <c r="D1422" s="4" t="s">
        <v>51</v>
      </c>
      <c r="E1422" s="4" t="s">
        <v>38</v>
      </c>
      <c r="F1422" s="6">
        <v>100</v>
      </c>
      <c r="G1422" s="6">
        <v>75</v>
      </c>
      <c r="H1422" s="6">
        <v>100</v>
      </c>
      <c r="I1422" s="6" t="s">
        <v>540</v>
      </c>
      <c r="J1422" s="6">
        <v>90</v>
      </c>
    </row>
    <row r="1423" spans="1:10" ht="43.2" x14ac:dyDescent="0.3">
      <c r="A1423" t="s">
        <v>102</v>
      </c>
      <c r="B1423" s="2">
        <v>45576</v>
      </c>
      <c r="C1423" s="7" t="s">
        <v>36</v>
      </c>
      <c r="D1423" s="8" t="s">
        <v>52</v>
      </c>
      <c r="E1423" s="8" t="s">
        <v>42</v>
      </c>
      <c r="F1423" s="10">
        <v>45</v>
      </c>
      <c r="G1423" s="10">
        <v>45</v>
      </c>
      <c r="H1423" s="10">
        <v>85</v>
      </c>
      <c r="I1423" s="10" t="s">
        <v>256</v>
      </c>
      <c r="J1423" s="10">
        <v>50</v>
      </c>
    </row>
    <row r="1424" spans="1:10" ht="43.2" x14ac:dyDescent="0.3">
      <c r="A1424" t="s">
        <v>102</v>
      </c>
      <c r="B1424" s="2">
        <v>45576</v>
      </c>
      <c r="C1424" s="3" t="s">
        <v>36</v>
      </c>
      <c r="D1424" s="4" t="s">
        <v>53</v>
      </c>
      <c r="E1424" s="4" t="s">
        <v>54</v>
      </c>
      <c r="F1424" s="6">
        <v>160</v>
      </c>
      <c r="G1424" s="6">
        <v>150</v>
      </c>
      <c r="H1424" s="6">
        <v>180</v>
      </c>
      <c r="I1424" s="6" t="s">
        <v>541</v>
      </c>
      <c r="J1424" s="6">
        <v>160</v>
      </c>
    </row>
    <row r="1425" spans="1:10" ht="43.2" x14ac:dyDescent="0.3">
      <c r="A1425" t="s">
        <v>102</v>
      </c>
      <c r="B1425" s="2">
        <v>45576</v>
      </c>
      <c r="C1425" s="7" t="s">
        <v>36</v>
      </c>
      <c r="D1425" s="8" t="s">
        <v>55</v>
      </c>
      <c r="E1425" s="8" t="s">
        <v>38</v>
      </c>
      <c r="F1425" s="9"/>
      <c r="G1425" s="10">
        <v>50</v>
      </c>
      <c r="H1425" s="10">
        <v>80</v>
      </c>
      <c r="I1425" s="10">
        <v>65</v>
      </c>
      <c r="J1425" s="10">
        <v>65</v>
      </c>
    </row>
    <row r="1426" spans="1:10" ht="43.2" x14ac:dyDescent="0.3">
      <c r="A1426" t="s">
        <v>102</v>
      </c>
      <c r="B1426" s="2">
        <v>45576</v>
      </c>
      <c r="C1426" s="3" t="s">
        <v>36</v>
      </c>
      <c r="D1426" s="4" t="s">
        <v>56</v>
      </c>
      <c r="E1426" s="4" t="s">
        <v>38</v>
      </c>
      <c r="F1426" s="5"/>
      <c r="G1426" s="5"/>
      <c r="H1426" s="6">
        <v>90</v>
      </c>
      <c r="I1426" s="6">
        <v>120</v>
      </c>
      <c r="J1426" s="6" t="s">
        <v>302</v>
      </c>
    </row>
    <row r="1427" spans="1:10" x14ac:dyDescent="0.3">
      <c r="A1427" t="s">
        <v>102</v>
      </c>
      <c r="B1427" s="2">
        <v>45576</v>
      </c>
      <c r="C1427" s="7" t="s">
        <v>57</v>
      </c>
      <c r="D1427" s="8" t="s">
        <v>58</v>
      </c>
      <c r="E1427" s="8" t="s">
        <v>42</v>
      </c>
      <c r="F1427" s="9"/>
      <c r="G1427" s="9"/>
      <c r="H1427" s="9"/>
      <c r="I1427" s="9"/>
      <c r="J1427" s="9"/>
    </row>
    <row r="1428" spans="1:10" x14ac:dyDescent="0.3">
      <c r="A1428" t="s">
        <v>102</v>
      </c>
      <c r="B1428" s="2">
        <v>45576</v>
      </c>
      <c r="C1428" s="3" t="s">
        <v>57</v>
      </c>
      <c r="D1428" s="4" t="s">
        <v>59</v>
      </c>
      <c r="E1428" s="4" t="s">
        <v>42</v>
      </c>
      <c r="F1428" s="5"/>
      <c r="G1428" s="5"/>
      <c r="H1428" s="5"/>
      <c r="I1428" s="5"/>
      <c r="J1428" s="5"/>
    </row>
    <row r="1429" spans="1:10" x14ac:dyDescent="0.3">
      <c r="A1429" t="s">
        <v>102</v>
      </c>
      <c r="B1429" s="2">
        <v>45576</v>
      </c>
      <c r="C1429" s="7" t="s">
        <v>57</v>
      </c>
      <c r="D1429" s="8" t="s">
        <v>60</v>
      </c>
      <c r="E1429" s="8" t="s">
        <v>42</v>
      </c>
      <c r="F1429" s="9"/>
      <c r="G1429" s="9"/>
      <c r="H1429" s="9"/>
      <c r="I1429" s="9"/>
      <c r="J1429" s="9"/>
    </row>
    <row r="1430" spans="1:10" x14ac:dyDescent="0.3">
      <c r="A1430" t="s">
        <v>102</v>
      </c>
      <c r="B1430" s="2">
        <v>45576</v>
      </c>
      <c r="C1430" s="3" t="s">
        <v>57</v>
      </c>
      <c r="D1430" s="4" t="s">
        <v>61</v>
      </c>
      <c r="E1430" s="4" t="s">
        <v>42</v>
      </c>
      <c r="F1430" s="5"/>
      <c r="G1430" s="6">
        <v>70</v>
      </c>
      <c r="H1430" s="6">
        <v>70</v>
      </c>
      <c r="I1430" s="6">
        <v>70</v>
      </c>
      <c r="J1430" s="6">
        <v>70</v>
      </c>
    </row>
  </sheetData>
  <autoFilter ref="A1:J1430" xr:uid="{00000000-0001-0000-0000-000000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30"/>
  <sheetViews>
    <sheetView tabSelected="1" topLeftCell="F1404" zoomScaleNormal="100" workbookViewId="0">
      <selection activeCell="J1428" sqref="J1428"/>
    </sheetView>
  </sheetViews>
  <sheetFormatPr defaultColWidth="8.44140625" defaultRowHeight="14.4" x14ac:dyDescent="0.3"/>
  <cols>
    <col min="1" max="1" width="6.109375" customWidth="1"/>
    <col min="2" max="2" width="5.5546875" customWidth="1"/>
    <col min="3" max="3" width="6.44140625" customWidth="1"/>
    <col min="4" max="4" width="14.44140625" customWidth="1"/>
    <col min="5" max="5" width="11.21875" customWidth="1"/>
    <col min="6" max="6" width="11.6640625" customWidth="1"/>
    <col min="7" max="7" width="11.77734375" customWidth="1"/>
    <col min="8" max="8" width="15.44140625" customWidth="1"/>
    <col min="10" max="10" width="124.21875" bestFit="1" customWidth="1"/>
  </cols>
  <sheetData>
    <row r="1" spans="1:10" x14ac:dyDescent="0.3">
      <c r="A1" t="s">
        <v>251</v>
      </c>
      <c r="B1" t="s">
        <v>246</v>
      </c>
      <c r="C1" t="s">
        <v>249</v>
      </c>
      <c r="D1" t="s">
        <v>112</v>
      </c>
      <c r="E1" t="s">
        <v>113</v>
      </c>
      <c r="F1" t="s">
        <v>114</v>
      </c>
      <c r="G1" t="s">
        <v>115</v>
      </c>
      <c r="H1" t="s">
        <v>252</v>
      </c>
    </row>
    <row r="2" spans="1:10" x14ac:dyDescent="0.3">
      <c r="A2">
        <v>1</v>
      </c>
      <c r="B2">
        <v>1</v>
      </c>
      <c r="C2">
        <v>1</v>
      </c>
      <c r="D2" t="str">
        <f>IF('Boletins Nuppa Site'!F2&lt;&gt;0,'Boletins Nuppa Site'!F2,"NULL")</f>
        <v>NULL</v>
      </c>
      <c r="E2">
        <f>IF('Boletins Nuppa Site'!G2&lt;&gt;0,'Boletins Nuppa Site'!G2,"NULL")</f>
        <v>32</v>
      </c>
      <c r="F2">
        <f>IF('Boletins Nuppa Site'!H2&lt;&gt;0,'Boletins Nuppa Site'!H2,"NULL")</f>
        <v>32</v>
      </c>
      <c r="G2">
        <f>IF('Boletins Nuppa Site'!I2&lt;&gt;0,'Boletins Nuppa Site'!I2,"NULL")</f>
        <v>32</v>
      </c>
      <c r="H2">
        <f>IF('Boletins Nuppa Site'!J2&lt;&gt;0,'Boletins Nuppa Site'!J2,"NULL")</f>
        <v>32</v>
      </c>
      <c r="J2" t="str">
        <f>"INSERT INTO COTACAO (blt_id, pap_id, cot_prc_comum, cot_prc_min, cot_prc_max, cot_prc_med, cot_prc_mediana) VALUES ("&amp;B2&amp;", "&amp;C2&amp;", "&amp;D2&amp;", "&amp;E2&amp;", "&amp;F2&amp;", "&amp;G2&amp;", "&amp;H2&amp;");"</f>
        <v>INSERT INTO COTACAO (blt_id, pap_id, cot_prc_comum, cot_prc_min, cot_prc_max, cot_prc_med, cot_prc_mediana) VALUES (1, 1, NULL, 32, 32, 32, 32);</v>
      </c>
    </row>
    <row r="3" spans="1:10" x14ac:dyDescent="0.3">
      <c r="A3">
        <v>2</v>
      </c>
      <c r="B3">
        <v>1</v>
      </c>
      <c r="C3">
        <v>2</v>
      </c>
      <c r="D3" t="str">
        <f>IF('Boletins Nuppa Site'!F3&lt;&gt;0,'Boletins Nuppa Site'!F3,"NULL")</f>
        <v>NULL</v>
      </c>
      <c r="E3">
        <f>IF('Boletins Nuppa Site'!G3&lt;&gt;0,'Boletins Nuppa Site'!G3,"NULL")</f>
        <v>60</v>
      </c>
      <c r="F3">
        <f>IF('Boletins Nuppa Site'!H3&lt;&gt;0,'Boletins Nuppa Site'!H3,"NULL")</f>
        <v>60</v>
      </c>
      <c r="G3">
        <f>IF('Boletins Nuppa Site'!I3&lt;&gt;0,'Boletins Nuppa Site'!I3,"NULL")</f>
        <v>60</v>
      </c>
      <c r="H3">
        <f>IF('Boletins Nuppa Site'!J3&lt;&gt;0,'Boletins Nuppa Site'!J3,"NULL")</f>
        <v>60</v>
      </c>
      <c r="J3" t="str">
        <f t="shared" ref="J3:J66" si="0">"INSERT INTO COTACAO (blt_id, pap_id, cot_prc_comum, cot_prc_min, cot_prc_max, cot_prc_med, cot_prc_mediana) VALUES ("&amp;B3&amp;", "&amp;C3&amp;", "&amp;D3&amp;", "&amp;E3&amp;", "&amp;F3&amp;", "&amp;G3&amp;", "&amp;H3&amp;");"</f>
        <v>INSERT INTO COTACAO (blt_id, pap_id, cot_prc_comum, cot_prc_min, cot_prc_max, cot_prc_med, cot_prc_mediana) VALUES (1, 2, NULL, 60, 60, 60, 60);</v>
      </c>
    </row>
    <row r="4" spans="1:10" x14ac:dyDescent="0.3">
      <c r="A4">
        <v>3</v>
      </c>
      <c r="B4">
        <v>1</v>
      </c>
      <c r="C4">
        <v>3</v>
      </c>
      <c r="D4" t="str">
        <f>IF('Boletins Nuppa Site'!F4&lt;&gt;0,'Boletins Nuppa Site'!F4,"NULL")</f>
        <v>NULL</v>
      </c>
      <c r="E4">
        <f>IF('Boletins Nuppa Site'!G4&lt;&gt;0,'Boletins Nuppa Site'!G4,"NULL")</f>
        <v>24</v>
      </c>
      <c r="F4">
        <f>IF('Boletins Nuppa Site'!H4&lt;&gt;0,'Boletins Nuppa Site'!H4,"NULL")</f>
        <v>36</v>
      </c>
      <c r="G4">
        <f>IF('Boletins Nuppa Site'!I4&lt;&gt;0,'Boletins Nuppa Site'!I4,"NULL")</f>
        <v>30</v>
      </c>
      <c r="H4">
        <f>IF('Boletins Nuppa Site'!J4&lt;&gt;0,'Boletins Nuppa Site'!J4,"NULL")</f>
        <v>30</v>
      </c>
      <c r="J4" t="str">
        <f t="shared" si="0"/>
        <v>INSERT INTO COTACAO (blt_id, pap_id, cot_prc_comum, cot_prc_min, cot_prc_max, cot_prc_med, cot_prc_mediana) VALUES (1, 3, NULL, 24, 36, 30, 30);</v>
      </c>
    </row>
    <row r="5" spans="1:10" x14ac:dyDescent="0.3">
      <c r="A5">
        <v>4</v>
      </c>
      <c r="B5">
        <v>1</v>
      </c>
      <c r="C5">
        <v>4</v>
      </c>
      <c r="D5" t="str">
        <f>IF('Boletins Nuppa Site'!F5&lt;&gt;0,'Boletins Nuppa Site'!F5,"NULL")</f>
        <v>NULL</v>
      </c>
      <c r="E5">
        <f>IF('Boletins Nuppa Site'!G5&lt;&gt;0,'Boletins Nuppa Site'!G5,"NULL")</f>
        <v>18</v>
      </c>
      <c r="F5">
        <f>IF('Boletins Nuppa Site'!H5&lt;&gt;0,'Boletins Nuppa Site'!H5,"NULL")</f>
        <v>30</v>
      </c>
      <c r="G5">
        <f>IF('Boletins Nuppa Site'!I5&lt;&gt;0,'Boletins Nuppa Site'!I5,"NULL")</f>
        <v>24</v>
      </c>
      <c r="H5">
        <f>IF('Boletins Nuppa Site'!J5&lt;&gt;0,'Boletins Nuppa Site'!J5,"NULL")</f>
        <v>24</v>
      </c>
      <c r="J5" t="str">
        <f t="shared" si="0"/>
        <v>INSERT INTO COTACAO (blt_id, pap_id, cot_prc_comum, cot_prc_min, cot_prc_max, cot_prc_med, cot_prc_mediana) VALUES (1, 4, NULL, 18, 30, 24, 24);</v>
      </c>
    </row>
    <row r="6" spans="1:10" x14ac:dyDescent="0.3">
      <c r="A6">
        <v>5</v>
      </c>
      <c r="B6">
        <v>1</v>
      </c>
      <c r="C6">
        <v>5</v>
      </c>
      <c r="D6" t="str">
        <f>IF('Boletins Nuppa Site'!F6&lt;&gt;0,'Boletins Nuppa Site'!F6,"NULL")</f>
        <v>NULL</v>
      </c>
      <c r="E6">
        <f>IF('Boletins Nuppa Site'!G6&lt;&gt;0,'Boletins Nuppa Site'!G6,"NULL")</f>
        <v>18</v>
      </c>
      <c r="F6">
        <f>IF('Boletins Nuppa Site'!H6&lt;&gt;0,'Boletins Nuppa Site'!H6,"NULL")</f>
        <v>30</v>
      </c>
      <c r="G6">
        <f>IF('Boletins Nuppa Site'!I6&lt;&gt;0,'Boletins Nuppa Site'!I6,"NULL")</f>
        <v>24</v>
      </c>
      <c r="H6">
        <f>IF('Boletins Nuppa Site'!J6&lt;&gt;0,'Boletins Nuppa Site'!J6,"NULL")</f>
        <v>24</v>
      </c>
      <c r="J6" t="str">
        <f t="shared" si="0"/>
        <v>INSERT INTO COTACAO (blt_id, pap_id, cot_prc_comum, cot_prc_min, cot_prc_max, cot_prc_med, cot_prc_mediana) VALUES (1, 5, NULL, 18, 30, 24, 24);</v>
      </c>
    </row>
    <row r="7" spans="1:10" x14ac:dyDescent="0.3">
      <c r="A7">
        <v>6</v>
      </c>
      <c r="B7">
        <v>1</v>
      </c>
      <c r="C7">
        <v>6</v>
      </c>
      <c r="D7" t="str">
        <f>IF('Boletins Nuppa Site'!F7&lt;&gt;0,'Boletins Nuppa Site'!F7,"NULL")</f>
        <v>NULL</v>
      </c>
      <c r="E7">
        <f>IF('Boletins Nuppa Site'!G7&lt;&gt;0,'Boletins Nuppa Site'!G7,"NULL")</f>
        <v>48</v>
      </c>
      <c r="F7">
        <f>IF('Boletins Nuppa Site'!H7&lt;&gt;0,'Boletins Nuppa Site'!H7,"NULL")</f>
        <v>48</v>
      </c>
      <c r="G7">
        <f>IF('Boletins Nuppa Site'!I7&lt;&gt;0,'Boletins Nuppa Site'!I7,"NULL")</f>
        <v>48</v>
      </c>
      <c r="H7">
        <f>IF('Boletins Nuppa Site'!J7&lt;&gt;0,'Boletins Nuppa Site'!J7,"NULL")</f>
        <v>48</v>
      </c>
      <c r="J7" t="str">
        <f t="shared" si="0"/>
        <v>INSERT INTO COTACAO (blt_id, pap_id, cot_prc_comum, cot_prc_min, cot_prc_max, cot_prc_med, cot_prc_mediana) VALUES (1, 6, NULL, 48, 48, 48, 48);</v>
      </c>
    </row>
    <row r="8" spans="1:10" x14ac:dyDescent="0.3">
      <c r="A8">
        <v>7</v>
      </c>
      <c r="B8">
        <v>1</v>
      </c>
      <c r="C8">
        <v>7</v>
      </c>
      <c r="D8" t="str">
        <f>IF('Boletins Nuppa Site'!F8&lt;&gt;0,'Boletins Nuppa Site'!F8,"NULL")</f>
        <v>NULL</v>
      </c>
      <c r="E8">
        <f>IF('Boletins Nuppa Site'!G8&lt;&gt;0,'Boletins Nuppa Site'!G8,"NULL")</f>
        <v>60</v>
      </c>
      <c r="F8">
        <f>IF('Boletins Nuppa Site'!H8&lt;&gt;0,'Boletins Nuppa Site'!H8,"NULL")</f>
        <v>60</v>
      </c>
      <c r="G8">
        <f>IF('Boletins Nuppa Site'!I8&lt;&gt;0,'Boletins Nuppa Site'!I8,"NULL")</f>
        <v>60</v>
      </c>
      <c r="H8">
        <f>IF('Boletins Nuppa Site'!J8&lt;&gt;0,'Boletins Nuppa Site'!J8,"NULL")</f>
        <v>60</v>
      </c>
      <c r="J8" t="str">
        <f t="shared" si="0"/>
        <v>INSERT INTO COTACAO (blt_id, pap_id, cot_prc_comum, cot_prc_min, cot_prc_max, cot_prc_med, cot_prc_mediana) VALUES (1, 7, NULL, 60, 60, 60, 60);</v>
      </c>
    </row>
    <row r="9" spans="1:10" x14ac:dyDescent="0.3">
      <c r="A9">
        <v>8</v>
      </c>
      <c r="B9">
        <v>1</v>
      </c>
      <c r="C9">
        <v>8</v>
      </c>
      <c r="D9">
        <f>IF('Boletins Nuppa Site'!F9&lt;&gt;0,'Boletins Nuppa Site'!F9,"NULL")</f>
        <v>48</v>
      </c>
      <c r="E9">
        <f>IF('Boletins Nuppa Site'!G9&lt;&gt;0,'Boletins Nuppa Site'!G9,"NULL")</f>
        <v>48</v>
      </c>
      <c r="F9">
        <f>IF('Boletins Nuppa Site'!H9&lt;&gt;0,'Boletins Nuppa Site'!H9,"NULL")</f>
        <v>60</v>
      </c>
      <c r="G9">
        <f>IF('Boletins Nuppa Site'!I9&lt;&gt;0,'Boletins Nuppa Site'!I9,"NULL")</f>
        <v>52</v>
      </c>
      <c r="H9">
        <f>IF('Boletins Nuppa Site'!J9&lt;&gt;0,'Boletins Nuppa Site'!J9,"NULL")</f>
        <v>48</v>
      </c>
      <c r="J9" t="str">
        <f t="shared" si="0"/>
        <v>INSERT INTO COTACAO (blt_id, pap_id, cot_prc_comum, cot_prc_min, cot_prc_max, cot_prc_med, cot_prc_mediana) VALUES (1, 8, 48, 48, 60, 52, 48);</v>
      </c>
    </row>
    <row r="10" spans="1:10" x14ac:dyDescent="0.3">
      <c r="A10">
        <v>9</v>
      </c>
      <c r="B10">
        <v>1</v>
      </c>
      <c r="C10">
        <v>9</v>
      </c>
      <c r="D10">
        <f>IF('Boletins Nuppa Site'!F10&lt;&gt;0,'Boletins Nuppa Site'!F10,"NULL")</f>
        <v>15</v>
      </c>
      <c r="E10">
        <f>IF('Boletins Nuppa Site'!G10&lt;&gt;0,'Boletins Nuppa Site'!G10,"NULL")</f>
        <v>15</v>
      </c>
      <c r="F10">
        <f>IF('Boletins Nuppa Site'!H10&lt;&gt;0,'Boletins Nuppa Site'!H10,"NULL")</f>
        <v>24</v>
      </c>
      <c r="G10">
        <f>IF('Boletins Nuppa Site'!I10&lt;&gt;0,'Boletins Nuppa Site'!I10,"NULL")</f>
        <v>18</v>
      </c>
      <c r="H10">
        <f>IF('Boletins Nuppa Site'!J10&lt;&gt;0,'Boletins Nuppa Site'!J10,"NULL")</f>
        <v>15</v>
      </c>
      <c r="J10" t="str">
        <f t="shared" si="0"/>
        <v>INSERT INTO COTACAO (blt_id, pap_id, cot_prc_comum, cot_prc_min, cot_prc_max, cot_prc_med, cot_prc_mediana) VALUES (1, 9, 15, 15, 24, 18, 15);</v>
      </c>
    </row>
    <row r="11" spans="1:10" x14ac:dyDescent="0.3">
      <c r="A11">
        <v>10</v>
      </c>
      <c r="B11">
        <v>1</v>
      </c>
      <c r="C11">
        <v>10</v>
      </c>
      <c r="D11" t="str">
        <f>IF('Boletins Nuppa Site'!F11&lt;&gt;0,'Boletins Nuppa Site'!F11,"NULL")</f>
        <v>NULL</v>
      </c>
      <c r="E11">
        <f>IF('Boletins Nuppa Site'!G11&lt;&gt;0,'Boletins Nuppa Site'!G11,"NULL")</f>
        <v>60</v>
      </c>
      <c r="F11">
        <f>IF('Boletins Nuppa Site'!H11&lt;&gt;0,'Boletins Nuppa Site'!H11,"NULL")</f>
        <v>60</v>
      </c>
      <c r="G11">
        <f>IF('Boletins Nuppa Site'!I11&lt;&gt;0,'Boletins Nuppa Site'!I11,"NULL")</f>
        <v>60</v>
      </c>
      <c r="H11">
        <f>IF('Boletins Nuppa Site'!J11&lt;&gt;0,'Boletins Nuppa Site'!J11,"NULL")</f>
        <v>60</v>
      </c>
      <c r="J11" t="str">
        <f t="shared" si="0"/>
        <v>INSERT INTO COTACAO (blt_id, pap_id, cot_prc_comum, cot_prc_min, cot_prc_max, cot_prc_med, cot_prc_mediana) VALUES (1, 10, NULL, 60, 60, 60, 60);</v>
      </c>
    </row>
    <row r="12" spans="1:10" x14ac:dyDescent="0.3">
      <c r="A12">
        <v>11</v>
      </c>
      <c r="B12">
        <v>1</v>
      </c>
      <c r="C12">
        <v>11</v>
      </c>
      <c r="D12" t="str">
        <f>IF('Boletins Nuppa Site'!F12&lt;&gt;0,'Boletins Nuppa Site'!F12,"NULL")</f>
        <v>NULL</v>
      </c>
      <c r="E12">
        <f>IF('Boletins Nuppa Site'!G12&lt;&gt;0,'Boletins Nuppa Site'!G12,"NULL")</f>
        <v>18</v>
      </c>
      <c r="F12">
        <f>IF('Boletins Nuppa Site'!H12&lt;&gt;0,'Boletins Nuppa Site'!H12,"NULL")</f>
        <v>30</v>
      </c>
      <c r="G12">
        <f>IF('Boletins Nuppa Site'!I12&lt;&gt;0,'Boletins Nuppa Site'!I12,"NULL")</f>
        <v>24</v>
      </c>
      <c r="H12">
        <f>IF('Boletins Nuppa Site'!J12&lt;&gt;0,'Boletins Nuppa Site'!J12,"NULL")</f>
        <v>24</v>
      </c>
      <c r="J12" t="str">
        <f t="shared" si="0"/>
        <v>INSERT INTO COTACAO (blt_id, pap_id, cot_prc_comum, cot_prc_min, cot_prc_max, cot_prc_med, cot_prc_mediana) VALUES (1, 11, NULL, 18, 30, 24, 24);</v>
      </c>
    </row>
    <row r="13" spans="1:10" x14ac:dyDescent="0.3">
      <c r="A13">
        <v>12</v>
      </c>
      <c r="B13">
        <v>1</v>
      </c>
      <c r="C13">
        <v>12</v>
      </c>
      <c r="D13" t="str">
        <f>IF('Boletins Nuppa Site'!F13&lt;&gt;0,'Boletins Nuppa Site'!F13,"NULL")</f>
        <v>NULL</v>
      </c>
      <c r="E13">
        <f>IF('Boletins Nuppa Site'!G13&lt;&gt;0,'Boletins Nuppa Site'!G13,"NULL")</f>
        <v>42</v>
      </c>
      <c r="F13">
        <f>IF('Boletins Nuppa Site'!H13&lt;&gt;0,'Boletins Nuppa Site'!H13,"NULL")</f>
        <v>54</v>
      </c>
      <c r="G13">
        <f>IF('Boletins Nuppa Site'!I13&lt;&gt;0,'Boletins Nuppa Site'!I13,"NULL")</f>
        <v>48</v>
      </c>
      <c r="H13">
        <f>IF('Boletins Nuppa Site'!J13&lt;&gt;0,'Boletins Nuppa Site'!J13,"NULL")</f>
        <v>48</v>
      </c>
      <c r="J13" t="str">
        <f t="shared" si="0"/>
        <v>INSERT INTO COTACAO (blt_id, pap_id, cot_prc_comum, cot_prc_min, cot_prc_max, cot_prc_med, cot_prc_mediana) VALUES (1, 12, NULL, 42, 54, 48, 48);</v>
      </c>
    </row>
    <row r="14" spans="1:10" x14ac:dyDescent="0.3">
      <c r="A14">
        <v>13</v>
      </c>
      <c r="B14">
        <v>1</v>
      </c>
      <c r="C14">
        <v>13</v>
      </c>
      <c r="D14" t="str">
        <f>IF('Boletins Nuppa Site'!F14&lt;&gt;0,'Boletins Nuppa Site'!F14,"NULL")</f>
        <v>NULL</v>
      </c>
      <c r="E14">
        <f>IF('Boletins Nuppa Site'!G14&lt;&gt;0,'Boletins Nuppa Site'!G14,"NULL")</f>
        <v>36</v>
      </c>
      <c r="F14">
        <f>IF('Boletins Nuppa Site'!H14&lt;&gt;0,'Boletins Nuppa Site'!H14,"NULL")</f>
        <v>48</v>
      </c>
      <c r="G14">
        <f>IF('Boletins Nuppa Site'!I14&lt;&gt;0,'Boletins Nuppa Site'!I14,"NULL")</f>
        <v>42</v>
      </c>
      <c r="H14">
        <f>IF('Boletins Nuppa Site'!J14&lt;&gt;0,'Boletins Nuppa Site'!J14,"NULL")</f>
        <v>42</v>
      </c>
      <c r="J14" t="str">
        <f t="shared" si="0"/>
        <v>INSERT INTO COTACAO (blt_id, pap_id, cot_prc_comum, cot_prc_min, cot_prc_max, cot_prc_med, cot_prc_mediana) VALUES (1, 13, NULL, 36, 48, 42, 42);</v>
      </c>
    </row>
    <row r="15" spans="1:10" x14ac:dyDescent="0.3">
      <c r="A15">
        <v>14</v>
      </c>
      <c r="B15">
        <v>1</v>
      </c>
      <c r="C15">
        <v>14</v>
      </c>
      <c r="D15" t="str">
        <f>IF('Boletins Nuppa Site'!F15&lt;&gt;0,'Boletins Nuppa Site'!F15,"NULL")</f>
        <v>NULL</v>
      </c>
      <c r="E15">
        <f>IF('Boletins Nuppa Site'!G15&lt;&gt;0,'Boletins Nuppa Site'!G15,"NULL")</f>
        <v>60</v>
      </c>
      <c r="F15">
        <f>IF('Boletins Nuppa Site'!H15&lt;&gt;0,'Boletins Nuppa Site'!H15,"NULL")</f>
        <v>60</v>
      </c>
      <c r="G15">
        <f>IF('Boletins Nuppa Site'!I15&lt;&gt;0,'Boletins Nuppa Site'!I15,"NULL")</f>
        <v>60</v>
      </c>
      <c r="H15">
        <f>IF('Boletins Nuppa Site'!J15&lt;&gt;0,'Boletins Nuppa Site'!J15,"NULL")</f>
        <v>60</v>
      </c>
      <c r="J15" t="str">
        <f t="shared" si="0"/>
        <v>INSERT INTO COTACAO (blt_id, pap_id, cot_prc_comum, cot_prc_min, cot_prc_max, cot_prc_med, cot_prc_mediana) VALUES (1, 14, NULL, 60, 60, 60, 60);</v>
      </c>
    </row>
    <row r="16" spans="1:10" x14ac:dyDescent="0.3">
      <c r="A16">
        <v>15</v>
      </c>
      <c r="B16">
        <v>1</v>
      </c>
      <c r="C16">
        <v>15</v>
      </c>
      <c r="D16" t="str">
        <f>IF('Boletins Nuppa Site'!F16&lt;&gt;0,'Boletins Nuppa Site'!F16,"NULL")</f>
        <v>NULL</v>
      </c>
      <c r="E16">
        <f>IF('Boletins Nuppa Site'!G16&lt;&gt;0,'Boletins Nuppa Site'!G16,"NULL")</f>
        <v>24</v>
      </c>
      <c r="F16">
        <f>IF('Boletins Nuppa Site'!H16&lt;&gt;0,'Boletins Nuppa Site'!H16,"NULL")</f>
        <v>36</v>
      </c>
      <c r="G16">
        <f>IF('Boletins Nuppa Site'!I16&lt;&gt;0,'Boletins Nuppa Site'!I16,"NULL")</f>
        <v>30</v>
      </c>
      <c r="H16">
        <f>IF('Boletins Nuppa Site'!J16&lt;&gt;0,'Boletins Nuppa Site'!J16,"NULL")</f>
        <v>30</v>
      </c>
      <c r="J16" t="str">
        <f t="shared" si="0"/>
        <v>INSERT INTO COTACAO (blt_id, pap_id, cot_prc_comum, cot_prc_min, cot_prc_max, cot_prc_med, cot_prc_mediana) VALUES (1, 15, NULL, 24, 36, 30, 30);</v>
      </c>
    </row>
    <row r="17" spans="1:10" x14ac:dyDescent="0.3">
      <c r="A17">
        <v>16</v>
      </c>
      <c r="B17">
        <v>1</v>
      </c>
      <c r="C17">
        <v>16</v>
      </c>
      <c r="D17">
        <f>IF('Boletins Nuppa Site'!F17&lt;&gt;0,'Boletins Nuppa Site'!F17,"NULL")</f>
        <v>42</v>
      </c>
      <c r="E17">
        <f>IF('Boletins Nuppa Site'!G17&lt;&gt;0,'Boletins Nuppa Site'!G17,"NULL")</f>
        <v>36</v>
      </c>
      <c r="F17">
        <f>IF('Boletins Nuppa Site'!H17&lt;&gt;0,'Boletins Nuppa Site'!H17,"NULL")</f>
        <v>42</v>
      </c>
      <c r="G17">
        <f>IF('Boletins Nuppa Site'!I17&lt;&gt;0,'Boletins Nuppa Site'!I17,"NULL")</f>
        <v>40</v>
      </c>
      <c r="H17">
        <f>IF('Boletins Nuppa Site'!J17&lt;&gt;0,'Boletins Nuppa Site'!J17,"NULL")</f>
        <v>42</v>
      </c>
      <c r="J17" t="str">
        <f t="shared" si="0"/>
        <v>INSERT INTO COTACAO (blt_id, pap_id, cot_prc_comum, cot_prc_min, cot_prc_max, cot_prc_med, cot_prc_mediana) VALUES (1, 16, 42, 36, 42, 40, 42);</v>
      </c>
    </row>
    <row r="18" spans="1:10" x14ac:dyDescent="0.3">
      <c r="A18">
        <v>17</v>
      </c>
      <c r="B18">
        <v>1</v>
      </c>
      <c r="C18">
        <v>17</v>
      </c>
      <c r="D18">
        <f>IF('Boletins Nuppa Site'!F18&lt;&gt;0,'Boletins Nuppa Site'!F18,"NULL")</f>
        <v>4</v>
      </c>
      <c r="E18">
        <f>IF('Boletins Nuppa Site'!G18&lt;&gt;0,'Boletins Nuppa Site'!G18,"NULL")</f>
        <v>3</v>
      </c>
      <c r="F18">
        <f>IF('Boletins Nuppa Site'!H18&lt;&gt;0,'Boletins Nuppa Site'!H18,"NULL")</f>
        <v>4</v>
      </c>
      <c r="G18" t="str">
        <f>IF('Boletins Nuppa Site'!I18&lt;&gt;0,'Boletins Nuppa Site'!I18,"NULL")</f>
        <v>3.67</v>
      </c>
      <c r="H18">
        <f>IF('Boletins Nuppa Site'!J18&lt;&gt;0,'Boletins Nuppa Site'!J18,"NULL")</f>
        <v>4</v>
      </c>
      <c r="J18" t="str">
        <f t="shared" si="0"/>
        <v>INSERT INTO COTACAO (blt_id, pap_id, cot_prc_comum, cot_prc_min, cot_prc_max, cot_prc_med, cot_prc_mediana) VALUES (1, 17, 4, 3, 4, 3.67, 4);</v>
      </c>
    </row>
    <row r="19" spans="1:10" x14ac:dyDescent="0.3">
      <c r="A19">
        <v>18</v>
      </c>
      <c r="B19">
        <v>1</v>
      </c>
      <c r="C19">
        <v>18</v>
      </c>
      <c r="D19">
        <f>IF('Boletins Nuppa Site'!F19&lt;&gt;0,'Boletins Nuppa Site'!F19,"NULL")</f>
        <v>25</v>
      </c>
      <c r="E19">
        <f>IF('Boletins Nuppa Site'!G19&lt;&gt;0,'Boletins Nuppa Site'!G19,"NULL")</f>
        <v>25</v>
      </c>
      <c r="F19">
        <f>IF('Boletins Nuppa Site'!H19&lt;&gt;0,'Boletins Nuppa Site'!H19,"NULL")</f>
        <v>25</v>
      </c>
      <c r="G19">
        <f>IF('Boletins Nuppa Site'!I19&lt;&gt;0,'Boletins Nuppa Site'!I19,"NULL")</f>
        <v>25</v>
      </c>
      <c r="H19">
        <f>IF('Boletins Nuppa Site'!J19&lt;&gt;0,'Boletins Nuppa Site'!J19,"NULL")</f>
        <v>25</v>
      </c>
      <c r="J19" t="str">
        <f t="shared" si="0"/>
        <v>INSERT INTO COTACAO (blt_id, pap_id, cot_prc_comum, cot_prc_min, cot_prc_max, cot_prc_med, cot_prc_mediana) VALUES (1, 18, 25, 25, 25, 25, 25);</v>
      </c>
    </row>
    <row r="20" spans="1:10" x14ac:dyDescent="0.3">
      <c r="A20">
        <v>19</v>
      </c>
      <c r="B20">
        <v>1</v>
      </c>
      <c r="C20">
        <v>19</v>
      </c>
      <c r="D20">
        <f>IF('Boletins Nuppa Site'!F20&lt;&gt;0,'Boletins Nuppa Site'!F20,"NULL")</f>
        <v>25</v>
      </c>
      <c r="E20">
        <f>IF('Boletins Nuppa Site'!G20&lt;&gt;0,'Boletins Nuppa Site'!G20,"NULL")</f>
        <v>20</v>
      </c>
      <c r="F20">
        <f>IF('Boletins Nuppa Site'!H20&lt;&gt;0,'Boletins Nuppa Site'!H20,"NULL")</f>
        <v>25</v>
      </c>
      <c r="G20" t="str">
        <f>IF('Boletins Nuppa Site'!I20&lt;&gt;0,'Boletins Nuppa Site'!I20,"NULL")</f>
        <v>22.5</v>
      </c>
      <c r="H20" t="str">
        <f>IF('Boletins Nuppa Site'!J20&lt;&gt;0,'Boletins Nuppa Site'!J20,"NULL")</f>
        <v>22.5</v>
      </c>
      <c r="J20" t="str">
        <f t="shared" si="0"/>
        <v>INSERT INTO COTACAO (blt_id, pap_id, cot_prc_comum, cot_prc_min, cot_prc_max, cot_prc_med, cot_prc_mediana) VALUES (1, 19, 25, 20, 25, 22.5, 22.5);</v>
      </c>
    </row>
    <row r="21" spans="1:10" x14ac:dyDescent="0.3">
      <c r="A21">
        <v>20</v>
      </c>
      <c r="B21">
        <v>1</v>
      </c>
      <c r="C21">
        <v>21</v>
      </c>
      <c r="D21">
        <f>IF('Boletins Nuppa Site'!F21&lt;&gt;0,'Boletins Nuppa Site'!F21,"NULL")</f>
        <v>60</v>
      </c>
      <c r="E21">
        <f>IF('Boletins Nuppa Site'!G21&lt;&gt;0,'Boletins Nuppa Site'!G21,"NULL")</f>
        <v>50</v>
      </c>
      <c r="F21">
        <f>IF('Boletins Nuppa Site'!H21&lt;&gt;0,'Boletins Nuppa Site'!H21,"NULL")</f>
        <v>60</v>
      </c>
      <c r="G21" t="str">
        <f>IF('Boletins Nuppa Site'!I21&lt;&gt;0,'Boletins Nuppa Site'!I21,"NULL")</f>
        <v>57.5</v>
      </c>
      <c r="H21">
        <f>IF('Boletins Nuppa Site'!J21&lt;&gt;0,'Boletins Nuppa Site'!J21,"NULL")</f>
        <v>60</v>
      </c>
      <c r="J21" t="str">
        <f t="shared" si="0"/>
        <v>INSERT INTO COTACAO (blt_id, pap_id, cot_prc_comum, cot_prc_min, cot_prc_max, cot_prc_med, cot_prc_mediana) VALUES (1, 21, 60, 50, 60, 57.5, 60);</v>
      </c>
    </row>
    <row r="22" spans="1:10" x14ac:dyDescent="0.3">
      <c r="A22">
        <v>21</v>
      </c>
      <c r="B22">
        <v>1</v>
      </c>
      <c r="C22">
        <v>22</v>
      </c>
      <c r="D22">
        <f>IF('Boletins Nuppa Site'!F22&lt;&gt;0,'Boletins Nuppa Site'!F22,"NULL")</f>
        <v>50</v>
      </c>
      <c r="E22">
        <f>IF('Boletins Nuppa Site'!G22&lt;&gt;0,'Boletins Nuppa Site'!G22,"NULL")</f>
        <v>50</v>
      </c>
      <c r="F22">
        <f>IF('Boletins Nuppa Site'!H22&lt;&gt;0,'Boletins Nuppa Site'!H22,"NULL")</f>
        <v>65</v>
      </c>
      <c r="G22">
        <f>IF('Boletins Nuppa Site'!I22&lt;&gt;0,'Boletins Nuppa Site'!I22,"NULL")</f>
        <v>55</v>
      </c>
      <c r="H22">
        <f>IF('Boletins Nuppa Site'!J22&lt;&gt;0,'Boletins Nuppa Site'!J22,"NULL")</f>
        <v>50</v>
      </c>
      <c r="J22" t="str">
        <f t="shared" si="0"/>
        <v>INSERT INTO COTACAO (blt_id, pap_id, cot_prc_comum, cot_prc_min, cot_prc_max, cot_prc_med, cot_prc_mediana) VALUES (1, 22, 50, 50, 65, 55, 50);</v>
      </c>
    </row>
    <row r="23" spans="1:10" x14ac:dyDescent="0.3">
      <c r="A23">
        <v>22</v>
      </c>
      <c r="B23">
        <v>1</v>
      </c>
      <c r="C23">
        <v>23</v>
      </c>
      <c r="D23">
        <f>IF('Boletins Nuppa Site'!F23&lt;&gt;0,'Boletins Nuppa Site'!F23,"NULL")</f>
        <v>40</v>
      </c>
      <c r="E23">
        <f>IF('Boletins Nuppa Site'!G23&lt;&gt;0,'Boletins Nuppa Site'!G23,"NULL")</f>
        <v>40</v>
      </c>
      <c r="F23">
        <f>IF('Boletins Nuppa Site'!H23&lt;&gt;0,'Boletins Nuppa Site'!H23,"NULL")</f>
        <v>50</v>
      </c>
      <c r="G23" t="str">
        <f>IF('Boletins Nuppa Site'!I23&lt;&gt;0,'Boletins Nuppa Site'!I23,"NULL")</f>
        <v>44.17</v>
      </c>
      <c r="H23" t="str">
        <f>IF('Boletins Nuppa Site'!J23&lt;&gt;0,'Boletins Nuppa Site'!J23,"NULL")</f>
        <v>42.5</v>
      </c>
      <c r="J23" t="str">
        <f t="shared" si="0"/>
        <v>INSERT INTO COTACAO (blt_id, pap_id, cot_prc_comum, cot_prc_min, cot_prc_max, cot_prc_med, cot_prc_mediana) VALUES (1, 23, 40, 40, 50, 44.17, 42.5);</v>
      </c>
    </row>
    <row r="24" spans="1:10" x14ac:dyDescent="0.3">
      <c r="A24">
        <v>23</v>
      </c>
      <c r="B24">
        <v>1</v>
      </c>
      <c r="C24">
        <v>24</v>
      </c>
      <c r="D24" t="str">
        <f>IF('Boletins Nuppa Site'!F24&lt;&gt;0,'Boletins Nuppa Site'!F24,"NULL")</f>
        <v>NULL</v>
      </c>
      <c r="E24" t="str">
        <f>IF('Boletins Nuppa Site'!G24&lt;&gt;0,'Boletins Nuppa Site'!G24,"NULL")</f>
        <v>NULL</v>
      </c>
      <c r="F24" t="str">
        <f>IF('Boletins Nuppa Site'!H24&lt;&gt;0,'Boletins Nuppa Site'!H24,"NULL")</f>
        <v>NULL</v>
      </c>
      <c r="G24" t="str">
        <f>IF('Boletins Nuppa Site'!I24&lt;&gt;0,'Boletins Nuppa Site'!I24,"NULL")</f>
        <v>NULL</v>
      </c>
      <c r="H24" t="str">
        <f>IF('Boletins Nuppa Site'!J24&lt;&gt;0,'Boletins Nuppa Site'!J24,"NULL")</f>
        <v>NULL</v>
      </c>
      <c r="J24" t="str">
        <f t="shared" si="0"/>
        <v>INSERT INTO COTACAO (blt_id, pap_id, cot_prc_comum, cot_prc_min, cot_prc_max, cot_prc_med, cot_prc_mediana) VALUES (1, 24, NULL, NULL, NULL, NULL, NULL);</v>
      </c>
    </row>
    <row r="25" spans="1:10" x14ac:dyDescent="0.3">
      <c r="A25">
        <v>24</v>
      </c>
      <c r="B25">
        <v>1</v>
      </c>
      <c r="C25">
        <v>25</v>
      </c>
      <c r="D25" t="str">
        <f>IF('Boletins Nuppa Site'!F25&lt;&gt;0,'Boletins Nuppa Site'!F25,"NULL")</f>
        <v>NULL</v>
      </c>
      <c r="E25">
        <f>IF('Boletins Nuppa Site'!G25&lt;&gt;0,'Boletins Nuppa Site'!G25,"NULL")</f>
        <v>48</v>
      </c>
      <c r="F25">
        <f>IF('Boletins Nuppa Site'!H25&lt;&gt;0,'Boletins Nuppa Site'!H25,"NULL")</f>
        <v>60</v>
      </c>
      <c r="G25" t="str">
        <f>IF('Boletins Nuppa Site'!I25&lt;&gt;0,'Boletins Nuppa Site'!I25,"NULL")</f>
        <v>52.67</v>
      </c>
      <c r="H25">
        <f>IF('Boletins Nuppa Site'!J25&lt;&gt;0,'Boletins Nuppa Site'!J25,"NULL")</f>
        <v>50</v>
      </c>
      <c r="J25" t="str">
        <f t="shared" si="0"/>
        <v>INSERT INTO COTACAO (blt_id, pap_id, cot_prc_comum, cot_prc_min, cot_prc_max, cot_prc_med, cot_prc_mediana) VALUES (1, 25, NULL, 48, 60, 52.67, 50);</v>
      </c>
    </row>
    <row r="26" spans="1:10" x14ac:dyDescent="0.3">
      <c r="A26">
        <v>25</v>
      </c>
      <c r="B26">
        <v>1</v>
      </c>
      <c r="C26">
        <v>26</v>
      </c>
      <c r="D26">
        <f>IF('Boletins Nuppa Site'!F26&lt;&gt;0,'Boletins Nuppa Site'!F26,"NULL")</f>
        <v>55</v>
      </c>
      <c r="E26">
        <f>IF('Boletins Nuppa Site'!G26&lt;&gt;0,'Boletins Nuppa Site'!G26,"NULL")</f>
        <v>50</v>
      </c>
      <c r="F26">
        <f>IF('Boletins Nuppa Site'!H26&lt;&gt;0,'Boletins Nuppa Site'!H26,"NULL")</f>
        <v>60</v>
      </c>
      <c r="G26">
        <f>IF('Boletins Nuppa Site'!I26&lt;&gt;0,'Boletins Nuppa Site'!I26,"NULL")</f>
        <v>55</v>
      </c>
      <c r="H26">
        <f>IF('Boletins Nuppa Site'!J26&lt;&gt;0,'Boletins Nuppa Site'!J26,"NULL")</f>
        <v>55</v>
      </c>
      <c r="J26" t="str">
        <f t="shared" si="0"/>
        <v>INSERT INTO COTACAO (blt_id, pap_id, cot_prc_comum, cot_prc_min, cot_prc_max, cot_prc_med, cot_prc_mediana) VALUES (1, 26, 55, 50, 60, 55, 55);</v>
      </c>
    </row>
    <row r="27" spans="1:10" x14ac:dyDescent="0.3">
      <c r="A27">
        <v>26</v>
      </c>
      <c r="B27">
        <v>1</v>
      </c>
      <c r="C27">
        <v>27</v>
      </c>
      <c r="D27">
        <f>IF('Boletins Nuppa Site'!F27&lt;&gt;0,'Boletins Nuppa Site'!F27,"NULL")</f>
        <v>40</v>
      </c>
      <c r="E27">
        <f>IF('Boletins Nuppa Site'!G27&lt;&gt;0,'Boletins Nuppa Site'!G27,"NULL")</f>
        <v>30</v>
      </c>
      <c r="F27">
        <f>IF('Boletins Nuppa Site'!H27&lt;&gt;0,'Boletins Nuppa Site'!H27,"NULL")</f>
        <v>50</v>
      </c>
      <c r="G27">
        <f>IF('Boletins Nuppa Site'!I27&lt;&gt;0,'Boletins Nuppa Site'!I27,"NULL")</f>
        <v>40</v>
      </c>
      <c r="H27">
        <f>IF('Boletins Nuppa Site'!J27&lt;&gt;0,'Boletins Nuppa Site'!J27,"NULL")</f>
        <v>40</v>
      </c>
      <c r="J27" t="str">
        <f t="shared" si="0"/>
        <v>INSERT INTO COTACAO (blt_id, pap_id, cot_prc_comum, cot_prc_min, cot_prc_max, cot_prc_med, cot_prc_mediana) VALUES (1, 27, 40, 30, 50, 40, 40);</v>
      </c>
    </row>
    <row r="28" spans="1:10" x14ac:dyDescent="0.3">
      <c r="A28">
        <v>27</v>
      </c>
      <c r="B28">
        <v>1</v>
      </c>
      <c r="C28">
        <v>28</v>
      </c>
      <c r="D28">
        <f>IF('Boletins Nuppa Site'!F28&lt;&gt;0,'Boletins Nuppa Site'!F28,"NULL")</f>
        <v>50</v>
      </c>
      <c r="E28">
        <f>IF('Boletins Nuppa Site'!G28&lt;&gt;0,'Boletins Nuppa Site'!G28,"NULL")</f>
        <v>50</v>
      </c>
      <c r="F28">
        <f>IF('Boletins Nuppa Site'!H28&lt;&gt;0,'Boletins Nuppa Site'!H28,"NULL")</f>
        <v>70</v>
      </c>
      <c r="G28" t="str">
        <f>IF('Boletins Nuppa Site'!I28&lt;&gt;0,'Boletins Nuppa Site'!I28,"NULL")</f>
        <v>56.67</v>
      </c>
      <c r="H28">
        <f>IF('Boletins Nuppa Site'!J28&lt;&gt;0,'Boletins Nuppa Site'!J28,"NULL")</f>
        <v>50</v>
      </c>
      <c r="J28" t="str">
        <f t="shared" si="0"/>
        <v>INSERT INTO COTACAO (blt_id, pap_id, cot_prc_comum, cot_prc_min, cot_prc_max, cot_prc_med, cot_prc_mediana) VALUES (1, 28, 50, 50, 70, 56.67, 50);</v>
      </c>
    </row>
    <row r="29" spans="1:10" x14ac:dyDescent="0.3">
      <c r="A29">
        <v>28</v>
      </c>
      <c r="B29">
        <v>1</v>
      </c>
      <c r="C29">
        <v>29</v>
      </c>
      <c r="D29" t="str">
        <f>IF('Boletins Nuppa Site'!F29&lt;&gt;0,'Boletins Nuppa Site'!F29,"NULL")</f>
        <v>NULL</v>
      </c>
      <c r="E29" t="str">
        <f>IF('Boletins Nuppa Site'!G29&lt;&gt;0,'Boletins Nuppa Site'!G29,"NULL")</f>
        <v>NULL</v>
      </c>
      <c r="F29" t="str">
        <f>IF('Boletins Nuppa Site'!H29&lt;&gt;0,'Boletins Nuppa Site'!H29,"NULL")</f>
        <v>NULL</v>
      </c>
      <c r="G29" t="str">
        <f>IF('Boletins Nuppa Site'!I29&lt;&gt;0,'Boletins Nuppa Site'!I29,"NULL")</f>
        <v>NULL</v>
      </c>
      <c r="H29" t="str">
        <f>IF('Boletins Nuppa Site'!J29&lt;&gt;0,'Boletins Nuppa Site'!J29,"NULL")</f>
        <v>NULL</v>
      </c>
      <c r="J29" t="str">
        <f t="shared" si="0"/>
        <v>INSERT INTO COTACAO (blt_id, pap_id, cot_prc_comum, cot_prc_min, cot_prc_max, cot_prc_med, cot_prc_mediana) VALUES (1, 29, NULL, NULL, NULL, NULL, NULL);</v>
      </c>
    </row>
    <row r="30" spans="1:10" x14ac:dyDescent="0.3">
      <c r="A30">
        <v>29</v>
      </c>
      <c r="B30">
        <v>1</v>
      </c>
      <c r="C30">
        <v>30</v>
      </c>
      <c r="D30">
        <f>IF('Boletins Nuppa Site'!F30&lt;&gt;0,'Boletins Nuppa Site'!F30,"NULL")</f>
        <v>50</v>
      </c>
      <c r="E30">
        <f>IF('Boletins Nuppa Site'!G30&lt;&gt;0,'Boletins Nuppa Site'!G30,"NULL")</f>
        <v>40</v>
      </c>
      <c r="F30">
        <f>IF('Boletins Nuppa Site'!H30&lt;&gt;0,'Boletins Nuppa Site'!H30,"NULL")</f>
        <v>60</v>
      </c>
      <c r="G30">
        <f>IF('Boletins Nuppa Site'!I30&lt;&gt;0,'Boletins Nuppa Site'!I30,"NULL")</f>
        <v>50</v>
      </c>
      <c r="H30">
        <f>IF('Boletins Nuppa Site'!J30&lt;&gt;0,'Boletins Nuppa Site'!J30,"NULL")</f>
        <v>50</v>
      </c>
      <c r="J30" t="str">
        <f t="shared" si="0"/>
        <v>INSERT INTO COTACAO (blt_id, pap_id, cot_prc_comum, cot_prc_min, cot_prc_max, cot_prc_med, cot_prc_mediana) VALUES (1, 30, 50, 40, 60, 50, 50);</v>
      </c>
    </row>
    <row r="31" spans="1:10" x14ac:dyDescent="0.3">
      <c r="A31">
        <v>30</v>
      </c>
      <c r="B31">
        <v>1</v>
      </c>
      <c r="C31">
        <v>31</v>
      </c>
      <c r="D31">
        <f>IF('Boletins Nuppa Site'!F31&lt;&gt;0,'Boletins Nuppa Site'!F31,"NULL")</f>
        <v>50</v>
      </c>
      <c r="E31">
        <f>IF('Boletins Nuppa Site'!G31&lt;&gt;0,'Boletins Nuppa Site'!G31,"NULL")</f>
        <v>50</v>
      </c>
      <c r="F31">
        <f>IF('Boletins Nuppa Site'!H31&lt;&gt;0,'Boletins Nuppa Site'!H31,"NULL")</f>
        <v>60</v>
      </c>
      <c r="G31">
        <f>IF('Boletins Nuppa Site'!I31&lt;&gt;0,'Boletins Nuppa Site'!I31,"NULL")</f>
        <v>55</v>
      </c>
      <c r="H31">
        <f>IF('Boletins Nuppa Site'!J31&lt;&gt;0,'Boletins Nuppa Site'!J31,"NULL")</f>
        <v>55</v>
      </c>
      <c r="J31" t="str">
        <f t="shared" si="0"/>
        <v>INSERT INTO COTACAO (blt_id, pap_id, cot_prc_comum, cot_prc_min, cot_prc_max, cot_prc_med, cot_prc_mediana) VALUES (1, 31, 50, 50, 60, 55, 55);</v>
      </c>
    </row>
    <row r="32" spans="1:10" x14ac:dyDescent="0.3">
      <c r="A32">
        <v>31</v>
      </c>
      <c r="B32">
        <v>1</v>
      </c>
      <c r="C32">
        <v>32</v>
      </c>
      <c r="D32" t="str">
        <f>IF('Boletins Nuppa Site'!F32&lt;&gt;0,'Boletins Nuppa Site'!F32,"NULL")</f>
        <v>NULL</v>
      </c>
      <c r="E32">
        <f>IF('Boletins Nuppa Site'!G32&lt;&gt;0,'Boletins Nuppa Site'!G32,"NULL")</f>
        <v>30</v>
      </c>
      <c r="F32">
        <f>IF('Boletins Nuppa Site'!H32&lt;&gt;0,'Boletins Nuppa Site'!H32,"NULL")</f>
        <v>50</v>
      </c>
      <c r="G32">
        <f>IF('Boletins Nuppa Site'!I32&lt;&gt;0,'Boletins Nuppa Site'!I32,"NULL")</f>
        <v>40</v>
      </c>
      <c r="H32">
        <f>IF('Boletins Nuppa Site'!J32&lt;&gt;0,'Boletins Nuppa Site'!J32,"NULL")</f>
        <v>40</v>
      </c>
      <c r="J32" t="str">
        <f t="shared" si="0"/>
        <v>INSERT INTO COTACAO (blt_id, pap_id, cot_prc_comum, cot_prc_min, cot_prc_max, cot_prc_med, cot_prc_mediana) VALUES (1, 32, NULL, 30, 50, 40, 40);</v>
      </c>
    </row>
    <row r="33" spans="1:10" x14ac:dyDescent="0.3">
      <c r="A33">
        <v>32</v>
      </c>
      <c r="B33">
        <v>1</v>
      </c>
      <c r="C33">
        <v>33</v>
      </c>
      <c r="D33">
        <f>IF('Boletins Nuppa Site'!F33&lt;&gt;0,'Boletins Nuppa Site'!F33,"NULL")</f>
        <v>70</v>
      </c>
      <c r="E33">
        <f>IF('Boletins Nuppa Site'!G33&lt;&gt;0,'Boletins Nuppa Site'!G33,"NULL")</f>
        <v>60</v>
      </c>
      <c r="F33">
        <f>IF('Boletins Nuppa Site'!H33&lt;&gt;0,'Boletins Nuppa Site'!H33,"NULL")</f>
        <v>80</v>
      </c>
      <c r="G33" t="str">
        <f>IF('Boletins Nuppa Site'!I33&lt;&gt;0,'Boletins Nuppa Site'!I33,"NULL")</f>
        <v>68.33</v>
      </c>
      <c r="H33">
        <f>IF('Boletins Nuppa Site'!J33&lt;&gt;0,'Boletins Nuppa Site'!J33,"NULL")</f>
        <v>70</v>
      </c>
      <c r="J33" t="str">
        <f t="shared" si="0"/>
        <v>INSERT INTO COTACAO (blt_id, pap_id, cot_prc_comum, cot_prc_min, cot_prc_max, cot_prc_med, cot_prc_mediana) VALUES (1, 33, 70, 60, 80, 68.33, 70);</v>
      </c>
    </row>
    <row r="34" spans="1:10" x14ac:dyDescent="0.3">
      <c r="A34">
        <v>33</v>
      </c>
      <c r="B34">
        <v>1</v>
      </c>
      <c r="C34">
        <v>34</v>
      </c>
      <c r="D34">
        <f>IF('Boletins Nuppa Site'!F34&lt;&gt;0,'Boletins Nuppa Site'!F34,"NULL")</f>
        <v>100</v>
      </c>
      <c r="E34">
        <f>IF('Boletins Nuppa Site'!G34&lt;&gt;0,'Boletins Nuppa Site'!G34,"NULL")</f>
        <v>90</v>
      </c>
      <c r="F34">
        <f>IF('Boletins Nuppa Site'!H34&lt;&gt;0,'Boletins Nuppa Site'!H34,"NULL")</f>
        <v>110</v>
      </c>
      <c r="G34">
        <f>IF('Boletins Nuppa Site'!I34&lt;&gt;0,'Boletins Nuppa Site'!I34,"NULL")</f>
        <v>100</v>
      </c>
      <c r="H34">
        <f>IF('Boletins Nuppa Site'!J34&lt;&gt;0,'Boletins Nuppa Site'!J34,"NULL")</f>
        <v>100</v>
      </c>
      <c r="J34" t="str">
        <f t="shared" si="0"/>
        <v>INSERT INTO COTACAO (blt_id, pap_id, cot_prc_comum, cot_prc_min, cot_prc_max, cot_prc_med, cot_prc_mediana) VALUES (1, 34, 100, 90, 110, 100, 100);</v>
      </c>
    </row>
    <row r="35" spans="1:10" x14ac:dyDescent="0.3">
      <c r="A35">
        <v>34</v>
      </c>
      <c r="B35">
        <v>1</v>
      </c>
      <c r="C35">
        <v>35</v>
      </c>
      <c r="D35">
        <f>IF('Boletins Nuppa Site'!F35&lt;&gt;0,'Boletins Nuppa Site'!F35,"NULL")</f>
        <v>80</v>
      </c>
      <c r="E35">
        <f>IF('Boletins Nuppa Site'!G35&lt;&gt;0,'Boletins Nuppa Site'!G35,"NULL")</f>
        <v>70</v>
      </c>
      <c r="F35">
        <f>IF('Boletins Nuppa Site'!H35&lt;&gt;0,'Boletins Nuppa Site'!H35,"NULL")</f>
        <v>100</v>
      </c>
      <c r="G35">
        <f>IF('Boletins Nuppa Site'!I35&lt;&gt;0,'Boletins Nuppa Site'!I35,"NULL")</f>
        <v>83</v>
      </c>
      <c r="H35">
        <f>IF('Boletins Nuppa Site'!J35&lt;&gt;0,'Boletins Nuppa Site'!J35,"NULL")</f>
        <v>80</v>
      </c>
      <c r="J35" t="str">
        <f t="shared" si="0"/>
        <v>INSERT INTO COTACAO (blt_id, pap_id, cot_prc_comum, cot_prc_min, cot_prc_max, cot_prc_med, cot_prc_mediana) VALUES (1, 35, 80, 70, 100, 83, 80);</v>
      </c>
    </row>
    <row r="36" spans="1:10" x14ac:dyDescent="0.3">
      <c r="A36">
        <v>35</v>
      </c>
      <c r="B36">
        <v>1</v>
      </c>
      <c r="C36">
        <v>36</v>
      </c>
      <c r="D36" t="str">
        <f>IF('Boletins Nuppa Site'!F36&lt;&gt;0,'Boletins Nuppa Site'!F36,"NULL")</f>
        <v>NULL</v>
      </c>
      <c r="E36" t="str">
        <f>IF('Boletins Nuppa Site'!G36&lt;&gt;0,'Boletins Nuppa Site'!G36,"NULL")</f>
        <v>NULL</v>
      </c>
      <c r="F36" t="str">
        <f>IF('Boletins Nuppa Site'!H36&lt;&gt;0,'Boletins Nuppa Site'!H36,"NULL")</f>
        <v>NULL</v>
      </c>
      <c r="G36" t="str">
        <f>IF('Boletins Nuppa Site'!I36&lt;&gt;0,'Boletins Nuppa Site'!I36,"NULL")</f>
        <v>NULL</v>
      </c>
      <c r="H36" t="str">
        <f>IF('Boletins Nuppa Site'!J36&lt;&gt;0,'Boletins Nuppa Site'!J36,"NULL")</f>
        <v>NULL</v>
      </c>
      <c r="J36" t="str">
        <f t="shared" si="0"/>
        <v>INSERT INTO COTACAO (blt_id, pap_id, cot_prc_comum, cot_prc_min, cot_prc_max, cot_prc_med, cot_prc_mediana) VALUES (1, 36, NULL, NULL, NULL, NULL, NULL);</v>
      </c>
    </row>
    <row r="37" spans="1:10" x14ac:dyDescent="0.3">
      <c r="A37">
        <v>36</v>
      </c>
      <c r="B37">
        <v>1</v>
      </c>
      <c r="C37">
        <v>37</v>
      </c>
      <c r="D37" t="str">
        <f>IF('Boletins Nuppa Site'!F37&lt;&gt;0,'Boletins Nuppa Site'!F37,"NULL")</f>
        <v>NULL</v>
      </c>
      <c r="E37" t="str">
        <f>IF('Boletins Nuppa Site'!G37&lt;&gt;0,'Boletins Nuppa Site'!G37,"NULL")</f>
        <v>NULL</v>
      </c>
      <c r="F37" t="str">
        <f>IF('Boletins Nuppa Site'!H37&lt;&gt;0,'Boletins Nuppa Site'!H37,"NULL")</f>
        <v>NULL</v>
      </c>
      <c r="G37" t="str">
        <f>IF('Boletins Nuppa Site'!I37&lt;&gt;0,'Boletins Nuppa Site'!I37,"NULL")</f>
        <v>NULL</v>
      </c>
      <c r="H37" t="str">
        <f>IF('Boletins Nuppa Site'!J37&lt;&gt;0,'Boletins Nuppa Site'!J37,"NULL")</f>
        <v>NULL</v>
      </c>
      <c r="J37" t="str">
        <f t="shared" si="0"/>
        <v>INSERT INTO COTACAO (blt_id, pap_id, cot_prc_comum, cot_prc_min, cot_prc_max, cot_prc_med, cot_prc_mediana) VALUES (1, 37, NULL, NULL, NULL, NULL, NULL);</v>
      </c>
    </row>
    <row r="38" spans="1:10" x14ac:dyDescent="0.3">
      <c r="A38">
        <v>37</v>
      </c>
      <c r="B38">
        <v>1</v>
      </c>
      <c r="C38">
        <v>38</v>
      </c>
      <c r="D38" t="str">
        <f>IF('Boletins Nuppa Site'!F38&lt;&gt;0,'Boletins Nuppa Site'!F38,"NULL")</f>
        <v>NULL</v>
      </c>
      <c r="E38" t="str">
        <f>IF('Boletins Nuppa Site'!G38&lt;&gt;0,'Boletins Nuppa Site'!G38,"NULL")</f>
        <v>NULL</v>
      </c>
      <c r="F38" t="str">
        <f>IF('Boletins Nuppa Site'!H38&lt;&gt;0,'Boletins Nuppa Site'!H38,"NULL")</f>
        <v>NULL</v>
      </c>
      <c r="G38" t="str">
        <f>IF('Boletins Nuppa Site'!I38&lt;&gt;0,'Boletins Nuppa Site'!I38,"NULL")</f>
        <v>NULL</v>
      </c>
      <c r="H38" t="str">
        <f>IF('Boletins Nuppa Site'!J38&lt;&gt;0,'Boletins Nuppa Site'!J38,"NULL")</f>
        <v>NULL</v>
      </c>
      <c r="J38" t="str">
        <f t="shared" si="0"/>
        <v>INSERT INTO COTACAO (blt_id, pap_id, cot_prc_comum, cot_prc_min, cot_prc_max, cot_prc_med, cot_prc_mediana) VALUES (1, 38, NULL, NULL, NULL, NULL, NULL);</v>
      </c>
    </row>
    <row r="39" spans="1:10" x14ac:dyDescent="0.3">
      <c r="A39">
        <v>38</v>
      </c>
      <c r="B39">
        <v>1</v>
      </c>
      <c r="C39">
        <v>39</v>
      </c>
      <c r="D39" t="str">
        <f>IF('Boletins Nuppa Site'!F39&lt;&gt;0,'Boletins Nuppa Site'!F39,"NULL")</f>
        <v>NULL</v>
      </c>
      <c r="E39" t="str">
        <f>IF('Boletins Nuppa Site'!G39&lt;&gt;0,'Boletins Nuppa Site'!G39,"NULL")</f>
        <v>NULL</v>
      </c>
      <c r="F39" t="str">
        <f>IF('Boletins Nuppa Site'!H39&lt;&gt;0,'Boletins Nuppa Site'!H39,"NULL")</f>
        <v>NULL</v>
      </c>
      <c r="G39" t="str">
        <f>IF('Boletins Nuppa Site'!I39&lt;&gt;0,'Boletins Nuppa Site'!I39,"NULL")</f>
        <v>NULL</v>
      </c>
      <c r="H39" t="str">
        <f>IF('Boletins Nuppa Site'!J39&lt;&gt;0,'Boletins Nuppa Site'!J39,"NULL")</f>
        <v>NULL</v>
      </c>
      <c r="J39" t="str">
        <f t="shared" si="0"/>
        <v>INSERT INTO COTACAO (blt_id, pap_id, cot_prc_comum, cot_prc_min, cot_prc_max, cot_prc_med, cot_prc_mediana) VALUES (1, 39, NULL, NULL, NULL, NULL, NULL);</v>
      </c>
    </row>
    <row r="40" spans="1:10" x14ac:dyDescent="0.3">
      <c r="A40">
        <v>39</v>
      </c>
      <c r="B40">
        <v>1</v>
      </c>
      <c r="C40">
        <v>40</v>
      </c>
      <c r="D40" t="str">
        <f>IF('Boletins Nuppa Site'!F40&lt;&gt;0,'Boletins Nuppa Site'!F40,"NULL")</f>
        <v>NULL</v>
      </c>
      <c r="E40" t="str">
        <f>IF('Boletins Nuppa Site'!G40&lt;&gt;0,'Boletins Nuppa Site'!G40,"NULL")</f>
        <v>NULL</v>
      </c>
      <c r="F40" t="str">
        <f>IF('Boletins Nuppa Site'!H40&lt;&gt;0,'Boletins Nuppa Site'!H40,"NULL")</f>
        <v>NULL</v>
      </c>
      <c r="G40" t="str">
        <f>IF('Boletins Nuppa Site'!I40&lt;&gt;0,'Boletins Nuppa Site'!I40,"NULL")</f>
        <v>NULL</v>
      </c>
      <c r="H40" t="str">
        <f>IF('Boletins Nuppa Site'!J40&lt;&gt;0,'Boletins Nuppa Site'!J40,"NULL")</f>
        <v>NULL</v>
      </c>
      <c r="J40" t="str">
        <f t="shared" si="0"/>
        <v>INSERT INTO COTACAO (blt_id, pap_id, cot_prc_comum, cot_prc_min, cot_prc_max, cot_prc_med, cot_prc_mediana) VALUES (1, 40, NULL, NULL, NULL, NULL, NULL);</v>
      </c>
    </row>
    <row r="41" spans="1:10" x14ac:dyDescent="0.3">
      <c r="A41">
        <v>40</v>
      </c>
      <c r="B41">
        <v>2</v>
      </c>
      <c r="C41">
        <v>1</v>
      </c>
      <c r="D41">
        <f>IF('Boletins Nuppa Site'!F41&lt;&gt;0,'Boletins Nuppa Site'!F41,"NULL")</f>
        <v>42</v>
      </c>
      <c r="E41">
        <f>IF('Boletins Nuppa Site'!G41&lt;&gt;0,'Boletins Nuppa Site'!G41,"NULL")</f>
        <v>42</v>
      </c>
      <c r="F41">
        <f>IF('Boletins Nuppa Site'!H41&lt;&gt;0,'Boletins Nuppa Site'!H41,"NULL")</f>
        <v>42</v>
      </c>
      <c r="G41">
        <f>IF('Boletins Nuppa Site'!I41&lt;&gt;0,'Boletins Nuppa Site'!I41,"NULL")</f>
        <v>42</v>
      </c>
      <c r="H41">
        <f>IF('Boletins Nuppa Site'!J41&lt;&gt;0,'Boletins Nuppa Site'!J41,"NULL")</f>
        <v>42</v>
      </c>
      <c r="J41" t="str">
        <f t="shared" si="0"/>
        <v>INSERT INTO COTACAO (blt_id, pap_id, cot_prc_comum, cot_prc_min, cot_prc_max, cot_prc_med, cot_prc_mediana) VALUES (2, 1, 42, 42, 42, 42, 42);</v>
      </c>
    </row>
    <row r="42" spans="1:10" x14ac:dyDescent="0.3">
      <c r="A42">
        <v>41</v>
      </c>
      <c r="B42">
        <v>2</v>
      </c>
      <c r="C42">
        <v>2</v>
      </c>
      <c r="D42">
        <f>IF('Boletins Nuppa Site'!F42&lt;&gt;0,'Boletins Nuppa Site'!F42,"NULL")</f>
        <v>60</v>
      </c>
      <c r="E42">
        <f>IF('Boletins Nuppa Site'!G42&lt;&gt;0,'Boletins Nuppa Site'!G42,"NULL")</f>
        <v>60</v>
      </c>
      <c r="F42">
        <f>IF('Boletins Nuppa Site'!H42&lt;&gt;0,'Boletins Nuppa Site'!H42,"NULL")</f>
        <v>60</v>
      </c>
      <c r="G42">
        <f>IF('Boletins Nuppa Site'!I42&lt;&gt;0,'Boletins Nuppa Site'!I42,"NULL")</f>
        <v>60</v>
      </c>
      <c r="H42">
        <f>IF('Boletins Nuppa Site'!J42&lt;&gt;0,'Boletins Nuppa Site'!J42,"NULL")</f>
        <v>60</v>
      </c>
      <c r="J42" t="str">
        <f t="shared" si="0"/>
        <v>INSERT INTO COTACAO (blt_id, pap_id, cot_prc_comum, cot_prc_min, cot_prc_max, cot_prc_med, cot_prc_mediana) VALUES (2, 2, 60, 60, 60, 60, 60);</v>
      </c>
    </row>
    <row r="43" spans="1:10" x14ac:dyDescent="0.3">
      <c r="A43">
        <v>42</v>
      </c>
      <c r="B43">
        <v>2</v>
      </c>
      <c r="C43">
        <v>3</v>
      </c>
      <c r="D43">
        <f>IF('Boletins Nuppa Site'!F43&lt;&gt;0,'Boletins Nuppa Site'!F43,"NULL")</f>
        <v>30</v>
      </c>
      <c r="E43">
        <f>IF('Boletins Nuppa Site'!G43&lt;&gt;0,'Boletins Nuppa Site'!G43,"NULL")</f>
        <v>30</v>
      </c>
      <c r="F43">
        <f>IF('Boletins Nuppa Site'!H43&lt;&gt;0,'Boletins Nuppa Site'!H43,"NULL")</f>
        <v>36</v>
      </c>
      <c r="G43">
        <f>IF('Boletins Nuppa Site'!I43&lt;&gt;0,'Boletins Nuppa Site'!I43,"NULL")</f>
        <v>32</v>
      </c>
      <c r="H43">
        <f>IF('Boletins Nuppa Site'!J43&lt;&gt;0,'Boletins Nuppa Site'!J43,"NULL")</f>
        <v>30</v>
      </c>
      <c r="J43" t="str">
        <f t="shared" si="0"/>
        <v>INSERT INTO COTACAO (blt_id, pap_id, cot_prc_comum, cot_prc_min, cot_prc_max, cot_prc_med, cot_prc_mediana) VALUES (2, 3, 30, 30, 36, 32, 30);</v>
      </c>
    </row>
    <row r="44" spans="1:10" x14ac:dyDescent="0.3">
      <c r="A44">
        <v>43</v>
      </c>
      <c r="B44">
        <v>2</v>
      </c>
      <c r="C44">
        <v>4</v>
      </c>
      <c r="D44">
        <f>IF('Boletins Nuppa Site'!F44&lt;&gt;0,'Boletins Nuppa Site'!F44,"NULL")</f>
        <v>24</v>
      </c>
      <c r="E44">
        <f>IF('Boletins Nuppa Site'!G44&lt;&gt;0,'Boletins Nuppa Site'!G44,"NULL")</f>
        <v>18</v>
      </c>
      <c r="F44">
        <f>IF('Boletins Nuppa Site'!H44&lt;&gt;0,'Boletins Nuppa Site'!H44,"NULL")</f>
        <v>24</v>
      </c>
      <c r="G44" t="str">
        <f>IF('Boletins Nuppa Site'!I44&lt;&gt;0,'Boletins Nuppa Site'!I44,"NULL")</f>
        <v>21.5</v>
      </c>
      <c r="H44">
        <f>IF('Boletins Nuppa Site'!J44&lt;&gt;0,'Boletins Nuppa Site'!J44,"NULL")</f>
        <v>22</v>
      </c>
      <c r="J44" t="str">
        <f t="shared" si="0"/>
        <v>INSERT INTO COTACAO (blt_id, pap_id, cot_prc_comum, cot_prc_min, cot_prc_max, cot_prc_med, cot_prc_mediana) VALUES (2, 4, 24, 18, 24, 21.5, 22);</v>
      </c>
    </row>
    <row r="45" spans="1:10" x14ac:dyDescent="0.3">
      <c r="A45">
        <v>44</v>
      </c>
      <c r="B45">
        <v>2</v>
      </c>
      <c r="C45">
        <v>5</v>
      </c>
      <c r="D45" t="str">
        <f>IF('Boletins Nuppa Site'!F45&lt;&gt;0,'Boletins Nuppa Site'!F45,"NULL")</f>
        <v>NULL</v>
      </c>
      <c r="E45">
        <f>IF('Boletins Nuppa Site'!G45&lt;&gt;0,'Boletins Nuppa Site'!G45,"NULL")</f>
        <v>15</v>
      </c>
      <c r="F45">
        <f>IF('Boletins Nuppa Site'!H45&lt;&gt;0,'Boletins Nuppa Site'!H45,"NULL")</f>
        <v>24</v>
      </c>
      <c r="G45">
        <f>IF('Boletins Nuppa Site'!I45&lt;&gt;0,'Boletins Nuppa Site'!I45,"NULL")</f>
        <v>19</v>
      </c>
      <c r="H45">
        <f>IF('Boletins Nuppa Site'!J45&lt;&gt;0,'Boletins Nuppa Site'!J45,"NULL")</f>
        <v>18</v>
      </c>
      <c r="J45" t="str">
        <f t="shared" si="0"/>
        <v>INSERT INTO COTACAO (blt_id, pap_id, cot_prc_comum, cot_prc_min, cot_prc_max, cot_prc_med, cot_prc_mediana) VALUES (2, 5, NULL, 15, 24, 19, 18);</v>
      </c>
    </row>
    <row r="46" spans="1:10" x14ac:dyDescent="0.3">
      <c r="A46">
        <v>45</v>
      </c>
      <c r="B46">
        <v>2</v>
      </c>
      <c r="C46">
        <v>6</v>
      </c>
      <c r="D46" t="str">
        <f>IF('Boletins Nuppa Site'!F46&lt;&gt;0,'Boletins Nuppa Site'!F46,"NULL")</f>
        <v>NULL</v>
      </c>
      <c r="E46">
        <f>IF('Boletins Nuppa Site'!G46&lt;&gt;0,'Boletins Nuppa Site'!G46,"NULL")</f>
        <v>42</v>
      </c>
      <c r="F46">
        <f>IF('Boletins Nuppa Site'!H46&lt;&gt;0,'Boletins Nuppa Site'!H46,"NULL")</f>
        <v>48</v>
      </c>
      <c r="G46">
        <f>IF('Boletins Nuppa Site'!I46&lt;&gt;0,'Boletins Nuppa Site'!I46,"NULL")</f>
        <v>45</v>
      </c>
      <c r="H46">
        <f>IF('Boletins Nuppa Site'!J46&lt;&gt;0,'Boletins Nuppa Site'!J46,"NULL")</f>
        <v>45</v>
      </c>
      <c r="J46" t="str">
        <f t="shared" si="0"/>
        <v>INSERT INTO COTACAO (blt_id, pap_id, cot_prc_comum, cot_prc_min, cot_prc_max, cot_prc_med, cot_prc_mediana) VALUES (2, 6, NULL, 42, 48, 45, 45);</v>
      </c>
    </row>
    <row r="47" spans="1:10" x14ac:dyDescent="0.3">
      <c r="A47">
        <v>46</v>
      </c>
      <c r="B47">
        <v>2</v>
      </c>
      <c r="C47">
        <v>7</v>
      </c>
      <c r="D47" t="str">
        <f>IF('Boletins Nuppa Site'!F47&lt;&gt;0,'Boletins Nuppa Site'!F47,"NULL")</f>
        <v>NULL</v>
      </c>
      <c r="E47">
        <f>IF('Boletins Nuppa Site'!G47&lt;&gt;0,'Boletins Nuppa Site'!G47,"NULL")</f>
        <v>66</v>
      </c>
      <c r="F47">
        <f>IF('Boletins Nuppa Site'!H47&lt;&gt;0,'Boletins Nuppa Site'!H47,"NULL")</f>
        <v>72</v>
      </c>
      <c r="G47">
        <f>IF('Boletins Nuppa Site'!I47&lt;&gt;0,'Boletins Nuppa Site'!I47,"NULL")</f>
        <v>69</v>
      </c>
      <c r="H47">
        <f>IF('Boletins Nuppa Site'!J47&lt;&gt;0,'Boletins Nuppa Site'!J47,"NULL")</f>
        <v>69</v>
      </c>
      <c r="J47" t="str">
        <f t="shared" si="0"/>
        <v>INSERT INTO COTACAO (blt_id, pap_id, cot_prc_comum, cot_prc_min, cot_prc_max, cot_prc_med, cot_prc_mediana) VALUES (2, 7, NULL, 66, 72, 69, 69);</v>
      </c>
    </row>
    <row r="48" spans="1:10" x14ac:dyDescent="0.3">
      <c r="A48">
        <v>47</v>
      </c>
      <c r="B48">
        <v>2</v>
      </c>
      <c r="C48">
        <v>8</v>
      </c>
      <c r="D48" t="str">
        <f>IF('Boletins Nuppa Site'!F48&lt;&gt;0,'Boletins Nuppa Site'!F48,"NULL")</f>
        <v>NULL</v>
      </c>
      <c r="E48">
        <f>IF('Boletins Nuppa Site'!G48&lt;&gt;0,'Boletins Nuppa Site'!G48,"NULL")</f>
        <v>48</v>
      </c>
      <c r="F48">
        <f>IF('Boletins Nuppa Site'!H48&lt;&gt;0,'Boletins Nuppa Site'!H48,"NULL")</f>
        <v>72</v>
      </c>
      <c r="G48">
        <f>IF('Boletins Nuppa Site'!I48&lt;&gt;0,'Boletins Nuppa Site'!I48,"NULL")</f>
        <v>60</v>
      </c>
      <c r="H48">
        <f>IF('Boletins Nuppa Site'!J48&lt;&gt;0,'Boletins Nuppa Site'!J48,"NULL")</f>
        <v>60</v>
      </c>
      <c r="J48" t="str">
        <f t="shared" si="0"/>
        <v>INSERT INTO COTACAO (blt_id, pap_id, cot_prc_comum, cot_prc_min, cot_prc_max, cot_prc_med, cot_prc_mediana) VALUES (2, 8, NULL, 48, 72, 60, 60);</v>
      </c>
    </row>
    <row r="49" spans="1:10" x14ac:dyDescent="0.3">
      <c r="A49">
        <v>48</v>
      </c>
      <c r="B49">
        <v>2</v>
      </c>
      <c r="C49">
        <v>9</v>
      </c>
      <c r="D49" t="str">
        <f>IF('Boletins Nuppa Site'!F49&lt;&gt;0,'Boletins Nuppa Site'!F49,"NULL")</f>
        <v>NULL</v>
      </c>
      <c r="E49">
        <f>IF('Boletins Nuppa Site'!G49&lt;&gt;0,'Boletins Nuppa Site'!G49,"NULL")</f>
        <v>15</v>
      </c>
      <c r="F49">
        <f>IF('Boletins Nuppa Site'!H49&lt;&gt;0,'Boletins Nuppa Site'!H49,"NULL")</f>
        <v>24</v>
      </c>
      <c r="G49">
        <f>IF('Boletins Nuppa Site'!I49&lt;&gt;0,'Boletins Nuppa Site'!I49,"NULL")</f>
        <v>19</v>
      </c>
      <c r="H49">
        <f>IF('Boletins Nuppa Site'!J49&lt;&gt;0,'Boletins Nuppa Site'!J49,"NULL")</f>
        <v>18</v>
      </c>
      <c r="J49" t="str">
        <f t="shared" si="0"/>
        <v>INSERT INTO COTACAO (blt_id, pap_id, cot_prc_comum, cot_prc_min, cot_prc_max, cot_prc_med, cot_prc_mediana) VALUES (2, 9, NULL, 15, 24, 19, 18);</v>
      </c>
    </row>
    <row r="50" spans="1:10" x14ac:dyDescent="0.3">
      <c r="A50">
        <v>49</v>
      </c>
      <c r="B50">
        <v>2</v>
      </c>
      <c r="C50">
        <v>10</v>
      </c>
      <c r="D50">
        <f>IF('Boletins Nuppa Site'!F50&lt;&gt;0,'Boletins Nuppa Site'!F50,"NULL")</f>
        <v>60</v>
      </c>
      <c r="E50">
        <f>IF('Boletins Nuppa Site'!G50&lt;&gt;0,'Boletins Nuppa Site'!G50,"NULL")</f>
        <v>60</v>
      </c>
      <c r="F50">
        <f>IF('Boletins Nuppa Site'!H50&lt;&gt;0,'Boletins Nuppa Site'!H50,"NULL")</f>
        <v>66</v>
      </c>
      <c r="G50">
        <f>IF('Boletins Nuppa Site'!I50&lt;&gt;0,'Boletins Nuppa Site'!I50,"NULL")</f>
        <v>62</v>
      </c>
      <c r="H50">
        <f>IF('Boletins Nuppa Site'!J50&lt;&gt;0,'Boletins Nuppa Site'!J50,"NULL")</f>
        <v>60</v>
      </c>
      <c r="J50" t="str">
        <f t="shared" si="0"/>
        <v>INSERT INTO COTACAO (blt_id, pap_id, cot_prc_comum, cot_prc_min, cot_prc_max, cot_prc_med, cot_prc_mediana) VALUES (2, 10, 60, 60, 66, 62, 60);</v>
      </c>
    </row>
    <row r="51" spans="1:10" x14ac:dyDescent="0.3">
      <c r="A51">
        <v>50</v>
      </c>
      <c r="B51">
        <v>2</v>
      </c>
      <c r="C51">
        <v>11</v>
      </c>
      <c r="D51" t="str">
        <f>IF('Boletins Nuppa Site'!F51&lt;&gt;0,'Boletins Nuppa Site'!F51,"NULL")</f>
        <v>NULL</v>
      </c>
      <c r="E51">
        <f>IF('Boletins Nuppa Site'!G51&lt;&gt;0,'Boletins Nuppa Site'!G51,"NULL")</f>
        <v>15</v>
      </c>
      <c r="F51">
        <f>IF('Boletins Nuppa Site'!H51&lt;&gt;0,'Boletins Nuppa Site'!H51,"NULL")</f>
        <v>24</v>
      </c>
      <c r="G51">
        <f>IF('Boletins Nuppa Site'!I51&lt;&gt;0,'Boletins Nuppa Site'!I51,"NULL")</f>
        <v>19</v>
      </c>
      <c r="H51">
        <f>IF('Boletins Nuppa Site'!J51&lt;&gt;0,'Boletins Nuppa Site'!J51,"NULL")</f>
        <v>18</v>
      </c>
      <c r="J51" t="str">
        <f t="shared" si="0"/>
        <v>INSERT INTO COTACAO (blt_id, pap_id, cot_prc_comum, cot_prc_min, cot_prc_max, cot_prc_med, cot_prc_mediana) VALUES (2, 11, NULL, 15, 24, 19, 18);</v>
      </c>
    </row>
    <row r="52" spans="1:10" x14ac:dyDescent="0.3">
      <c r="A52">
        <v>51</v>
      </c>
      <c r="B52">
        <v>2</v>
      </c>
      <c r="C52">
        <v>12</v>
      </c>
      <c r="D52" t="str">
        <f>IF('Boletins Nuppa Site'!F52&lt;&gt;0,'Boletins Nuppa Site'!F52,"NULL")</f>
        <v>NULL</v>
      </c>
      <c r="E52">
        <f>IF('Boletins Nuppa Site'!G52&lt;&gt;0,'Boletins Nuppa Site'!G52,"NULL")</f>
        <v>54</v>
      </c>
      <c r="F52">
        <f>IF('Boletins Nuppa Site'!H52&lt;&gt;0,'Boletins Nuppa Site'!H52,"NULL")</f>
        <v>60</v>
      </c>
      <c r="G52">
        <f>IF('Boletins Nuppa Site'!I52&lt;&gt;0,'Boletins Nuppa Site'!I52,"NULL")</f>
        <v>57</v>
      </c>
      <c r="H52">
        <f>IF('Boletins Nuppa Site'!J52&lt;&gt;0,'Boletins Nuppa Site'!J52,"NULL")</f>
        <v>57</v>
      </c>
      <c r="J52" t="str">
        <f t="shared" si="0"/>
        <v>INSERT INTO COTACAO (blt_id, pap_id, cot_prc_comum, cot_prc_min, cot_prc_max, cot_prc_med, cot_prc_mediana) VALUES (2, 12, NULL, 54, 60, 57, 57);</v>
      </c>
    </row>
    <row r="53" spans="1:10" x14ac:dyDescent="0.3">
      <c r="A53">
        <v>52</v>
      </c>
      <c r="B53">
        <v>2</v>
      </c>
      <c r="C53">
        <v>13</v>
      </c>
      <c r="D53" t="str">
        <f>IF('Boletins Nuppa Site'!F53&lt;&gt;0,'Boletins Nuppa Site'!F53,"NULL")</f>
        <v>NULL</v>
      </c>
      <c r="E53">
        <f>IF('Boletins Nuppa Site'!G53&lt;&gt;0,'Boletins Nuppa Site'!G53,"NULL")</f>
        <v>54</v>
      </c>
      <c r="F53">
        <f>IF('Boletins Nuppa Site'!H53&lt;&gt;0,'Boletins Nuppa Site'!H53,"NULL")</f>
        <v>60</v>
      </c>
      <c r="G53">
        <f>IF('Boletins Nuppa Site'!I53&lt;&gt;0,'Boletins Nuppa Site'!I53,"NULL")</f>
        <v>57</v>
      </c>
      <c r="H53">
        <f>IF('Boletins Nuppa Site'!J53&lt;&gt;0,'Boletins Nuppa Site'!J53,"NULL")</f>
        <v>57</v>
      </c>
      <c r="J53" t="str">
        <f t="shared" si="0"/>
        <v>INSERT INTO COTACAO (blt_id, pap_id, cot_prc_comum, cot_prc_min, cot_prc_max, cot_prc_med, cot_prc_mediana) VALUES (2, 13, NULL, 54, 60, 57, 57);</v>
      </c>
    </row>
    <row r="54" spans="1:10" x14ac:dyDescent="0.3">
      <c r="A54">
        <v>53</v>
      </c>
      <c r="B54">
        <v>2</v>
      </c>
      <c r="C54">
        <v>14</v>
      </c>
      <c r="D54" t="str">
        <f>IF('Boletins Nuppa Site'!F54&lt;&gt;0,'Boletins Nuppa Site'!F54,"NULL")</f>
        <v>NULL</v>
      </c>
      <c r="E54">
        <f>IF('Boletins Nuppa Site'!G54&lt;&gt;0,'Boletins Nuppa Site'!G54,"NULL")</f>
        <v>30</v>
      </c>
      <c r="F54">
        <f>IF('Boletins Nuppa Site'!H54&lt;&gt;0,'Boletins Nuppa Site'!H54,"NULL")</f>
        <v>60</v>
      </c>
      <c r="G54">
        <f>IF('Boletins Nuppa Site'!I54&lt;&gt;0,'Boletins Nuppa Site'!I54,"NULL")</f>
        <v>42</v>
      </c>
      <c r="H54">
        <f>IF('Boletins Nuppa Site'!J54&lt;&gt;0,'Boletins Nuppa Site'!J54,"NULL")</f>
        <v>36</v>
      </c>
      <c r="J54" t="str">
        <f t="shared" si="0"/>
        <v>INSERT INTO COTACAO (blt_id, pap_id, cot_prc_comum, cot_prc_min, cot_prc_max, cot_prc_med, cot_prc_mediana) VALUES (2, 14, NULL, 30, 60, 42, 36);</v>
      </c>
    </row>
    <row r="55" spans="1:10" x14ac:dyDescent="0.3">
      <c r="A55">
        <v>54</v>
      </c>
      <c r="B55">
        <v>2</v>
      </c>
      <c r="C55">
        <v>15</v>
      </c>
      <c r="D55" t="str">
        <f>IF('Boletins Nuppa Site'!F55&lt;&gt;0,'Boletins Nuppa Site'!F55,"NULL")</f>
        <v>NULL</v>
      </c>
      <c r="E55">
        <f>IF('Boletins Nuppa Site'!G55&lt;&gt;0,'Boletins Nuppa Site'!G55,"NULL")</f>
        <v>20</v>
      </c>
      <c r="F55">
        <f>IF('Boletins Nuppa Site'!H55&lt;&gt;0,'Boletins Nuppa Site'!H55,"NULL")</f>
        <v>36</v>
      </c>
      <c r="G55">
        <f>IF('Boletins Nuppa Site'!I55&lt;&gt;0,'Boletins Nuppa Site'!I55,"NULL")</f>
        <v>27</v>
      </c>
      <c r="H55">
        <f>IF('Boletins Nuppa Site'!J55&lt;&gt;0,'Boletins Nuppa Site'!J55,"NULL")</f>
        <v>25</v>
      </c>
      <c r="J55" t="str">
        <f t="shared" si="0"/>
        <v>INSERT INTO COTACAO (blt_id, pap_id, cot_prc_comum, cot_prc_min, cot_prc_max, cot_prc_med, cot_prc_mediana) VALUES (2, 15, NULL, 20, 36, 27, 25);</v>
      </c>
    </row>
    <row r="56" spans="1:10" x14ac:dyDescent="0.3">
      <c r="A56">
        <v>55</v>
      </c>
      <c r="B56">
        <v>2</v>
      </c>
      <c r="C56">
        <v>16</v>
      </c>
      <c r="D56">
        <f>IF('Boletins Nuppa Site'!F56&lt;&gt;0,'Boletins Nuppa Site'!F56,"NULL")</f>
        <v>42</v>
      </c>
      <c r="E56">
        <f>IF('Boletins Nuppa Site'!G56&lt;&gt;0,'Boletins Nuppa Site'!G56,"NULL")</f>
        <v>36</v>
      </c>
      <c r="F56">
        <f>IF('Boletins Nuppa Site'!H56&lt;&gt;0,'Boletins Nuppa Site'!H56,"NULL")</f>
        <v>42</v>
      </c>
      <c r="G56">
        <f>IF('Boletins Nuppa Site'!I56&lt;&gt;0,'Boletins Nuppa Site'!I56,"NULL")</f>
        <v>40</v>
      </c>
      <c r="H56">
        <f>IF('Boletins Nuppa Site'!J56&lt;&gt;0,'Boletins Nuppa Site'!J56,"NULL")</f>
        <v>42</v>
      </c>
      <c r="J56" t="str">
        <f t="shared" si="0"/>
        <v>INSERT INTO COTACAO (blt_id, pap_id, cot_prc_comum, cot_prc_min, cot_prc_max, cot_prc_med, cot_prc_mediana) VALUES (2, 16, 42, 36, 42, 40, 42);</v>
      </c>
    </row>
    <row r="57" spans="1:10" x14ac:dyDescent="0.3">
      <c r="A57">
        <v>56</v>
      </c>
      <c r="B57">
        <v>2</v>
      </c>
      <c r="C57">
        <v>17</v>
      </c>
      <c r="D57">
        <f>IF('Boletins Nuppa Site'!F57&lt;&gt;0,'Boletins Nuppa Site'!F57,"NULL")</f>
        <v>4</v>
      </c>
      <c r="E57" t="str">
        <f>IF('Boletins Nuppa Site'!G57&lt;&gt;0,'Boletins Nuppa Site'!G57,"NULL")</f>
        <v>3.5</v>
      </c>
      <c r="F57">
        <f>IF('Boletins Nuppa Site'!H57&lt;&gt;0,'Boletins Nuppa Site'!H57,"NULL")</f>
        <v>5</v>
      </c>
      <c r="G57" t="str">
        <f>IF('Boletins Nuppa Site'!I57&lt;&gt;0,'Boletins Nuppa Site'!I57,"NULL")</f>
        <v>4.13</v>
      </c>
      <c r="H57">
        <f>IF('Boletins Nuppa Site'!J57&lt;&gt;0,'Boletins Nuppa Site'!J57,"NULL")</f>
        <v>4</v>
      </c>
      <c r="J57" t="str">
        <f t="shared" si="0"/>
        <v>INSERT INTO COTACAO (blt_id, pap_id, cot_prc_comum, cot_prc_min, cot_prc_max, cot_prc_med, cot_prc_mediana) VALUES (2, 17, 4, 3.5, 5, 4.13, 4);</v>
      </c>
    </row>
    <row r="58" spans="1:10" x14ac:dyDescent="0.3">
      <c r="A58">
        <v>57</v>
      </c>
      <c r="B58">
        <v>2</v>
      </c>
      <c r="C58">
        <v>18</v>
      </c>
      <c r="D58">
        <f>IF('Boletins Nuppa Site'!F58&lt;&gt;0,'Boletins Nuppa Site'!F58,"NULL")</f>
        <v>20</v>
      </c>
      <c r="E58">
        <f>IF('Boletins Nuppa Site'!G58&lt;&gt;0,'Boletins Nuppa Site'!G58,"NULL")</f>
        <v>20</v>
      </c>
      <c r="F58">
        <f>IF('Boletins Nuppa Site'!H58&lt;&gt;0,'Boletins Nuppa Site'!H58,"NULL")</f>
        <v>25</v>
      </c>
      <c r="G58">
        <f>IF('Boletins Nuppa Site'!I58&lt;&gt;0,'Boletins Nuppa Site'!I58,"NULL")</f>
        <v>21</v>
      </c>
      <c r="H58">
        <f>IF('Boletins Nuppa Site'!J58&lt;&gt;0,'Boletins Nuppa Site'!J58,"NULL")</f>
        <v>20</v>
      </c>
      <c r="J58" t="str">
        <f t="shared" si="0"/>
        <v>INSERT INTO COTACAO (blt_id, pap_id, cot_prc_comum, cot_prc_min, cot_prc_max, cot_prc_med, cot_prc_mediana) VALUES (2, 18, 20, 20, 25, 21, 20);</v>
      </c>
    </row>
    <row r="59" spans="1:10" x14ac:dyDescent="0.3">
      <c r="A59">
        <v>58</v>
      </c>
      <c r="B59">
        <v>2</v>
      </c>
      <c r="C59">
        <v>19</v>
      </c>
      <c r="D59">
        <f>IF('Boletins Nuppa Site'!F59&lt;&gt;0,'Boletins Nuppa Site'!F59,"NULL")</f>
        <v>20</v>
      </c>
      <c r="E59">
        <f>IF('Boletins Nuppa Site'!G59&lt;&gt;0,'Boletins Nuppa Site'!G59,"NULL")</f>
        <v>20</v>
      </c>
      <c r="F59">
        <f>IF('Boletins Nuppa Site'!H59&lt;&gt;0,'Boletins Nuppa Site'!H59,"NULL")</f>
        <v>25</v>
      </c>
      <c r="G59" t="str">
        <f>IF('Boletins Nuppa Site'!I59&lt;&gt;0,'Boletins Nuppa Site'!I59,"NULL")</f>
        <v>22.5</v>
      </c>
      <c r="H59" t="str">
        <f>IF('Boletins Nuppa Site'!J59&lt;&gt;0,'Boletins Nuppa Site'!J59,"NULL")</f>
        <v>22.5</v>
      </c>
      <c r="J59" t="str">
        <f t="shared" si="0"/>
        <v>INSERT INTO COTACAO (blt_id, pap_id, cot_prc_comum, cot_prc_min, cot_prc_max, cot_prc_med, cot_prc_mediana) VALUES (2, 19, 20, 20, 25, 22.5, 22.5);</v>
      </c>
    </row>
    <row r="60" spans="1:10" x14ac:dyDescent="0.3">
      <c r="A60">
        <v>59</v>
      </c>
      <c r="B60">
        <v>2</v>
      </c>
      <c r="C60">
        <v>21</v>
      </c>
      <c r="D60">
        <f>IF('Boletins Nuppa Site'!F60&lt;&gt;0,'Boletins Nuppa Site'!F60,"NULL")</f>
        <v>100</v>
      </c>
      <c r="E60">
        <f>IF('Boletins Nuppa Site'!G60&lt;&gt;0,'Boletins Nuppa Site'!G60,"NULL")</f>
        <v>80</v>
      </c>
      <c r="F60">
        <f>IF('Boletins Nuppa Site'!H60&lt;&gt;0,'Boletins Nuppa Site'!H60,"NULL")</f>
        <v>100</v>
      </c>
      <c r="G60" t="str">
        <f>IF('Boletins Nuppa Site'!I60&lt;&gt;0,'Boletins Nuppa Site'!I60,"NULL")</f>
        <v>95.71</v>
      </c>
      <c r="H60">
        <f>IF('Boletins Nuppa Site'!J60&lt;&gt;0,'Boletins Nuppa Site'!J60,"NULL")</f>
        <v>100</v>
      </c>
      <c r="J60" t="str">
        <f t="shared" si="0"/>
        <v>INSERT INTO COTACAO (blt_id, pap_id, cot_prc_comum, cot_prc_min, cot_prc_max, cot_prc_med, cot_prc_mediana) VALUES (2, 21, 100, 80, 100, 95.71, 100);</v>
      </c>
    </row>
    <row r="61" spans="1:10" x14ac:dyDescent="0.3">
      <c r="A61">
        <v>60</v>
      </c>
      <c r="B61">
        <v>2</v>
      </c>
      <c r="C61">
        <v>22</v>
      </c>
      <c r="D61" t="str">
        <f>IF('Boletins Nuppa Site'!F61&lt;&gt;0,'Boletins Nuppa Site'!F61,"NULL")</f>
        <v>NULL</v>
      </c>
      <c r="E61">
        <f>IF('Boletins Nuppa Site'!G61&lt;&gt;0,'Boletins Nuppa Site'!G61,"NULL")</f>
        <v>40</v>
      </c>
      <c r="F61">
        <f>IF('Boletins Nuppa Site'!H61&lt;&gt;0,'Boletins Nuppa Site'!H61,"NULL")</f>
        <v>65</v>
      </c>
      <c r="G61" t="str">
        <f>IF('Boletins Nuppa Site'!I61&lt;&gt;0,'Boletins Nuppa Site'!I61,"NULL")</f>
        <v>52.5</v>
      </c>
      <c r="H61" t="str">
        <f>IF('Boletins Nuppa Site'!J61&lt;&gt;0,'Boletins Nuppa Site'!J61,"NULL")</f>
        <v>52.5</v>
      </c>
      <c r="J61" t="str">
        <f t="shared" si="0"/>
        <v>INSERT INTO COTACAO (blt_id, pap_id, cot_prc_comum, cot_prc_min, cot_prc_max, cot_prc_med, cot_prc_mediana) VALUES (2, 22, NULL, 40, 65, 52.5, 52.5);</v>
      </c>
    </row>
    <row r="62" spans="1:10" x14ac:dyDescent="0.3">
      <c r="A62">
        <v>61</v>
      </c>
      <c r="B62">
        <v>2</v>
      </c>
      <c r="C62">
        <v>23</v>
      </c>
      <c r="D62">
        <f>IF('Boletins Nuppa Site'!F62&lt;&gt;0,'Boletins Nuppa Site'!F62,"NULL")</f>
        <v>50</v>
      </c>
      <c r="E62">
        <f>IF('Boletins Nuppa Site'!G62&lt;&gt;0,'Boletins Nuppa Site'!G62,"NULL")</f>
        <v>45</v>
      </c>
      <c r="F62">
        <f>IF('Boletins Nuppa Site'!H62&lt;&gt;0,'Boletins Nuppa Site'!H62,"NULL")</f>
        <v>55</v>
      </c>
      <c r="G62">
        <f>IF('Boletins Nuppa Site'!I62&lt;&gt;0,'Boletins Nuppa Site'!I62,"NULL")</f>
        <v>50</v>
      </c>
      <c r="H62">
        <f>IF('Boletins Nuppa Site'!J62&lt;&gt;0,'Boletins Nuppa Site'!J62,"NULL")</f>
        <v>50</v>
      </c>
      <c r="J62" t="str">
        <f t="shared" si="0"/>
        <v>INSERT INTO COTACAO (blt_id, pap_id, cot_prc_comum, cot_prc_min, cot_prc_max, cot_prc_med, cot_prc_mediana) VALUES (2, 23, 50, 45, 55, 50, 50);</v>
      </c>
    </row>
    <row r="63" spans="1:10" x14ac:dyDescent="0.3">
      <c r="A63">
        <v>62</v>
      </c>
      <c r="B63">
        <v>2</v>
      </c>
      <c r="C63">
        <v>24</v>
      </c>
      <c r="D63" t="str">
        <f>IF('Boletins Nuppa Site'!F63&lt;&gt;0,'Boletins Nuppa Site'!F63,"NULL")</f>
        <v>NULL</v>
      </c>
      <c r="E63" t="str">
        <f>IF('Boletins Nuppa Site'!G63&lt;&gt;0,'Boletins Nuppa Site'!G63,"NULL")</f>
        <v>NULL</v>
      </c>
      <c r="F63" t="str">
        <f>IF('Boletins Nuppa Site'!H63&lt;&gt;0,'Boletins Nuppa Site'!H63,"NULL")</f>
        <v>NULL</v>
      </c>
      <c r="G63" t="str">
        <f>IF('Boletins Nuppa Site'!I63&lt;&gt;0,'Boletins Nuppa Site'!I63,"NULL")</f>
        <v>NULL</v>
      </c>
      <c r="H63" t="str">
        <f>IF('Boletins Nuppa Site'!J63&lt;&gt;0,'Boletins Nuppa Site'!J63,"NULL")</f>
        <v>NULL</v>
      </c>
      <c r="J63" t="str">
        <f t="shared" si="0"/>
        <v>INSERT INTO COTACAO (blt_id, pap_id, cot_prc_comum, cot_prc_min, cot_prc_max, cot_prc_med, cot_prc_mediana) VALUES (2, 24, NULL, NULL, NULL, NULL, NULL);</v>
      </c>
    </row>
    <row r="64" spans="1:10" x14ac:dyDescent="0.3">
      <c r="A64">
        <v>63</v>
      </c>
      <c r="B64">
        <v>2</v>
      </c>
      <c r="C64">
        <v>25</v>
      </c>
      <c r="D64">
        <f>IF('Boletins Nuppa Site'!F64&lt;&gt;0,'Boletins Nuppa Site'!F64,"NULL")</f>
        <v>50</v>
      </c>
      <c r="E64">
        <f>IF('Boletins Nuppa Site'!G64&lt;&gt;0,'Boletins Nuppa Site'!G64,"NULL")</f>
        <v>50</v>
      </c>
      <c r="F64">
        <f>IF('Boletins Nuppa Site'!H64&lt;&gt;0,'Boletins Nuppa Site'!H64,"NULL")</f>
        <v>60</v>
      </c>
      <c r="G64">
        <f>IF('Boletins Nuppa Site'!I64&lt;&gt;0,'Boletins Nuppa Site'!I64,"NULL")</f>
        <v>55</v>
      </c>
      <c r="H64">
        <f>IF('Boletins Nuppa Site'!J64&lt;&gt;0,'Boletins Nuppa Site'!J64,"NULL")</f>
        <v>55</v>
      </c>
      <c r="J64" t="str">
        <f t="shared" si="0"/>
        <v>INSERT INTO COTACAO (blt_id, pap_id, cot_prc_comum, cot_prc_min, cot_prc_max, cot_prc_med, cot_prc_mediana) VALUES (2, 25, 50, 50, 60, 55, 55);</v>
      </c>
    </row>
    <row r="65" spans="1:10" x14ac:dyDescent="0.3">
      <c r="A65">
        <v>64</v>
      </c>
      <c r="B65">
        <v>2</v>
      </c>
      <c r="C65">
        <v>26</v>
      </c>
      <c r="D65">
        <f>IF('Boletins Nuppa Site'!F65&lt;&gt;0,'Boletins Nuppa Site'!F65,"NULL")</f>
        <v>50</v>
      </c>
      <c r="E65">
        <f>IF('Boletins Nuppa Site'!G65&lt;&gt;0,'Boletins Nuppa Site'!G65,"NULL")</f>
        <v>40</v>
      </c>
      <c r="F65">
        <f>IF('Boletins Nuppa Site'!H65&lt;&gt;0,'Boletins Nuppa Site'!H65,"NULL")</f>
        <v>75</v>
      </c>
      <c r="G65" t="str">
        <f>IF('Boletins Nuppa Site'!I65&lt;&gt;0,'Boletins Nuppa Site'!I65,"NULL")</f>
        <v>56.67</v>
      </c>
      <c r="H65" t="str">
        <f>IF('Boletins Nuppa Site'!J65&lt;&gt;0,'Boletins Nuppa Site'!J65,"NULL")</f>
        <v>52.5</v>
      </c>
      <c r="J65" t="str">
        <f t="shared" si="0"/>
        <v>INSERT INTO COTACAO (blt_id, pap_id, cot_prc_comum, cot_prc_min, cot_prc_max, cot_prc_med, cot_prc_mediana) VALUES (2, 26, 50, 40, 75, 56.67, 52.5);</v>
      </c>
    </row>
    <row r="66" spans="1:10" x14ac:dyDescent="0.3">
      <c r="A66">
        <v>65</v>
      </c>
      <c r="B66">
        <v>2</v>
      </c>
      <c r="C66">
        <v>27</v>
      </c>
      <c r="D66">
        <f>IF('Boletins Nuppa Site'!F66&lt;&gt;0,'Boletins Nuppa Site'!F66,"NULL")</f>
        <v>70</v>
      </c>
      <c r="E66">
        <f>IF('Boletins Nuppa Site'!G66&lt;&gt;0,'Boletins Nuppa Site'!G66,"NULL")</f>
        <v>50</v>
      </c>
      <c r="F66">
        <f>IF('Boletins Nuppa Site'!H66&lt;&gt;0,'Boletins Nuppa Site'!H66,"NULL")</f>
        <v>90</v>
      </c>
      <c r="G66" t="str">
        <f>IF('Boletins Nuppa Site'!I66&lt;&gt;0,'Boletins Nuppa Site'!I66,"NULL")</f>
        <v>71.43</v>
      </c>
      <c r="H66">
        <f>IF('Boletins Nuppa Site'!J66&lt;&gt;0,'Boletins Nuppa Site'!J66,"NULL")</f>
        <v>70</v>
      </c>
      <c r="J66" t="str">
        <f t="shared" si="0"/>
        <v>INSERT INTO COTACAO (blt_id, pap_id, cot_prc_comum, cot_prc_min, cot_prc_max, cot_prc_med, cot_prc_mediana) VALUES (2, 27, 70, 50, 90, 71.43, 70);</v>
      </c>
    </row>
    <row r="67" spans="1:10" x14ac:dyDescent="0.3">
      <c r="A67">
        <v>66</v>
      </c>
      <c r="B67">
        <v>2</v>
      </c>
      <c r="C67">
        <v>28</v>
      </c>
      <c r="D67" t="str">
        <f>IF('Boletins Nuppa Site'!F67&lt;&gt;0,'Boletins Nuppa Site'!F67,"NULL")</f>
        <v>NULL</v>
      </c>
      <c r="E67">
        <f>IF('Boletins Nuppa Site'!G67&lt;&gt;0,'Boletins Nuppa Site'!G67,"NULL")</f>
        <v>60</v>
      </c>
      <c r="F67">
        <f>IF('Boletins Nuppa Site'!H67&lt;&gt;0,'Boletins Nuppa Site'!H67,"NULL")</f>
        <v>65</v>
      </c>
      <c r="G67" t="str">
        <f>IF('Boletins Nuppa Site'!I67&lt;&gt;0,'Boletins Nuppa Site'!I67,"NULL")</f>
        <v>62.5</v>
      </c>
      <c r="H67" t="str">
        <f>IF('Boletins Nuppa Site'!J67&lt;&gt;0,'Boletins Nuppa Site'!J67,"NULL")</f>
        <v>62.5</v>
      </c>
      <c r="J67" t="str">
        <f t="shared" ref="J67:J130" si="1">"INSERT INTO COTACAO (blt_id, pap_id, cot_prc_comum, cot_prc_min, cot_prc_max, cot_prc_med, cot_prc_mediana) VALUES ("&amp;B67&amp;", "&amp;C67&amp;", "&amp;D67&amp;", "&amp;E67&amp;", "&amp;F67&amp;", "&amp;G67&amp;", "&amp;H67&amp;");"</f>
        <v>INSERT INTO COTACAO (blt_id, pap_id, cot_prc_comum, cot_prc_min, cot_prc_max, cot_prc_med, cot_prc_mediana) VALUES (2, 28, NULL, 60, 65, 62.5, 62.5);</v>
      </c>
    </row>
    <row r="68" spans="1:10" x14ac:dyDescent="0.3">
      <c r="A68">
        <v>67</v>
      </c>
      <c r="B68">
        <v>2</v>
      </c>
      <c r="C68">
        <v>29</v>
      </c>
      <c r="D68" t="str">
        <f>IF('Boletins Nuppa Site'!F68&lt;&gt;0,'Boletins Nuppa Site'!F68,"NULL")</f>
        <v>NULL</v>
      </c>
      <c r="E68">
        <f>IF('Boletins Nuppa Site'!G68&lt;&gt;0,'Boletins Nuppa Site'!G68,"NULL")</f>
        <v>60</v>
      </c>
      <c r="F68">
        <f>IF('Boletins Nuppa Site'!H68&lt;&gt;0,'Boletins Nuppa Site'!H68,"NULL")</f>
        <v>65</v>
      </c>
      <c r="G68" t="str">
        <f>IF('Boletins Nuppa Site'!I68&lt;&gt;0,'Boletins Nuppa Site'!I68,"NULL")</f>
        <v>62.5</v>
      </c>
      <c r="H68" t="str">
        <f>IF('Boletins Nuppa Site'!J68&lt;&gt;0,'Boletins Nuppa Site'!J68,"NULL")</f>
        <v>62.5</v>
      </c>
      <c r="J68" t="str">
        <f t="shared" si="1"/>
        <v>INSERT INTO COTACAO (blt_id, pap_id, cot_prc_comum, cot_prc_min, cot_prc_max, cot_prc_med, cot_prc_mediana) VALUES (2, 29, NULL, 60, 65, 62.5, 62.5);</v>
      </c>
    </row>
    <row r="69" spans="1:10" x14ac:dyDescent="0.3">
      <c r="A69">
        <v>68</v>
      </c>
      <c r="B69">
        <v>2</v>
      </c>
      <c r="C69">
        <v>30</v>
      </c>
      <c r="D69">
        <f>IF('Boletins Nuppa Site'!F69&lt;&gt;0,'Boletins Nuppa Site'!F69,"NULL")</f>
        <v>60</v>
      </c>
      <c r="E69">
        <f>IF('Boletins Nuppa Site'!G69&lt;&gt;0,'Boletins Nuppa Site'!G69,"NULL")</f>
        <v>50</v>
      </c>
      <c r="F69">
        <f>IF('Boletins Nuppa Site'!H69&lt;&gt;0,'Boletins Nuppa Site'!H69,"NULL")</f>
        <v>60</v>
      </c>
      <c r="G69" t="str">
        <f>IF('Boletins Nuppa Site'!I69&lt;&gt;0,'Boletins Nuppa Site'!I69,"NULL")</f>
        <v>57.5</v>
      </c>
      <c r="H69">
        <f>IF('Boletins Nuppa Site'!J69&lt;&gt;0,'Boletins Nuppa Site'!J69,"NULL")</f>
        <v>60</v>
      </c>
      <c r="J69" t="str">
        <f t="shared" si="1"/>
        <v>INSERT INTO COTACAO (blt_id, pap_id, cot_prc_comum, cot_prc_min, cot_prc_max, cot_prc_med, cot_prc_mediana) VALUES (2, 30, 60, 50, 60, 57.5, 60);</v>
      </c>
    </row>
    <row r="70" spans="1:10" x14ac:dyDescent="0.3">
      <c r="A70">
        <v>69</v>
      </c>
      <c r="B70">
        <v>2</v>
      </c>
      <c r="C70">
        <v>31</v>
      </c>
      <c r="D70">
        <f>IF('Boletins Nuppa Site'!F70&lt;&gt;0,'Boletins Nuppa Site'!F70,"NULL")</f>
        <v>70</v>
      </c>
      <c r="E70">
        <f>IF('Boletins Nuppa Site'!G70&lt;&gt;0,'Boletins Nuppa Site'!G70,"NULL")</f>
        <v>70</v>
      </c>
      <c r="F70">
        <f>IF('Boletins Nuppa Site'!H70&lt;&gt;0,'Boletins Nuppa Site'!H70,"NULL")</f>
        <v>80</v>
      </c>
      <c r="G70">
        <f>IF('Boletins Nuppa Site'!I70&lt;&gt;0,'Boletins Nuppa Site'!I70,"NULL")</f>
        <v>73</v>
      </c>
      <c r="H70">
        <f>IF('Boletins Nuppa Site'!J70&lt;&gt;0,'Boletins Nuppa Site'!J70,"NULL")</f>
        <v>70</v>
      </c>
      <c r="J70" t="str">
        <f t="shared" si="1"/>
        <v>INSERT INTO COTACAO (blt_id, pap_id, cot_prc_comum, cot_prc_min, cot_prc_max, cot_prc_med, cot_prc_mediana) VALUES (2, 31, 70, 70, 80, 73, 70);</v>
      </c>
    </row>
    <row r="71" spans="1:10" x14ac:dyDescent="0.3">
      <c r="A71">
        <v>70</v>
      </c>
      <c r="B71">
        <v>2</v>
      </c>
      <c r="C71">
        <v>32</v>
      </c>
      <c r="D71">
        <f>IF('Boletins Nuppa Site'!F71&lt;&gt;0,'Boletins Nuppa Site'!F71,"NULL")</f>
        <v>40</v>
      </c>
      <c r="E71">
        <f>IF('Boletins Nuppa Site'!G71&lt;&gt;0,'Boletins Nuppa Site'!G71,"NULL")</f>
        <v>30</v>
      </c>
      <c r="F71">
        <f>IF('Boletins Nuppa Site'!H71&lt;&gt;0,'Boletins Nuppa Site'!H71,"NULL")</f>
        <v>50</v>
      </c>
      <c r="G71" t="str">
        <f>IF('Boletins Nuppa Site'!I71&lt;&gt;0,'Boletins Nuppa Site'!I71,"NULL")</f>
        <v>39.38</v>
      </c>
      <c r="H71">
        <f>IF('Boletins Nuppa Site'!J71&lt;&gt;0,'Boletins Nuppa Site'!J71,"NULL")</f>
        <v>40</v>
      </c>
      <c r="J71" t="str">
        <f t="shared" si="1"/>
        <v>INSERT INTO COTACAO (blt_id, pap_id, cot_prc_comum, cot_prc_min, cot_prc_max, cot_prc_med, cot_prc_mediana) VALUES (2, 32, 40, 30, 50, 39.38, 40);</v>
      </c>
    </row>
    <row r="72" spans="1:10" x14ac:dyDescent="0.3">
      <c r="A72">
        <v>71</v>
      </c>
      <c r="B72">
        <v>2</v>
      </c>
      <c r="C72">
        <v>33</v>
      </c>
      <c r="D72">
        <f>IF('Boletins Nuppa Site'!F72&lt;&gt;0,'Boletins Nuppa Site'!F72,"NULL")</f>
        <v>70</v>
      </c>
      <c r="E72">
        <f>IF('Boletins Nuppa Site'!G72&lt;&gt;0,'Boletins Nuppa Site'!G72,"NULL")</f>
        <v>70</v>
      </c>
      <c r="F72">
        <f>IF('Boletins Nuppa Site'!H72&lt;&gt;0,'Boletins Nuppa Site'!H72,"NULL")</f>
        <v>130</v>
      </c>
      <c r="G72" t="str">
        <f>IF('Boletins Nuppa Site'!I72&lt;&gt;0,'Boletins Nuppa Site'!I72,"NULL")</f>
        <v>102.86</v>
      </c>
      <c r="H72">
        <f>IF('Boletins Nuppa Site'!J72&lt;&gt;0,'Boletins Nuppa Site'!J72,"NULL")</f>
        <v>110</v>
      </c>
      <c r="J72" t="str">
        <f t="shared" si="1"/>
        <v>INSERT INTO COTACAO (blt_id, pap_id, cot_prc_comum, cot_prc_min, cot_prc_max, cot_prc_med, cot_prc_mediana) VALUES (2, 33, 70, 70, 130, 102.86, 110);</v>
      </c>
    </row>
    <row r="73" spans="1:10" x14ac:dyDescent="0.3">
      <c r="A73">
        <v>72</v>
      </c>
      <c r="B73">
        <v>2</v>
      </c>
      <c r="C73">
        <v>34</v>
      </c>
      <c r="D73">
        <f>IF('Boletins Nuppa Site'!F73&lt;&gt;0,'Boletins Nuppa Site'!F73,"NULL")</f>
        <v>90</v>
      </c>
      <c r="E73">
        <f>IF('Boletins Nuppa Site'!G73&lt;&gt;0,'Boletins Nuppa Site'!G73,"NULL")</f>
        <v>80</v>
      </c>
      <c r="F73">
        <f>IF('Boletins Nuppa Site'!H73&lt;&gt;0,'Boletins Nuppa Site'!H73,"NULL")</f>
        <v>100</v>
      </c>
      <c r="G73">
        <f>IF('Boletins Nuppa Site'!I73&lt;&gt;0,'Boletins Nuppa Site'!I73,"NULL")</f>
        <v>92</v>
      </c>
      <c r="H73">
        <f>IF('Boletins Nuppa Site'!J73&lt;&gt;0,'Boletins Nuppa Site'!J73,"NULL")</f>
        <v>90</v>
      </c>
      <c r="J73" t="str">
        <f t="shared" si="1"/>
        <v>INSERT INTO COTACAO (blt_id, pap_id, cot_prc_comum, cot_prc_min, cot_prc_max, cot_prc_med, cot_prc_mediana) VALUES (2, 34, 90, 80, 100, 92, 90);</v>
      </c>
    </row>
    <row r="74" spans="1:10" x14ac:dyDescent="0.3">
      <c r="A74">
        <v>73</v>
      </c>
      <c r="B74">
        <v>2</v>
      </c>
      <c r="C74">
        <v>35</v>
      </c>
      <c r="D74">
        <f>IF('Boletins Nuppa Site'!F74&lt;&gt;0,'Boletins Nuppa Site'!F74,"NULL")</f>
        <v>100</v>
      </c>
      <c r="E74">
        <f>IF('Boletins Nuppa Site'!G74&lt;&gt;0,'Boletins Nuppa Site'!G74,"NULL")</f>
        <v>100</v>
      </c>
      <c r="F74">
        <f>IF('Boletins Nuppa Site'!H74&lt;&gt;0,'Boletins Nuppa Site'!H74,"NULL")</f>
        <v>130</v>
      </c>
      <c r="G74">
        <f>IF('Boletins Nuppa Site'!I74&lt;&gt;0,'Boletins Nuppa Site'!I74,"NULL")</f>
        <v>108</v>
      </c>
      <c r="H74">
        <f>IF('Boletins Nuppa Site'!J74&lt;&gt;0,'Boletins Nuppa Site'!J74,"NULL")</f>
        <v>100</v>
      </c>
      <c r="J74" t="str">
        <f t="shared" si="1"/>
        <v>INSERT INTO COTACAO (blt_id, pap_id, cot_prc_comum, cot_prc_min, cot_prc_max, cot_prc_med, cot_prc_mediana) VALUES (2, 35, 100, 100, 130, 108, 100);</v>
      </c>
    </row>
    <row r="75" spans="1:10" x14ac:dyDescent="0.3">
      <c r="A75">
        <v>74</v>
      </c>
      <c r="B75">
        <v>2</v>
      </c>
      <c r="C75">
        <v>36</v>
      </c>
      <c r="D75" t="str">
        <f>IF('Boletins Nuppa Site'!F75&lt;&gt;0,'Boletins Nuppa Site'!F75,"NULL")</f>
        <v>NULL</v>
      </c>
      <c r="E75" t="str">
        <f>IF('Boletins Nuppa Site'!G75&lt;&gt;0,'Boletins Nuppa Site'!G75,"NULL")</f>
        <v>NULL</v>
      </c>
      <c r="F75" t="str">
        <f>IF('Boletins Nuppa Site'!H75&lt;&gt;0,'Boletins Nuppa Site'!H75,"NULL")</f>
        <v>NULL</v>
      </c>
      <c r="G75" t="str">
        <f>IF('Boletins Nuppa Site'!I75&lt;&gt;0,'Boletins Nuppa Site'!I75,"NULL")</f>
        <v>NULL</v>
      </c>
      <c r="H75" t="str">
        <f>IF('Boletins Nuppa Site'!J75&lt;&gt;0,'Boletins Nuppa Site'!J75,"NULL")</f>
        <v>NULL</v>
      </c>
      <c r="J75" t="str">
        <f t="shared" si="1"/>
        <v>INSERT INTO COTACAO (blt_id, pap_id, cot_prc_comum, cot_prc_min, cot_prc_max, cot_prc_med, cot_prc_mediana) VALUES (2, 36, NULL, NULL, NULL, NULL, NULL);</v>
      </c>
    </row>
    <row r="76" spans="1:10" x14ac:dyDescent="0.3">
      <c r="A76">
        <v>75</v>
      </c>
      <c r="B76">
        <v>2</v>
      </c>
      <c r="C76">
        <v>37</v>
      </c>
      <c r="D76" t="str">
        <f>IF('Boletins Nuppa Site'!F76&lt;&gt;0,'Boletins Nuppa Site'!F76,"NULL")</f>
        <v>NULL</v>
      </c>
      <c r="E76" t="str">
        <f>IF('Boletins Nuppa Site'!G76&lt;&gt;0,'Boletins Nuppa Site'!G76,"NULL")</f>
        <v>NULL</v>
      </c>
      <c r="F76" t="str">
        <f>IF('Boletins Nuppa Site'!H76&lt;&gt;0,'Boletins Nuppa Site'!H76,"NULL")</f>
        <v>NULL</v>
      </c>
      <c r="G76" t="str">
        <f>IF('Boletins Nuppa Site'!I76&lt;&gt;0,'Boletins Nuppa Site'!I76,"NULL")</f>
        <v>NULL</v>
      </c>
      <c r="H76" t="str">
        <f>IF('Boletins Nuppa Site'!J76&lt;&gt;0,'Boletins Nuppa Site'!J76,"NULL")</f>
        <v>NULL</v>
      </c>
      <c r="J76" t="str">
        <f t="shared" si="1"/>
        <v>INSERT INTO COTACAO (blt_id, pap_id, cot_prc_comum, cot_prc_min, cot_prc_max, cot_prc_med, cot_prc_mediana) VALUES (2, 37, NULL, NULL, NULL, NULL, NULL);</v>
      </c>
    </row>
    <row r="77" spans="1:10" x14ac:dyDescent="0.3">
      <c r="A77">
        <v>76</v>
      </c>
      <c r="B77">
        <v>2</v>
      </c>
      <c r="C77">
        <v>38</v>
      </c>
      <c r="D77" t="str">
        <f>IF('Boletins Nuppa Site'!F77&lt;&gt;0,'Boletins Nuppa Site'!F77,"NULL")</f>
        <v>NULL</v>
      </c>
      <c r="E77" t="str">
        <f>IF('Boletins Nuppa Site'!G77&lt;&gt;0,'Boletins Nuppa Site'!G77,"NULL")</f>
        <v>NULL</v>
      </c>
      <c r="F77" t="str">
        <f>IF('Boletins Nuppa Site'!H77&lt;&gt;0,'Boletins Nuppa Site'!H77,"NULL")</f>
        <v>NULL</v>
      </c>
      <c r="G77" t="str">
        <f>IF('Boletins Nuppa Site'!I77&lt;&gt;0,'Boletins Nuppa Site'!I77,"NULL")</f>
        <v>NULL</v>
      </c>
      <c r="H77" t="str">
        <f>IF('Boletins Nuppa Site'!J77&lt;&gt;0,'Boletins Nuppa Site'!J77,"NULL")</f>
        <v>NULL</v>
      </c>
      <c r="J77" t="str">
        <f t="shared" si="1"/>
        <v>INSERT INTO COTACAO (blt_id, pap_id, cot_prc_comum, cot_prc_min, cot_prc_max, cot_prc_med, cot_prc_mediana) VALUES (2, 38, NULL, NULL, NULL, NULL, NULL);</v>
      </c>
    </row>
    <row r="78" spans="1:10" x14ac:dyDescent="0.3">
      <c r="A78">
        <v>77</v>
      </c>
      <c r="B78">
        <v>2</v>
      </c>
      <c r="C78">
        <v>39</v>
      </c>
      <c r="D78" t="str">
        <f>IF('Boletins Nuppa Site'!F78&lt;&gt;0,'Boletins Nuppa Site'!F78,"NULL")</f>
        <v>NULL</v>
      </c>
      <c r="E78">
        <f>IF('Boletins Nuppa Site'!G78&lt;&gt;0,'Boletins Nuppa Site'!G78,"NULL")</f>
        <v>28</v>
      </c>
      <c r="F78">
        <f>IF('Boletins Nuppa Site'!H78&lt;&gt;0,'Boletins Nuppa Site'!H78,"NULL")</f>
        <v>28</v>
      </c>
      <c r="G78">
        <f>IF('Boletins Nuppa Site'!I78&lt;&gt;0,'Boletins Nuppa Site'!I78,"NULL")</f>
        <v>28</v>
      </c>
      <c r="H78">
        <f>IF('Boletins Nuppa Site'!J78&lt;&gt;0,'Boletins Nuppa Site'!J78,"NULL")</f>
        <v>28</v>
      </c>
      <c r="J78" t="str">
        <f t="shared" si="1"/>
        <v>INSERT INTO COTACAO (blt_id, pap_id, cot_prc_comum, cot_prc_min, cot_prc_max, cot_prc_med, cot_prc_mediana) VALUES (2, 39, NULL, 28, 28, 28, 28);</v>
      </c>
    </row>
    <row r="79" spans="1:10" x14ac:dyDescent="0.3">
      <c r="A79">
        <v>78</v>
      </c>
      <c r="B79">
        <v>2</v>
      </c>
      <c r="C79">
        <v>40</v>
      </c>
      <c r="D79" t="str">
        <f>IF('Boletins Nuppa Site'!F79&lt;&gt;0,'Boletins Nuppa Site'!F79,"NULL")</f>
        <v>NULL</v>
      </c>
      <c r="E79" t="str">
        <f>IF('Boletins Nuppa Site'!G79&lt;&gt;0,'Boletins Nuppa Site'!G79,"NULL")</f>
        <v>NULL</v>
      </c>
      <c r="F79" t="str">
        <f>IF('Boletins Nuppa Site'!H79&lt;&gt;0,'Boletins Nuppa Site'!H79,"NULL")</f>
        <v>NULL</v>
      </c>
      <c r="G79" t="str">
        <f>IF('Boletins Nuppa Site'!I79&lt;&gt;0,'Boletins Nuppa Site'!I79,"NULL")</f>
        <v>NULL</v>
      </c>
      <c r="H79" t="str">
        <f>IF('Boletins Nuppa Site'!J79&lt;&gt;0,'Boletins Nuppa Site'!J79,"NULL")</f>
        <v>NULL</v>
      </c>
      <c r="J79" t="str">
        <f t="shared" si="1"/>
        <v>INSERT INTO COTACAO (blt_id, pap_id, cot_prc_comum, cot_prc_min, cot_prc_max, cot_prc_med, cot_prc_mediana) VALUES (2, 40, NULL, NULL, NULL, NULL, NULL);</v>
      </c>
    </row>
    <row r="80" spans="1:10" x14ac:dyDescent="0.3">
      <c r="A80">
        <v>79</v>
      </c>
      <c r="B80">
        <v>3</v>
      </c>
      <c r="C80">
        <v>1</v>
      </c>
      <c r="D80">
        <f>IF('Boletins Nuppa Site'!F80&lt;&gt;0,'Boletins Nuppa Site'!F80,"NULL")</f>
        <v>42</v>
      </c>
      <c r="E80">
        <f>IF('Boletins Nuppa Site'!G80&lt;&gt;0,'Boletins Nuppa Site'!G80,"NULL")</f>
        <v>42</v>
      </c>
      <c r="F80">
        <f>IF('Boletins Nuppa Site'!H80&lt;&gt;0,'Boletins Nuppa Site'!H80,"NULL")</f>
        <v>42</v>
      </c>
      <c r="G80">
        <f>IF('Boletins Nuppa Site'!I80&lt;&gt;0,'Boletins Nuppa Site'!I80,"NULL")</f>
        <v>42</v>
      </c>
      <c r="H80">
        <f>IF('Boletins Nuppa Site'!J80&lt;&gt;0,'Boletins Nuppa Site'!J80,"NULL")</f>
        <v>42</v>
      </c>
      <c r="J80" t="str">
        <f t="shared" si="1"/>
        <v>INSERT INTO COTACAO (blt_id, pap_id, cot_prc_comum, cot_prc_min, cot_prc_max, cot_prc_med, cot_prc_mediana) VALUES (3, 1, 42, 42, 42, 42, 42);</v>
      </c>
    </row>
    <row r="81" spans="1:10" x14ac:dyDescent="0.3">
      <c r="A81">
        <v>80</v>
      </c>
      <c r="B81">
        <v>3</v>
      </c>
      <c r="C81">
        <v>2</v>
      </c>
      <c r="D81">
        <f>IF('Boletins Nuppa Site'!F81&lt;&gt;0,'Boletins Nuppa Site'!F81,"NULL")</f>
        <v>60</v>
      </c>
      <c r="E81">
        <f>IF('Boletins Nuppa Site'!G81&lt;&gt;0,'Boletins Nuppa Site'!G81,"NULL")</f>
        <v>60</v>
      </c>
      <c r="F81">
        <f>IF('Boletins Nuppa Site'!H81&lt;&gt;0,'Boletins Nuppa Site'!H81,"NULL")</f>
        <v>60</v>
      </c>
      <c r="G81">
        <f>IF('Boletins Nuppa Site'!I81&lt;&gt;0,'Boletins Nuppa Site'!I81,"NULL")</f>
        <v>60</v>
      </c>
      <c r="H81">
        <f>IF('Boletins Nuppa Site'!J81&lt;&gt;0,'Boletins Nuppa Site'!J81,"NULL")</f>
        <v>60</v>
      </c>
      <c r="J81" t="str">
        <f t="shared" si="1"/>
        <v>INSERT INTO COTACAO (blt_id, pap_id, cot_prc_comum, cot_prc_min, cot_prc_max, cot_prc_med, cot_prc_mediana) VALUES (3, 2, 60, 60, 60, 60, 60);</v>
      </c>
    </row>
    <row r="82" spans="1:10" x14ac:dyDescent="0.3">
      <c r="A82">
        <v>81</v>
      </c>
      <c r="B82">
        <v>3</v>
      </c>
      <c r="C82">
        <v>3</v>
      </c>
      <c r="D82">
        <f>IF('Boletins Nuppa Site'!F82&lt;&gt;0,'Boletins Nuppa Site'!F82,"NULL")</f>
        <v>30</v>
      </c>
      <c r="E82">
        <f>IF('Boletins Nuppa Site'!G82&lt;&gt;0,'Boletins Nuppa Site'!G82,"NULL")</f>
        <v>30</v>
      </c>
      <c r="F82">
        <f>IF('Boletins Nuppa Site'!H82&lt;&gt;0,'Boletins Nuppa Site'!H82,"NULL")</f>
        <v>42</v>
      </c>
      <c r="G82">
        <f>IF('Boletins Nuppa Site'!I82&lt;&gt;0,'Boletins Nuppa Site'!I82,"NULL")</f>
        <v>34</v>
      </c>
      <c r="H82">
        <f>IF('Boletins Nuppa Site'!J82&lt;&gt;0,'Boletins Nuppa Site'!J82,"NULL")</f>
        <v>30</v>
      </c>
      <c r="J82" t="str">
        <f t="shared" si="1"/>
        <v>INSERT INTO COTACAO (blt_id, pap_id, cot_prc_comum, cot_prc_min, cot_prc_max, cot_prc_med, cot_prc_mediana) VALUES (3, 3, 30, 30, 42, 34, 30);</v>
      </c>
    </row>
    <row r="83" spans="1:10" x14ac:dyDescent="0.3">
      <c r="A83">
        <v>82</v>
      </c>
      <c r="B83">
        <v>3</v>
      </c>
      <c r="C83">
        <v>4</v>
      </c>
      <c r="D83">
        <f>IF('Boletins Nuppa Site'!F83&lt;&gt;0,'Boletins Nuppa Site'!F83,"NULL")</f>
        <v>24</v>
      </c>
      <c r="E83">
        <f>IF('Boletins Nuppa Site'!G83&lt;&gt;0,'Boletins Nuppa Site'!G83,"NULL")</f>
        <v>20</v>
      </c>
      <c r="F83">
        <f>IF('Boletins Nuppa Site'!H83&lt;&gt;0,'Boletins Nuppa Site'!H83,"NULL")</f>
        <v>24</v>
      </c>
      <c r="G83" t="str">
        <f>IF('Boletins Nuppa Site'!I83&lt;&gt;0,'Boletins Nuppa Site'!I83,"NULL")</f>
        <v>22.5</v>
      </c>
      <c r="H83">
        <f>IF('Boletins Nuppa Site'!J83&lt;&gt;0,'Boletins Nuppa Site'!J83,"NULL")</f>
        <v>23</v>
      </c>
      <c r="J83" t="str">
        <f t="shared" si="1"/>
        <v>INSERT INTO COTACAO (blt_id, pap_id, cot_prc_comum, cot_prc_min, cot_prc_max, cot_prc_med, cot_prc_mediana) VALUES (3, 4, 24, 20, 24, 22.5, 23);</v>
      </c>
    </row>
    <row r="84" spans="1:10" x14ac:dyDescent="0.3">
      <c r="A84">
        <v>83</v>
      </c>
      <c r="B84">
        <v>3</v>
      </c>
      <c r="C84">
        <v>5</v>
      </c>
      <c r="D84" t="str">
        <f>IF('Boletins Nuppa Site'!F84&lt;&gt;0,'Boletins Nuppa Site'!F84,"NULL")</f>
        <v>NULL</v>
      </c>
      <c r="E84">
        <f>IF('Boletins Nuppa Site'!G84&lt;&gt;0,'Boletins Nuppa Site'!G84,"NULL")</f>
        <v>18</v>
      </c>
      <c r="F84">
        <f>IF('Boletins Nuppa Site'!H84&lt;&gt;0,'Boletins Nuppa Site'!H84,"NULL")</f>
        <v>24</v>
      </c>
      <c r="G84">
        <f>IF('Boletins Nuppa Site'!I84&lt;&gt;0,'Boletins Nuppa Site'!I84,"NULL")</f>
        <v>21</v>
      </c>
      <c r="H84">
        <f>IF('Boletins Nuppa Site'!J84&lt;&gt;0,'Boletins Nuppa Site'!J84,"NULL")</f>
        <v>21</v>
      </c>
      <c r="J84" t="str">
        <f t="shared" si="1"/>
        <v>INSERT INTO COTACAO (blt_id, pap_id, cot_prc_comum, cot_prc_min, cot_prc_max, cot_prc_med, cot_prc_mediana) VALUES (3, 5, NULL, 18, 24, 21, 21);</v>
      </c>
    </row>
    <row r="85" spans="1:10" x14ac:dyDescent="0.3">
      <c r="A85">
        <v>84</v>
      </c>
      <c r="B85">
        <v>3</v>
      </c>
      <c r="C85">
        <v>6</v>
      </c>
      <c r="D85" t="str">
        <f>IF('Boletins Nuppa Site'!F85&lt;&gt;0,'Boletins Nuppa Site'!F85,"NULL")</f>
        <v>NULL</v>
      </c>
      <c r="E85">
        <f>IF('Boletins Nuppa Site'!G85&lt;&gt;0,'Boletins Nuppa Site'!G85,"NULL")</f>
        <v>24</v>
      </c>
      <c r="F85">
        <f>IF('Boletins Nuppa Site'!H85&lt;&gt;0,'Boletins Nuppa Site'!H85,"NULL")</f>
        <v>48</v>
      </c>
      <c r="G85">
        <f>IF('Boletins Nuppa Site'!I85&lt;&gt;0,'Boletins Nuppa Site'!I85,"NULL")</f>
        <v>38</v>
      </c>
      <c r="H85">
        <f>IF('Boletins Nuppa Site'!J85&lt;&gt;0,'Boletins Nuppa Site'!J85,"NULL")</f>
        <v>42</v>
      </c>
      <c r="J85" t="str">
        <f t="shared" si="1"/>
        <v>INSERT INTO COTACAO (blt_id, pap_id, cot_prc_comum, cot_prc_min, cot_prc_max, cot_prc_med, cot_prc_mediana) VALUES (3, 6, NULL, 24, 48, 38, 42);</v>
      </c>
    </row>
    <row r="86" spans="1:10" x14ac:dyDescent="0.3">
      <c r="A86">
        <v>85</v>
      </c>
      <c r="B86">
        <v>3</v>
      </c>
      <c r="C86">
        <v>7</v>
      </c>
      <c r="D86" t="str">
        <f>IF('Boletins Nuppa Site'!F86&lt;&gt;0,'Boletins Nuppa Site'!F86,"NULL")</f>
        <v>NULL</v>
      </c>
      <c r="E86">
        <f>IF('Boletins Nuppa Site'!G86&lt;&gt;0,'Boletins Nuppa Site'!G86,"NULL")</f>
        <v>72</v>
      </c>
      <c r="F86">
        <f>IF('Boletins Nuppa Site'!H86&lt;&gt;0,'Boletins Nuppa Site'!H86,"NULL")</f>
        <v>78</v>
      </c>
      <c r="G86">
        <f>IF('Boletins Nuppa Site'!I86&lt;&gt;0,'Boletins Nuppa Site'!I86,"NULL")</f>
        <v>75</v>
      </c>
      <c r="H86">
        <f>IF('Boletins Nuppa Site'!J86&lt;&gt;0,'Boletins Nuppa Site'!J86,"NULL")</f>
        <v>75</v>
      </c>
      <c r="J86" t="str">
        <f t="shared" si="1"/>
        <v>INSERT INTO COTACAO (blt_id, pap_id, cot_prc_comum, cot_prc_min, cot_prc_max, cot_prc_med, cot_prc_mediana) VALUES (3, 7, NULL, 72, 78, 75, 75);</v>
      </c>
    </row>
    <row r="87" spans="1:10" x14ac:dyDescent="0.3">
      <c r="A87">
        <v>86</v>
      </c>
      <c r="B87">
        <v>3</v>
      </c>
      <c r="C87">
        <v>8</v>
      </c>
      <c r="D87" t="str">
        <f>IF('Boletins Nuppa Site'!F87&lt;&gt;0,'Boletins Nuppa Site'!F87,"NULL")</f>
        <v>NULL</v>
      </c>
      <c r="E87">
        <f>IF('Boletins Nuppa Site'!G87&lt;&gt;0,'Boletins Nuppa Site'!G87,"NULL")</f>
        <v>50</v>
      </c>
      <c r="F87">
        <f>IF('Boletins Nuppa Site'!H87&lt;&gt;0,'Boletins Nuppa Site'!H87,"NULL")</f>
        <v>84</v>
      </c>
      <c r="G87" t="str">
        <f>IF('Boletins Nuppa Site'!I87&lt;&gt;0,'Boletins Nuppa Site'!I87,"NULL")</f>
        <v>64.67</v>
      </c>
      <c r="H87">
        <f>IF('Boletins Nuppa Site'!J87&lt;&gt;0,'Boletins Nuppa Site'!J87,"NULL")</f>
        <v>60</v>
      </c>
      <c r="J87" t="str">
        <f t="shared" si="1"/>
        <v>INSERT INTO COTACAO (blt_id, pap_id, cot_prc_comum, cot_prc_min, cot_prc_max, cot_prc_med, cot_prc_mediana) VALUES (3, 8, NULL, 50, 84, 64.67, 60);</v>
      </c>
    </row>
    <row r="88" spans="1:10" x14ac:dyDescent="0.3">
      <c r="A88">
        <v>87</v>
      </c>
      <c r="B88">
        <v>3</v>
      </c>
      <c r="C88">
        <v>9</v>
      </c>
      <c r="D88">
        <f>IF('Boletins Nuppa Site'!F88&lt;&gt;0,'Boletins Nuppa Site'!F88,"NULL")</f>
        <v>18</v>
      </c>
      <c r="E88">
        <f>IF('Boletins Nuppa Site'!G88&lt;&gt;0,'Boletins Nuppa Site'!G88,"NULL")</f>
        <v>18</v>
      </c>
      <c r="F88">
        <f>IF('Boletins Nuppa Site'!H88&lt;&gt;0,'Boletins Nuppa Site'!H88,"NULL")</f>
        <v>24</v>
      </c>
      <c r="G88">
        <f>IF('Boletins Nuppa Site'!I88&lt;&gt;0,'Boletins Nuppa Site'!I88,"NULL")</f>
        <v>20</v>
      </c>
      <c r="H88">
        <f>IF('Boletins Nuppa Site'!J88&lt;&gt;0,'Boletins Nuppa Site'!J88,"NULL")</f>
        <v>18</v>
      </c>
      <c r="J88" t="str">
        <f t="shared" si="1"/>
        <v>INSERT INTO COTACAO (blt_id, pap_id, cot_prc_comum, cot_prc_min, cot_prc_max, cot_prc_med, cot_prc_mediana) VALUES (3, 9, 18, 18, 24, 20, 18);</v>
      </c>
    </row>
    <row r="89" spans="1:10" x14ac:dyDescent="0.3">
      <c r="A89">
        <v>88</v>
      </c>
      <c r="B89">
        <v>3</v>
      </c>
      <c r="C89">
        <v>10</v>
      </c>
      <c r="D89" t="str">
        <f>IF('Boletins Nuppa Site'!F89&lt;&gt;0,'Boletins Nuppa Site'!F89,"NULL")</f>
        <v>NULL</v>
      </c>
      <c r="E89">
        <f>IF('Boletins Nuppa Site'!G89&lt;&gt;0,'Boletins Nuppa Site'!G89,"NULL")</f>
        <v>55</v>
      </c>
      <c r="F89">
        <f>IF('Boletins Nuppa Site'!H89&lt;&gt;0,'Boletins Nuppa Site'!H89,"NULL")</f>
        <v>80</v>
      </c>
      <c r="G89" t="str">
        <f>IF('Boletins Nuppa Site'!I89&lt;&gt;0,'Boletins Nuppa Site'!I89,"NULL")</f>
        <v>67.5</v>
      </c>
      <c r="H89" t="str">
        <f>IF('Boletins Nuppa Site'!J89&lt;&gt;0,'Boletins Nuppa Site'!J89,"NULL")</f>
        <v>67.5</v>
      </c>
      <c r="J89" t="str">
        <f t="shared" si="1"/>
        <v>INSERT INTO COTACAO (blt_id, pap_id, cot_prc_comum, cot_prc_min, cot_prc_max, cot_prc_med, cot_prc_mediana) VALUES (3, 10, NULL, 55, 80, 67.5, 67.5);</v>
      </c>
    </row>
    <row r="90" spans="1:10" x14ac:dyDescent="0.3">
      <c r="A90">
        <v>89</v>
      </c>
      <c r="B90">
        <v>3</v>
      </c>
      <c r="C90">
        <v>11</v>
      </c>
      <c r="D90" t="str">
        <f>IF('Boletins Nuppa Site'!F90&lt;&gt;0,'Boletins Nuppa Site'!F90,"NULL")</f>
        <v>NULL</v>
      </c>
      <c r="E90">
        <f>IF('Boletins Nuppa Site'!G90&lt;&gt;0,'Boletins Nuppa Site'!G90,"NULL")</f>
        <v>18</v>
      </c>
      <c r="F90">
        <f>IF('Boletins Nuppa Site'!H90&lt;&gt;0,'Boletins Nuppa Site'!H90,"NULL")</f>
        <v>24</v>
      </c>
      <c r="G90">
        <f>IF('Boletins Nuppa Site'!I90&lt;&gt;0,'Boletins Nuppa Site'!I90,"NULL")</f>
        <v>21</v>
      </c>
      <c r="H90">
        <f>IF('Boletins Nuppa Site'!J90&lt;&gt;0,'Boletins Nuppa Site'!J90,"NULL")</f>
        <v>21</v>
      </c>
      <c r="J90" t="str">
        <f t="shared" si="1"/>
        <v>INSERT INTO COTACAO (blt_id, pap_id, cot_prc_comum, cot_prc_min, cot_prc_max, cot_prc_med, cot_prc_mediana) VALUES (3, 11, NULL, 18, 24, 21, 21);</v>
      </c>
    </row>
    <row r="91" spans="1:10" x14ac:dyDescent="0.3">
      <c r="A91">
        <v>90</v>
      </c>
      <c r="B91">
        <v>3</v>
      </c>
      <c r="C91">
        <v>12</v>
      </c>
      <c r="D91">
        <f>IF('Boletins Nuppa Site'!F91&lt;&gt;0,'Boletins Nuppa Site'!F91,"NULL")</f>
        <v>60</v>
      </c>
      <c r="E91">
        <f>IF('Boletins Nuppa Site'!G91&lt;&gt;0,'Boletins Nuppa Site'!G91,"NULL")</f>
        <v>60</v>
      </c>
      <c r="F91">
        <f>IF('Boletins Nuppa Site'!H91&lt;&gt;0,'Boletins Nuppa Site'!H91,"NULL")</f>
        <v>60</v>
      </c>
      <c r="G91">
        <f>IF('Boletins Nuppa Site'!I91&lt;&gt;0,'Boletins Nuppa Site'!I91,"NULL")</f>
        <v>60</v>
      </c>
      <c r="H91">
        <f>IF('Boletins Nuppa Site'!J91&lt;&gt;0,'Boletins Nuppa Site'!J91,"NULL")</f>
        <v>60</v>
      </c>
      <c r="J91" t="str">
        <f t="shared" si="1"/>
        <v>INSERT INTO COTACAO (blt_id, pap_id, cot_prc_comum, cot_prc_min, cot_prc_max, cot_prc_med, cot_prc_mediana) VALUES (3, 12, 60, 60, 60, 60, 60);</v>
      </c>
    </row>
    <row r="92" spans="1:10" x14ac:dyDescent="0.3">
      <c r="A92">
        <v>91</v>
      </c>
      <c r="B92">
        <v>3</v>
      </c>
      <c r="C92">
        <v>13</v>
      </c>
      <c r="D92" t="str">
        <f>IF('Boletins Nuppa Site'!F92&lt;&gt;0,'Boletins Nuppa Site'!F92,"NULL")</f>
        <v>NULL</v>
      </c>
      <c r="E92">
        <f>IF('Boletins Nuppa Site'!G92&lt;&gt;0,'Boletins Nuppa Site'!G92,"NULL")</f>
        <v>48</v>
      </c>
      <c r="F92">
        <f>IF('Boletins Nuppa Site'!H92&lt;&gt;0,'Boletins Nuppa Site'!H92,"NULL")</f>
        <v>60</v>
      </c>
      <c r="G92">
        <f>IF('Boletins Nuppa Site'!I92&lt;&gt;0,'Boletins Nuppa Site'!I92,"NULL")</f>
        <v>54</v>
      </c>
      <c r="H92">
        <f>IF('Boletins Nuppa Site'!J92&lt;&gt;0,'Boletins Nuppa Site'!J92,"NULL")</f>
        <v>54</v>
      </c>
      <c r="J92" t="str">
        <f t="shared" si="1"/>
        <v>INSERT INTO COTACAO (blt_id, pap_id, cot_prc_comum, cot_prc_min, cot_prc_max, cot_prc_med, cot_prc_mediana) VALUES (3, 13, NULL, 48, 60, 54, 54);</v>
      </c>
    </row>
    <row r="93" spans="1:10" x14ac:dyDescent="0.3">
      <c r="A93">
        <v>92</v>
      </c>
      <c r="B93">
        <v>3</v>
      </c>
      <c r="C93">
        <v>14</v>
      </c>
      <c r="D93" t="str">
        <f>IF('Boletins Nuppa Site'!F93&lt;&gt;0,'Boletins Nuppa Site'!F93,"NULL")</f>
        <v>NULL</v>
      </c>
      <c r="E93">
        <f>IF('Boletins Nuppa Site'!G93&lt;&gt;0,'Boletins Nuppa Site'!G93,"NULL")</f>
        <v>42</v>
      </c>
      <c r="F93">
        <f>IF('Boletins Nuppa Site'!H93&lt;&gt;0,'Boletins Nuppa Site'!H93,"NULL")</f>
        <v>66</v>
      </c>
      <c r="G93">
        <f>IF('Boletins Nuppa Site'!I93&lt;&gt;0,'Boletins Nuppa Site'!I93,"NULL")</f>
        <v>54</v>
      </c>
      <c r="H93">
        <f>IF('Boletins Nuppa Site'!J93&lt;&gt;0,'Boletins Nuppa Site'!J93,"NULL")</f>
        <v>54</v>
      </c>
      <c r="J93" t="str">
        <f t="shared" si="1"/>
        <v>INSERT INTO COTACAO (blt_id, pap_id, cot_prc_comum, cot_prc_min, cot_prc_max, cot_prc_med, cot_prc_mediana) VALUES (3, 14, NULL, 42, 66, 54, 54);</v>
      </c>
    </row>
    <row r="94" spans="1:10" x14ac:dyDescent="0.3">
      <c r="A94">
        <v>93</v>
      </c>
      <c r="B94">
        <v>3</v>
      </c>
      <c r="C94">
        <v>15</v>
      </c>
      <c r="D94">
        <f>IF('Boletins Nuppa Site'!F94&lt;&gt;0,'Boletins Nuppa Site'!F94,"NULL")</f>
        <v>30</v>
      </c>
      <c r="E94">
        <f>IF('Boletins Nuppa Site'!G94&lt;&gt;0,'Boletins Nuppa Site'!G94,"NULL")</f>
        <v>25</v>
      </c>
      <c r="F94">
        <f>IF('Boletins Nuppa Site'!H94&lt;&gt;0,'Boletins Nuppa Site'!H94,"NULL")</f>
        <v>30</v>
      </c>
      <c r="G94" t="str">
        <f>IF('Boletins Nuppa Site'!I94&lt;&gt;0,'Boletins Nuppa Site'!I94,"NULL")</f>
        <v>28.33</v>
      </c>
      <c r="H94">
        <f>IF('Boletins Nuppa Site'!J94&lt;&gt;0,'Boletins Nuppa Site'!J94,"NULL")</f>
        <v>30</v>
      </c>
      <c r="J94" t="str">
        <f t="shared" si="1"/>
        <v>INSERT INTO COTACAO (blt_id, pap_id, cot_prc_comum, cot_prc_min, cot_prc_max, cot_prc_med, cot_prc_mediana) VALUES (3, 15, 30, 25, 30, 28.33, 30);</v>
      </c>
    </row>
    <row r="95" spans="1:10" x14ac:dyDescent="0.3">
      <c r="A95">
        <v>94</v>
      </c>
      <c r="B95">
        <v>3</v>
      </c>
      <c r="C95">
        <v>16</v>
      </c>
      <c r="D95">
        <f>IF('Boletins Nuppa Site'!F95&lt;&gt;0,'Boletins Nuppa Site'!F95,"NULL")</f>
        <v>42</v>
      </c>
      <c r="E95">
        <f>IF('Boletins Nuppa Site'!G95&lt;&gt;0,'Boletins Nuppa Site'!G95,"NULL")</f>
        <v>30</v>
      </c>
      <c r="F95">
        <f>IF('Boletins Nuppa Site'!H95&lt;&gt;0,'Boletins Nuppa Site'!H95,"NULL")</f>
        <v>42</v>
      </c>
      <c r="G95" t="str">
        <f>IF('Boletins Nuppa Site'!I95&lt;&gt;0,'Boletins Nuppa Site'!I95,"NULL")</f>
        <v>37.5</v>
      </c>
      <c r="H95">
        <f>IF('Boletins Nuppa Site'!J95&lt;&gt;0,'Boletins Nuppa Site'!J95,"NULL")</f>
        <v>39</v>
      </c>
      <c r="J95" t="str">
        <f t="shared" si="1"/>
        <v>INSERT INTO COTACAO (blt_id, pap_id, cot_prc_comum, cot_prc_min, cot_prc_max, cot_prc_med, cot_prc_mediana) VALUES (3, 16, 42, 30, 42, 37.5, 39);</v>
      </c>
    </row>
    <row r="96" spans="1:10" x14ac:dyDescent="0.3">
      <c r="A96">
        <v>95</v>
      </c>
      <c r="B96">
        <v>3</v>
      </c>
      <c r="C96">
        <v>17</v>
      </c>
      <c r="D96">
        <f>IF('Boletins Nuppa Site'!F96&lt;&gt;0,'Boletins Nuppa Site'!F96,"NULL")</f>
        <v>4</v>
      </c>
      <c r="E96">
        <f>IF('Boletins Nuppa Site'!G96&lt;&gt;0,'Boletins Nuppa Site'!G96,"NULL")</f>
        <v>4</v>
      </c>
      <c r="F96">
        <f>IF('Boletins Nuppa Site'!H96&lt;&gt;0,'Boletins Nuppa Site'!H96,"NULL")</f>
        <v>5</v>
      </c>
      <c r="G96" t="str">
        <f>IF('Boletins Nuppa Site'!I96&lt;&gt;0,'Boletins Nuppa Site'!I96,"NULL")</f>
        <v>4.33</v>
      </c>
      <c r="H96">
        <f>IF('Boletins Nuppa Site'!J96&lt;&gt;0,'Boletins Nuppa Site'!J96,"NULL")</f>
        <v>4</v>
      </c>
      <c r="J96" t="str">
        <f t="shared" si="1"/>
        <v>INSERT INTO COTACAO (blt_id, pap_id, cot_prc_comum, cot_prc_min, cot_prc_max, cot_prc_med, cot_prc_mediana) VALUES (3, 17, 4, 4, 5, 4.33, 4);</v>
      </c>
    </row>
    <row r="97" spans="1:10" x14ac:dyDescent="0.3">
      <c r="A97">
        <v>96</v>
      </c>
      <c r="B97">
        <v>3</v>
      </c>
      <c r="C97">
        <v>18</v>
      </c>
      <c r="D97">
        <f>IF('Boletins Nuppa Site'!F97&lt;&gt;0,'Boletins Nuppa Site'!F97,"NULL")</f>
        <v>20</v>
      </c>
      <c r="E97">
        <f>IF('Boletins Nuppa Site'!G97&lt;&gt;0,'Boletins Nuppa Site'!G97,"NULL")</f>
        <v>20</v>
      </c>
      <c r="F97">
        <f>IF('Boletins Nuppa Site'!H97&lt;&gt;0,'Boletins Nuppa Site'!H97,"NULL")</f>
        <v>22</v>
      </c>
      <c r="G97" t="str">
        <f>IF('Boletins Nuppa Site'!I97&lt;&gt;0,'Boletins Nuppa Site'!I97,"NULL")</f>
        <v>20.67</v>
      </c>
      <c r="H97">
        <f>IF('Boletins Nuppa Site'!J97&lt;&gt;0,'Boletins Nuppa Site'!J97,"NULL")</f>
        <v>20</v>
      </c>
      <c r="J97" t="str">
        <f t="shared" si="1"/>
        <v>INSERT INTO COTACAO (blt_id, pap_id, cot_prc_comum, cot_prc_min, cot_prc_max, cot_prc_med, cot_prc_mediana) VALUES (3, 18, 20, 20, 22, 20.67, 20);</v>
      </c>
    </row>
    <row r="98" spans="1:10" x14ac:dyDescent="0.3">
      <c r="A98">
        <v>97</v>
      </c>
      <c r="B98">
        <v>3</v>
      </c>
      <c r="C98">
        <v>19</v>
      </c>
      <c r="D98">
        <f>IF('Boletins Nuppa Site'!F98&lt;&gt;0,'Boletins Nuppa Site'!F98,"NULL")</f>
        <v>25</v>
      </c>
      <c r="E98">
        <f>IF('Boletins Nuppa Site'!G98&lt;&gt;0,'Boletins Nuppa Site'!G98,"NULL")</f>
        <v>25</v>
      </c>
      <c r="F98">
        <f>IF('Boletins Nuppa Site'!H98&lt;&gt;0,'Boletins Nuppa Site'!H98,"NULL")</f>
        <v>25</v>
      </c>
      <c r="G98">
        <f>IF('Boletins Nuppa Site'!I98&lt;&gt;0,'Boletins Nuppa Site'!I98,"NULL")</f>
        <v>25</v>
      </c>
      <c r="H98">
        <f>IF('Boletins Nuppa Site'!J98&lt;&gt;0,'Boletins Nuppa Site'!J98,"NULL")</f>
        <v>25</v>
      </c>
      <c r="J98" t="str">
        <f t="shared" si="1"/>
        <v>INSERT INTO COTACAO (blt_id, pap_id, cot_prc_comum, cot_prc_min, cot_prc_max, cot_prc_med, cot_prc_mediana) VALUES (3, 19, 25, 25, 25, 25, 25);</v>
      </c>
    </row>
    <row r="99" spans="1:10" x14ac:dyDescent="0.3">
      <c r="A99">
        <v>98</v>
      </c>
      <c r="B99">
        <v>3</v>
      </c>
      <c r="C99">
        <v>21</v>
      </c>
      <c r="D99">
        <f>IF('Boletins Nuppa Site'!F99&lt;&gt;0,'Boletins Nuppa Site'!F99,"NULL")</f>
        <v>60</v>
      </c>
      <c r="E99">
        <f>IF('Boletins Nuppa Site'!G99&lt;&gt;0,'Boletins Nuppa Site'!G99,"NULL")</f>
        <v>40</v>
      </c>
      <c r="F99">
        <f>IF('Boletins Nuppa Site'!H99&lt;&gt;0,'Boletins Nuppa Site'!H99,"NULL")</f>
        <v>60</v>
      </c>
      <c r="G99">
        <f>IF('Boletins Nuppa Site'!I99&lt;&gt;0,'Boletins Nuppa Site'!I99,"NULL")</f>
        <v>52</v>
      </c>
      <c r="H99">
        <f>IF('Boletins Nuppa Site'!J99&lt;&gt;0,'Boletins Nuppa Site'!J99,"NULL")</f>
        <v>55</v>
      </c>
      <c r="J99" t="str">
        <f t="shared" si="1"/>
        <v>INSERT INTO COTACAO (blt_id, pap_id, cot_prc_comum, cot_prc_min, cot_prc_max, cot_prc_med, cot_prc_mediana) VALUES (3, 21, 60, 40, 60, 52, 55);</v>
      </c>
    </row>
    <row r="100" spans="1:10" x14ac:dyDescent="0.3">
      <c r="A100">
        <v>99</v>
      </c>
      <c r="B100">
        <v>3</v>
      </c>
      <c r="C100">
        <v>22</v>
      </c>
      <c r="D100">
        <f>IF('Boletins Nuppa Site'!F100&lt;&gt;0,'Boletins Nuppa Site'!F100,"NULL")</f>
        <v>50</v>
      </c>
      <c r="E100">
        <f>IF('Boletins Nuppa Site'!G100&lt;&gt;0,'Boletins Nuppa Site'!G100,"NULL")</f>
        <v>50</v>
      </c>
      <c r="F100">
        <f>IF('Boletins Nuppa Site'!H100&lt;&gt;0,'Boletins Nuppa Site'!H100,"NULL")</f>
        <v>65</v>
      </c>
      <c r="G100" t="str">
        <f>IF('Boletins Nuppa Site'!I100&lt;&gt;0,'Boletins Nuppa Site'!I100,"NULL")</f>
        <v>55.83</v>
      </c>
      <c r="H100">
        <f>IF('Boletins Nuppa Site'!J100&lt;&gt;0,'Boletins Nuppa Site'!J100,"NULL")</f>
        <v>55</v>
      </c>
      <c r="J100" t="str">
        <f t="shared" si="1"/>
        <v>INSERT INTO COTACAO (blt_id, pap_id, cot_prc_comum, cot_prc_min, cot_prc_max, cot_prc_med, cot_prc_mediana) VALUES (3, 22, 50, 50, 65, 55.83, 55);</v>
      </c>
    </row>
    <row r="101" spans="1:10" x14ac:dyDescent="0.3">
      <c r="A101">
        <v>100</v>
      </c>
      <c r="B101">
        <v>3</v>
      </c>
      <c r="C101">
        <v>23</v>
      </c>
      <c r="D101">
        <f>IF('Boletins Nuppa Site'!F101&lt;&gt;0,'Boletins Nuppa Site'!F101,"NULL")</f>
        <v>50</v>
      </c>
      <c r="E101">
        <f>IF('Boletins Nuppa Site'!G101&lt;&gt;0,'Boletins Nuppa Site'!G101,"NULL")</f>
        <v>35</v>
      </c>
      <c r="F101">
        <f>IF('Boletins Nuppa Site'!H101&lt;&gt;0,'Boletins Nuppa Site'!H101,"NULL")</f>
        <v>55</v>
      </c>
      <c r="G101" t="str">
        <f>IF('Boletins Nuppa Site'!I101&lt;&gt;0,'Boletins Nuppa Site'!I101,"NULL")</f>
        <v>45.83</v>
      </c>
      <c r="H101" t="str">
        <f>IF('Boletins Nuppa Site'!J101&lt;&gt;0,'Boletins Nuppa Site'!J101,"NULL")</f>
        <v>47.5</v>
      </c>
      <c r="J101" t="str">
        <f t="shared" si="1"/>
        <v>INSERT INTO COTACAO (blt_id, pap_id, cot_prc_comum, cot_prc_min, cot_prc_max, cot_prc_med, cot_prc_mediana) VALUES (3, 23, 50, 35, 55, 45.83, 47.5);</v>
      </c>
    </row>
    <row r="102" spans="1:10" x14ac:dyDescent="0.3">
      <c r="A102">
        <v>101</v>
      </c>
      <c r="B102">
        <v>3</v>
      </c>
      <c r="C102">
        <v>24</v>
      </c>
      <c r="D102" t="str">
        <f>IF('Boletins Nuppa Site'!F102&lt;&gt;0,'Boletins Nuppa Site'!F102,"NULL")</f>
        <v>NULL</v>
      </c>
      <c r="E102">
        <f>IF('Boletins Nuppa Site'!G102&lt;&gt;0,'Boletins Nuppa Site'!G102,"NULL")</f>
        <v>120</v>
      </c>
      <c r="F102">
        <f>IF('Boletins Nuppa Site'!H102&lt;&gt;0,'Boletins Nuppa Site'!H102,"NULL")</f>
        <v>120</v>
      </c>
      <c r="G102">
        <f>IF('Boletins Nuppa Site'!I102&lt;&gt;0,'Boletins Nuppa Site'!I102,"NULL")</f>
        <v>120</v>
      </c>
      <c r="H102">
        <f>IF('Boletins Nuppa Site'!J102&lt;&gt;0,'Boletins Nuppa Site'!J102,"NULL")</f>
        <v>120</v>
      </c>
      <c r="J102" t="str">
        <f t="shared" si="1"/>
        <v>INSERT INTO COTACAO (blt_id, pap_id, cot_prc_comum, cot_prc_min, cot_prc_max, cot_prc_med, cot_prc_mediana) VALUES (3, 24, NULL, 120, 120, 120, 120);</v>
      </c>
    </row>
    <row r="103" spans="1:10" x14ac:dyDescent="0.3">
      <c r="A103">
        <v>102</v>
      </c>
      <c r="B103">
        <v>3</v>
      </c>
      <c r="C103">
        <v>25</v>
      </c>
      <c r="D103">
        <f>IF('Boletins Nuppa Site'!F103&lt;&gt;0,'Boletins Nuppa Site'!F103,"NULL")</f>
        <v>50</v>
      </c>
      <c r="E103">
        <f>IF('Boletins Nuppa Site'!G103&lt;&gt;0,'Boletins Nuppa Site'!G103,"NULL")</f>
        <v>50</v>
      </c>
      <c r="F103">
        <f>IF('Boletins Nuppa Site'!H103&lt;&gt;0,'Boletins Nuppa Site'!H103,"NULL")</f>
        <v>60</v>
      </c>
      <c r="G103" t="str">
        <f>IF('Boletins Nuppa Site'!I103&lt;&gt;0,'Boletins Nuppa Site'!I103,"NULL")</f>
        <v>53.75</v>
      </c>
      <c r="H103" t="str">
        <f>IF('Boletins Nuppa Site'!J103&lt;&gt;0,'Boletins Nuppa Site'!J103,"NULL")</f>
        <v>52.5</v>
      </c>
      <c r="J103" t="str">
        <f t="shared" si="1"/>
        <v>INSERT INTO COTACAO (blt_id, pap_id, cot_prc_comum, cot_prc_min, cot_prc_max, cot_prc_med, cot_prc_mediana) VALUES (3, 25, 50, 50, 60, 53.75, 52.5);</v>
      </c>
    </row>
    <row r="104" spans="1:10" x14ac:dyDescent="0.3">
      <c r="A104">
        <v>103</v>
      </c>
      <c r="B104">
        <v>3</v>
      </c>
      <c r="C104">
        <v>26</v>
      </c>
      <c r="D104">
        <f>IF('Boletins Nuppa Site'!F104&lt;&gt;0,'Boletins Nuppa Site'!F104,"NULL")</f>
        <v>80</v>
      </c>
      <c r="E104">
        <f>IF('Boletins Nuppa Site'!G104&lt;&gt;0,'Boletins Nuppa Site'!G104,"NULL")</f>
        <v>50</v>
      </c>
      <c r="F104">
        <f>IF('Boletins Nuppa Site'!H104&lt;&gt;0,'Boletins Nuppa Site'!H104,"NULL")</f>
        <v>80</v>
      </c>
      <c r="G104">
        <f>IF('Boletins Nuppa Site'!I104&lt;&gt;0,'Boletins Nuppa Site'!I104,"NULL")</f>
        <v>66</v>
      </c>
      <c r="H104">
        <f>IF('Boletins Nuppa Site'!J104&lt;&gt;0,'Boletins Nuppa Site'!J104,"NULL")</f>
        <v>65</v>
      </c>
      <c r="J104" t="str">
        <f t="shared" si="1"/>
        <v>INSERT INTO COTACAO (blt_id, pap_id, cot_prc_comum, cot_prc_min, cot_prc_max, cot_prc_med, cot_prc_mediana) VALUES (3, 26, 80, 50, 80, 66, 65);</v>
      </c>
    </row>
    <row r="105" spans="1:10" x14ac:dyDescent="0.3">
      <c r="A105">
        <v>104</v>
      </c>
      <c r="B105">
        <v>3</v>
      </c>
      <c r="C105">
        <v>27</v>
      </c>
      <c r="D105">
        <f>IF('Boletins Nuppa Site'!F105&lt;&gt;0,'Boletins Nuppa Site'!F105,"NULL")</f>
        <v>70</v>
      </c>
      <c r="E105">
        <f>IF('Boletins Nuppa Site'!G105&lt;&gt;0,'Boletins Nuppa Site'!G105,"NULL")</f>
        <v>70</v>
      </c>
      <c r="F105">
        <f>IF('Boletins Nuppa Site'!H105&lt;&gt;0,'Boletins Nuppa Site'!H105,"NULL")</f>
        <v>80</v>
      </c>
      <c r="G105" t="str">
        <f>IF('Boletins Nuppa Site'!I105&lt;&gt;0,'Boletins Nuppa Site'!I105,"NULL")</f>
        <v>73.33</v>
      </c>
      <c r="H105">
        <f>IF('Boletins Nuppa Site'!J105&lt;&gt;0,'Boletins Nuppa Site'!J105,"NULL")</f>
        <v>70</v>
      </c>
      <c r="J105" t="str">
        <f t="shared" si="1"/>
        <v>INSERT INTO COTACAO (blt_id, pap_id, cot_prc_comum, cot_prc_min, cot_prc_max, cot_prc_med, cot_prc_mediana) VALUES (3, 27, 70, 70, 80, 73.33, 70);</v>
      </c>
    </row>
    <row r="106" spans="1:10" x14ac:dyDescent="0.3">
      <c r="A106">
        <v>105</v>
      </c>
      <c r="B106">
        <v>3</v>
      </c>
      <c r="C106">
        <v>28</v>
      </c>
      <c r="D106">
        <f>IF('Boletins Nuppa Site'!F106&lt;&gt;0,'Boletins Nuppa Site'!F106,"NULL")</f>
        <v>70</v>
      </c>
      <c r="E106">
        <f>IF('Boletins Nuppa Site'!G106&lt;&gt;0,'Boletins Nuppa Site'!G106,"NULL")</f>
        <v>60</v>
      </c>
      <c r="F106">
        <f>IF('Boletins Nuppa Site'!H106&lt;&gt;0,'Boletins Nuppa Site'!H106,"NULL")</f>
        <v>70</v>
      </c>
      <c r="G106">
        <f>IF('Boletins Nuppa Site'!I106&lt;&gt;0,'Boletins Nuppa Site'!I106,"NULL")</f>
        <v>66</v>
      </c>
      <c r="H106">
        <f>IF('Boletins Nuppa Site'!J106&lt;&gt;0,'Boletins Nuppa Site'!J106,"NULL")</f>
        <v>70</v>
      </c>
      <c r="J106" t="str">
        <f t="shared" si="1"/>
        <v>INSERT INTO COTACAO (blt_id, pap_id, cot_prc_comum, cot_prc_min, cot_prc_max, cot_prc_med, cot_prc_mediana) VALUES (3, 28, 70, 60, 70, 66, 70);</v>
      </c>
    </row>
    <row r="107" spans="1:10" x14ac:dyDescent="0.3">
      <c r="A107">
        <v>106</v>
      </c>
      <c r="B107">
        <v>3</v>
      </c>
      <c r="C107">
        <v>29</v>
      </c>
      <c r="D107">
        <f>IF('Boletins Nuppa Site'!F107&lt;&gt;0,'Boletins Nuppa Site'!F107,"NULL")</f>
        <v>60</v>
      </c>
      <c r="E107">
        <f>IF('Boletins Nuppa Site'!G107&lt;&gt;0,'Boletins Nuppa Site'!G107,"NULL")</f>
        <v>60</v>
      </c>
      <c r="F107">
        <f>IF('Boletins Nuppa Site'!H107&lt;&gt;0,'Boletins Nuppa Site'!H107,"NULL")</f>
        <v>60</v>
      </c>
      <c r="G107">
        <f>IF('Boletins Nuppa Site'!I107&lt;&gt;0,'Boletins Nuppa Site'!I107,"NULL")</f>
        <v>60</v>
      </c>
      <c r="H107">
        <f>IF('Boletins Nuppa Site'!J107&lt;&gt;0,'Boletins Nuppa Site'!J107,"NULL")</f>
        <v>60</v>
      </c>
      <c r="J107" t="str">
        <f t="shared" si="1"/>
        <v>INSERT INTO COTACAO (blt_id, pap_id, cot_prc_comum, cot_prc_min, cot_prc_max, cot_prc_med, cot_prc_mediana) VALUES (3, 29, 60, 60, 60, 60, 60);</v>
      </c>
    </row>
    <row r="108" spans="1:10" x14ac:dyDescent="0.3">
      <c r="A108">
        <v>107</v>
      </c>
      <c r="B108">
        <v>3</v>
      </c>
      <c r="C108">
        <v>30</v>
      </c>
      <c r="D108">
        <f>IF('Boletins Nuppa Site'!F108&lt;&gt;0,'Boletins Nuppa Site'!F108,"NULL")</f>
        <v>60</v>
      </c>
      <c r="E108">
        <f>IF('Boletins Nuppa Site'!G108&lt;&gt;0,'Boletins Nuppa Site'!G108,"NULL")</f>
        <v>40</v>
      </c>
      <c r="F108">
        <f>IF('Boletins Nuppa Site'!H108&lt;&gt;0,'Boletins Nuppa Site'!H108,"NULL")</f>
        <v>60</v>
      </c>
      <c r="G108">
        <f>IF('Boletins Nuppa Site'!I108&lt;&gt;0,'Boletins Nuppa Site'!I108,"NULL")</f>
        <v>53</v>
      </c>
      <c r="H108">
        <f>IF('Boletins Nuppa Site'!J108&lt;&gt;0,'Boletins Nuppa Site'!J108,"NULL")</f>
        <v>55</v>
      </c>
      <c r="J108" t="str">
        <f t="shared" si="1"/>
        <v>INSERT INTO COTACAO (blt_id, pap_id, cot_prc_comum, cot_prc_min, cot_prc_max, cot_prc_med, cot_prc_mediana) VALUES (3, 30, 60, 40, 60, 53, 55);</v>
      </c>
    </row>
    <row r="109" spans="1:10" x14ac:dyDescent="0.3">
      <c r="A109">
        <v>108</v>
      </c>
      <c r="B109">
        <v>3</v>
      </c>
      <c r="C109">
        <v>31</v>
      </c>
      <c r="D109">
        <f>IF('Boletins Nuppa Site'!F109&lt;&gt;0,'Boletins Nuppa Site'!F109,"NULL")</f>
        <v>70</v>
      </c>
      <c r="E109">
        <f>IF('Boletins Nuppa Site'!G109&lt;&gt;0,'Boletins Nuppa Site'!G109,"NULL")</f>
        <v>60</v>
      </c>
      <c r="F109">
        <f>IF('Boletins Nuppa Site'!H109&lt;&gt;0,'Boletins Nuppa Site'!H109,"NULL")</f>
        <v>80</v>
      </c>
      <c r="G109">
        <f>IF('Boletins Nuppa Site'!I109&lt;&gt;0,'Boletins Nuppa Site'!I109,"NULL")</f>
        <v>71</v>
      </c>
      <c r="H109">
        <f>IF('Boletins Nuppa Site'!J109&lt;&gt;0,'Boletins Nuppa Site'!J109,"NULL")</f>
        <v>70</v>
      </c>
      <c r="J109" t="str">
        <f t="shared" si="1"/>
        <v>INSERT INTO COTACAO (blt_id, pap_id, cot_prc_comum, cot_prc_min, cot_prc_max, cot_prc_med, cot_prc_mediana) VALUES (3, 31, 70, 60, 80, 71, 70);</v>
      </c>
    </row>
    <row r="110" spans="1:10" x14ac:dyDescent="0.3">
      <c r="A110">
        <v>109</v>
      </c>
      <c r="B110">
        <v>3</v>
      </c>
      <c r="C110">
        <v>32</v>
      </c>
      <c r="D110">
        <f>IF('Boletins Nuppa Site'!F110&lt;&gt;0,'Boletins Nuppa Site'!F110,"NULL")</f>
        <v>40</v>
      </c>
      <c r="E110">
        <f>IF('Boletins Nuppa Site'!G110&lt;&gt;0,'Boletins Nuppa Site'!G110,"NULL")</f>
        <v>35</v>
      </c>
      <c r="F110">
        <f>IF('Boletins Nuppa Site'!H110&lt;&gt;0,'Boletins Nuppa Site'!H110,"NULL")</f>
        <v>45</v>
      </c>
      <c r="G110">
        <f>IF('Boletins Nuppa Site'!I110&lt;&gt;0,'Boletins Nuppa Site'!I110,"NULL")</f>
        <v>40</v>
      </c>
      <c r="H110">
        <f>IF('Boletins Nuppa Site'!J110&lt;&gt;0,'Boletins Nuppa Site'!J110,"NULL")</f>
        <v>40</v>
      </c>
      <c r="J110" t="str">
        <f t="shared" si="1"/>
        <v>INSERT INTO COTACAO (blt_id, pap_id, cot_prc_comum, cot_prc_min, cot_prc_max, cot_prc_med, cot_prc_mediana) VALUES (3, 32, 40, 35, 45, 40, 40);</v>
      </c>
    </row>
    <row r="111" spans="1:10" x14ac:dyDescent="0.3">
      <c r="A111">
        <v>110</v>
      </c>
      <c r="B111">
        <v>3</v>
      </c>
      <c r="C111">
        <v>33</v>
      </c>
      <c r="D111">
        <f>IF('Boletins Nuppa Site'!F111&lt;&gt;0,'Boletins Nuppa Site'!F111,"NULL")</f>
        <v>70</v>
      </c>
      <c r="E111">
        <f>IF('Boletins Nuppa Site'!G111&lt;&gt;0,'Boletins Nuppa Site'!G111,"NULL")</f>
        <v>60</v>
      </c>
      <c r="F111">
        <f>IF('Boletins Nuppa Site'!H111&lt;&gt;0,'Boletins Nuppa Site'!H111,"NULL")</f>
        <v>75</v>
      </c>
      <c r="G111" t="str">
        <f>IF('Boletins Nuppa Site'!I111&lt;&gt;0,'Boletins Nuppa Site'!I111,"NULL")</f>
        <v>68.75</v>
      </c>
      <c r="H111">
        <f>IF('Boletins Nuppa Site'!J111&lt;&gt;0,'Boletins Nuppa Site'!J111,"NULL")</f>
        <v>70</v>
      </c>
      <c r="J111" t="str">
        <f t="shared" si="1"/>
        <v>INSERT INTO COTACAO (blt_id, pap_id, cot_prc_comum, cot_prc_min, cot_prc_max, cot_prc_med, cot_prc_mediana) VALUES (3, 33, 70, 60, 75, 68.75, 70);</v>
      </c>
    </row>
    <row r="112" spans="1:10" x14ac:dyDescent="0.3">
      <c r="A112">
        <v>111</v>
      </c>
      <c r="B112">
        <v>3</v>
      </c>
      <c r="C112">
        <v>34</v>
      </c>
      <c r="D112">
        <f>IF('Boletins Nuppa Site'!F112&lt;&gt;0,'Boletins Nuppa Site'!F112,"NULL")</f>
        <v>90</v>
      </c>
      <c r="E112">
        <f>IF('Boletins Nuppa Site'!G112&lt;&gt;0,'Boletins Nuppa Site'!G112,"NULL")</f>
        <v>70</v>
      </c>
      <c r="F112">
        <f>IF('Boletins Nuppa Site'!H112&lt;&gt;0,'Boletins Nuppa Site'!H112,"NULL")</f>
        <v>100</v>
      </c>
      <c r="G112" t="str">
        <f>IF('Boletins Nuppa Site'!I112&lt;&gt;0,'Boletins Nuppa Site'!I112,"NULL")</f>
        <v>84.17</v>
      </c>
      <c r="H112">
        <f>IF('Boletins Nuppa Site'!J112&lt;&gt;0,'Boletins Nuppa Site'!J112,"NULL")</f>
        <v>85</v>
      </c>
      <c r="J112" t="str">
        <f t="shared" si="1"/>
        <v>INSERT INTO COTACAO (blt_id, pap_id, cot_prc_comum, cot_prc_min, cot_prc_max, cot_prc_med, cot_prc_mediana) VALUES (3, 34, 90, 70, 100, 84.17, 85);</v>
      </c>
    </row>
    <row r="113" spans="1:10" x14ac:dyDescent="0.3">
      <c r="A113">
        <v>112</v>
      </c>
      <c r="B113">
        <v>3</v>
      </c>
      <c r="C113">
        <v>35</v>
      </c>
      <c r="D113">
        <f>IF('Boletins Nuppa Site'!F113&lt;&gt;0,'Boletins Nuppa Site'!F113,"NULL")</f>
        <v>120</v>
      </c>
      <c r="E113">
        <f>IF('Boletins Nuppa Site'!G113&lt;&gt;0,'Boletins Nuppa Site'!G113,"NULL")</f>
        <v>100</v>
      </c>
      <c r="F113">
        <f>IF('Boletins Nuppa Site'!H113&lt;&gt;0,'Boletins Nuppa Site'!H113,"NULL")</f>
        <v>120</v>
      </c>
      <c r="G113">
        <f>IF('Boletins Nuppa Site'!I113&lt;&gt;0,'Boletins Nuppa Site'!I113,"NULL")</f>
        <v>115</v>
      </c>
      <c r="H113">
        <f>IF('Boletins Nuppa Site'!J113&lt;&gt;0,'Boletins Nuppa Site'!J113,"NULL")</f>
        <v>120</v>
      </c>
      <c r="J113" t="str">
        <f t="shared" si="1"/>
        <v>INSERT INTO COTACAO (blt_id, pap_id, cot_prc_comum, cot_prc_min, cot_prc_max, cot_prc_med, cot_prc_mediana) VALUES (3, 35, 120, 100, 120, 115, 120);</v>
      </c>
    </row>
    <row r="114" spans="1:10" x14ac:dyDescent="0.3">
      <c r="A114">
        <v>113</v>
      </c>
      <c r="B114">
        <v>3</v>
      </c>
      <c r="C114">
        <v>36</v>
      </c>
      <c r="D114" t="str">
        <f>IF('Boletins Nuppa Site'!F114&lt;&gt;0,'Boletins Nuppa Site'!F114,"NULL")</f>
        <v>NULL</v>
      </c>
      <c r="E114" t="str">
        <f>IF('Boletins Nuppa Site'!G114&lt;&gt;0,'Boletins Nuppa Site'!G114,"NULL")</f>
        <v>NULL</v>
      </c>
      <c r="F114" t="str">
        <f>IF('Boletins Nuppa Site'!H114&lt;&gt;0,'Boletins Nuppa Site'!H114,"NULL")</f>
        <v>NULL</v>
      </c>
      <c r="G114" t="str">
        <f>IF('Boletins Nuppa Site'!I114&lt;&gt;0,'Boletins Nuppa Site'!I114,"NULL")</f>
        <v>NULL</v>
      </c>
      <c r="H114" t="str">
        <f>IF('Boletins Nuppa Site'!J114&lt;&gt;0,'Boletins Nuppa Site'!J114,"NULL")</f>
        <v>NULL</v>
      </c>
      <c r="J114" t="str">
        <f t="shared" si="1"/>
        <v>INSERT INTO COTACAO (blt_id, pap_id, cot_prc_comum, cot_prc_min, cot_prc_max, cot_prc_med, cot_prc_mediana) VALUES (3, 36, NULL, NULL, NULL, NULL, NULL);</v>
      </c>
    </row>
    <row r="115" spans="1:10" x14ac:dyDescent="0.3">
      <c r="A115">
        <v>114</v>
      </c>
      <c r="B115">
        <v>3</v>
      </c>
      <c r="C115">
        <v>37</v>
      </c>
      <c r="D115" t="str">
        <f>IF('Boletins Nuppa Site'!F115&lt;&gt;0,'Boletins Nuppa Site'!F115,"NULL")</f>
        <v>NULL</v>
      </c>
      <c r="E115" t="str">
        <f>IF('Boletins Nuppa Site'!G115&lt;&gt;0,'Boletins Nuppa Site'!G115,"NULL")</f>
        <v>NULL</v>
      </c>
      <c r="F115" t="str">
        <f>IF('Boletins Nuppa Site'!H115&lt;&gt;0,'Boletins Nuppa Site'!H115,"NULL")</f>
        <v>NULL</v>
      </c>
      <c r="G115" t="str">
        <f>IF('Boletins Nuppa Site'!I115&lt;&gt;0,'Boletins Nuppa Site'!I115,"NULL")</f>
        <v>NULL</v>
      </c>
      <c r="H115" t="str">
        <f>IF('Boletins Nuppa Site'!J115&lt;&gt;0,'Boletins Nuppa Site'!J115,"NULL")</f>
        <v>NULL</v>
      </c>
      <c r="J115" t="str">
        <f t="shared" si="1"/>
        <v>INSERT INTO COTACAO (blt_id, pap_id, cot_prc_comum, cot_prc_min, cot_prc_max, cot_prc_med, cot_prc_mediana) VALUES (3, 37, NULL, NULL, NULL, NULL, NULL);</v>
      </c>
    </row>
    <row r="116" spans="1:10" x14ac:dyDescent="0.3">
      <c r="A116">
        <v>115</v>
      </c>
      <c r="B116">
        <v>3</v>
      </c>
      <c r="C116">
        <v>38</v>
      </c>
      <c r="D116" t="str">
        <f>IF('Boletins Nuppa Site'!F116&lt;&gt;0,'Boletins Nuppa Site'!F116,"NULL")</f>
        <v>NULL</v>
      </c>
      <c r="E116" t="str">
        <f>IF('Boletins Nuppa Site'!G116&lt;&gt;0,'Boletins Nuppa Site'!G116,"NULL")</f>
        <v>NULL</v>
      </c>
      <c r="F116" t="str">
        <f>IF('Boletins Nuppa Site'!H116&lt;&gt;0,'Boletins Nuppa Site'!H116,"NULL")</f>
        <v>NULL</v>
      </c>
      <c r="G116" t="str">
        <f>IF('Boletins Nuppa Site'!I116&lt;&gt;0,'Boletins Nuppa Site'!I116,"NULL")</f>
        <v>NULL</v>
      </c>
      <c r="H116" t="str">
        <f>IF('Boletins Nuppa Site'!J116&lt;&gt;0,'Boletins Nuppa Site'!J116,"NULL")</f>
        <v>NULL</v>
      </c>
      <c r="J116" t="str">
        <f t="shared" si="1"/>
        <v>INSERT INTO COTACAO (blt_id, pap_id, cot_prc_comum, cot_prc_min, cot_prc_max, cot_prc_med, cot_prc_mediana) VALUES (3, 38, NULL, NULL, NULL, NULL, NULL);</v>
      </c>
    </row>
    <row r="117" spans="1:10" x14ac:dyDescent="0.3">
      <c r="A117">
        <v>116</v>
      </c>
      <c r="B117">
        <v>3</v>
      </c>
      <c r="C117">
        <v>39</v>
      </c>
      <c r="D117" t="str">
        <f>IF('Boletins Nuppa Site'!F117&lt;&gt;0,'Boletins Nuppa Site'!F117,"NULL")</f>
        <v>NULL</v>
      </c>
      <c r="E117" t="str">
        <f>IF('Boletins Nuppa Site'!G117&lt;&gt;0,'Boletins Nuppa Site'!G117,"NULL")</f>
        <v>NULL</v>
      </c>
      <c r="F117" t="str">
        <f>IF('Boletins Nuppa Site'!H117&lt;&gt;0,'Boletins Nuppa Site'!H117,"NULL")</f>
        <v>NULL</v>
      </c>
      <c r="G117" t="str">
        <f>IF('Boletins Nuppa Site'!I117&lt;&gt;0,'Boletins Nuppa Site'!I117,"NULL")</f>
        <v>NULL</v>
      </c>
      <c r="H117" t="str">
        <f>IF('Boletins Nuppa Site'!J117&lt;&gt;0,'Boletins Nuppa Site'!J117,"NULL")</f>
        <v>NULL</v>
      </c>
      <c r="J117" t="str">
        <f t="shared" si="1"/>
        <v>INSERT INTO COTACAO (blt_id, pap_id, cot_prc_comum, cot_prc_min, cot_prc_max, cot_prc_med, cot_prc_mediana) VALUES (3, 39, NULL, NULL, NULL, NULL, NULL);</v>
      </c>
    </row>
    <row r="118" spans="1:10" x14ac:dyDescent="0.3">
      <c r="A118">
        <v>117</v>
      </c>
      <c r="B118">
        <v>3</v>
      </c>
      <c r="C118">
        <v>40</v>
      </c>
      <c r="D118" t="str">
        <f>IF('Boletins Nuppa Site'!F118&lt;&gt;0,'Boletins Nuppa Site'!F118,"NULL")</f>
        <v>NULL</v>
      </c>
      <c r="E118" t="str">
        <f>IF('Boletins Nuppa Site'!G118&lt;&gt;0,'Boletins Nuppa Site'!G118,"NULL")</f>
        <v>NULL</v>
      </c>
      <c r="F118" t="str">
        <f>IF('Boletins Nuppa Site'!H118&lt;&gt;0,'Boletins Nuppa Site'!H118,"NULL")</f>
        <v>NULL</v>
      </c>
      <c r="G118" t="str">
        <f>IF('Boletins Nuppa Site'!I118&lt;&gt;0,'Boletins Nuppa Site'!I118,"NULL")</f>
        <v>NULL</v>
      </c>
      <c r="H118" t="str">
        <f>IF('Boletins Nuppa Site'!J118&lt;&gt;0,'Boletins Nuppa Site'!J118,"NULL")</f>
        <v>NULL</v>
      </c>
      <c r="J118" t="str">
        <f t="shared" si="1"/>
        <v>INSERT INTO COTACAO (blt_id, pap_id, cot_prc_comum, cot_prc_min, cot_prc_max, cot_prc_med, cot_prc_mediana) VALUES (3, 40, NULL, NULL, NULL, NULL, NULL);</v>
      </c>
    </row>
    <row r="119" spans="1:10" x14ac:dyDescent="0.3">
      <c r="A119">
        <v>118</v>
      </c>
      <c r="B119">
        <v>4</v>
      </c>
      <c r="C119">
        <v>1</v>
      </c>
      <c r="D119">
        <f>IF('Boletins Nuppa Site'!F119&lt;&gt;0,'Boletins Nuppa Site'!F119,"NULL")</f>
        <v>42</v>
      </c>
      <c r="E119">
        <f>IF('Boletins Nuppa Site'!G119&lt;&gt;0,'Boletins Nuppa Site'!G119,"NULL")</f>
        <v>42</v>
      </c>
      <c r="F119">
        <f>IF('Boletins Nuppa Site'!H119&lt;&gt;0,'Boletins Nuppa Site'!H119,"NULL")</f>
        <v>42</v>
      </c>
      <c r="G119">
        <f>IF('Boletins Nuppa Site'!I119&lt;&gt;0,'Boletins Nuppa Site'!I119,"NULL")</f>
        <v>42</v>
      </c>
      <c r="H119">
        <f>IF('Boletins Nuppa Site'!J119&lt;&gt;0,'Boletins Nuppa Site'!J119,"NULL")</f>
        <v>42</v>
      </c>
      <c r="J119" t="str">
        <f t="shared" si="1"/>
        <v>INSERT INTO COTACAO (blt_id, pap_id, cot_prc_comum, cot_prc_min, cot_prc_max, cot_prc_med, cot_prc_mediana) VALUES (4, 1, 42, 42, 42, 42, 42);</v>
      </c>
    </row>
    <row r="120" spans="1:10" x14ac:dyDescent="0.3">
      <c r="A120">
        <v>119</v>
      </c>
      <c r="B120">
        <v>4</v>
      </c>
      <c r="C120">
        <v>2</v>
      </c>
      <c r="D120">
        <f>IF('Boletins Nuppa Site'!F120&lt;&gt;0,'Boletins Nuppa Site'!F120,"NULL")</f>
        <v>60</v>
      </c>
      <c r="E120">
        <f>IF('Boletins Nuppa Site'!G120&lt;&gt;0,'Boletins Nuppa Site'!G120,"NULL")</f>
        <v>60</v>
      </c>
      <c r="F120">
        <f>IF('Boletins Nuppa Site'!H120&lt;&gt;0,'Boletins Nuppa Site'!H120,"NULL")</f>
        <v>60</v>
      </c>
      <c r="G120">
        <f>IF('Boletins Nuppa Site'!I120&lt;&gt;0,'Boletins Nuppa Site'!I120,"NULL")</f>
        <v>60</v>
      </c>
      <c r="H120">
        <f>IF('Boletins Nuppa Site'!J120&lt;&gt;0,'Boletins Nuppa Site'!J120,"NULL")</f>
        <v>60</v>
      </c>
      <c r="J120" t="str">
        <f t="shared" si="1"/>
        <v>INSERT INTO COTACAO (blt_id, pap_id, cot_prc_comum, cot_prc_min, cot_prc_max, cot_prc_med, cot_prc_mediana) VALUES (4, 2, 60, 60, 60, 60, 60);</v>
      </c>
    </row>
    <row r="121" spans="1:10" x14ac:dyDescent="0.3">
      <c r="A121">
        <v>120</v>
      </c>
      <c r="B121">
        <v>4</v>
      </c>
      <c r="C121">
        <v>3</v>
      </c>
      <c r="D121" t="str">
        <f>IF('Boletins Nuppa Site'!F121&lt;&gt;0,'Boletins Nuppa Site'!F121,"NULL")</f>
        <v>NULL</v>
      </c>
      <c r="E121">
        <f>IF('Boletins Nuppa Site'!G121&lt;&gt;0,'Boletins Nuppa Site'!G121,"NULL")</f>
        <v>36</v>
      </c>
      <c r="F121">
        <f>IF('Boletins Nuppa Site'!H121&lt;&gt;0,'Boletins Nuppa Site'!H121,"NULL")</f>
        <v>42</v>
      </c>
      <c r="G121">
        <f>IF('Boletins Nuppa Site'!I121&lt;&gt;0,'Boletins Nuppa Site'!I121,"NULL")</f>
        <v>39</v>
      </c>
      <c r="H121">
        <f>IF('Boletins Nuppa Site'!J121&lt;&gt;0,'Boletins Nuppa Site'!J121,"NULL")</f>
        <v>39</v>
      </c>
      <c r="J121" t="str">
        <f t="shared" si="1"/>
        <v>INSERT INTO COTACAO (blt_id, pap_id, cot_prc_comum, cot_prc_min, cot_prc_max, cot_prc_med, cot_prc_mediana) VALUES (4, 3, NULL, 36, 42, 39, 39);</v>
      </c>
    </row>
    <row r="122" spans="1:10" x14ac:dyDescent="0.3">
      <c r="A122">
        <v>121</v>
      </c>
      <c r="B122">
        <v>4</v>
      </c>
      <c r="C122">
        <v>4</v>
      </c>
      <c r="D122">
        <f>IF('Boletins Nuppa Site'!F122&lt;&gt;0,'Boletins Nuppa Site'!F122,"NULL")</f>
        <v>24</v>
      </c>
      <c r="E122">
        <f>IF('Boletins Nuppa Site'!G122&lt;&gt;0,'Boletins Nuppa Site'!G122,"NULL")</f>
        <v>18</v>
      </c>
      <c r="F122">
        <f>IF('Boletins Nuppa Site'!H122&lt;&gt;0,'Boletins Nuppa Site'!H122,"NULL")</f>
        <v>24</v>
      </c>
      <c r="G122">
        <f>IF('Boletins Nuppa Site'!I122&lt;&gt;0,'Boletins Nuppa Site'!I122,"NULL")</f>
        <v>22</v>
      </c>
      <c r="H122">
        <f>IF('Boletins Nuppa Site'!J122&lt;&gt;0,'Boletins Nuppa Site'!J122,"NULL")</f>
        <v>24</v>
      </c>
      <c r="J122" t="str">
        <f t="shared" si="1"/>
        <v>INSERT INTO COTACAO (blt_id, pap_id, cot_prc_comum, cot_prc_min, cot_prc_max, cot_prc_med, cot_prc_mediana) VALUES (4, 4, 24, 18, 24, 22, 24);</v>
      </c>
    </row>
    <row r="123" spans="1:10" x14ac:dyDescent="0.3">
      <c r="A123">
        <v>122</v>
      </c>
      <c r="B123">
        <v>4</v>
      </c>
      <c r="C123">
        <v>5</v>
      </c>
      <c r="D123">
        <f>IF('Boletins Nuppa Site'!F123&lt;&gt;0,'Boletins Nuppa Site'!F123,"NULL")</f>
        <v>24</v>
      </c>
      <c r="E123">
        <f>IF('Boletins Nuppa Site'!G123&lt;&gt;0,'Boletins Nuppa Site'!G123,"NULL")</f>
        <v>18</v>
      </c>
      <c r="F123">
        <f>IF('Boletins Nuppa Site'!H123&lt;&gt;0,'Boletins Nuppa Site'!H123,"NULL")</f>
        <v>24</v>
      </c>
      <c r="G123">
        <f>IF('Boletins Nuppa Site'!I123&lt;&gt;0,'Boletins Nuppa Site'!I123,"NULL")</f>
        <v>22</v>
      </c>
      <c r="H123">
        <f>IF('Boletins Nuppa Site'!J123&lt;&gt;0,'Boletins Nuppa Site'!J123,"NULL")</f>
        <v>24</v>
      </c>
      <c r="J123" t="str">
        <f t="shared" si="1"/>
        <v>INSERT INTO COTACAO (blt_id, pap_id, cot_prc_comum, cot_prc_min, cot_prc_max, cot_prc_med, cot_prc_mediana) VALUES (4, 5, 24, 18, 24, 22, 24);</v>
      </c>
    </row>
    <row r="124" spans="1:10" x14ac:dyDescent="0.3">
      <c r="A124">
        <v>123</v>
      </c>
      <c r="B124">
        <v>4</v>
      </c>
      <c r="C124">
        <v>6</v>
      </c>
      <c r="D124" t="str">
        <f>IF('Boletins Nuppa Site'!F124&lt;&gt;0,'Boletins Nuppa Site'!F124,"NULL")</f>
        <v>NULL</v>
      </c>
      <c r="E124">
        <f>IF('Boletins Nuppa Site'!G124&lt;&gt;0,'Boletins Nuppa Site'!G124,"NULL")</f>
        <v>42</v>
      </c>
      <c r="F124">
        <f>IF('Boletins Nuppa Site'!H124&lt;&gt;0,'Boletins Nuppa Site'!H124,"NULL")</f>
        <v>48</v>
      </c>
      <c r="G124">
        <f>IF('Boletins Nuppa Site'!I124&lt;&gt;0,'Boletins Nuppa Site'!I124,"NULL")</f>
        <v>45</v>
      </c>
      <c r="H124">
        <f>IF('Boletins Nuppa Site'!J124&lt;&gt;0,'Boletins Nuppa Site'!J124,"NULL")</f>
        <v>45</v>
      </c>
      <c r="J124" t="str">
        <f t="shared" si="1"/>
        <v>INSERT INTO COTACAO (blt_id, pap_id, cot_prc_comum, cot_prc_min, cot_prc_max, cot_prc_med, cot_prc_mediana) VALUES (4, 6, NULL, 42, 48, 45, 45);</v>
      </c>
    </row>
    <row r="125" spans="1:10" x14ac:dyDescent="0.3">
      <c r="A125">
        <v>124</v>
      </c>
      <c r="B125">
        <v>4</v>
      </c>
      <c r="C125">
        <v>7</v>
      </c>
      <c r="D125" t="str">
        <f>IF('Boletins Nuppa Site'!F125&lt;&gt;0,'Boletins Nuppa Site'!F125,"NULL")</f>
        <v>NULL</v>
      </c>
      <c r="E125">
        <f>IF('Boletins Nuppa Site'!G125&lt;&gt;0,'Boletins Nuppa Site'!G125,"NULL")</f>
        <v>66</v>
      </c>
      <c r="F125">
        <f>IF('Boletins Nuppa Site'!H125&lt;&gt;0,'Boletins Nuppa Site'!H125,"NULL")</f>
        <v>78</v>
      </c>
      <c r="G125">
        <f>IF('Boletins Nuppa Site'!I125&lt;&gt;0,'Boletins Nuppa Site'!I125,"NULL")</f>
        <v>72</v>
      </c>
      <c r="H125">
        <f>IF('Boletins Nuppa Site'!J125&lt;&gt;0,'Boletins Nuppa Site'!J125,"NULL")</f>
        <v>72</v>
      </c>
      <c r="J125" t="str">
        <f t="shared" si="1"/>
        <v>INSERT INTO COTACAO (blt_id, pap_id, cot_prc_comum, cot_prc_min, cot_prc_max, cot_prc_med, cot_prc_mediana) VALUES (4, 7, NULL, 66, 78, 72, 72);</v>
      </c>
    </row>
    <row r="126" spans="1:10" x14ac:dyDescent="0.3">
      <c r="A126">
        <v>125</v>
      </c>
      <c r="B126">
        <v>4</v>
      </c>
      <c r="C126">
        <v>8</v>
      </c>
      <c r="D126" t="str">
        <f>IF('Boletins Nuppa Site'!F126&lt;&gt;0,'Boletins Nuppa Site'!F126,"NULL")</f>
        <v>NULL</v>
      </c>
      <c r="E126">
        <f>IF('Boletins Nuppa Site'!G126&lt;&gt;0,'Boletins Nuppa Site'!G126,"NULL")</f>
        <v>60</v>
      </c>
      <c r="F126">
        <f>IF('Boletins Nuppa Site'!H126&lt;&gt;0,'Boletins Nuppa Site'!H126,"NULL")</f>
        <v>72</v>
      </c>
      <c r="G126">
        <f>IF('Boletins Nuppa Site'!I126&lt;&gt;0,'Boletins Nuppa Site'!I126,"NULL")</f>
        <v>66</v>
      </c>
      <c r="H126">
        <f>IF('Boletins Nuppa Site'!J126&lt;&gt;0,'Boletins Nuppa Site'!J126,"NULL")</f>
        <v>66</v>
      </c>
      <c r="J126" t="str">
        <f t="shared" si="1"/>
        <v>INSERT INTO COTACAO (blt_id, pap_id, cot_prc_comum, cot_prc_min, cot_prc_max, cot_prc_med, cot_prc_mediana) VALUES (4, 8, NULL, 60, 72, 66, 66);</v>
      </c>
    </row>
    <row r="127" spans="1:10" x14ac:dyDescent="0.3">
      <c r="A127">
        <v>126</v>
      </c>
      <c r="B127">
        <v>4</v>
      </c>
      <c r="C127">
        <v>9</v>
      </c>
      <c r="D127" t="str">
        <f>IF('Boletins Nuppa Site'!F127&lt;&gt;0,'Boletins Nuppa Site'!F127,"NULL")</f>
        <v>NULL</v>
      </c>
      <c r="E127">
        <f>IF('Boletins Nuppa Site'!G127&lt;&gt;0,'Boletins Nuppa Site'!G127,"NULL")</f>
        <v>15</v>
      </c>
      <c r="F127">
        <f>IF('Boletins Nuppa Site'!H127&lt;&gt;0,'Boletins Nuppa Site'!H127,"NULL")</f>
        <v>24</v>
      </c>
      <c r="G127">
        <f>IF('Boletins Nuppa Site'!I127&lt;&gt;0,'Boletins Nuppa Site'!I127,"NULL")</f>
        <v>19</v>
      </c>
      <c r="H127">
        <f>IF('Boletins Nuppa Site'!J127&lt;&gt;0,'Boletins Nuppa Site'!J127,"NULL")</f>
        <v>18</v>
      </c>
      <c r="J127" t="str">
        <f t="shared" si="1"/>
        <v>INSERT INTO COTACAO (blt_id, pap_id, cot_prc_comum, cot_prc_min, cot_prc_max, cot_prc_med, cot_prc_mediana) VALUES (4, 9, NULL, 15, 24, 19, 18);</v>
      </c>
    </row>
    <row r="128" spans="1:10" x14ac:dyDescent="0.3">
      <c r="A128">
        <v>127</v>
      </c>
      <c r="B128">
        <v>4</v>
      </c>
      <c r="C128">
        <v>10</v>
      </c>
      <c r="D128" t="str">
        <f>IF('Boletins Nuppa Site'!F128&lt;&gt;0,'Boletins Nuppa Site'!F128,"NULL")</f>
        <v>NULL</v>
      </c>
      <c r="E128">
        <f>IF('Boletins Nuppa Site'!G128&lt;&gt;0,'Boletins Nuppa Site'!G128,"NULL")</f>
        <v>60</v>
      </c>
      <c r="F128">
        <f>IF('Boletins Nuppa Site'!H128&lt;&gt;0,'Boletins Nuppa Site'!H128,"NULL")</f>
        <v>84</v>
      </c>
      <c r="G128">
        <f>IF('Boletins Nuppa Site'!I128&lt;&gt;0,'Boletins Nuppa Site'!I128,"NULL")</f>
        <v>72</v>
      </c>
      <c r="H128">
        <f>IF('Boletins Nuppa Site'!J128&lt;&gt;0,'Boletins Nuppa Site'!J128,"NULL")</f>
        <v>72</v>
      </c>
      <c r="J128" t="str">
        <f t="shared" si="1"/>
        <v>INSERT INTO COTACAO (blt_id, pap_id, cot_prc_comum, cot_prc_min, cot_prc_max, cot_prc_med, cot_prc_mediana) VALUES (4, 10, NULL, 60, 84, 72, 72);</v>
      </c>
    </row>
    <row r="129" spans="1:10" x14ac:dyDescent="0.3">
      <c r="A129">
        <v>128</v>
      </c>
      <c r="B129">
        <v>4</v>
      </c>
      <c r="C129">
        <v>11</v>
      </c>
      <c r="D129">
        <f>IF('Boletins Nuppa Site'!F129&lt;&gt;0,'Boletins Nuppa Site'!F129,"NULL")</f>
        <v>24</v>
      </c>
      <c r="E129">
        <f>IF('Boletins Nuppa Site'!G129&lt;&gt;0,'Boletins Nuppa Site'!G129,"NULL")</f>
        <v>18</v>
      </c>
      <c r="F129">
        <f>IF('Boletins Nuppa Site'!H129&lt;&gt;0,'Boletins Nuppa Site'!H129,"NULL")</f>
        <v>24</v>
      </c>
      <c r="G129">
        <f>IF('Boletins Nuppa Site'!I129&lt;&gt;0,'Boletins Nuppa Site'!I129,"NULL")</f>
        <v>22</v>
      </c>
      <c r="H129">
        <f>IF('Boletins Nuppa Site'!J129&lt;&gt;0,'Boletins Nuppa Site'!J129,"NULL")</f>
        <v>24</v>
      </c>
      <c r="J129" t="str">
        <f t="shared" si="1"/>
        <v>INSERT INTO COTACAO (blt_id, pap_id, cot_prc_comum, cot_prc_min, cot_prc_max, cot_prc_med, cot_prc_mediana) VALUES (4, 11, 24, 18, 24, 22, 24);</v>
      </c>
    </row>
    <row r="130" spans="1:10" x14ac:dyDescent="0.3">
      <c r="A130">
        <v>129</v>
      </c>
      <c r="B130">
        <v>4</v>
      </c>
      <c r="C130">
        <v>12</v>
      </c>
      <c r="D130">
        <f>IF('Boletins Nuppa Site'!F130&lt;&gt;0,'Boletins Nuppa Site'!F130,"NULL")</f>
        <v>60</v>
      </c>
      <c r="E130">
        <f>IF('Boletins Nuppa Site'!G130&lt;&gt;0,'Boletins Nuppa Site'!G130,"NULL")</f>
        <v>60</v>
      </c>
      <c r="F130">
        <f>IF('Boletins Nuppa Site'!H130&lt;&gt;0,'Boletins Nuppa Site'!H130,"NULL")</f>
        <v>60</v>
      </c>
      <c r="G130">
        <f>IF('Boletins Nuppa Site'!I130&lt;&gt;0,'Boletins Nuppa Site'!I130,"NULL")</f>
        <v>60</v>
      </c>
      <c r="H130">
        <f>IF('Boletins Nuppa Site'!J130&lt;&gt;0,'Boletins Nuppa Site'!J130,"NULL")</f>
        <v>60</v>
      </c>
      <c r="J130" t="str">
        <f t="shared" si="1"/>
        <v>INSERT INTO COTACAO (blt_id, pap_id, cot_prc_comum, cot_prc_min, cot_prc_max, cot_prc_med, cot_prc_mediana) VALUES (4, 12, 60, 60, 60, 60, 60);</v>
      </c>
    </row>
    <row r="131" spans="1:10" x14ac:dyDescent="0.3">
      <c r="A131">
        <v>130</v>
      </c>
      <c r="B131">
        <v>4</v>
      </c>
      <c r="C131">
        <v>13</v>
      </c>
      <c r="D131" t="str">
        <f>IF('Boletins Nuppa Site'!F131&lt;&gt;0,'Boletins Nuppa Site'!F131,"NULL")</f>
        <v>NULL</v>
      </c>
      <c r="E131">
        <f>IF('Boletins Nuppa Site'!G131&lt;&gt;0,'Boletins Nuppa Site'!G131,"NULL")</f>
        <v>54</v>
      </c>
      <c r="F131">
        <f>IF('Boletins Nuppa Site'!H131&lt;&gt;0,'Boletins Nuppa Site'!H131,"NULL")</f>
        <v>60</v>
      </c>
      <c r="G131">
        <f>IF('Boletins Nuppa Site'!I131&lt;&gt;0,'Boletins Nuppa Site'!I131,"NULL")</f>
        <v>57</v>
      </c>
      <c r="H131">
        <f>IF('Boletins Nuppa Site'!J131&lt;&gt;0,'Boletins Nuppa Site'!J131,"NULL")</f>
        <v>57</v>
      </c>
      <c r="J131" t="str">
        <f t="shared" ref="J131:J194" si="2">"INSERT INTO COTACAO (blt_id, pap_id, cot_prc_comum, cot_prc_min, cot_prc_max, cot_prc_med, cot_prc_mediana) VALUES ("&amp;B131&amp;", "&amp;C131&amp;", "&amp;D131&amp;", "&amp;E131&amp;", "&amp;F131&amp;", "&amp;G131&amp;", "&amp;H131&amp;");"</f>
        <v>INSERT INTO COTACAO (blt_id, pap_id, cot_prc_comum, cot_prc_min, cot_prc_max, cot_prc_med, cot_prc_mediana) VALUES (4, 13, NULL, 54, 60, 57, 57);</v>
      </c>
    </row>
    <row r="132" spans="1:10" x14ac:dyDescent="0.3">
      <c r="A132">
        <v>131</v>
      </c>
      <c r="B132">
        <v>4</v>
      </c>
      <c r="C132">
        <v>14</v>
      </c>
      <c r="D132" t="str">
        <f>IF('Boletins Nuppa Site'!F132&lt;&gt;0,'Boletins Nuppa Site'!F132,"NULL")</f>
        <v>NULL</v>
      </c>
      <c r="E132">
        <f>IF('Boletins Nuppa Site'!G132&lt;&gt;0,'Boletins Nuppa Site'!G132,"NULL")</f>
        <v>40</v>
      </c>
      <c r="F132">
        <f>IF('Boletins Nuppa Site'!H132&lt;&gt;0,'Boletins Nuppa Site'!H132,"NULL")</f>
        <v>54</v>
      </c>
      <c r="G132">
        <f>IF('Boletins Nuppa Site'!I132&lt;&gt;0,'Boletins Nuppa Site'!I132,"NULL")</f>
        <v>47</v>
      </c>
      <c r="H132">
        <f>IF('Boletins Nuppa Site'!J132&lt;&gt;0,'Boletins Nuppa Site'!J132,"NULL")</f>
        <v>47</v>
      </c>
      <c r="J132" t="str">
        <f t="shared" si="2"/>
        <v>INSERT INTO COTACAO (blt_id, pap_id, cot_prc_comum, cot_prc_min, cot_prc_max, cot_prc_med, cot_prc_mediana) VALUES (4, 14, NULL, 40, 54, 47, 47);</v>
      </c>
    </row>
    <row r="133" spans="1:10" x14ac:dyDescent="0.3">
      <c r="A133">
        <v>132</v>
      </c>
      <c r="B133">
        <v>4</v>
      </c>
      <c r="C133">
        <v>15</v>
      </c>
      <c r="D133" t="str">
        <f>IF('Boletins Nuppa Site'!F133&lt;&gt;0,'Boletins Nuppa Site'!F133,"NULL")</f>
        <v>NULL</v>
      </c>
      <c r="E133">
        <f>IF('Boletins Nuppa Site'!G133&lt;&gt;0,'Boletins Nuppa Site'!G133,"NULL")</f>
        <v>25</v>
      </c>
      <c r="F133">
        <f>IF('Boletins Nuppa Site'!H133&lt;&gt;0,'Boletins Nuppa Site'!H133,"NULL")</f>
        <v>36</v>
      </c>
      <c r="G133" t="str">
        <f>IF('Boletins Nuppa Site'!I133&lt;&gt;0,'Boletins Nuppa Site'!I133,"NULL")</f>
        <v>30.33</v>
      </c>
      <c r="H133">
        <f>IF('Boletins Nuppa Site'!J133&lt;&gt;0,'Boletins Nuppa Site'!J133,"NULL")</f>
        <v>30</v>
      </c>
      <c r="J133" t="str">
        <f t="shared" si="2"/>
        <v>INSERT INTO COTACAO (blt_id, pap_id, cot_prc_comum, cot_prc_min, cot_prc_max, cot_prc_med, cot_prc_mediana) VALUES (4, 15, NULL, 25, 36, 30.33, 30);</v>
      </c>
    </row>
    <row r="134" spans="1:10" x14ac:dyDescent="0.3">
      <c r="A134">
        <v>133</v>
      </c>
      <c r="B134">
        <v>4</v>
      </c>
      <c r="C134">
        <v>16</v>
      </c>
      <c r="D134">
        <f>IF('Boletins Nuppa Site'!F134&lt;&gt;0,'Boletins Nuppa Site'!F134,"NULL")</f>
        <v>42</v>
      </c>
      <c r="E134">
        <f>IF('Boletins Nuppa Site'!G134&lt;&gt;0,'Boletins Nuppa Site'!G134,"NULL")</f>
        <v>42</v>
      </c>
      <c r="F134">
        <f>IF('Boletins Nuppa Site'!H134&lt;&gt;0,'Boletins Nuppa Site'!H134,"NULL")</f>
        <v>42</v>
      </c>
      <c r="G134">
        <f>IF('Boletins Nuppa Site'!I134&lt;&gt;0,'Boletins Nuppa Site'!I134,"NULL")</f>
        <v>42</v>
      </c>
      <c r="H134">
        <f>IF('Boletins Nuppa Site'!J134&lt;&gt;0,'Boletins Nuppa Site'!J134,"NULL")</f>
        <v>42</v>
      </c>
      <c r="J134" t="str">
        <f t="shared" si="2"/>
        <v>INSERT INTO COTACAO (blt_id, pap_id, cot_prc_comum, cot_prc_min, cot_prc_max, cot_prc_med, cot_prc_mediana) VALUES (4, 16, 42, 42, 42, 42, 42);</v>
      </c>
    </row>
    <row r="135" spans="1:10" x14ac:dyDescent="0.3">
      <c r="A135">
        <v>134</v>
      </c>
      <c r="B135">
        <v>4</v>
      </c>
      <c r="C135">
        <v>17</v>
      </c>
      <c r="D135" t="str">
        <f>IF('Boletins Nuppa Site'!F135&lt;&gt;0,'Boletins Nuppa Site'!F135,"NULL")</f>
        <v>NULL</v>
      </c>
      <c r="E135">
        <f>IF('Boletins Nuppa Site'!G135&lt;&gt;0,'Boletins Nuppa Site'!G135,"NULL")</f>
        <v>4</v>
      </c>
      <c r="F135">
        <f>IF('Boletins Nuppa Site'!H135&lt;&gt;0,'Boletins Nuppa Site'!H135,"NULL")</f>
        <v>5</v>
      </c>
      <c r="G135" t="str">
        <f>IF('Boletins Nuppa Site'!I135&lt;&gt;0,'Boletins Nuppa Site'!I135,"NULL")</f>
        <v>4.5</v>
      </c>
      <c r="H135" t="str">
        <f>IF('Boletins Nuppa Site'!J135&lt;&gt;0,'Boletins Nuppa Site'!J135,"NULL")</f>
        <v>4.5</v>
      </c>
      <c r="J135" t="str">
        <f t="shared" si="2"/>
        <v>INSERT INTO COTACAO (blt_id, pap_id, cot_prc_comum, cot_prc_min, cot_prc_max, cot_prc_med, cot_prc_mediana) VALUES (4, 17, NULL, 4, 5, 4.5, 4.5);</v>
      </c>
    </row>
    <row r="136" spans="1:10" x14ac:dyDescent="0.3">
      <c r="A136">
        <v>135</v>
      </c>
      <c r="B136">
        <v>4</v>
      </c>
      <c r="C136">
        <v>18</v>
      </c>
      <c r="D136" t="str">
        <f>IF('Boletins Nuppa Site'!F136&lt;&gt;0,'Boletins Nuppa Site'!F136,"NULL")</f>
        <v>NULL</v>
      </c>
      <c r="E136">
        <f>IF('Boletins Nuppa Site'!G136&lt;&gt;0,'Boletins Nuppa Site'!G136,"NULL")</f>
        <v>18</v>
      </c>
      <c r="F136">
        <f>IF('Boletins Nuppa Site'!H136&lt;&gt;0,'Boletins Nuppa Site'!H136,"NULL")</f>
        <v>20</v>
      </c>
      <c r="G136">
        <f>IF('Boletins Nuppa Site'!I136&lt;&gt;0,'Boletins Nuppa Site'!I136,"NULL")</f>
        <v>19</v>
      </c>
      <c r="H136">
        <f>IF('Boletins Nuppa Site'!J136&lt;&gt;0,'Boletins Nuppa Site'!J136,"NULL")</f>
        <v>19</v>
      </c>
      <c r="J136" t="str">
        <f t="shared" si="2"/>
        <v>INSERT INTO COTACAO (blt_id, pap_id, cot_prc_comum, cot_prc_min, cot_prc_max, cot_prc_med, cot_prc_mediana) VALUES (4, 18, NULL, 18, 20, 19, 19);</v>
      </c>
    </row>
    <row r="137" spans="1:10" x14ac:dyDescent="0.3">
      <c r="A137">
        <v>136</v>
      </c>
      <c r="B137">
        <v>4</v>
      </c>
      <c r="C137">
        <v>19</v>
      </c>
      <c r="D137">
        <f>IF('Boletins Nuppa Site'!F137&lt;&gt;0,'Boletins Nuppa Site'!F137,"NULL")</f>
        <v>25</v>
      </c>
      <c r="E137">
        <f>IF('Boletins Nuppa Site'!G137&lt;&gt;0,'Boletins Nuppa Site'!G137,"NULL")</f>
        <v>25</v>
      </c>
      <c r="F137">
        <f>IF('Boletins Nuppa Site'!H137&lt;&gt;0,'Boletins Nuppa Site'!H137,"NULL")</f>
        <v>25</v>
      </c>
      <c r="G137">
        <f>IF('Boletins Nuppa Site'!I137&lt;&gt;0,'Boletins Nuppa Site'!I137,"NULL")</f>
        <v>25</v>
      </c>
      <c r="H137">
        <f>IF('Boletins Nuppa Site'!J137&lt;&gt;0,'Boletins Nuppa Site'!J137,"NULL")</f>
        <v>25</v>
      </c>
      <c r="J137" t="str">
        <f t="shared" si="2"/>
        <v>INSERT INTO COTACAO (blt_id, pap_id, cot_prc_comum, cot_prc_min, cot_prc_max, cot_prc_med, cot_prc_mediana) VALUES (4, 19, 25, 25, 25, 25, 25);</v>
      </c>
    </row>
    <row r="138" spans="1:10" x14ac:dyDescent="0.3">
      <c r="A138">
        <v>137</v>
      </c>
      <c r="B138">
        <v>4</v>
      </c>
      <c r="C138">
        <v>21</v>
      </c>
      <c r="D138">
        <f>IF('Boletins Nuppa Site'!F138&lt;&gt;0,'Boletins Nuppa Site'!F138,"NULL")</f>
        <v>50</v>
      </c>
      <c r="E138">
        <f>IF('Boletins Nuppa Site'!G138&lt;&gt;0,'Boletins Nuppa Site'!G138,"NULL")</f>
        <v>30</v>
      </c>
      <c r="F138">
        <f>IF('Boletins Nuppa Site'!H138&lt;&gt;0,'Boletins Nuppa Site'!H138,"NULL")</f>
        <v>50</v>
      </c>
      <c r="G138" t="str">
        <f>IF('Boletins Nuppa Site'!I138&lt;&gt;0,'Boletins Nuppa Site'!I138,"NULL")</f>
        <v>43.33</v>
      </c>
      <c r="H138">
        <f>IF('Boletins Nuppa Site'!J138&lt;&gt;0,'Boletins Nuppa Site'!J138,"NULL")</f>
        <v>45</v>
      </c>
      <c r="J138" t="str">
        <f t="shared" si="2"/>
        <v>INSERT INTO COTACAO (blt_id, pap_id, cot_prc_comum, cot_prc_min, cot_prc_max, cot_prc_med, cot_prc_mediana) VALUES (4, 21, 50, 30, 50, 43.33, 45);</v>
      </c>
    </row>
    <row r="139" spans="1:10" x14ac:dyDescent="0.3">
      <c r="A139">
        <v>138</v>
      </c>
      <c r="B139">
        <v>4</v>
      </c>
      <c r="C139">
        <v>22</v>
      </c>
      <c r="D139">
        <f>IF('Boletins Nuppa Site'!F139&lt;&gt;0,'Boletins Nuppa Site'!F139,"NULL")</f>
        <v>45</v>
      </c>
      <c r="E139">
        <f>IF('Boletins Nuppa Site'!G139&lt;&gt;0,'Boletins Nuppa Site'!G139,"NULL")</f>
        <v>35</v>
      </c>
      <c r="F139">
        <f>IF('Boletins Nuppa Site'!H139&lt;&gt;0,'Boletins Nuppa Site'!H139,"NULL")</f>
        <v>60</v>
      </c>
      <c r="G139" t="str">
        <f>IF('Boletins Nuppa Site'!I139&lt;&gt;0,'Boletins Nuppa Site'!I139,"NULL")</f>
        <v>47.86</v>
      </c>
      <c r="H139">
        <f>IF('Boletins Nuppa Site'!J139&lt;&gt;0,'Boletins Nuppa Site'!J139,"NULL")</f>
        <v>45</v>
      </c>
      <c r="J139" t="str">
        <f t="shared" si="2"/>
        <v>INSERT INTO COTACAO (blt_id, pap_id, cot_prc_comum, cot_prc_min, cot_prc_max, cot_prc_med, cot_prc_mediana) VALUES (4, 22, 45, 35, 60, 47.86, 45);</v>
      </c>
    </row>
    <row r="140" spans="1:10" x14ac:dyDescent="0.3">
      <c r="A140">
        <v>139</v>
      </c>
      <c r="B140">
        <v>4</v>
      </c>
      <c r="C140">
        <v>23</v>
      </c>
      <c r="D140">
        <f>IF('Boletins Nuppa Site'!F140&lt;&gt;0,'Boletins Nuppa Site'!F140,"NULL")</f>
        <v>35</v>
      </c>
      <c r="E140">
        <f>IF('Boletins Nuppa Site'!G140&lt;&gt;0,'Boletins Nuppa Site'!G140,"NULL")</f>
        <v>30</v>
      </c>
      <c r="F140">
        <f>IF('Boletins Nuppa Site'!H140&lt;&gt;0,'Boletins Nuppa Site'!H140,"NULL")</f>
        <v>45</v>
      </c>
      <c r="G140" t="str">
        <f>IF('Boletins Nuppa Site'!I140&lt;&gt;0,'Boletins Nuppa Site'!I140,"NULL")</f>
        <v>38.57</v>
      </c>
      <c r="H140">
        <f>IF('Boletins Nuppa Site'!J140&lt;&gt;0,'Boletins Nuppa Site'!J140,"NULL")</f>
        <v>40</v>
      </c>
      <c r="J140" t="str">
        <f t="shared" si="2"/>
        <v>INSERT INTO COTACAO (blt_id, pap_id, cot_prc_comum, cot_prc_min, cot_prc_max, cot_prc_med, cot_prc_mediana) VALUES (4, 23, 35, 30, 45, 38.57, 40);</v>
      </c>
    </row>
    <row r="141" spans="1:10" x14ac:dyDescent="0.3">
      <c r="A141">
        <v>140</v>
      </c>
      <c r="B141">
        <v>4</v>
      </c>
      <c r="C141">
        <v>24</v>
      </c>
      <c r="D141" t="str">
        <f>IF('Boletins Nuppa Site'!F141&lt;&gt;0,'Boletins Nuppa Site'!F141,"NULL")</f>
        <v>NULL</v>
      </c>
      <c r="E141">
        <f>IF('Boletins Nuppa Site'!G141&lt;&gt;0,'Boletins Nuppa Site'!G141,"NULL")</f>
        <v>120</v>
      </c>
      <c r="F141">
        <f>IF('Boletins Nuppa Site'!H141&lt;&gt;0,'Boletins Nuppa Site'!H141,"NULL")</f>
        <v>120</v>
      </c>
      <c r="G141">
        <f>IF('Boletins Nuppa Site'!I141&lt;&gt;0,'Boletins Nuppa Site'!I141,"NULL")</f>
        <v>120</v>
      </c>
      <c r="H141">
        <f>IF('Boletins Nuppa Site'!J141&lt;&gt;0,'Boletins Nuppa Site'!J141,"NULL")</f>
        <v>120</v>
      </c>
      <c r="J141" t="str">
        <f t="shared" si="2"/>
        <v>INSERT INTO COTACAO (blt_id, pap_id, cot_prc_comum, cot_prc_min, cot_prc_max, cot_prc_med, cot_prc_mediana) VALUES (4, 24, NULL, 120, 120, 120, 120);</v>
      </c>
    </row>
    <row r="142" spans="1:10" x14ac:dyDescent="0.3">
      <c r="A142">
        <v>141</v>
      </c>
      <c r="B142">
        <v>4</v>
      </c>
      <c r="C142">
        <v>25</v>
      </c>
      <c r="D142">
        <f>IF('Boletins Nuppa Site'!F142&lt;&gt;0,'Boletins Nuppa Site'!F142,"NULL")</f>
        <v>60</v>
      </c>
      <c r="E142">
        <f>IF('Boletins Nuppa Site'!G142&lt;&gt;0,'Boletins Nuppa Site'!G142,"NULL")</f>
        <v>50</v>
      </c>
      <c r="F142">
        <f>IF('Boletins Nuppa Site'!H142&lt;&gt;0,'Boletins Nuppa Site'!H142,"NULL")</f>
        <v>65</v>
      </c>
      <c r="G142" t="str">
        <f>IF('Boletins Nuppa Site'!I142&lt;&gt;0,'Boletins Nuppa Site'!I142,"NULL")</f>
        <v>58.75</v>
      </c>
      <c r="H142">
        <f>IF('Boletins Nuppa Site'!J142&lt;&gt;0,'Boletins Nuppa Site'!J142,"NULL")</f>
        <v>60</v>
      </c>
      <c r="J142" t="str">
        <f t="shared" si="2"/>
        <v>INSERT INTO COTACAO (blt_id, pap_id, cot_prc_comum, cot_prc_min, cot_prc_max, cot_prc_med, cot_prc_mediana) VALUES (4, 25, 60, 50, 65, 58.75, 60);</v>
      </c>
    </row>
    <row r="143" spans="1:10" x14ac:dyDescent="0.3">
      <c r="A143">
        <v>142</v>
      </c>
      <c r="B143">
        <v>4</v>
      </c>
      <c r="C143">
        <v>26</v>
      </c>
      <c r="D143">
        <f>IF('Boletins Nuppa Site'!F143&lt;&gt;0,'Boletins Nuppa Site'!F143,"NULL")</f>
        <v>60</v>
      </c>
      <c r="E143">
        <f>IF('Boletins Nuppa Site'!G143&lt;&gt;0,'Boletins Nuppa Site'!G143,"NULL")</f>
        <v>60</v>
      </c>
      <c r="F143">
        <f>IF('Boletins Nuppa Site'!H143&lt;&gt;0,'Boletins Nuppa Site'!H143,"NULL")</f>
        <v>80</v>
      </c>
      <c r="G143">
        <f>IF('Boletins Nuppa Site'!I143&lt;&gt;0,'Boletins Nuppa Site'!I143,"NULL")</f>
        <v>68</v>
      </c>
      <c r="H143">
        <f>IF('Boletins Nuppa Site'!J143&lt;&gt;0,'Boletins Nuppa Site'!J143,"NULL")</f>
        <v>60</v>
      </c>
      <c r="J143" t="str">
        <f t="shared" si="2"/>
        <v>INSERT INTO COTACAO (blt_id, pap_id, cot_prc_comum, cot_prc_min, cot_prc_max, cot_prc_med, cot_prc_mediana) VALUES (4, 26, 60, 60, 80, 68, 60);</v>
      </c>
    </row>
    <row r="144" spans="1:10" x14ac:dyDescent="0.3">
      <c r="A144">
        <v>143</v>
      </c>
      <c r="B144">
        <v>4</v>
      </c>
      <c r="C144">
        <v>27</v>
      </c>
      <c r="D144">
        <f>IF('Boletins Nuppa Site'!F144&lt;&gt;0,'Boletins Nuppa Site'!F144,"NULL")</f>
        <v>70</v>
      </c>
      <c r="E144">
        <f>IF('Boletins Nuppa Site'!G144&lt;&gt;0,'Boletins Nuppa Site'!G144,"NULL")</f>
        <v>50</v>
      </c>
      <c r="F144">
        <f>IF('Boletins Nuppa Site'!H144&lt;&gt;0,'Boletins Nuppa Site'!H144,"NULL")</f>
        <v>80</v>
      </c>
      <c r="G144" t="str">
        <f>IF('Boletins Nuppa Site'!I144&lt;&gt;0,'Boletins Nuppa Site'!I144,"NULL")</f>
        <v>66.67</v>
      </c>
      <c r="H144">
        <f>IF('Boletins Nuppa Site'!J144&lt;&gt;0,'Boletins Nuppa Site'!J144,"NULL")</f>
        <v>70</v>
      </c>
      <c r="J144" t="str">
        <f t="shared" si="2"/>
        <v>INSERT INTO COTACAO (blt_id, pap_id, cot_prc_comum, cot_prc_min, cot_prc_max, cot_prc_med, cot_prc_mediana) VALUES (4, 27, 70, 50, 80, 66.67, 70);</v>
      </c>
    </row>
    <row r="145" spans="1:10" x14ac:dyDescent="0.3">
      <c r="A145">
        <v>144</v>
      </c>
      <c r="B145">
        <v>4</v>
      </c>
      <c r="C145">
        <v>28</v>
      </c>
      <c r="D145">
        <f>IF('Boletins Nuppa Site'!F145&lt;&gt;0,'Boletins Nuppa Site'!F145,"NULL")</f>
        <v>70</v>
      </c>
      <c r="E145">
        <f>IF('Boletins Nuppa Site'!G145&lt;&gt;0,'Boletins Nuppa Site'!G145,"NULL")</f>
        <v>60</v>
      </c>
      <c r="F145">
        <f>IF('Boletins Nuppa Site'!H145&lt;&gt;0,'Boletins Nuppa Site'!H145,"NULL")</f>
        <v>70</v>
      </c>
      <c r="G145" t="str">
        <f>IF('Boletins Nuppa Site'!I145&lt;&gt;0,'Boletins Nuppa Site'!I145,"NULL")</f>
        <v>67.5</v>
      </c>
      <c r="H145">
        <f>IF('Boletins Nuppa Site'!J145&lt;&gt;0,'Boletins Nuppa Site'!J145,"NULL")</f>
        <v>70</v>
      </c>
      <c r="J145" t="str">
        <f t="shared" si="2"/>
        <v>INSERT INTO COTACAO (blt_id, pap_id, cot_prc_comum, cot_prc_min, cot_prc_max, cot_prc_med, cot_prc_mediana) VALUES (4, 28, 70, 60, 70, 67.5, 70);</v>
      </c>
    </row>
    <row r="146" spans="1:10" x14ac:dyDescent="0.3">
      <c r="A146">
        <v>145</v>
      </c>
      <c r="B146">
        <v>4</v>
      </c>
      <c r="C146">
        <v>29</v>
      </c>
      <c r="D146" t="str">
        <f>IF('Boletins Nuppa Site'!F146&lt;&gt;0,'Boletins Nuppa Site'!F146,"NULL")</f>
        <v>NULL</v>
      </c>
      <c r="E146">
        <f>IF('Boletins Nuppa Site'!G146&lt;&gt;0,'Boletins Nuppa Site'!G146,"NULL")</f>
        <v>60</v>
      </c>
      <c r="F146">
        <f>IF('Boletins Nuppa Site'!H146&lt;&gt;0,'Boletins Nuppa Site'!H146,"NULL")</f>
        <v>70</v>
      </c>
      <c r="G146">
        <f>IF('Boletins Nuppa Site'!I146&lt;&gt;0,'Boletins Nuppa Site'!I146,"NULL")</f>
        <v>65</v>
      </c>
      <c r="H146">
        <f>IF('Boletins Nuppa Site'!J146&lt;&gt;0,'Boletins Nuppa Site'!J146,"NULL")</f>
        <v>65</v>
      </c>
      <c r="J146" t="str">
        <f t="shared" si="2"/>
        <v>INSERT INTO COTACAO (blt_id, pap_id, cot_prc_comum, cot_prc_min, cot_prc_max, cot_prc_med, cot_prc_mediana) VALUES (4, 29, NULL, 60, 70, 65, 65);</v>
      </c>
    </row>
    <row r="147" spans="1:10" x14ac:dyDescent="0.3">
      <c r="A147">
        <v>146</v>
      </c>
      <c r="B147">
        <v>4</v>
      </c>
      <c r="C147">
        <v>30</v>
      </c>
      <c r="D147">
        <f>IF('Boletins Nuppa Site'!F147&lt;&gt;0,'Boletins Nuppa Site'!F147,"NULL")</f>
        <v>60</v>
      </c>
      <c r="E147">
        <f>IF('Boletins Nuppa Site'!G147&lt;&gt;0,'Boletins Nuppa Site'!G147,"NULL")</f>
        <v>40</v>
      </c>
      <c r="F147">
        <f>IF('Boletins Nuppa Site'!H147&lt;&gt;0,'Boletins Nuppa Site'!H147,"NULL")</f>
        <v>60</v>
      </c>
      <c r="G147">
        <f>IF('Boletins Nuppa Site'!I147&lt;&gt;0,'Boletins Nuppa Site'!I147,"NULL")</f>
        <v>53</v>
      </c>
      <c r="H147">
        <f>IF('Boletins Nuppa Site'!J147&lt;&gt;0,'Boletins Nuppa Site'!J147,"NULL")</f>
        <v>60</v>
      </c>
      <c r="J147" t="str">
        <f t="shared" si="2"/>
        <v>INSERT INTO COTACAO (blt_id, pap_id, cot_prc_comum, cot_prc_min, cot_prc_max, cot_prc_med, cot_prc_mediana) VALUES (4, 30, 60, 40, 60, 53, 60);</v>
      </c>
    </row>
    <row r="148" spans="1:10" x14ac:dyDescent="0.3">
      <c r="A148">
        <v>147</v>
      </c>
      <c r="B148">
        <v>4</v>
      </c>
      <c r="C148">
        <v>31</v>
      </c>
      <c r="D148">
        <f>IF('Boletins Nuppa Site'!F148&lt;&gt;0,'Boletins Nuppa Site'!F148,"NULL")</f>
        <v>70</v>
      </c>
      <c r="E148">
        <f>IF('Boletins Nuppa Site'!G148&lt;&gt;0,'Boletins Nuppa Site'!G148,"NULL")</f>
        <v>50</v>
      </c>
      <c r="F148">
        <f>IF('Boletins Nuppa Site'!H148&lt;&gt;0,'Boletins Nuppa Site'!H148,"NULL")</f>
        <v>90</v>
      </c>
      <c r="G148" t="str">
        <f>IF('Boletins Nuppa Site'!I148&lt;&gt;0,'Boletins Nuppa Site'!I148,"NULL")</f>
        <v>70.83</v>
      </c>
      <c r="H148">
        <f>IF('Boletins Nuppa Site'!J148&lt;&gt;0,'Boletins Nuppa Site'!J148,"NULL")</f>
        <v>70</v>
      </c>
      <c r="J148" t="str">
        <f t="shared" si="2"/>
        <v>INSERT INTO COTACAO (blt_id, pap_id, cot_prc_comum, cot_prc_min, cot_prc_max, cot_prc_med, cot_prc_mediana) VALUES (4, 31, 70, 50, 90, 70.83, 70);</v>
      </c>
    </row>
    <row r="149" spans="1:10" x14ac:dyDescent="0.3">
      <c r="A149">
        <v>148</v>
      </c>
      <c r="B149">
        <v>4</v>
      </c>
      <c r="C149">
        <v>32</v>
      </c>
      <c r="D149">
        <f>IF('Boletins Nuppa Site'!F149&lt;&gt;0,'Boletins Nuppa Site'!F149,"NULL")</f>
        <v>40</v>
      </c>
      <c r="E149">
        <f>IF('Boletins Nuppa Site'!G149&lt;&gt;0,'Boletins Nuppa Site'!G149,"NULL")</f>
        <v>35</v>
      </c>
      <c r="F149">
        <f>IF('Boletins Nuppa Site'!H149&lt;&gt;0,'Boletins Nuppa Site'!H149,"NULL")</f>
        <v>40</v>
      </c>
      <c r="G149" t="str">
        <f>IF('Boletins Nuppa Site'!I149&lt;&gt;0,'Boletins Nuppa Site'!I149,"NULL")</f>
        <v>39.17</v>
      </c>
      <c r="H149">
        <f>IF('Boletins Nuppa Site'!J149&lt;&gt;0,'Boletins Nuppa Site'!J149,"NULL")</f>
        <v>40</v>
      </c>
      <c r="J149" t="str">
        <f t="shared" si="2"/>
        <v>INSERT INTO COTACAO (blt_id, pap_id, cot_prc_comum, cot_prc_min, cot_prc_max, cot_prc_med, cot_prc_mediana) VALUES (4, 32, 40, 35, 40, 39.17, 40);</v>
      </c>
    </row>
    <row r="150" spans="1:10" x14ac:dyDescent="0.3">
      <c r="A150">
        <v>149</v>
      </c>
      <c r="B150">
        <v>4</v>
      </c>
      <c r="C150">
        <v>33</v>
      </c>
      <c r="D150">
        <f>IF('Boletins Nuppa Site'!F150&lt;&gt;0,'Boletins Nuppa Site'!F150,"NULL")</f>
        <v>80</v>
      </c>
      <c r="E150">
        <f>IF('Boletins Nuppa Site'!G150&lt;&gt;0,'Boletins Nuppa Site'!G150,"NULL")</f>
        <v>80</v>
      </c>
      <c r="F150">
        <f>IF('Boletins Nuppa Site'!H150&lt;&gt;0,'Boletins Nuppa Site'!H150,"NULL")</f>
        <v>100</v>
      </c>
      <c r="G150">
        <f>IF('Boletins Nuppa Site'!I150&lt;&gt;0,'Boletins Nuppa Site'!I150,"NULL")</f>
        <v>85</v>
      </c>
      <c r="H150">
        <f>IF('Boletins Nuppa Site'!J150&lt;&gt;0,'Boletins Nuppa Site'!J150,"NULL")</f>
        <v>80</v>
      </c>
      <c r="J150" t="str">
        <f t="shared" si="2"/>
        <v>INSERT INTO COTACAO (blt_id, pap_id, cot_prc_comum, cot_prc_min, cot_prc_max, cot_prc_med, cot_prc_mediana) VALUES (4, 33, 80, 80, 100, 85, 80);</v>
      </c>
    </row>
    <row r="151" spans="1:10" x14ac:dyDescent="0.3">
      <c r="A151">
        <v>150</v>
      </c>
      <c r="B151">
        <v>4</v>
      </c>
      <c r="C151">
        <v>34</v>
      </c>
      <c r="D151">
        <f>IF('Boletins Nuppa Site'!F151&lt;&gt;0,'Boletins Nuppa Site'!F151,"NULL")</f>
        <v>70</v>
      </c>
      <c r="E151">
        <f>IF('Boletins Nuppa Site'!G151&lt;&gt;0,'Boletins Nuppa Site'!G151,"NULL")</f>
        <v>70</v>
      </c>
      <c r="F151">
        <f>IF('Boletins Nuppa Site'!H151&lt;&gt;0,'Boletins Nuppa Site'!H151,"NULL")</f>
        <v>80</v>
      </c>
      <c r="G151" t="str">
        <f>IF('Boletins Nuppa Site'!I151&lt;&gt;0,'Boletins Nuppa Site'!I151,"NULL")</f>
        <v>73.33</v>
      </c>
      <c r="H151">
        <f>IF('Boletins Nuppa Site'!J151&lt;&gt;0,'Boletins Nuppa Site'!J151,"NULL")</f>
        <v>70</v>
      </c>
      <c r="J151" t="str">
        <f t="shared" si="2"/>
        <v>INSERT INTO COTACAO (blt_id, pap_id, cot_prc_comum, cot_prc_min, cot_prc_max, cot_prc_med, cot_prc_mediana) VALUES (4, 34, 70, 70, 80, 73.33, 70);</v>
      </c>
    </row>
    <row r="152" spans="1:10" x14ac:dyDescent="0.3">
      <c r="A152">
        <v>151</v>
      </c>
      <c r="B152">
        <v>4</v>
      </c>
      <c r="C152">
        <v>35</v>
      </c>
      <c r="D152">
        <f>IF('Boletins Nuppa Site'!F152&lt;&gt;0,'Boletins Nuppa Site'!F152,"NULL")</f>
        <v>100</v>
      </c>
      <c r="E152">
        <f>IF('Boletins Nuppa Site'!G152&lt;&gt;0,'Boletins Nuppa Site'!G152,"NULL")</f>
        <v>100</v>
      </c>
      <c r="F152">
        <f>IF('Boletins Nuppa Site'!H152&lt;&gt;0,'Boletins Nuppa Site'!H152,"NULL")</f>
        <v>120</v>
      </c>
      <c r="G152" t="str">
        <f>IF('Boletins Nuppa Site'!I152&lt;&gt;0,'Boletins Nuppa Site'!I152,"NULL")</f>
        <v>107.5</v>
      </c>
      <c r="H152">
        <f>IF('Boletins Nuppa Site'!J152&lt;&gt;0,'Boletins Nuppa Site'!J152,"NULL")</f>
        <v>105</v>
      </c>
      <c r="J152" t="str">
        <f t="shared" si="2"/>
        <v>INSERT INTO COTACAO (blt_id, pap_id, cot_prc_comum, cot_prc_min, cot_prc_max, cot_prc_med, cot_prc_mediana) VALUES (4, 35, 100, 100, 120, 107.5, 105);</v>
      </c>
    </row>
    <row r="153" spans="1:10" x14ac:dyDescent="0.3">
      <c r="A153">
        <v>152</v>
      </c>
      <c r="B153">
        <v>4</v>
      </c>
      <c r="C153">
        <v>36</v>
      </c>
      <c r="D153" t="str">
        <f>IF('Boletins Nuppa Site'!F153&lt;&gt;0,'Boletins Nuppa Site'!F153,"NULL")</f>
        <v>NULL</v>
      </c>
      <c r="E153" t="str">
        <f>IF('Boletins Nuppa Site'!G153&lt;&gt;0,'Boletins Nuppa Site'!G153,"NULL")</f>
        <v>NULL</v>
      </c>
      <c r="F153" t="str">
        <f>IF('Boletins Nuppa Site'!H153&lt;&gt;0,'Boletins Nuppa Site'!H153,"NULL")</f>
        <v>NULL</v>
      </c>
      <c r="G153" t="str">
        <f>IF('Boletins Nuppa Site'!I153&lt;&gt;0,'Boletins Nuppa Site'!I153,"NULL")</f>
        <v>NULL</v>
      </c>
      <c r="H153" t="str">
        <f>IF('Boletins Nuppa Site'!J153&lt;&gt;0,'Boletins Nuppa Site'!J153,"NULL")</f>
        <v>NULL</v>
      </c>
      <c r="J153" t="str">
        <f t="shared" si="2"/>
        <v>INSERT INTO COTACAO (blt_id, pap_id, cot_prc_comum, cot_prc_min, cot_prc_max, cot_prc_med, cot_prc_mediana) VALUES (4, 36, NULL, NULL, NULL, NULL, NULL);</v>
      </c>
    </row>
    <row r="154" spans="1:10" x14ac:dyDescent="0.3">
      <c r="A154">
        <v>153</v>
      </c>
      <c r="B154">
        <v>4</v>
      </c>
      <c r="C154">
        <v>37</v>
      </c>
      <c r="D154" t="str">
        <f>IF('Boletins Nuppa Site'!F154&lt;&gt;0,'Boletins Nuppa Site'!F154,"NULL")</f>
        <v>NULL</v>
      </c>
      <c r="E154" t="str">
        <f>IF('Boletins Nuppa Site'!G154&lt;&gt;0,'Boletins Nuppa Site'!G154,"NULL")</f>
        <v>NULL</v>
      </c>
      <c r="F154" t="str">
        <f>IF('Boletins Nuppa Site'!H154&lt;&gt;0,'Boletins Nuppa Site'!H154,"NULL")</f>
        <v>NULL</v>
      </c>
      <c r="G154" t="str">
        <f>IF('Boletins Nuppa Site'!I154&lt;&gt;0,'Boletins Nuppa Site'!I154,"NULL")</f>
        <v>NULL</v>
      </c>
      <c r="H154" t="str">
        <f>IF('Boletins Nuppa Site'!J154&lt;&gt;0,'Boletins Nuppa Site'!J154,"NULL")</f>
        <v>NULL</v>
      </c>
      <c r="J154" t="str">
        <f t="shared" si="2"/>
        <v>INSERT INTO COTACAO (blt_id, pap_id, cot_prc_comum, cot_prc_min, cot_prc_max, cot_prc_med, cot_prc_mediana) VALUES (4, 37, NULL, NULL, NULL, NULL, NULL);</v>
      </c>
    </row>
    <row r="155" spans="1:10" x14ac:dyDescent="0.3">
      <c r="A155">
        <v>154</v>
      </c>
      <c r="B155">
        <v>4</v>
      </c>
      <c r="C155">
        <v>38</v>
      </c>
      <c r="D155" t="str">
        <f>IF('Boletins Nuppa Site'!F155&lt;&gt;0,'Boletins Nuppa Site'!F155,"NULL")</f>
        <v>NULL</v>
      </c>
      <c r="E155" t="str">
        <f>IF('Boletins Nuppa Site'!G155&lt;&gt;0,'Boletins Nuppa Site'!G155,"NULL")</f>
        <v>NULL</v>
      </c>
      <c r="F155" t="str">
        <f>IF('Boletins Nuppa Site'!H155&lt;&gt;0,'Boletins Nuppa Site'!H155,"NULL")</f>
        <v>NULL</v>
      </c>
      <c r="G155" t="str">
        <f>IF('Boletins Nuppa Site'!I155&lt;&gt;0,'Boletins Nuppa Site'!I155,"NULL")</f>
        <v>NULL</v>
      </c>
      <c r="H155" t="str">
        <f>IF('Boletins Nuppa Site'!J155&lt;&gt;0,'Boletins Nuppa Site'!J155,"NULL")</f>
        <v>NULL</v>
      </c>
      <c r="J155" t="str">
        <f t="shared" si="2"/>
        <v>INSERT INTO COTACAO (blt_id, pap_id, cot_prc_comum, cot_prc_min, cot_prc_max, cot_prc_med, cot_prc_mediana) VALUES (4, 38, NULL, NULL, NULL, NULL, NULL);</v>
      </c>
    </row>
    <row r="156" spans="1:10" x14ac:dyDescent="0.3">
      <c r="A156">
        <v>155</v>
      </c>
      <c r="B156">
        <v>4</v>
      </c>
      <c r="C156">
        <v>39</v>
      </c>
      <c r="D156" t="str">
        <f>IF('Boletins Nuppa Site'!F156&lt;&gt;0,'Boletins Nuppa Site'!F156,"NULL")</f>
        <v>NULL</v>
      </c>
      <c r="E156" t="str">
        <f>IF('Boletins Nuppa Site'!G156&lt;&gt;0,'Boletins Nuppa Site'!G156,"NULL")</f>
        <v>NULL</v>
      </c>
      <c r="F156" t="str">
        <f>IF('Boletins Nuppa Site'!H156&lt;&gt;0,'Boletins Nuppa Site'!H156,"NULL")</f>
        <v>NULL</v>
      </c>
      <c r="G156" t="str">
        <f>IF('Boletins Nuppa Site'!I156&lt;&gt;0,'Boletins Nuppa Site'!I156,"NULL")</f>
        <v>NULL</v>
      </c>
      <c r="H156" t="str">
        <f>IF('Boletins Nuppa Site'!J156&lt;&gt;0,'Boletins Nuppa Site'!J156,"NULL")</f>
        <v>NULL</v>
      </c>
      <c r="J156" t="str">
        <f t="shared" si="2"/>
        <v>INSERT INTO COTACAO (blt_id, pap_id, cot_prc_comum, cot_prc_min, cot_prc_max, cot_prc_med, cot_prc_mediana) VALUES (4, 39, NULL, NULL, NULL, NULL, NULL);</v>
      </c>
    </row>
    <row r="157" spans="1:10" x14ac:dyDescent="0.3">
      <c r="A157">
        <v>156</v>
      </c>
      <c r="B157">
        <v>4</v>
      </c>
      <c r="C157">
        <v>40</v>
      </c>
      <c r="D157" t="str">
        <f>IF('Boletins Nuppa Site'!F157&lt;&gt;0,'Boletins Nuppa Site'!F157,"NULL")</f>
        <v>NULL</v>
      </c>
      <c r="E157" t="str">
        <f>IF('Boletins Nuppa Site'!G157&lt;&gt;0,'Boletins Nuppa Site'!G157,"NULL")</f>
        <v>NULL</v>
      </c>
      <c r="F157" t="str">
        <f>IF('Boletins Nuppa Site'!H157&lt;&gt;0,'Boletins Nuppa Site'!H157,"NULL")</f>
        <v>NULL</v>
      </c>
      <c r="G157" t="str">
        <f>IF('Boletins Nuppa Site'!I157&lt;&gt;0,'Boletins Nuppa Site'!I157,"NULL")</f>
        <v>NULL</v>
      </c>
      <c r="H157" t="str">
        <f>IF('Boletins Nuppa Site'!J157&lt;&gt;0,'Boletins Nuppa Site'!J157,"NULL")</f>
        <v>NULL</v>
      </c>
      <c r="J157" t="str">
        <f t="shared" si="2"/>
        <v>INSERT INTO COTACAO (blt_id, pap_id, cot_prc_comum, cot_prc_min, cot_prc_max, cot_prc_med, cot_prc_mediana) VALUES (4, 40, NULL, NULL, NULL, NULL, NULL);</v>
      </c>
    </row>
    <row r="158" spans="1:10" x14ac:dyDescent="0.3">
      <c r="A158">
        <v>157</v>
      </c>
      <c r="B158">
        <v>5</v>
      </c>
      <c r="C158">
        <v>1</v>
      </c>
      <c r="D158">
        <f>IF('Boletins Nuppa Site'!F158&lt;&gt;0,'Boletins Nuppa Site'!F158,"NULL")</f>
        <v>42</v>
      </c>
      <c r="E158">
        <f>IF('Boletins Nuppa Site'!G158&lt;&gt;0,'Boletins Nuppa Site'!G158,"NULL")</f>
        <v>42</v>
      </c>
      <c r="F158">
        <f>IF('Boletins Nuppa Site'!H158&lt;&gt;0,'Boletins Nuppa Site'!H158,"NULL")</f>
        <v>42</v>
      </c>
      <c r="G158">
        <f>IF('Boletins Nuppa Site'!I158&lt;&gt;0,'Boletins Nuppa Site'!I158,"NULL")</f>
        <v>42</v>
      </c>
      <c r="H158">
        <f>IF('Boletins Nuppa Site'!J158&lt;&gt;0,'Boletins Nuppa Site'!J158,"NULL")</f>
        <v>42</v>
      </c>
      <c r="J158" t="str">
        <f t="shared" si="2"/>
        <v>INSERT INTO COTACAO (blt_id, pap_id, cot_prc_comum, cot_prc_min, cot_prc_max, cot_prc_med, cot_prc_mediana) VALUES (5, 1, 42, 42, 42, 42, 42);</v>
      </c>
    </row>
    <row r="159" spans="1:10" x14ac:dyDescent="0.3">
      <c r="A159">
        <v>158</v>
      </c>
      <c r="B159">
        <v>5</v>
      </c>
      <c r="C159">
        <v>2</v>
      </c>
      <c r="D159">
        <f>IF('Boletins Nuppa Site'!F159&lt;&gt;0,'Boletins Nuppa Site'!F159,"NULL")</f>
        <v>60</v>
      </c>
      <c r="E159">
        <f>IF('Boletins Nuppa Site'!G159&lt;&gt;0,'Boletins Nuppa Site'!G159,"NULL")</f>
        <v>60</v>
      </c>
      <c r="F159">
        <f>IF('Boletins Nuppa Site'!H159&lt;&gt;0,'Boletins Nuppa Site'!H159,"NULL")</f>
        <v>60</v>
      </c>
      <c r="G159">
        <f>IF('Boletins Nuppa Site'!I159&lt;&gt;0,'Boletins Nuppa Site'!I159,"NULL")</f>
        <v>60</v>
      </c>
      <c r="H159">
        <f>IF('Boletins Nuppa Site'!J159&lt;&gt;0,'Boletins Nuppa Site'!J159,"NULL")</f>
        <v>60</v>
      </c>
      <c r="J159" t="str">
        <f t="shared" si="2"/>
        <v>INSERT INTO COTACAO (blt_id, pap_id, cot_prc_comum, cot_prc_min, cot_prc_max, cot_prc_med, cot_prc_mediana) VALUES (5, 2, 60, 60, 60, 60, 60);</v>
      </c>
    </row>
    <row r="160" spans="1:10" x14ac:dyDescent="0.3">
      <c r="A160">
        <v>159</v>
      </c>
      <c r="B160">
        <v>5</v>
      </c>
      <c r="C160">
        <v>3</v>
      </c>
      <c r="D160">
        <f>IF('Boletins Nuppa Site'!F160&lt;&gt;0,'Boletins Nuppa Site'!F160,"NULL")</f>
        <v>30</v>
      </c>
      <c r="E160">
        <f>IF('Boletins Nuppa Site'!G160&lt;&gt;0,'Boletins Nuppa Site'!G160,"NULL")</f>
        <v>30</v>
      </c>
      <c r="F160">
        <f>IF('Boletins Nuppa Site'!H160&lt;&gt;0,'Boletins Nuppa Site'!H160,"NULL")</f>
        <v>42</v>
      </c>
      <c r="G160" t="str">
        <f>IF('Boletins Nuppa Site'!I160&lt;&gt;0,'Boletins Nuppa Site'!I160,"NULL")</f>
        <v>34.25</v>
      </c>
      <c r="H160" t="str">
        <f>IF('Boletins Nuppa Site'!J160&lt;&gt;0,'Boletins Nuppa Site'!J160,"NULL")</f>
        <v>32.5</v>
      </c>
      <c r="J160" t="str">
        <f t="shared" si="2"/>
        <v>INSERT INTO COTACAO (blt_id, pap_id, cot_prc_comum, cot_prc_min, cot_prc_max, cot_prc_med, cot_prc_mediana) VALUES (5, 3, 30, 30, 42, 34.25, 32.5);</v>
      </c>
    </row>
    <row r="161" spans="1:10" x14ac:dyDescent="0.3">
      <c r="A161">
        <v>160</v>
      </c>
      <c r="B161">
        <v>5</v>
      </c>
      <c r="C161">
        <v>4</v>
      </c>
      <c r="D161">
        <f>IF('Boletins Nuppa Site'!F161&lt;&gt;0,'Boletins Nuppa Site'!F161,"NULL")</f>
        <v>18</v>
      </c>
      <c r="E161">
        <f>IF('Boletins Nuppa Site'!G161&lt;&gt;0,'Boletins Nuppa Site'!G161,"NULL")</f>
        <v>18</v>
      </c>
      <c r="F161">
        <f>IF('Boletins Nuppa Site'!H161&lt;&gt;0,'Boletins Nuppa Site'!H161,"NULL")</f>
        <v>24</v>
      </c>
      <c r="G161">
        <f>IF('Boletins Nuppa Site'!I161&lt;&gt;0,'Boletins Nuppa Site'!I161,"NULL")</f>
        <v>21</v>
      </c>
      <c r="H161">
        <f>IF('Boletins Nuppa Site'!J161&lt;&gt;0,'Boletins Nuppa Site'!J161,"NULL")</f>
        <v>21</v>
      </c>
      <c r="J161" t="str">
        <f t="shared" si="2"/>
        <v>INSERT INTO COTACAO (blt_id, pap_id, cot_prc_comum, cot_prc_min, cot_prc_max, cot_prc_med, cot_prc_mediana) VALUES (5, 4, 18, 18, 24, 21, 21);</v>
      </c>
    </row>
    <row r="162" spans="1:10" x14ac:dyDescent="0.3">
      <c r="A162">
        <v>161</v>
      </c>
      <c r="B162">
        <v>5</v>
      </c>
      <c r="C162">
        <v>5</v>
      </c>
      <c r="D162">
        <f>IF('Boletins Nuppa Site'!F162&lt;&gt;0,'Boletins Nuppa Site'!F162,"NULL")</f>
        <v>18</v>
      </c>
      <c r="E162">
        <f>IF('Boletins Nuppa Site'!G162&lt;&gt;0,'Boletins Nuppa Site'!G162,"NULL")</f>
        <v>18</v>
      </c>
      <c r="F162">
        <f>IF('Boletins Nuppa Site'!H162&lt;&gt;0,'Boletins Nuppa Site'!H162,"NULL")</f>
        <v>24</v>
      </c>
      <c r="G162">
        <f>IF('Boletins Nuppa Site'!I162&lt;&gt;0,'Boletins Nuppa Site'!I162,"NULL")</f>
        <v>21</v>
      </c>
      <c r="H162">
        <f>IF('Boletins Nuppa Site'!J162&lt;&gt;0,'Boletins Nuppa Site'!J162,"NULL")</f>
        <v>21</v>
      </c>
      <c r="J162" t="str">
        <f t="shared" si="2"/>
        <v>INSERT INTO COTACAO (blt_id, pap_id, cot_prc_comum, cot_prc_min, cot_prc_max, cot_prc_med, cot_prc_mediana) VALUES (5, 5, 18, 18, 24, 21, 21);</v>
      </c>
    </row>
    <row r="163" spans="1:10" x14ac:dyDescent="0.3">
      <c r="A163">
        <v>162</v>
      </c>
      <c r="B163">
        <v>5</v>
      </c>
      <c r="C163">
        <v>6</v>
      </c>
      <c r="D163">
        <f>IF('Boletins Nuppa Site'!F163&lt;&gt;0,'Boletins Nuppa Site'!F163,"NULL")</f>
        <v>42</v>
      </c>
      <c r="E163">
        <f>IF('Boletins Nuppa Site'!G163&lt;&gt;0,'Boletins Nuppa Site'!G163,"NULL")</f>
        <v>42</v>
      </c>
      <c r="F163">
        <f>IF('Boletins Nuppa Site'!H163&lt;&gt;0,'Boletins Nuppa Site'!H163,"NULL")</f>
        <v>48</v>
      </c>
      <c r="G163">
        <f>IF('Boletins Nuppa Site'!I163&lt;&gt;0,'Boletins Nuppa Site'!I163,"NULL")</f>
        <v>44</v>
      </c>
      <c r="H163">
        <f>IF('Boletins Nuppa Site'!J163&lt;&gt;0,'Boletins Nuppa Site'!J163,"NULL")</f>
        <v>42</v>
      </c>
      <c r="J163" t="str">
        <f t="shared" si="2"/>
        <v>INSERT INTO COTACAO (blt_id, pap_id, cot_prc_comum, cot_prc_min, cot_prc_max, cot_prc_med, cot_prc_mediana) VALUES (5, 6, 42, 42, 48, 44, 42);</v>
      </c>
    </row>
    <row r="164" spans="1:10" x14ac:dyDescent="0.3">
      <c r="A164">
        <v>163</v>
      </c>
      <c r="B164">
        <v>5</v>
      </c>
      <c r="C164">
        <v>7</v>
      </c>
      <c r="D164" t="str">
        <f>IF('Boletins Nuppa Site'!F164&lt;&gt;0,'Boletins Nuppa Site'!F164,"NULL")</f>
        <v>NULL</v>
      </c>
      <c r="E164">
        <f>IF('Boletins Nuppa Site'!G164&lt;&gt;0,'Boletins Nuppa Site'!G164,"NULL")</f>
        <v>72</v>
      </c>
      <c r="F164">
        <f>IF('Boletins Nuppa Site'!H164&lt;&gt;0,'Boletins Nuppa Site'!H164,"NULL")</f>
        <v>78</v>
      </c>
      <c r="G164">
        <f>IF('Boletins Nuppa Site'!I164&lt;&gt;0,'Boletins Nuppa Site'!I164,"NULL")</f>
        <v>75</v>
      </c>
      <c r="H164">
        <f>IF('Boletins Nuppa Site'!J164&lt;&gt;0,'Boletins Nuppa Site'!J164,"NULL")</f>
        <v>75</v>
      </c>
      <c r="J164" t="str">
        <f t="shared" si="2"/>
        <v>INSERT INTO COTACAO (blt_id, pap_id, cot_prc_comum, cot_prc_min, cot_prc_max, cot_prc_med, cot_prc_mediana) VALUES (5, 7, NULL, 72, 78, 75, 75);</v>
      </c>
    </row>
    <row r="165" spans="1:10" x14ac:dyDescent="0.3">
      <c r="A165">
        <v>164</v>
      </c>
      <c r="B165">
        <v>5</v>
      </c>
      <c r="C165">
        <v>8</v>
      </c>
      <c r="D165" t="str">
        <f>IF('Boletins Nuppa Site'!F165&lt;&gt;0,'Boletins Nuppa Site'!F165,"NULL")</f>
        <v>NULL</v>
      </c>
      <c r="E165">
        <f>IF('Boletins Nuppa Site'!G165&lt;&gt;0,'Boletins Nuppa Site'!G165,"NULL")</f>
        <v>48</v>
      </c>
      <c r="F165">
        <f>IF('Boletins Nuppa Site'!H165&lt;&gt;0,'Boletins Nuppa Site'!H165,"NULL")</f>
        <v>60</v>
      </c>
      <c r="G165">
        <f>IF('Boletins Nuppa Site'!I165&lt;&gt;0,'Boletins Nuppa Site'!I165,"NULL")</f>
        <v>54</v>
      </c>
      <c r="H165">
        <f>IF('Boletins Nuppa Site'!J165&lt;&gt;0,'Boletins Nuppa Site'!J165,"NULL")</f>
        <v>54</v>
      </c>
      <c r="J165" t="str">
        <f t="shared" si="2"/>
        <v>INSERT INTO COTACAO (blt_id, pap_id, cot_prc_comum, cot_prc_min, cot_prc_max, cot_prc_med, cot_prc_mediana) VALUES (5, 8, NULL, 48, 60, 54, 54);</v>
      </c>
    </row>
    <row r="166" spans="1:10" x14ac:dyDescent="0.3">
      <c r="A166">
        <v>165</v>
      </c>
      <c r="B166">
        <v>5</v>
      </c>
      <c r="C166">
        <v>9</v>
      </c>
      <c r="D166" t="str">
        <f>IF('Boletins Nuppa Site'!F166&lt;&gt;0,'Boletins Nuppa Site'!F166,"NULL")</f>
        <v>NULL</v>
      </c>
      <c r="E166">
        <f>IF('Boletins Nuppa Site'!G166&lt;&gt;0,'Boletins Nuppa Site'!G166,"NULL")</f>
        <v>18</v>
      </c>
      <c r="F166">
        <f>IF('Boletins Nuppa Site'!H166&lt;&gt;0,'Boletins Nuppa Site'!H166,"NULL")</f>
        <v>24</v>
      </c>
      <c r="G166" t="str">
        <f>IF('Boletins Nuppa Site'!I166&lt;&gt;0,'Boletins Nuppa Site'!I166,"NULL")</f>
        <v>20.67</v>
      </c>
      <c r="H166">
        <f>IF('Boletins Nuppa Site'!J166&lt;&gt;0,'Boletins Nuppa Site'!J166,"NULL")</f>
        <v>20</v>
      </c>
      <c r="J166" t="str">
        <f t="shared" si="2"/>
        <v>INSERT INTO COTACAO (blt_id, pap_id, cot_prc_comum, cot_prc_min, cot_prc_max, cot_prc_med, cot_prc_mediana) VALUES (5, 9, NULL, 18, 24, 20.67, 20);</v>
      </c>
    </row>
    <row r="167" spans="1:10" x14ac:dyDescent="0.3">
      <c r="A167">
        <v>166</v>
      </c>
      <c r="B167">
        <v>5</v>
      </c>
      <c r="C167">
        <v>10</v>
      </c>
      <c r="D167" t="str">
        <f>IF('Boletins Nuppa Site'!F167&lt;&gt;0,'Boletins Nuppa Site'!F167,"NULL")</f>
        <v>NULL</v>
      </c>
      <c r="E167">
        <f>IF('Boletins Nuppa Site'!G167&lt;&gt;0,'Boletins Nuppa Site'!G167,"NULL")</f>
        <v>80</v>
      </c>
      <c r="F167">
        <f>IF('Boletins Nuppa Site'!H167&lt;&gt;0,'Boletins Nuppa Site'!H167,"NULL")</f>
        <v>80</v>
      </c>
      <c r="G167">
        <f>IF('Boletins Nuppa Site'!I167&lt;&gt;0,'Boletins Nuppa Site'!I167,"NULL")</f>
        <v>80</v>
      </c>
      <c r="H167">
        <f>IF('Boletins Nuppa Site'!J167&lt;&gt;0,'Boletins Nuppa Site'!J167,"NULL")</f>
        <v>80</v>
      </c>
      <c r="J167" t="str">
        <f t="shared" si="2"/>
        <v>INSERT INTO COTACAO (blt_id, pap_id, cot_prc_comum, cot_prc_min, cot_prc_max, cot_prc_med, cot_prc_mediana) VALUES (5, 10, NULL, 80, 80, 80, 80);</v>
      </c>
    </row>
    <row r="168" spans="1:10" x14ac:dyDescent="0.3">
      <c r="A168">
        <v>167</v>
      </c>
      <c r="B168">
        <v>5</v>
      </c>
      <c r="C168">
        <v>11</v>
      </c>
      <c r="D168">
        <f>IF('Boletins Nuppa Site'!F168&lt;&gt;0,'Boletins Nuppa Site'!F168,"NULL")</f>
        <v>18</v>
      </c>
      <c r="E168">
        <f>IF('Boletins Nuppa Site'!G168&lt;&gt;0,'Boletins Nuppa Site'!G168,"NULL")</f>
        <v>18</v>
      </c>
      <c r="F168">
        <f>IF('Boletins Nuppa Site'!H168&lt;&gt;0,'Boletins Nuppa Site'!H168,"NULL")</f>
        <v>24</v>
      </c>
      <c r="G168">
        <f>IF('Boletins Nuppa Site'!I168&lt;&gt;0,'Boletins Nuppa Site'!I168,"NULL")</f>
        <v>21</v>
      </c>
      <c r="H168">
        <f>IF('Boletins Nuppa Site'!J168&lt;&gt;0,'Boletins Nuppa Site'!J168,"NULL")</f>
        <v>21</v>
      </c>
      <c r="J168" t="str">
        <f t="shared" si="2"/>
        <v>INSERT INTO COTACAO (blt_id, pap_id, cot_prc_comum, cot_prc_min, cot_prc_max, cot_prc_med, cot_prc_mediana) VALUES (5, 11, 18, 18, 24, 21, 21);</v>
      </c>
    </row>
    <row r="169" spans="1:10" x14ac:dyDescent="0.3">
      <c r="A169">
        <v>168</v>
      </c>
      <c r="B169">
        <v>5</v>
      </c>
      <c r="C169">
        <v>12</v>
      </c>
      <c r="D169" t="str">
        <f>IF('Boletins Nuppa Site'!F169&lt;&gt;0,'Boletins Nuppa Site'!F169,"NULL")</f>
        <v>NULL</v>
      </c>
      <c r="E169">
        <f>IF('Boletins Nuppa Site'!G169&lt;&gt;0,'Boletins Nuppa Site'!G169,"NULL")</f>
        <v>36</v>
      </c>
      <c r="F169">
        <f>IF('Boletins Nuppa Site'!H169&lt;&gt;0,'Boletins Nuppa Site'!H169,"NULL")</f>
        <v>60</v>
      </c>
      <c r="G169">
        <f>IF('Boletins Nuppa Site'!I169&lt;&gt;0,'Boletins Nuppa Site'!I169,"NULL")</f>
        <v>48</v>
      </c>
      <c r="H169">
        <f>IF('Boletins Nuppa Site'!J169&lt;&gt;0,'Boletins Nuppa Site'!J169,"NULL")</f>
        <v>48</v>
      </c>
      <c r="J169" t="str">
        <f t="shared" si="2"/>
        <v>INSERT INTO COTACAO (blt_id, pap_id, cot_prc_comum, cot_prc_min, cot_prc_max, cot_prc_med, cot_prc_mediana) VALUES (5, 12, NULL, 36, 60, 48, 48);</v>
      </c>
    </row>
    <row r="170" spans="1:10" x14ac:dyDescent="0.3">
      <c r="A170">
        <v>169</v>
      </c>
      <c r="B170">
        <v>5</v>
      </c>
      <c r="C170">
        <v>13</v>
      </c>
      <c r="D170" t="str">
        <f>IF('Boletins Nuppa Site'!F170&lt;&gt;0,'Boletins Nuppa Site'!F170,"NULL")</f>
        <v>NULL</v>
      </c>
      <c r="E170">
        <f>IF('Boletins Nuppa Site'!G170&lt;&gt;0,'Boletins Nuppa Site'!G170,"NULL")</f>
        <v>36</v>
      </c>
      <c r="F170">
        <f>IF('Boletins Nuppa Site'!H170&lt;&gt;0,'Boletins Nuppa Site'!H170,"NULL")</f>
        <v>54</v>
      </c>
      <c r="G170">
        <f>IF('Boletins Nuppa Site'!I170&lt;&gt;0,'Boletins Nuppa Site'!I170,"NULL")</f>
        <v>46</v>
      </c>
      <c r="H170">
        <f>IF('Boletins Nuppa Site'!J170&lt;&gt;0,'Boletins Nuppa Site'!J170,"NULL")</f>
        <v>48</v>
      </c>
      <c r="J170" t="str">
        <f t="shared" si="2"/>
        <v>INSERT INTO COTACAO (blt_id, pap_id, cot_prc_comum, cot_prc_min, cot_prc_max, cot_prc_med, cot_prc_mediana) VALUES (5, 13, NULL, 36, 54, 46, 48);</v>
      </c>
    </row>
    <row r="171" spans="1:10" x14ac:dyDescent="0.3">
      <c r="A171">
        <v>170</v>
      </c>
      <c r="B171">
        <v>5</v>
      </c>
      <c r="C171">
        <v>14</v>
      </c>
      <c r="D171" t="str">
        <f>IF('Boletins Nuppa Site'!F171&lt;&gt;0,'Boletins Nuppa Site'!F171,"NULL")</f>
        <v>NULL</v>
      </c>
      <c r="E171">
        <f>IF('Boletins Nuppa Site'!G171&lt;&gt;0,'Boletins Nuppa Site'!G171,"NULL")</f>
        <v>40</v>
      </c>
      <c r="F171">
        <f>IF('Boletins Nuppa Site'!H171&lt;&gt;0,'Boletins Nuppa Site'!H171,"NULL")</f>
        <v>40</v>
      </c>
      <c r="G171">
        <f>IF('Boletins Nuppa Site'!I171&lt;&gt;0,'Boletins Nuppa Site'!I171,"NULL")</f>
        <v>40</v>
      </c>
      <c r="H171">
        <f>IF('Boletins Nuppa Site'!J171&lt;&gt;0,'Boletins Nuppa Site'!J171,"NULL")</f>
        <v>40</v>
      </c>
      <c r="J171" t="str">
        <f t="shared" si="2"/>
        <v>INSERT INTO COTACAO (blt_id, pap_id, cot_prc_comum, cot_prc_min, cot_prc_max, cot_prc_med, cot_prc_mediana) VALUES (5, 14, NULL, 40, 40, 40, 40);</v>
      </c>
    </row>
    <row r="172" spans="1:10" x14ac:dyDescent="0.3">
      <c r="A172">
        <v>171</v>
      </c>
      <c r="B172">
        <v>5</v>
      </c>
      <c r="C172">
        <v>15</v>
      </c>
      <c r="D172" t="str">
        <f>IF('Boletins Nuppa Site'!F172&lt;&gt;0,'Boletins Nuppa Site'!F172,"NULL")</f>
        <v>NULL</v>
      </c>
      <c r="E172">
        <f>IF('Boletins Nuppa Site'!G172&lt;&gt;0,'Boletins Nuppa Site'!G172,"NULL")</f>
        <v>25</v>
      </c>
      <c r="F172">
        <f>IF('Boletins Nuppa Site'!H172&lt;&gt;0,'Boletins Nuppa Site'!H172,"NULL")</f>
        <v>40</v>
      </c>
      <c r="G172" t="str">
        <f>IF('Boletins Nuppa Site'!I172&lt;&gt;0,'Boletins Nuppa Site'!I172,"NULL")</f>
        <v>31.67</v>
      </c>
      <c r="H172">
        <f>IF('Boletins Nuppa Site'!J172&lt;&gt;0,'Boletins Nuppa Site'!J172,"NULL")</f>
        <v>30</v>
      </c>
      <c r="J172" t="str">
        <f t="shared" si="2"/>
        <v>INSERT INTO COTACAO (blt_id, pap_id, cot_prc_comum, cot_prc_min, cot_prc_max, cot_prc_med, cot_prc_mediana) VALUES (5, 15, NULL, 25, 40, 31.67, 30);</v>
      </c>
    </row>
    <row r="173" spans="1:10" x14ac:dyDescent="0.3">
      <c r="A173">
        <v>172</v>
      </c>
      <c r="B173">
        <v>5</v>
      </c>
      <c r="C173">
        <v>16</v>
      </c>
      <c r="D173">
        <f>IF('Boletins Nuppa Site'!F173&lt;&gt;0,'Boletins Nuppa Site'!F173,"NULL")</f>
        <v>36</v>
      </c>
      <c r="E173">
        <f>IF('Boletins Nuppa Site'!G173&lt;&gt;0,'Boletins Nuppa Site'!G173,"NULL")</f>
        <v>36</v>
      </c>
      <c r="F173">
        <f>IF('Boletins Nuppa Site'!H173&lt;&gt;0,'Boletins Nuppa Site'!H173,"NULL")</f>
        <v>42</v>
      </c>
      <c r="G173">
        <f>IF('Boletins Nuppa Site'!I173&lt;&gt;0,'Boletins Nuppa Site'!I173,"NULL")</f>
        <v>39</v>
      </c>
      <c r="H173">
        <f>IF('Boletins Nuppa Site'!J173&lt;&gt;0,'Boletins Nuppa Site'!J173,"NULL")</f>
        <v>39</v>
      </c>
      <c r="J173" t="str">
        <f t="shared" si="2"/>
        <v>INSERT INTO COTACAO (blt_id, pap_id, cot_prc_comum, cot_prc_min, cot_prc_max, cot_prc_med, cot_prc_mediana) VALUES (5, 16, 36, 36, 42, 39, 39);</v>
      </c>
    </row>
    <row r="174" spans="1:10" x14ac:dyDescent="0.3">
      <c r="A174">
        <v>173</v>
      </c>
      <c r="B174">
        <v>5</v>
      </c>
      <c r="C174">
        <v>17</v>
      </c>
      <c r="D174" t="str">
        <f>IF('Boletins Nuppa Site'!F174&lt;&gt;0,'Boletins Nuppa Site'!F174,"NULL")</f>
        <v>NULL</v>
      </c>
      <c r="E174" t="str">
        <f>IF('Boletins Nuppa Site'!G174&lt;&gt;0,'Boletins Nuppa Site'!G174,"NULL")</f>
        <v>3.5</v>
      </c>
      <c r="F174">
        <f>IF('Boletins Nuppa Site'!H174&lt;&gt;0,'Boletins Nuppa Site'!H174,"NULL")</f>
        <v>5</v>
      </c>
      <c r="G174" t="str">
        <f>IF('Boletins Nuppa Site'!I174&lt;&gt;0,'Boletins Nuppa Site'!I174,"NULL")</f>
        <v>4.17</v>
      </c>
      <c r="H174">
        <f>IF('Boletins Nuppa Site'!J174&lt;&gt;0,'Boletins Nuppa Site'!J174,"NULL")</f>
        <v>4</v>
      </c>
      <c r="J174" t="str">
        <f t="shared" si="2"/>
        <v>INSERT INTO COTACAO (blt_id, pap_id, cot_prc_comum, cot_prc_min, cot_prc_max, cot_prc_med, cot_prc_mediana) VALUES (5, 17, NULL, 3.5, 5, 4.17, 4);</v>
      </c>
    </row>
    <row r="175" spans="1:10" x14ac:dyDescent="0.3">
      <c r="A175">
        <v>174</v>
      </c>
      <c r="B175">
        <v>5</v>
      </c>
      <c r="C175">
        <v>18</v>
      </c>
      <c r="D175">
        <f>IF('Boletins Nuppa Site'!F175&lt;&gt;0,'Boletins Nuppa Site'!F175,"NULL")</f>
        <v>20</v>
      </c>
      <c r="E175">
        <f>IF('Boletins Nuppa Site'!G175&lt;&gt;0,'Boletins Nuppa Site'!G175,"NULL")</f>
        <v>20</v>
      </c>
      <c r="F175">
        <f>IF('Boletins Nuppa Site'!H175&lt;&gt;0,'Boletins Nuppa Site'!H175,"NULL")</f>
        <v>22</v>
      </c>
      <c r="G175" t="str">
        <f>IF('Boletins Nuppa Site'!I175&lt;&gt;0,'Boletins Nuppa Site'!I175,"NULL")</f>
        <v>20.67</v>
      </c>
      <c r="H175">
        <f>IF('Boletins Nuppa Site'!J175&lt;&gt;0,'Boletins Nuppa Site'!J175,"NULL")</f>
        <v>20</v>
      </c>
      <c r="J175" t="str">
        <f t="shared" si="2"/>
        <v>INSERT INTO COTACAO (blt_id, pap_id, cot_prc_comum, cot_prc_min, cot_prc_max, cot_prc_med, cot_prc_mediana) VALUES (5, 18, 20, 20, 22, 20.67, 20);</v>
      </c>
    </row>
    <row r="176" spans="1:10" x14ac:dyDescent="0.3">
      <c r="A176">
        <v>175</v>
      </c>
      <c r="B176">
        <v>5</v>
      </c>
      <c r="C176">
        <v>19</v>
      </c>
      <c r="D176">
        <f>IF('Boletins Nuppa Site'!F176&lt;&gt;0,'Boletins Nuppa Site'!F176,"NULL")</f>
        <v>20</v>
      </c>
      <c r="E176">
        <f>IF('Boletins Nuppa Site'!G176&lt;&gt;0,'Boletins Nuppa Site'!G176,"NULL")</f>
        <v>20</v>
      </c>
      <c r="F176">
        <f>IF('Boletins Nuppa Site'!H176&lt;&gt;0,'Boletins Nuppa Site'!H176,"NULL")</f>
        <v>30</v>
      </c>
      <c r="G176" t="str">
        <f>IF('Boletins Nuppa Site'!I176&lt;&gt;0,'Boletins Nuppa Site'!I176,"NULL")</f>
        <v>23.33</v>
      </c>
      <c r="H176">
        <f>IF('Boletins Nuppa Site'!J176&lt;&gt;0,'Boletins Nuppa Site'!J176,"NULL")</f>
        <v>20</v>
      </c>
      <c r="J176" t="str">
        <f t="shared" si="2"/>
        <v>INSERT INTO COTACAO (blt_id, pap_id, cot_prc_comum, cot_prc_min, cot_prc_max, cot_prc_med, cot_prc_mediana) VALUES (5, 19, 20, 20, 30, 23.33, 20);</v>
      </c>
    </row>
    <row r="177" spans="1:10" x14ac:dyDescent="0.3">
      <c r="A177">
        <v>176</v>
      </c>
      <c r="B177">
        <v>5</v>
      </c>
      <c r="C177">
        <v>21</v>
      </c>
      <c r="D177">
        <f>IF('Boletins Nuppa Site'!F177&lt;&gt;0,'Boletins Nuppa Site'!F177,"NULL")</f>
        <v>35</v>
      </c>
      <c r="E177">
        <f>IF('Boletins Nuppa Site'!G177&lt;&gt;0,'Boletins Nuppa Site'!G177,"NULL")</f>
        <v>35</v>
      </c>
      <c r="F177">
        <f>IF('Boletins Nuppa Site'!H177&lt;&gt;0,'Boletins Nuppa Site'!H177,"NULL")</f>
        <v>65</v>
      </c>
      <c r="G177" t="str">
        <f>IF('Boletins Nuppa Site'!I177&lt;&gt;0,'Boletins Nuppa Site'!I177,"NULL")</f>
        <v>50.71</v>
      </c>
      <c r="H177">
        <f>IF('Boletins Nuppa Site'!J177&lt;&gt;0,'Boletins Nuppa Site'!J177,"NULL")</f>
        <v>50</v>
      </c>
      <c r="J177" t="str">
        <f t="shared" si="2"/>
        <v>INSERT INTO COTACAO (blt_id, pap_id, cot_prc_comum, cot_prc_min, cot_prc_max, cot_prc_med, cot_prc_mediana) VALUES (5, 21, 35, 35, 65, 50.71, 50);</v>
      </c>
    </row>
    <row r="178" spans="1:10" x14ac:dyDescent="0.3">
      <c r="A178">
        <v>177</v>
      </c>
      <c r="B178">
        <v>5</v>
      </c>
      <c r="C178">
        <v>22</v>
      </c>
      <c r="D178">
        <f>IF('Boletins Nuppa Site'!F178&lt;&gt;0,'Boletins Nuppa Site'!F178,"NULL")</f>
        <v>35</v>
      </c>
      <c r="E178">
        <f>IF('Boletins Nuppa Site'!G178&lt;&gt;0,'Boletins Nuppa Site'!G178,"NULL")</f>
        <v>35</v>
      </c>
      <c r="F178">
        <f>IF('Boletins Nuppa Site'!H178&lt;&gt;0,'Boletins Nuppa Site'!H178,"NULL")</f>
        <v>65</v>
      </c>
      <c r="G178" t="str">
        <f>IF('Boletins Nuppa Site'!I178&lt;&gt;0,'Boletins Nuppa Site'!I178,"NULL")</f>
        <v>49.29</v>
      </c>
      <c r="H178">
        <f>IF('Boletins Nuppa Site'!J178&lt;&gt;0,'Boletins Nuppa Site'!J178,"NULL")</f>
        <v>55</v>
      </c>
      <c r="J178" t="str">
        <f t="shared" si="2"/>
        <v>INSERT INTO COTACAO (blt_id, pap_id, cot_prc_comum, cot_prc_min, cot_prc_max, cot_prc_med, cot_prc_mediana) VALUES (5, 22, 35, 35, 65, 49.29, 55);</v>
      </c>
    </row>
    <row r="179" spans="1:10" x14ac:dyDescent="0.3">
      <c r="A179">
        <v>178</v>
      </c>
      <c r="B179">
        <v>5</v>
      </c>
      <c r="C179">
        <v>23</v>
      </c>
      <c r="D179">
        <f>IF('Boletins Nuppa Site'!F179&lt;&gt;0,'Boletins Nuppa Site'!F179,"NULL")</f>
        <v>35</v>
      </c>
      <c r="E179">
        <f>IF('Boletins Nuppa Site'!G179&lt;&gt;0,'Boletins Nuppa Site'!G179,"NULL")</f>
        <v>30</v>
      </c>
      <c r="F179">
        <f>IF('Boletins Nuppa Site'!H179&lt;&gt;0,'Boletins Nuppa Site'!H179,"NULL")</f>
        <v>50</v>
      </c>
      <c r="G179" t="str">
        <f>IF('Boletins Nuppa Site'!I179&lt;&gt;0,'Boletins Nuppa Site'!I179,"NULL")</f>
        <v>37.86</v>
      </c>
      <c r="H179">
        <f>IF('Boletins Nuppa Site'!J179&lt;&gt;0,'Boletins Nuppa Site'!J179,"NULL")</f>
        <v>35</v>
      </c>
      <c r="J179" t="str">
        <f t="shared" si="2"/>
        <v>INSERT INTO COTACAO (blt_id, pap_id, cot_prc_comum, cot_prc_min, cot_prc_max, cot_prc_med, cot_prc_mediana) VALUES (5, 23, 35, 30, 50, 37.86, 35);</v>
      </c>
    </row>
    <row r="180" spans="1:10" x14ac:dyDescent="0.3">
      <c r="A180">
        <v>179</v>
      </c>
      <c r="B180">
        <v>5</v>
      </c>
      <c r="C180">
        <v>24</v>
      </c>
      <c r="D180">
        <f>IF('Boletins Nuppa Site'!F180&lt;&gt;0,'Boletins Nuppa Site'!F180,"NULL")</f>
        <v>100</v>
      </c>
      <c r="E180">
        <f>IF('Boletins Nuppa Site'!G180&lt;&gt;0,'Boletins Nuppa Site'!G180,"NULL")</f>
        <v>100</v>
      </c>
      <c r="F180">
        <f>IF('Boletins Nuppa Site'!H180&lt;&gt;0,'Boletins Nuppa Site'!H180,"NULL")</f>
        <v>110</v>
      </c>
      <c r="G180" t="str">
        <f>IF('Boletins Nuppa Site'!I180&lt;&gt;0,'Boletins Nuppa Site'!I180,"NULL")</f>
        <v>103.33</v>
      </c>
      <c r="H180">
        <f>IF('Boletins Nuppa Site'!J180&lt;&gt;0,'Boletins Nuppa Site'!J180,"NULL")</f>
        <v>100</v>
      </c>
      <c r="J180" t="str">
        <f t="shared" si="2"/>
        <v>INSERT INTO COTACAO (blt_id, pap_id, cot_prc_comum, cot_prc_min, cot_prc_max, cot_prc_med, cot_prc_mediana) VALUES (5, 24, 100, 100, 110, 103.33, 100);</v>
      </c>
    </row>
    <row r="181" spans="1:10" x14ac:dyDescent="0.3">
      <c r="A181">
        <v>180</v>
      </c>
      <c r="B181">
        <v>5</v>
      </c>
      <c r="C181">
        <v>25</v>
      </c>
      <c r="D181">
        <f>IF('Boletins Nuppa Site'!F181&lt;&gt;0,'Boletins Nuppa Site'!F181,"NULL")</f>
        <v>50</v>
      </c>
      <c r="E181">
        <f>IF('Boletins Nuppa Site'!G181&lt;&gt;0,'Boletins Nuppa Site'!G181,"NULL")</f>
        <v>40</v>
      </c>
      <c r="F181">
        <f>IF('Boletins Nuppa Site'!H181&lt;&gt;0,'Boletins Nuppa Site'!H181,"NULL")</f>
        <v>55</v>
      </c>
      <c r="G181" t="str">
        <f>IF('Boletins Nuppa Site'!I181&lt;&gt;0,'Boletins Nuppa Site'!I181,"NULL")</f>
        <v>49.17</v>
      </c>
      <c r="H181">
        <f>IF('Boletins Nuppa Site'!J181&lt;&gt;0,'Boletins Nuppa Site'!J181,"NULL")</f>
        <v>50</v>
      </c>
      <c r="J181" t="str">
        <f t="shared" si="2"/>
        <v>INSERT INTO COTACAO (blt_id, pap_id, cot_prc_comum, cot_prc_min, cot_prc_max, cot_prc_med, cot_prc_mediana) VALUES (5, 25, 50, 40, 55, 49.17, 50);</v>
      </c>
    </row>
    <row r="182" spans="1:10" x14ac:dyDescent="0.3">
      <c r="A182">
        <v>181</v>
      </c>
      <c r="B182">
        <v>5</v>
      </c>
      <c r="C182">
        <v>26</v>
      </c>
      <c r="D182">
        <f>IF('Boletins Nuppa Site'!F182&lt;&gt;0,'Boletins Nuppa Site'!F182,"NULL")</f>
        <v>70</v>
      </c>
      <c r="E182">
        <f>IF('Boletins Nuppa Site'!G182&lt;&gt;0,'Boletins Nuppa Site'!G182,"NULL")</f>
        <v>60</v>
      </c>
      <c r="F182">
        <f>IF('Boletins Nuppa Site'!H182&lt;&gt;0,'Boletins Nuppa Site'!H182,"NULL")</f>
        <v>70</v>
      </c>
      <c r="G182" t="str">
        <f>IF('Boletins Nuppa Site'!I182&lt;&gt;0,'Boletins Nuppa Site'!I182,"NULL")</f>
        <v>66.67</v>
      </c>
      <c r="H182" t="str">
        <f>IF('Boletins Nuppa Site'!J182&lt;&gt;0,'Boletins Nuppa Site'!J182,"NULL")</f>
        <v>67.5</v>
      </c>
      <c r="J182" t="str">
        <f t="shared" si="2"/>
        <v>INSERT INTO COTACAO (blt_id, pap_id, cot_prc_comum, cot_prc_min, cot_prc_max, cot_prc_med, cot_prc_mediana) VALUES (5, 26, 70, 60, 70, 66.67, 67.5);</v>
      </c>
    </row>
    <row r="183" spans="1:10" x14ac:dyDescent="0.3">
      <c r="A183">
        <v>182</v>
      </c>
      <c r="B183">
        <v>5</v>
      </c>
      <c r="C183">
        <v>27</v>
      </c>
      <c r="D183">
        <f>IF('Boletins Nuppa Site'!F183&lt;&gt;0,'Boletins Nuppa Site'!F183,"NULL")</f>
        <v>70</v>
      </c>
      <c r="E183">
        <f>IF('Boletins Nuppa Site'!G183&lt;&gt;0,'Boletins Nuppa Site'!G183,"NULL")</f>
        <v>70</v>
      </c>
      <c r="F183">
        <f>IF('Boletins Nuppa Site'!H183&lt;&gt;0,'Boletins Nuppa Site'!H183,"NULL")</f>
        <v>75</v>
      </c>
      <c r="G183" t="str">
        <f>IF('Boletins Nuppa Site'!I183&lt;&gt;0,'Boletins Nuppa Site'!I183,"NULL")</f>
        <v>70.83</v>
      </c>
      <c r="H183">
        <f>IF('Boletins Nuppa Site'!J183&lt;&gt;0,'Boletins Nuppa Site'!J183,"NULL")</f>
        <v>70</v>
      </c>
      <c r="J183" t="str">
        <f t="shared" si="2"/>
        <v>INSERT INTO COTACAO (blt_id, pap_id, cot_prc_comum, cot_prc_min, cot_prc_max, cot_prc_med, cot_prc_mediana) VALUES (5, 27, 70, 70, 75, 70.83, 70);</v>
      </c>
    </row>
    <row r="184" spans="1:10" x14ac:dyDescent="0.3">
      <c r="A184">
        <v>183</v>
      </c>
      <c r="B184">
        <v>5</v>
      </c>
      <c r="C184">
        <v>28</v>
      </c>
      <c r="D184">
        <f>IF('Boletins Nuppa Site'!F184&lt;&gt;0,'Boletins Nuppa Site'!F184,"NULL")</f>
        <v>70</v>
      </c>
      <c r="E184">
        <f>IF('Boletins Nuppa Site'!G184&lt;&gt;0,'Boletins Nuppa Site'!G184,"NULL")</f>
        <v>60</v>
      </c>
      <c r="F184">
        <f>IF('Boletins Nuppa Site'!H184&lt;&gt;0,'Boletins Nuppa Site'!H184,"NULL")</f>
        <v>80</v>
      </c>
      <c r="G184">
        <f>IF('Boletins Nuppa Site'!I184&lt;&gt;0,'Boletins Nuppa Site'!I184,"NULL")</f>
        <v>70</v>
      </c>
      <c r="H184">
        <f>IF('Boletins Nuppa Site'!J184&lt;&gt;0,'Boletins Nuppa Site'!J184,"NULL")</f>
        <v>70</v>
      </c>
      <c r="J184" t="str">
        <f t="shared" si="2"/>
        <v>INSERT INTO COTACAO (blt_id, pap_id, cot_prc_comum, cot_prc_min, cot_prc_max, cot_prc_med, cot_prc_mediana) VALUES (5, 28, 70, 60, 80, 70, 70);</v>
      </c>
    </row>
    <row r="185" spans="1:10" x14ac:dyDescent="0.3">
      <c r="A185">
        <v>184</v>
      </c>
      <c r="B185">
        <v>5</v>
      </c>
      <c r="C185">
        <v>29</v>
      </c>
      <c r="D185" t="str">
        <f>IF('Boletins Nuppa Site'!F185&lt;&gt;0,'Boletins Nuppa Site'!F185,"NULL")</f>
        <v>NULL</v>
      </c>
      <c r="E185">
        <f>IF('Boletins Nuppa Site'!G185&lt;&gt;0,'Boletins Nuppa Site'!G185,"NULL")</f>
        <v>60</v>
      </c>
      <c r="F185">
        <f>IF('Boletins Nuppa Site'!H185&lt;&gt;0,'Boletins Nuppa Site'!H185,"NULL")</f>
        <v>60</v>
      </c>
      <c r="G185">
        <f>IF('Boletins Nuppa Site'!I185&lt;&gt;0,'Boletins Nuppa Site'!I185,"NULL")</f>
        <v>60</v>
      </c>
      <c r="H185">
        <f>IF('Boletins Nuppa Site'!J185&lt;&gt;0,'Boletins Nuppa Site'!J185,"NULL")</f>
        <v>60</v>
      </c>
      <c r="J185" t="str">
        <f t="shared" si="2"/>
        <v>INSERT INTO COTACAO (blt_id, pap_id, cot_prc_comum, cot_prc_min, cot_prc_max, cot_prc_med, cot_prc_mediana) VALUES (5, 29, NULL, 60, 60, 60, 60);</v>
      </c>
    </row>
    <row r="186" spans="1:10" x14ac:dyDescent="0.3">
      <c r="A186">
        <v>185</v>
      </c>
      <c r="B186">
        <v>5</v>
      </c>
      <c r="C186">
        <v>30</v>
      </c>
      <c r="D186">
        <f>IF('Boletins Nuppa Site'!F186&lt;&gt;0,'Boletins Nuppa Site'!F186,"NULL")</f>
        <v>50</v>
      </c>
      <c r="E186">
        <f>IF('Boletins Nuppa Site'!G186&lt;&gt;0,'Boletins Nuppa Site'!G186,"NULL")</f>
        <v>40</v>
      </c>
      <c r="F186">
        <f>IF('Boletins Nuppa Site'!H186&lt;&gt;0,'Boletins Nuppa Site'!H186,"NULL")</f>
        <v>50</v>
      </c>
      <c r="G186" t="str">
        <f>IF('Boletins Nuppa Site'!I186&lt;&gt;0,'Boletins Nuppa Site'!I186,"NULL")</f>
        <v>47.5</v>
      </c>
      <c r="H186">
        <f>IF('Boletins Nuppa Site'!J186&lt;&gt;0,'Boletins Nuppa Site'!J186,"NULL")</f>
        <v>50</v>
      </c>
      <c r="J186" t="str">
        <f t="shared" si="2"/>
        <v>INSERT INTO COTACAO (blt_id, pap_id, cot_prc_comum, cot_prc_min, cot_prc_max, cot_prc_med, cot_prc_mediana) VALUES (5, 30, 50, 40, 50, 47.5, 50);</v>
      </c>
    </row>
    <row r="187" spans="1:10" x14ac:dyDescent="0.3">
      <c r="A187">
        <v>186</v>
      </c>
      <c r="B187">
        <v>5</v>
      </c>
      <c r="C187">
        <v>31</v>
      </c>
      <c r="D187">
        <f>IF('Boletins Nuppa Site'!F187&lt;&gt;0,'Boletins Nuppa Site'!F187,"NULL")</f>
        <v>80</v>
      </c>
      <c r="E187">
        <f>IF('Boletins Nuppa Site'!G187&lt;&gt;0,'Boletins Nuppa Site'!G187,"NULL")</f>
        <v>65</v>
      </c>
      <c r="F187">
        <f>IF('Boletins Nuppa Site'!H187&lt;&gt;0,'Boletins Nuppa Site'!H187,"NULL")</f>
        <v>80</v>
      </c>
      <c r="G187">
        <f>IF('Boletins Nuppa Site'!I187&lt;&gt;0,'Boletins Nuppa Site'!I187,"NULL")</f>
        <v>75</v>
      </c>
      <c r="H187">
        <f>IF('Boletins Nuppa Site'!J187&lt;&gt;0,'Boletins Nuppa Site'!J187,"NULL")</f>
        <v>80</v>
      </c>
      <c r="J187" t="str">
        <f t="shared" si="2"/>
        <v>INSERT INTO COTACAO (blt_id, pap_id, cot_prc_comum, cot_prc_min, cot_prc_max, cot_prc_med, cot_prc_mediana) VALUES (5, 31, 80, 65, 80, 75, 80);</v>
      </c>
    </row>
    <row r="188" spans="1:10" x14ac:dyDescent="0.3">
      <c r="A188">
        <v>187</v>
      </c>
      <c r="B188">
        <v>5</v>
      </c>
      <c r="C188">
        <v>32</v>
      </c>
      <c r="D188">
        <f>IF('Boletins Nuppa Site'!F188&lt;&gt;0,'Boletins Nuppa Site'!F188,"NULL")</f>
        <v>35</v>
      </c>
      <c r="E188">
        <f>IF('Boletins Nuppa Site'!G188&lt;&gt;0,'Boletins Nuppa Site'!G188,"NULL")</f>
        <v>30</v>
      </c>
      <c r="F188">
        <f>IF('Boletins Nuppa Site'!H188&lt;&gt;0,'Boletins Nuppa Site'!H188,"NULL")</f>
        <v>45</v>
      </c>
      <c r="G188" t="str">
        <f>IF('Boletins Nuppa Site'!I188&lt;&gt;0,'Boletins Nuppa Site'!I188,"NULL")</f>
        <v>36.43</v>
      </c>
      <c r="H188">
        <f>IF('Boletins Nuppa Site'!J188&lt;&gt;0,'Boletins Nuppa Site'!J188,"NULL")</f>
        <v>35</v>
      </c>
      <c r="J188" t="str">
        <f t="shared" si="2"/>
        <v>INSERT INTO COTACAO (blt_id, pap_id, cot_prc_comum, cot_prc_min, cot_prc_max, cot_prc_med, cot_prc_mediana) VALUES (5, 32, 35, 30, 45, 36.43, 35);</v>
      </c>
    </row>
    <row r="189" spans="1:10" x14ac:dyDescent="0.3">
      <c r="A189">
        <v>188</v>
      </c>
      <c r="B189">
        <v>5</v>
      </c>
      <c r="C189">
        <v>33</v>
      </c>
      <c r="D189">
        <f>IF('Boletins Nuppa Site'!F189&lt;&gt;0,'Boletins Nuppa Site'!F189,"NULL")</f>
        <v>70</v>
      </c>
      <c r="E189">
        <f>IF('Boletins Nuppa Site'!G189&lt;&gt;0,'Boletins Nuppa Site'!G189,"NULL")</f>
        <v>70</v>
      </c>
      <c r="F189">
        <f>IF('Boletins Nuppa Site'!H189&lt;&gt;0,'Boletins Nuppa Site'!H189,"NULL")</f>
        <v>100</v>
      </c>
      <c r="G189" t="str">
        <f>IF('Boletins Nuppa Site'!I189&lt;&gt;0,'Boletins Nuppa Site'!I189,"NULL")</f>
        <v>78.57</v>
      </c>
      <c r="H189">
        <f>IF('Boletins Nuppa Site'!J189&lt;&gt;0,'Boletins Nuppa Site'!J189,"NULL")</f>
        <v>70</v>
      </c>
      <c r="J189" t="str">
        <f t="shared" si="2"/>
        <v>INSERT INTO COTACAO (blt_id, pap_id, cot_prc_comum, cot_prc_min, cot_prc_max, cot_prc_med, cot_prc_mediana) VALUES (5, 33, 70, 70, 100, 78.57, 70);</v>
      </c>
    </row>
    <row r="190" spans="1:10" x14ac:dyDescent="0.3">
      <c r="A190">
        <v>189</v>
      </c>
      <c r="B190">
        <v>5</v>
      </c>
      <c r="C190">
        <v>34</v>
      </c>
      <c r="D190">
        <f>IF('Boletins Nuppa Site'!F190&lt;&gt;0,'Boletins Nuppa Site'!F190,"NULL")</f>
        <v>100</v>
      </c>
      <c r="E190">
        <f>IF('Boletins Nuppa Site'!G190&lt;&gt;0,'Boletins Nuppa Site'!G190,"NULL")</f>
        <v>90</v>
      </c>
      <c r="F190">
        <f>IF('Boletins Nuppa Site'!H190&lt;&gt;0,'Boletins Nuppa Site'!H190,"NULL")</f>
        <v>110</v>
      </c>
      <c r="G190" t="str">
        <f>IF('Boletins Nuppa Site'!I190&lt;&gt;0,'Boletins Nuppa Site'!I190,"NULL")</f>
        <v>102.86</v>
      </c>
      <c r="H190">
        <f>IF('Boletins Nuppa Site'!J190&lt;&gt;0,'Boletins Nuppa Site'!J190,"NULL")</f>
        <v>100</v>
      </c>
      <c r="J190" t="str">
        <f t="shared" si="2"/>
        <v>INSERT INTO COTACAO (blt_id, pap_id, cot_prc_comum, cot_prc_min, cot_prc_max, cot_prc_med, cot_prc_mediana) VALUES (5, 34, 100, 90, 110, 102.86, 100);</v>
      </c>
    </row>
    <row r="191" spans="1:10" x14ac:dyDescent="0.3">
      <c r="A191">
        <v>190</v>
      </c>
      <c r="B191">
        <v>5</v>
      </c>
      <c r="C191">
        <v>35</v>
      </c>
      <c r="D191">
        <f>IF('Boletins Nuppa Site'!F191&lt;&gt;0,'Boletins Nuppa Site'!F191,"NULL")</f>
        <v>35</v>
      </c>
      <c r="E191">
        <f>IF('Boletins Nuppa Site'!G191&lt;&gt;0,'Boletins Nuppa Site'!G191,"NULL")</f>
        <v>35</v>
      </c>
      <c r="F191">
        <f>IF('Boletins Nuppa Site'!H191&lt;&gt;0,'Boletins Nuppa Site'!H191,"NULL")</f>
        <v>65</v>
      </c>
      <c r="G191" t="str">
        <f>IF('Boletins Nuppa Site'!I191&lt;&gt;0,'Boletins Nuppa Site'!I191,"NULL")</f>
        <v>50.71</v>
      </c>
      <c r="H191">
        <f>IF('Boletins Nuppa Site'!J191&lt;&gt;0,'Boletins Nuppa Site'!J191,"NULL")</f>
        <v>50</v>
      </c>
      <c r="J191" t="str">
        <f t="shared" si="2"/>
        <v>INSERT INTO COTACAO (blt_id, pap_id, cot_prc_comum, cot_prc_min, cot_prc_max, cot_prc_med, cot_prc_mediana) VALUES (5, 35, 35, 35, 65, 50.71, 50);</v>
      </c>
    </row>
    <row r="192" spans="1:10" x14ac:dyDescent="0.3">
      <c r="A192">
        <v>191</v>
      </c>
      <c r="B192">
        <v>5</v>
      </c>
      <c r="C192">
        <v>36</v>
      </c>
      <c r="D192" t="str">
        <f>IF('Boletins Nuppa Site'!F192&lt;&gt;0,'Boletins Nuppa Site'!F192,"NULL")</f>
        <v>NULL</v>
      </c>
      <c r="E192" t="str">
        <f>IF('Boletins Nuppa Site'!G192&lt;&gt;0,'Boletins Nuppa Site'!G192,"NULL")</f>
        <v>NULL</v>
      </c>
      <c r="F192" t="str">
        <f>IF('Boletins Nuppa Site'!H192&lt;&gt;0,'Boletins Nuppa Site'!H192,"NULL")</f>
        <v>NULL</v>
      </c>
      <c r="G192" t="str">
        <f>IF('Boletins Nuppa Site'!I192&lt;&gt;0,'Boletins Nuppa Site'!I192,"NULL")</f>
        <v>NULL</v>
      </c>
      <c r="H192" t="str">
        <f>IF('Boletins Nuppa Site'!J192&lt;&gt;0,'Boletins Nuppa Site'!J192,"NULL")</f>
        <v>NULL</v>
      </c>
      <c r="J192" t="str">
        <f t="shared" si="2"/>
        <v>INSERT INTO COTACAO (blt_id, pap_id, cot_prc_comum, cot_prc_min, cot_prc_max, cot_prc_med, cot_prc_mediana) VALUES (5, 36, NULL, NULL, NULL, NULL, NULL);</v>
      </c>
    </row>
    <row r="193" spans="1:10" x14ac:dyDescent="0.3">
      <c r="A193">
        <v>192</v>
      </c>
      <c r="B193">
        <v>5</v>
      </c>
      <c r="C193">
        <v>37</v>
      </c>
      <c r="D193" t="str">
        <f>IF('Boletins Nuppa Site'!F193&lt;&gt;0,'Boletins Nuppa Site'!F193,"NULL")</f>
        <v>NULL</v>
      </c>
      <c r="E193" t="str">
        <f>IF('Boletins Nuppa Site'!G193&lt;&gt;0,'Boletins Nuppa Site'!G193,"NULL")</f>
        <v>NULL</v>
      </c>
      <c r="F193" t="str">
        <f>IF('Boletins Nuppa Site'!H193&lt;&gt;0,'Boletins Nuppa Site'!H193,"NULL")</f>
        <v>NULL</v>
      </c>
      <c r="G193" t="str">
        <f>IF('Boletins Nuppa Site'!I193&lt;&gt;0,'Boletins Nuppa Site'!I193,"NULL")</f>
        <v>NULL</v>
      </c>
      <c r="H193" t="str">
        <f>IF('Boletins Nuppa Site'!J193&lt;&gt;0,'Boletins Nuppa Site'!J193,"NULL")</f>
        <v>NULL</v>
      </c>
      <c r="J193" t="str">
        <f t="shared" si="2"/>
        <v>INSERT INTO COTACAO (blt_id, pap_id, cot_prc_comum, cot_prc_min, cot_prc_max, cot_prc_med, cot_prc_mediana) VALUES (5, 37, NULL, NULL, NULL, NULL, NULL);</v>
      </c>
    </row>
    <row r="194" spans="1:10" x14ac:dyDescent="0.3">
      <c r="A194">
        <v>193</v>
      </c>
      <c r="B194">
        <v>5</v>
      </c>
      <c r="C194">
        <v>38</v>
      </c>
      <c r="D194" t="str">
        <f>IF('Boletins Nuppa Site'!F194&lt;&gt;0,'Boletins Nuppa Site'!F194,"NULL")</f>
        <v>NULL</v>
      </c>
      <c r="E194" t="str">
        <f>IF('Boletins Nuppa Site'!G194&lt;&gt;0,'Boletins Nuppa Site'!G194,"NULL")</f>
        <v>NULL</v>
      </c>
      <c r="F194" t="str">
        <f>IF('Boletins Nuppa Site'!H194&lt;&gt;0,'Boletins Nuppa Site'!H194,"NULL")</f>
        <v>NULL</v>
      </c>
      <c r="G194" t="str">
        <f>IF('Boletins Nuppa Site'!I194&lt;&gt;0,'Boletins Nuppa Site'!I194,"NULL")</f>
        <v>NULL</v>
      </c>
      <c r="H194" t="str">
        <f>IF('Boletins Nuppa Site'!J194&lt;&gt;0,'Boletins Nuppa Site'!J194,"NULL")</f>
        <v>NULL</v>
      </c>
      <c r="J194" t="str">
        <f t="shared" si="2"/>
        <v>INSERT INTO COTACAO (blt_id, pap_id, cot_prc_comum, cot_prc_min, cot_prc_max, cot_prc_med, cot_prc_mediana) VALUES (5, 38, NULL, NULL, NULL, NULL, NULL);</v>
      </c>
    </row>
    <row r="195" spans="1:10" x14ac:dyDescent="0.3">
      <c r="A195">
        <v>194</v>
      </c>
      <c r="B195">
        <v>5</v>
      </c>
      <c r="C195">
        <v>39</v>
      </c>
      <c r="D195" t="str">
        <f>IF('Boletins Nuppa Site'!F195&lt;&gt;0,'Boletins Nuppa Site'!F195,"NULL")</f>
        <v>NULL</v>
      </c>
      <c r="E195" t="str">
        <f>IF('Boletins Nuppa Site'!G195&lt;&gt;0,'Boletins Nuppa Site'!G195,"NULL")</f>
        <v>NULL</v>
      </c>
      <c r="F195" t="str">
        <f>IF('Boletins Nuppa Site'!H195&lt;&gt;0,'Boletins Nuppa Site'!H195,"NULL")</f>
        <v>NULL</v>
      </c>
      <c r="G195" t="str">
        <f>IF('Boletins Nuppa Site'!I195&lt;&gt;0,'Boletins Nuppa Site'!I195,"NULL")</f>
        <v>NULL</v>
      </c>
      <c r="H195" t="str">
        <f>IF('Boletins Nuppa Site'!J195&lt;&gt;0,'Boletins Nuppa Site'!J195,"NULL")</f>
        <v>NULL</v>
      </c>
      <c r="J195" t="str">
        <f t="shared" ref="J195:J258" si="3">"INSERT INTO COTACAO (blt_id, pap_id, cot_prc_comum, cot_prc_min, cot_prc_max, cot_prc_med, cot_prc_mediana) VALUES ("&amp;B195&amp;", "&amp;C195&amp;", "&amp;D195&amp;", "&amp;E195&amp;", "&amp;F195&amp;", "&amp;G195&amp;", "&amp;H195&amp;");"</f>
        <v>INSERT INTO COTACAO (blt_id, pap_id, cot_prc_comum, cot_prc_min, cot_prc_max, cot_prc_med, cot_prc_mediana) VALUES (5, 39, NULL, NULL, NULL, NULL, NULL);</v>
      </c>
    </row>
    <row r="196" spans="1:10" x14ac:dyDescent="0.3">
      <c r="A196">
        <v>195</v>
      </c>
      <c r="B196">
        <v>5</v>
      </c>
      <c r="C196">
        <v>40</v>
      </c>
      <c r="D196" t="str">
        <f>IF('Boletins Nuppa Site'!F196&lt;&gt;0,'Boletins Nuppa Site'!F196,"NULL")</f>
        <v>NULL</v>
      </c>
      <c r="E196" t="str">
        <f>IF('Boletins Nuppa Site'!G196&lt;&gt;0,'Boletins Nuppa Site'!G196,"NULL")</f>
        <v>NULL</v>
      </c>
      <c r="F196" t="str">
        <f>IF('Boletins Nuppa Site'!H196&lt;&gt;0,'Boletins Nuppa Site'!H196,"NULL")</f>
        <v>NULL</v>
      </c>
      <c r="G196" t="str">
        <f>IF('Boletins Nuppa Site'!I196&lt;&gt;0,'Boletins Nuppa Site'!I196,"NULL")</f>
        <v>NULL</v>
      </c>
      <c r="H196" t="str">
        <f>IF('Boletins Nuppa Site'!J196&lt;&gt;0,'Boletins Nuppa Site'!J196,"NULL")</f>
        <v>NULL</v>
      </c>
      <c r="J196" t="str">
        <f t="shared" si="3"/>
        <v>INSERT INTO COTACAO (blt_id, pap_id, cot_prc_comum, cot_prc_min, cot_prc_max, cot_prc_med, cot_prc_mediana) VALUES (5, 40, NULL, NULL, NULL, NULL, NULL);</v>
      </c>
    </row>
    <row r="197" spans="1:10" x14ac:dyDescent="0.3">
      <c r="A197">
        <v>196</v>
      </c>
      <c r="B197">
        <v>6</v>
      </c>
      <c r="C197">
        <v>1</v>
      </c>
      <c r="D197" t="str">
        <f>IF('Boletins Nuppa Site'!F197&lt;&gt;0,'Boletins Nuppa Site'!F197,"NULL")</f>
        <v>NULL</v>
      </c>
      <c r="E197">
        <f>IF('Boletins Nuppa Site'!G197&lt;&gt;0,'Boletins Nuppa Site'!G197,"NULL")</f>
        <v>42</v>
      </c>
      <c r="F197">
        <f>IF('Boletins Nuppa Site'!H197&lt;&gt;0,'Boletins Nuppa Site'!H197,"NULL")</f>
        <v>48</v>
      </c>
      <c r="G197">
        <f>IF('Boletins Nuppa Site'!I197&lt;&gt;0,'Boletins Nuppa Site'!I197,"NULL")</f>
        <v>45</v>
      </c>
      <c r="H197">
        <f>IF('Boletins Nuppa Site'!J197&lt;&gt;0,'Boletins Nuppa Site'!J197,"NULL")</f>
        <v>45</v>
      </c>
      <c r="J197" t="str">
        <f t="shared" si="3"/>
        <v>INSERT INTO COTACAO (blt_id, pap_id, cot_prc_comum, cot_prc_min, cot_prc_max, cot_prc_med, cot_prc_mediana) VALUES (6, 1, NULL, 42, 48, 45, 45);</v>
      </c>
    </row>
    <row r="198" spans="1:10" x14ac:dyDescent="0.3">
      <c r="A198">
        <v>197</v>
      </c>
      <c r="B198">
        <v>6</v>
      </c>
      <c r="C198">
        <v>2</v>
      </c>
      <c r="D198">
        <f>IF('Boletins Nuppa Site'!F198&lt;&gt;0,'Boletins Nuppa Site'!F198,"NULL")</f>
        <v>60</v>
      </c>
      <c r="E198">
        <f>IF('Boletins Nuppa Site'!G198&lt;&gt;0,'Boletins Nuppa Site'!G198,"NULL")</f>
        <v>60</v>
      </c>
      <c r="F198">
        <f>IF('Boletins Nuppa Site'!H198&lt;&gt;0,'Boletins Nuppa Site'!H198,"NULL")</f>
        <v>60</v>
      </c>
      <c r="G198">
        <f>IF('Boletins Nuppa Site'!I198&lt;&gt;0,'Boletins Nuppa Site'!I198,"NULL")</f>
        <v>60</v>
      </c>
      <c r="H198">
        <f>IF('Boletins Nuppa Site'!J198&lt;&gt;0,'Boletins Nuppa Site'!J198,"NULL")</f>
        <v>60</v>
      </c>
      <c r="J198" t="str">
        <f t="shared" si="3"/>
        <v>INSERT INTO COTACAO (blt_id, pap_id, cot_prc_comum, cot_prc_min, cot_prc_max, cot_prc_med, cot_prc_mediana) VALUES (6, 2, 60, 60, 60, 60, 60);</v>
      </c>
    </row>
    <row r="199" spans="1:10" x14ac:dyDescent="0.3">
      <c r="A199">
        <v>198</v>
      </c>
      <c r="B199">
        <v>6</v>
      </c>
      <c r="C199">
        <v>3</v>
      </c>
      <c r="D199" t="str">
        <f>IF('Boletins Nuppa Site'!F199&lt;&gt;0,'Boletins Nuppa Site'!F199,"NULL")</f>
        <v>NULL</v>
      </c>
      <c r="E199">
        <f>IF('Boletins Nuppa Site'!G199&lt;&gt;0,'Boletins Nuppa Site'!G199,"NULL")</f>
        <v>24</v>
      </c>
      <c r="F199">
        <f>IF('Boletins Nuppa Site'!H199&lt;&gt;0,'Boletins Nuppa Site'!H199,"NULL")</f>
        <v>36</v>
      </c>
      <c r="G199">
        <f>IF('Boletins Nuppa Site'!I199&lt;&gt;0,'Boletins Nuppa Site'!I199,"NULL")</f>
        <v>30</v>
      </c>
      <c r="H199">
        <f>IF('Boletins Nuppa Site'!J199&lt;&gt;0,'Boletins Nuppa Site'!J199,"NULL")</f>
        <v>30</v>
      </c>
      <c r="J199" t="str">
        <f t="shared" si="3"/>
        <v>INSERT INTO COTACAO (blt_id, pap_id, cot_prc_comum, cot_prc_min, cot_prc_max, cot_prc_med, cot_prc_mediana) VALUES (6, 3, NULL, 24, 36, 30, 30);</v>
      </c>
    </row>
    <row r="200" spans="1:10" x14ac:dyDescent="0.3">
      <c r="A200">
        <v>199</v>
      </c>
      <c r="B200">
        <v>6</v>
      </c>
      <c r="C200">
        <v>4</v>
      </c>
      <c r="D200">
        <f>IF('Boletins Nuppa Site'!F200&lt;&gt;0,'Boletins Nuppa Site'!F200,"NULL")</f>
        <v>18</v>
      </c>
      <c r="E200">
        <f>IF('Boletins Nuppa Site'!G200&lt;&gt;0,'Boletins Nuppa Site'!G200,"NULL")</f>
        <v>18</v>
      </c>
      <c r="F200">
        <f>IF('Boletins Nuppa Site'!H200&lt;&gt;0,'Boletins Nuppa Site'!H200,"NULL")</f>
        <v>26</v>
      </c>
      <c r="G200" t="str">
        <f>IF('Boletins Nuppa Site'!I200&lt;&gt;0,'Boletins Nuppa Site'!I200,"NULL")</f>
        <v>21.6</v>
      </c>
      <c r="H200">
        <f>IF('Boletins Nuppa Site'!J200&lt;&gt;0,'Boletins Nuppa Site'!J200,"NULL")</f>
        <v>22</v>
      </c>
      <c r="J200" t="str">
        <f t="shared" si="3"/>
        <v>INSERT INTO COTACAO (blt_id, pap_id, cot_prc_comum, cot_prc_min, cot_prc_max, cot_prc_med, cot_prc_mediana) VALUES (6, 4, 18, 18, 26, 21.6, 22);</v>
      </c>
    </row>
    <row r="201" spans="1:10" x14ac:dyDescent="0.3">
      <c r="A201">
        <v>200</v>
      </c>
      <c r="B201">
        <v>6</v>
      </c>
      <c r="C201">
        <v>5</v>
      </c>
      <c r="D201" t="str">
        <f>IF('Boletins Nuppa Site'!F201&lt;&gt;0,'Boletins Nuppa Site'!F201,"NULL")</f>
        <v>NULL</v>
      </c>
      <c r="E201">
        <f>IF('Boletins Nuppa Site'!G201&lt;&gt;0,'Boletins Nuppa Site'!G201,"NULL")</f>
        <v>18</v>
      </c>
      <c r="F201">
        <f>IF('Boletins Nuppa Site'!H201&lt;&gt;0,'Boletins Nuppa Site'!H201,"NULL")</f>
        <v>35</v>
      </c>
      <c r="G201" t="str">
        <f>IF('Boletins Nuppa Site'!I201&lt;&gt;0,'Boletins Nuppa Site'!I201,"NULL")</f>
        <v>24.75</v>
      </c>
      <c r="H201">
        <f>IF('Boletins Nuppa Site'!J201&lt;&gt;0,'Boletins Nuppa Site'!J201,"NULL")</f>
        <v>23</v>
      </c>
      <c r="J201" t="str">
        <f t="shared" si="3"/>
        <v>INSERT INTO COTACAO (blt_id, pap_id, cot_prc_comum, cot_prc_min, cot_prc_max, cot_prc_med, cot_prc_mediana) VALUES (6, 5, NULL, 18, 35, 24.75, 23);</v>
      </c>
    </row>
    <row r="202" spans="1:10" x14ac:dyDescent="0.3">
      <c r="A202">
        <v>201</v>
      </c>
      <c r="B202">
        <v>6</v>
      </c>
      <c r="C202">
        <v>6</v>
      </c>
      <c r="D202" t="str">
        <f>IF('Boletins Nuppa Site'!F202&lt;&gt;0,'Boletins Nuppa Site'!F202,"NULL")</f>
        <v>NULL</v>
      </c>
      <c r="E202">
        <f>IF('Boletins Nuppa Site'!G202&lt;&gt;0,'Boletins Nuppa Site'!G202,"NULL")</f>
        <v>48</v>
      </c>
      <c r="F202">
        <f>IF('Boletins Nuppa Site'!H202&lt;&gt;0,'Boletins Nuppa Site'!H202,"NULL")</f>
        <v>48</v>
      </c>
      <c r="G202">
        <f>IF('Boletins Nuppa Site'!I202&lt;&gt;0,'Boletins Nuppa Site'!I202,"NULL")</f>
        <v>48</v>
      </c>
      <c r="H202">
        <f>IF('Boletins Nuppa Site'!J202&lt;&gt;0,'Boletins Nuppa Site'!J202,"NULL")</f>
        <v>48</v>
      </c>
      <c r="J202" t="str">
        <f t="shared" si="3"/>
        <v>INSERT INTO COTACAO (blt_id, pap_id, cot_prc_comum, cot_prc_min, cot_prc_max, cot_prc_med, cot_prc_mediana) VALUES (6, 6, NULL, 48, 48, 48, 48);</v>
      </c>
    </row>
    <row r="203" spans="1:10" x14ac:dyDescent="0.3">
      <c r="A203">
        <v>202</v>
      </c>
      <c r="B203">
        <v>6</v>
      </c>
      <c r="C203">
        <v>7</v>
      </c>
      <c r="D203">
        <f>IF('Boletins Nuppa Site'!F203&lt;&gt;0,'Boletins Nuppa Site'!F203,"NULL")</f>
        <v>72</v>
      </c>
      <c r="E203">
        <f>IF('Boletins Nuppa Site'!G203&lt;&gt;0,'Boletins Nuppa Site'!G203,"NULL")</f>
        <v>48</v>
      </c>
      <c r="F203">
        <f>IF('Boletins Nuppa Site'!H203&lt;&gt;0,'Boletins Nuppa Site'!H203,"NULL")</f>
        <v>72</v>
      </c>
      <c r="G203">
        <f>IF('Boletins Nuppa Site'!I203&lt;&gt;0,'Boletins Nuppa Site'!I203,"NULL")</f>
        <v>64</v>
      </c>
      <c r="H203">
        <f>IF('Boletins Nuppa Site'!J203&lt;&gt;0,'Boletins Nuppa Site'!J203,"NULL")</f>
        <v>72</v>
      </c>
      <c r="J203" t="str">
        <f t="shared" si="3"/>
        <v>INSERT INTO COTACAO (blt_id, pap_id, cot_prc_comum, cot_prc_min, cot_prc_max, cot_prc_med, cot_prc_mediana) VALUES (6, 7, 72, 48, 72, 64, 72);</v>
      </c>
    </row>
    <row r="204" spans="1:10" x14ac:dyDescent="0.3">
      <c r="A204">
        <v>203</v>
      </c>
      <c r="B204">
        <v>6</v>
      </c>
      <c r="C204">
        <v>8</v>
      </c>
      <c r="D204">
        <f>IF('Boletins Nuppa Site'!F204&lt;&gt;0,'Boletins Nuppa Site'!F204,"NULL")</f>
        <v>72</v>
      </c>
      <c r="E204">
        <f>IF('Boletins Nuppa Site'!G204&lt;&gt;0,'Boletins Nuppa Site'!G204,"NULL")</f>
        <v>72</v>
      </c>
      <c r="F204">
        <f>IF('Boletins Nuppa Site'!H204&lt;&gt;0,'Boletins Nuppa Site'!H204,"NULL")</f>
        <v>72</v>
      </c>
      <c r="G204">
        <f>IF('Boletins Nuppa Site'!I204&lt;&gt;0,'Boletins Nuppa Site'!I204,"NULL")</f>
        <v>72</v>
      </c>
      <c r="H204">
        <f>IF('Boletins Nuppa Site'!J204&lt;&gt;0,'Boletins Nuppa Site'!J204,"NULL")</f>
        <v>72</v>
      </c>
      <c r="J204" t="str">
        <f t="shared" si="3"/>
        <v>INSERT INTO COTACAO (blt_id, pap_id, cot_prc_comum, cot_prc_min, cot_prc_max, cot_prc_med, cot_prc_mediana) VALUES (6, 8, 72, 72, 72, 72, 72);</v>
      </c>
    </row>
    <row r="205" spans="1:10" x14ac:dyDescent="0.3">
      <c r="A205">
        <v>204</v>
      </c>
      <c r="B205">
        <v>6</v>
      </c>
      <c r="C205">
        <v>9</v>
      </c>
      <c r="D205">
        <f>IF('Boletins Nuppa Site'!F205&lt;&gt;0,'Boletins Nuppa Site'!F205,"NULL")</f>
        <v>24</v>
      </c>
      <c r="E205">
        <f>IF('Boletins Nuppa Site'!G205&lt;&gt;0,'Boletins Nuppa Site'!G205,"NULL")</f>
        <v>15</v>
      </c>
      <c r="F205">
        <f>IF('Boletins Nuppa Site'!H205&lt;&gt;0,'Boletins Nuppa Site'!H205,"NULL")</f>
        <v>24</v>
      </c>
      <c r="G205" t="str">
        <f>IF('Boletins Nuppa Site'!I205&lt;&gt;0,'Boletins Nuppa Site'!I205,"NULL")</f>
        <v>20.25</v>
      </c>
      <c r="H205">
        <f>IF('Boletins Nuppa Site'!J205&lt;&gt;0,'Boletins Nuppa Site'!J205,"NULL")</f>
        <v>21</v>
      </c>
      <c r="J205" t="str">
        <f t="shared" si="3"/>
        <v>INSERT INTO COTACAO (blt_id, pap_id, cot_prc_comum, cot_prc_min, cot_prc_max, cot_prc_med, cot_prc_mediana) VALUES (6, 9, 24, 15, 24, 20.25, 21);</v>
      </c>
    </row>
    <row r="206" spans="1:10" x14ac:dyDescent="0.3">
      <c r="A206">
        <v>205</v>
      </c>
      <c r="B206">
        <v>6</v>
      </c>
      <c r="C206">
        <v>10</v>
      </c>
      <c r="D206" t="str">
        <f>IF('Boletins Nuppa Site'!F206&lt;&gt;0,'Boletins Nuppa Site'!F206,"NULL")</f>
        <v>NULL</v>
      </c>
      <c r="E206">
        <f>IF('Boletins Nuppa Site'!G206&lt;&gt;0,'Boletins Nuppa Site'!G206,"NULL")</f>
        <v>60</v>
      </c>
      <c r="F206">
        <f>IF('Boletins Nuppa Site'!H206&lt;&gt;0,'Boletins Nuppa Site'!H206,"NULL")</f>
        <v>78</v>
      </c>
      <c r="G206" t="str">
        <f>IF('Boletins Nuppa Site'!I206&lt;&gt;0,'Boletins Nuppa Site'!I206,"NULL")</f>
        <v>69.33</v>
      </c>
      <c r="H206">
        <f>IF('Boletins Nuppa Site'!J206&lt;&gt;0,'Boletins Nuppa Site'!J206,"NULL")</f>
        <v>70</v>
      </c>
      <c r="J206" t="str">
        <f t="shared" si="3"/>
        <v>INSERT INTO COTACAO (blt_id, pap_id, cot_prc_comum, cot_prc_min, cot_prc_max, cot_prc_med, cot_prc_mediana) VALUES (6, 10, NULL, 60, 78, 69.33, 70);</v>
      </c>
    </row>
    <row r="207" spans="1:10" x14ac:dyDescent="0.3">
      <c r="A207">
        <v>206</v>
      </c>
      <c r="B207">
        <v>6</v>
      </c>
      <c r="C207">
        <v>11</v>
      </c>
      <c r="D207">
        <f>IF('Boletins Nuppa Site'!F207&lt;&gt;0,'Boletins Nuppa Site'!F207,"NULL")</f>
        <v>18</v>
      </c>
      <c r="E207">
        <f>IF('Boletins Nuppa Site'!G207&lt;&gt;0,'Boletins Nuppa Site'!G207,"NULL")</f>
        <v>18</v>
      </c>
      <c r="F207">
        <f>IF('Boletins Nuppa Site'!H207&lt;&gt;0,'Boletins Nuppa Site'!H207,"NULL")</f>
        <v>24</v>
      </c>
      <c r="G207" t="str">
        <f>IF('Boletins Nuppa Site'!I207&lt;&gt;0,'Boletins Nuppa Site'!I207,"NULL")</f>
        <v>20.5</v>
      </c>
      <c r="H207">
        <f>IF('Boletins Nuppa Site'!J207&lt;&gt;0,'Boletins Nuppa Site'!J207,"NULL")</f>
        <v>20</v>
      </c>
      <c r="J207" t="str">
        <f t="shared" si="3"/>
        <v>INSERT INTO COTACAO (blt_id, pap_id, cot_prc_comum, cot_prc_min, cot_prc_max, cot_prc_med, cot_prc_mediana) VALUES (6, 11, 18, 18, 24, 20.5, 20);</v>
      </c>
    </row>
    <row r="208" spans="1:10" x14ac:dyDescent="0.3">
      <c r="A208">
        <v>207</v>
      </c>
      <c r="B208">
        <v>6</v>
      </c>
      <c r="C208">
        <v>12</v>
      </c>
      <c r="D208" t="str">
        <f>IF('Boletins Nuppa Site'!F208&lt;&gt;0,'Boletins Nuppa Site'!F208,"NULL")</f>
        <v>NULL</v>
      </c>
      <c r="E208">
        <f>IF('Boletins Nuppa Site'!G208&lt;&gt;0,'Boletins Nuppa Site'!G208,"NULL")</f>
        <v>54</v>
      </c>
      <c r="F208">
        <f>IF('Boletins Nuppa Site'!H208&lt;&gt;0,'Boletins Nuppa Site'!H208,"NULL")</f>
        <v>60</v>
      </c>
      <c r="G208">
        <f>IF('Boletins Nuppa Site'!I208&lt;&gt;0,'Boletins Nuppa Site'!I208,"NULL")</f>
        <v>57</v>
      </c>
      <c r="H208">
        <f>IF('Boletins Nuppa Site'!J208&lt;&gt;0,'Boletins Nuppa Site'!J208,"NULL")</f>
        <v>57</v>
      </c>
      <c r="J208" t="str">
        <f t="shared" si="3"/>
        <v>INSERT INTO COTACAO (blt_id, pap_id, cot_prc_comum, cot_prc_min, cot_prc_max, cot_prc_med, cot_prc_mediana) VALUES (6, 12, NULL, 54, 60, 57, 57);</v>
      </c>
    </row>
    <row r="209" spans="1:10" x14ac:dyDescent="0.3">
      <c r="A209">
        <v>208</v>
      </c>
      <c r="B209">
        <v>6</v>
      </c>
      <c r="C209">
        <v>13</v>
      </c>
      <c r="D209" t="str">
        <f>IF('Boletins Nuppa Site'!F209&lt;&gt;0,'Boletins Nuppa Site'!F209,"NULL")</f>
        <v>NULL</v>
      </c>
      <c r="E209">
        <f>IF('Boletins Nuppa Site'!G209&lt;&gt;0,'Boletins Nuppa Site'!G209,"NULL")</f>
        <v>60</v>
      </c>
      <c r="F209">
        <f>IF('Boletins Nuppa Site'!H209&lt;&gt;0,'Boletins Nuppa Site'!H209,"NULL")</f>
        <v>60</v>
      </c>
      <c r="G209">
        <f>IF('Boletins Nuppa Site'!I209&lt;&gt;0,'Boletins Nuppa Site'!I209,"NULL")</f>
        <v>60</v>
      </c>
      <c r="H209">
        <f>IF('Boletins Nuppa Site'!J209&lt;&gt;0,'Boletins Nuppa Site'!J209,"NULL")</f>
        <v>60</v>
      </c>
      <c r="J209" t="str">
        <f t="shared" si="3"/>
        <v>INSERT INTO COTACAO (blt_id, pap_id, cot_prc_comum, cot_prc_min, cot_prc_max, cot_prc_med, cot_prc_mediana) VALUES (6, 13, NULL, 60, 60, 60, 60);</v>
      </c>
    </row>
    <row r="210" spans="1:10" x14ac:dyDescent="0.3">
      <c r="A210">
        <v>209</v>
      </c>
      <c r="B210">
        <v>6</v>
      </c>
      <c r="C210">
        <v>14</v>
      </c>
      <c r="D210" t="str">
        <f>IF('Boletins Nuppa Site'!F210&lt;&gt;0,'Boletins Nuppa Site'!F210,"NULL")</f>
        <v>NULL</v>
      </c>
      <c r="E210">
        <f>IF('Boletins Nuppa Site'!G210&lt;&gt;0,'Boletins Nuppa Site'!G210,"NULL")</f>
        <v>48</v>
      </c>
      <c r="F210">
        <f>IF('Boletins Nuppa Site'!H210&lt;&gt;0,'Boletins Nuppa Site'!H210,"NULL")</f>
        <v>60</v>
      </c>
      <c r="G210">
        <f>IF('Boletins Nuppa Site'!I210&lt;&gt;0,'Boletins Nuppa Site'!I210,"NULL")</f>
        <v>54</v>
      </c>
      <c r="H210">
        <f>IF('Boletins Nuppa Site'!J210&lt;&gt;0,'Boletins Nuppa Site'!J210,"NULL")</f>
        <v>54</v>
      </c>
      <c r="J210" t="str">
        <f t="shared" si="3"/>
        <v>INSERT INTO COTACAO (blt_id, pap_id, cot_prc_comum, cot_prc_min, cot_prc_max, cot_prc_med, cot_prc_mediana) VALUES (6, 14, NULL, 48, 60, 54, 54);</v>
      </c>
    </row>
    <row r="211" spans="1:10" x14ac:dyDescent="0.3">
      <c r="A211">
        <v>210</v>
      </c>
      <c r="B211">
        <v>6</v>
      </c>
      <c r="C211">
        <v>15</v>
      </c>
      <c r="D211">
        <f>IF('Boletins Nuppa Site'!F211&lt;&gt;0,'Boletins Nuppa Site'!F211,"NULL")</f>
        <v>36</v>
      </c>
      <c r="E211">
        <f>IF('Boletins Nuppa Site'!G211&lt;&gt;0,'Boletins Nuppa Site'!G211,"NULL")</f>
        <v>35</v>
      </c>
      <c r="F211">
        <f>IF('Boletins Nuppa Site'!H211&lt;&gt;0,'Boletins Nuppa Site'!H211,"NULL")</f>
        <v>40</v>
      </c>
      <c r="G211" t="str">
        <f>IF('Boletins Nuppa Site'!I211&lt;&gt;0,'Boletins Nuppa Site'!I211,"NULL")</f>
        <v>36.75</v>
      </c>
      <c r="H211">
        <f>IF('Boletins Nuppa Site'!J211&lt;&gt;0,'Boletins Nuppa Site'!J211,"NULL")</f>
        <v>36</v>
      </c>
      <c r="J211" t="str">
        <f t="shared" si="3"/>
        <v>INSERT INTO COTACAO (blt_id, pap_id, cot_prc_comum, cot_prc_min, cot_prc_max, cot_prc_med, cot_prc_mediana) VALUES (6, 15, 36, 35, 40, 36.75, 36);</v>
      </c>
    </row>
    <row r="212" spans="1:10" x14ac:dyDescent="0.3">
      <c r="A212">
        <v>211</v>
      </c>
      <c r="B212">
        <v>6</v>
      </c>
      <c r="C212">
        <v>16</v>
      </c>
      <c r="D212">
        <f>IF('Boletins Nuppa Site'!F212&lt;&gt;0,'Boletins Nuppa Site'!F212,"NULL")</f>
        <v>42</v>
      </c>
      <c r="E212">
        <f>IF('Boletins Nuppa Site'!G212&lt;&gt;0,'Boletins Nuppa Site'!G212,"NULL")</f>
        <v>42</v>
      </c>
      <c r="F212">
        <f>IF('Boletins Nuppa Site'!H212&lt;&gt;0,'Boletins Nuppa Site'!H212,"NULL")</f>
        <v>42</v>
      </c>
      <c r="G212">
        <f>IF('Boletins Nuppa Site'!I212&lt;&gt;0,'Boletins Nuppa Site'!I212,"NULL")</f>
        <v>42</v>
      </c>
      <c r="H212">
        <f>IF('Boletins Nuppa Site'!J212&lt;&gt;0,'Boletins Nuppa Site'!J212,"NULL")</f>
        <v>42</v>
      </c>
      <c r="J212" t="str">
        <f t="shared" si="3"/>
        <v>INSERT INTO COTACAO (blt_id, pap_id, cot_prc_comum, cot_prc_min, cot_prc_max, cot_prc_med, cot_prc_mediana) VALUES (6, 16, 42, 42, 42, 42, 42);</v>
      </c>
    </row>
    <row r="213" spans="1:10" x14ac:dyDescent="0.3">
      <c r="A213">
        <v>212</v>
      </c>
      <c r="B213">
        <v>6</v>
      </c>
      <c r="C213">
        <v>17</v>
      </c>
      <c r="D213">
        <f>IF('Boletins Nuppa Site'!F213&lt;&gt;0,'Boletins Nuppa Site'!F213,"NULL")</f>
        <v>4</v>
      </c>
      <c r="E213">
        <f>IF('Boletins Nuppa Site'!G213&lt;&gt;0,'Boletins Nuppa Site'!G213,"NULL")</f>
        <v>4</v>
      </c>
      <c r="F213">
        <f>IF('Boletins Nuppa Site'!H213&lt;&gt;0,'Boletins Nuppa Site'!H213,"NULL")</f>
        <v>5</v>
      </c>
      <c r="G213" t="str">
        <f>IF('Boletins Nuppa Site'!I213&lt;&gt;0,'Boletins Nuppa Site'!I213,"NULL")</f>
        <v>4.25</v>
      </c>
      <c r="H213">
        <f>IF('Boletins Nuppa Site'!J213&lt;&gt;0,'Boletins Nuppa Site'!J213,"NULL")</f>
        <v>4</v>
      </c>
      <c r="J213" t="str">
        <f t="shared" si="3"/>
        <v>INSERT INTO COTACAO (blt_id, pap_id, cot_prc_comum, cot_prc_min, cot_prc_max, cot_prc_med, cot_prc_mediana) VALUES (6, 17, 4, 4, 5, 4.25, 4);</v>
      </c>
    </row>
    <row r="214" spans="1:10" x14ac:dyDescent="0.3">
      <c r="A214">
        <v>213</v>
      </c>
      <c r="B214">
        <v>6</v>
      </c>
      <c r="C214">
        <v>18</v>
      </c>
      <c r="D214">
        <f>IF('Boletins Nuppa Site'!F214&lt;&gt;0,'Boletins Nuppa Site'!F214,"NULL")</f>
        <v>25</v>
      </c>
      <c r="E214">
        <f>IF('Boletins Nuppa Site'!G214&lt;&gt;0,'Boletins Nuppa Site'!G214,"NULL")</f>
        <v>15</v>
      </c>
      <c r="F214">
        <f>IF('Boletins Nuppa Site'!H214&lt;&gt;0,'Boletins Nuppa Site'!H214,"NULL")</f>
        <v>25</v>
      </c>
      <c r="G214" t="str">
        <f>IF('Boletins Nuppa Site'!I214&lt;&gt;0,'Boletins Nuppa Site'!I214,"NULL")</f>
        <v>21.4</v>
      </c>
      <c r="H214">
        <f>IF('Boletins Nuppa Site'!J214&lt;&gt;0,'Boletins Nuppa Site'!J214,"NULL")</f>
        <v>22</v>
      </c>
      <c r="J214" t="str">
        <f t="shared" si="3"/>
        <v>INSERT INTO COTACAO (blt_id, pap_id, cot_prc_comum, cot_prc_min, cot_prc_max, cot_prc_med, cot_prc_mediana) VALUES (6, 18, 25, 15, 25, 21.4, 22);</v>
      </c>
    </row>
    <row r="215" spans="1:10" x14ac:dyDescent="0.3">
      <c r="A215">
        <v>214</v>
      </c>
      <c r="B215">
        <v>6</v>
      </c>
      <c r="C215">
        <v>19</v>
      </c>
      <c r="D215">
        <f>IF('Boletins Nuppa Site'!F215&lt;&gt;0,'Boletins Nuppa Site'!F215,"NULL")</f>
        <v>25</v>
      </c>
      <c r="E215">
        <f>IF('Boletins Nuppa Site'!G215&lt;&gt;0,'Boletins Nuppa Site'!G215,"NULL")</f>
        <v>25</v>
      </c>
      <c r="F215">
        <f>IF('Boletins Nuppa Site'!H215&lt;&gt;0,'Boletins Nuppa Site'!H215,"NULL")</f>
        <v>25</v>
      </c>
      <c r="G215">
        <f>IF('Boletins Nuppa Site'!I215&lt;&gt;0,'Boletins Nuppa Site'!I215,"NULL")</f>
        <v>25</v>
      </c>
      <c r="H215">
        <f>IF('Boletins Nuppa Site'!J215&lt;&gt;0,'Boletins Nuppa Site'!J215,"NULL")</f>
        <v>25</v>
      </c>
      <c r="J215" t="str">
        <f t="shared" si="3"/>
        <v>INSERT INTO COTACAO (blt_id, pap_id, cot_prc_comum, cot_prc_min, cot_prc_max, cot_prc_med, cot_prc_mediana) VALUES (6, 19, 25, 25, 25, 25, 25);</v>
      </c>
    </row>
    <row r="216" spans="1:10" x14ac:dyDescent="0.3">
      <c r="A216">
        <v>215</v>
      </c>
      <c r="B216">
        <v>6</v>
      </c>
      <c r="C216">
        <v>21</v>
      </c>
      <c r="D216">
        <f>IF('Boletins Nuppa Site'!F216&lt;&gt;0,'Boletins Nuppa Site'!F216,"NULL")</f>
        <v>70</v>
      </c>
      <c r="E216">
        <f>IF('Boletins Nuppa Site'!G216&lt;&gt;0,'Boletins Nuppa Site'!G216,"NULL")</f>
        <v>35</v>
      </c>
      <c r="F216">
        <f>IF('Boletins Nuppa Site'!H216&lt;&gt;0,'Boletins Nuppa Site'!H216,"NULL")</f>
        <v>70</v>
      </c>
      <c r="G216" t="str">
        <f>IF('Boletins Nuppa Site'!I216&lt;&gt;0,'Boletins Nuppa Site'!I216,"NULL")</f>
        <v>56.88</v>
      </c>
      <c r="H216">
        <f>IF('Boletins Nuppa Site'!J216&lt;&gt;0,'Boletins Nuppa Site'!J216,"NULL")</f>
        <v>60</v>
      </c>
      <c r="J216" t="str">
        <f t="shared" si="3"/>
        <v>INSERT INTO COTACAO (blt_id, pap_id, cot_prc_comum, cot_prc_min, cot_prc_max, cot_prc_med, cot_prc_mediana) VALUES (6, 21, 70, 35, 70, 56.88, 60);</v>
      </c>
    </row>
    <row r="217" spans="1:10" x14ac:dyDescent="0.3">
      <c r="A217">
        <v>216</v>
      </c>
      <c r="B217">
        <v>6</v>
      </c>
      <c r="C217">
        <v>22</v>
      </c>
      <c r="D217">
        <f>IF('Boletins Nuppa Site'!F217&lt;&gt;0,'Boletins Nuppa Site'!F217,"NULL")</f>
        <v>35</v>
      </c>
      <c r="E217">
        <f>IF('Boletins Nuppa Site'!G217&lt;&gt;0,'Boletins Nuppa Site'!G217,"NULL")</f>
        <v>35</v>
      </c>
      <c r="F217">
        <f>IF('Boletins Nuppa Site'!H217&lt;&gt;0,'Boletins Nuppa Site'!H217,"NULL")</f>
        <v>65</v>
      </c>
      <c r="G217" t="str">
        <f>IF('Boletins Nuppa Site'!I217&lt;&gt;0,'Boletins Nuppa Site'!I217,"NULL")</f>
        <v>46.67</v>
      </c>
      <c r="H217">
        <f>IF('Boletins Nuppa Site'!J217&lt;&gt;0,'Boletins Nuppa Site'!J217,"NULL")</f>
        <v>40</v>
      </c>
      <c r="J217" t="str">
        <f t="shared" si="3"/>
        <v>INSERT INTO COTACAO (blt_id, pap_id, cot_prc_comum, cot_prc_min, cot_prc_max, cot_prc_med, cot_prc_mediana) VALUES (6, 22, 35, 35, 65, 46.67, 40);</v>
      </c>
    </row>
    <row r="218" spans="1:10" x14ac:dyDescent="0.3">
      <c r="A218">
        <v>217</v>
      </c>
      <c r="B218">
        <v>6</v>
      </c>
      <c r="C218">
        <v>23</v>
      </c>
      <c r="D218">
        <f>IF('Boletins Nuppa Site'!F218&lt;&gt;0,'Boletins Nuppa Site'!F218,"NULL")</f>
        <v>40</v>
      </c>
      <c r="E218">
        <f>IF('Boletins Nuppa Site'!G218&lt;&gt;0,'Boletins Nuppa Site'!G218,"NULL")</f>
        <v>40</v>
      </c>
      <c r="F218">
        <f>IF('Boletins Nuppa Site'!H218&lt;&gt;0,'Boletins Nuppa Site'!H218,"NULL")</f>
        <v>40</v>
      </c>
      <c r="G218">
        <f>IF('Boletins Nuppa Site'!I218&lt;&gt;0,'Boletins Nuppa Site'!I218,"NULL")</f>
        <v>40</v>
      </c>
      <c r="H218">
        <f>IF('Boletins Nuppa Site'!J218&lt;&gt;0,'Boletins Nuppa Site'!J218,"NULL")</f>
        <v>40</v>
      </c>
      <c r="J218" t="str">
        <f t="shared" si="3"/>
        <v>INSERT INTO COTACAO (blt_id, pap_id, cot_prc_comum, cot_prc_min, cot_prc_max, cot_prc_med, cot_prc_mediana) VALUES (6, 23, 40, 40, 40, 40, 40);</v>
      </c>
    </row>
    <row r="219" spans="1:10" x14ac:dyDescent="0.3">
      <c r="A219">
        <v>218</v>
      </c>
      <c r="B219">
        <v>6</v>
      </c>
      <c r="C219">
        <v>24</v>
      </c>
      <c r="D219">
        <f>IF('Boletins Nuppa Site'!F219&lt;&gt;0,'Boletins Nuppa Site'!F219,"NULL")</f>
        <v>100</v>
      </c>
      <c r="E219">
        <f>IF('Boletins Nuppa Site'!G219&lt;&gt;0,'Boletins Nuppa Site'!G219,"NULL")</f>
        <v>100</v>
      </c>
      <c r="F219">
        <f>IF('Boletins Nuppa Site'!H219&lt;&gt;0,'Boletins Nuppa Site'!H219,"NULL")</f>
        <v>100</v>
      </c>
      <c r="G219">
        <f>IF('Boletins Nuppa Site'!I219&lt;&gt;0,'Boletins Nuppa Site'!I219,"NULL")</f>
        <v>100</v>
      </c>
      <c r="H219">
        <f>IF('Boletins Nuppa Site'!J219&lt;&gt;0,'Boletins Nuppa Site'!J219,"NULL")</f>
        <v>100</v>
      </c>
      <c r="J219" t="str">
        <f t="shared" si="3"/>
        <v>INSERT INTO COTACAO (blt_id, pap_id, cot_prc_comum, cot_prc_min, cot_prc_max, cot_prc_med, cot_prc_mediana) VALUES (6, 24, 100, 100, 100, 100, 100);</v>
      </c>
    </row>
    <row r="220" spans="1:10" x14ac:dyDescent="0.3">
      <c r="A220">
        <v>219</v>
      </c>
      <c r="B220">
        <v>6</v>
      </c>
      <c r="C220">
        <v>25</v>
      </c>
      <c r="D220">
        <f>IF('Boletins Nuppa Site'!F220&lt;&gt;0,'Boletins Nuppa Site'!F220,"NULL")</f>
        <v>40</v>
      </c>
      <c r="E220">
        <f>IF('Boletins Nuppa Site'!G220&lt;&gt;0,'Boletins Nuppa Site'!G220,"NULL")</f>
        <v>40</v>
      </c>
      <c r="F220">
        <f>IF('Boletins Nuppa Site'!H220&lt;&gt;0,'Boletins Nuppa Site'!H220,"NULL")</f>
        <v>60</v>
      </c>
      <c r="G220" t="str">
        <f>IF('Boletins Nuppa Site'!I220&lt;&gt;0,'Boletins Nuppa Site'!I220,"NULL")</f>
        <v>49.29</v>
      </c>
      <c r="H220">
        <f>IF('Boletins Nuppa Site'!J220&lt;&gt;0,'Boletins Nuppa Site'!J220,"NULL")</f>
        <v>50</v>
      </c>
      <c r="J220" t="str">
        <f t="shared" si="3"/>
        <v>INSERT INTO COTACAO (blt_id, pap_id, cot_prc_comum, cot_prc_min, cot_prc_max, cot_prc_med, cot_prc_mediana) VALUES (6, 25, 40, 40, 60, 49.29, 50);</v>
      </c>
    </row>
    <row r="221" spans="1:10" x14ac:dyDescent="0.3">
      <c r="A221">
        <v>220</v>
      </c>
      <c r="B221">
        <v>6</v>
      </c>
      <c r="C221">
        <v>26</v>
      </c>
      <c r="D221">
        <f>IF('Boletins Nuppa Site'!F221&lt;&gt;0,'Boletins Nuppa Site'!F221,"NULL")</f>
        <v>75</v>
      </c>
      <c r="E221">
        <f>IF('Boletins Nuppa Site'!G221&lt;&gt;0,'Boletins Nuppa Site'!G221,"NULL")</f>
        <v>45</v>
      </c>
      <c r="F221">
        <f>IF('Boletins Nuppa Site'!H221&lt;&gt;0,'Boletins Nuppa Site'!H221,"NULL")</f>
        <v>80</v>
      </c>
      <c r="G221" t="str">
        <f>IF('Boletins Nuppa Site'!I221&lt;&gt;0,'Boletins Nuppa Site'!I221,"NULL")</f>
        <v>65.56</v>
      </c>
      <c r="H221">
        <f>IF('Boletins Nuppa Site'!J221&lt;&gt;0,'Boletins Nuppa Site'!J221,"NULL")</f>
        <v>75</v>
      </c>
      <c r="J221" t="str">
        <f t="shared" si="3"/>
        <v>INSERT INTO COTACAO (blt_id, pap_id, cot_prc_comum, cot_prc_min, cot_prc_max, cot_prc_med, cot_prc_mediana) VALUES (6, 26, 75, 45, 80, 65.56, 75);</v>
      </c>
    </row>
    <row r="222" spans="1:10" x14ac:dyDescent="0.3">
      <c r="A222">
        <v>221</v>
      </c>
      <c r="B222">
        <v>6</v>
      </c>
      <c r="C222">
        <v>27</v>
      </c>
      <c r="D222">
        <f>IF('Boletins Nuppa Site'!F222&lt;&gt;0,'Boletins Nuppa Site'!F222,"NULL")</f>
        <v>55</v>
      </c>
      <c r="E222">
        <f>IF('Boletins Nuppa Site'!G222&lt;&gt;0,'Boletins Nuppa Site'!G222,"NULL")</f>
        <v>50</v>
      </c>
      <c r="F222">
        <f>IF('Boletins Nuppa Site'!H222&lt;&gt;0,'Boletins Nuppa Site'!H222,"NULL")</f>
        <v>70</v>
      </c>
      <c r="G222" t="str">
        <f>IF('Boletins Nuppa Site'!I222&lt;&gt;0,'Boletins Nuppa Site'!I222,"NULL")</f>
        <v>59.38</v>
      </c>
      <c r="H222" t="str">
        <f>IF('Boletins Nuppa Site'!J222&lt;&gt;0,'Boletins Nuppa Site'!J222,"NULL")</f>
        <v>57.5</v>
      </c>
      <c r="J222" t="str">
        <f t="shared" si="3"/>
        <v>INSERT INTO COTACAO (blt_id, pap_id, cot_prc_comum, cot_prc_min, cot_prc_max, cot_prc_med, cot_prc_mediana) VALUES (6, 27, 55, 50, 70, 59.38, 57.5);</v>
      </c>
    </row>
    <row r="223" spans="1:10" x14ac:dyDescent="0.3">
      <c r="A223">
        <v>222</v>
      </c>
      <c r="B223">
        <v>6</v>
      </c>
      <c r="C223">
        <v>28</v>
      </c>
      <c r="D223">
        <f>IF('Boletins Nuppa Site'!F223&lt;&gt;0,'Boletins Nuppa Site'!F223,"NULL")</f>
        <v>70</v>
      </c>
      <c r="E223">
        <f>IF('Boletins Nuppa Site'!G223&lt;&gt;0,'Boletins Nuppa Site'!G223,"NULL")</f>
        <v>50</v>
      </c>
      <c r="F223">
        <f>IF('Boletins Nuppa Site'!H223&lt;&gt;0,'Boletins Nuppa Site'!H223,"NULL")</f>
        <v>80</v>
      </c>
      <c r="G223" t="str">
        <f>IF('Boletins Nuppa Site'!I223&lt;&gt;0,'Boletins Nuppa Site'!I223,"NULL")</f>
        <v>68.57</v>
      </c>
      <c r="H223">
        <f>IF('Boletins Nuppa Site'!J223&lt;&gt;0,'Boletins Nuppa Site'!J223,"NULL")</f>
        <v>70</v>
      </c>
      <c r="J223" t="str">
        <f t="shared" si="3"/>
        <v>INSERT INTO COTACAO (blt_id, pap_id, cot_prc_comum, cot_prc_min, cot_prc_max, cot_prc_med, cot_prc_mediana) VALUES (6, 28, 70, 50, 80, 68.57, 70);</v>
      </c>
    </row>
    <row r="224" spans="1:10" x14ac:dyDescent="0.3">
      <c r="A224">
        <v>223</v>
      </c>
      <c r="B224">
        <v>6</v>
      </c>
      <c r="C224">
        <v>29</v>
      </c>
      <c r="D224" t="str">
        <f>IF('Boletins Nuppa Site'!F224&lt;&gt;0,'Boletins Nuppa Site'!F224,"NULL")</f>
        <v>NULL</v>
      </c>
      <c r="E224">
        <f>IF('Boletins Nuppa Site'!G224&lt;&gt;0,'Boletins Nuppa Site'!G224,"NULL")</f>
        <v>55</v>
      </c>
      <c r="F224">
        <f>IF('Boletins Nuppa Site'!H224&lt;&gt;0,'Boletins Nuppa Site'!H224,"NULL")</f>
        <v>70</v>
      </c>
      <c r="G224" t="str">
        <f>IF('Boletins Nuppa Site'!I224&lt;&gt;0,'Boletins Nuppa Site'!I224,"NULL")</f>
        <v>61.67</v>
      </c>
      <c r="H224">
        <f>IF('Boletins Nuppa Site'!J224&lt;&gt;0,'Boletins Nuppa Site'!J224,"NULL")</f>
        <v>60</v>
      </c>
      <c r="J224" t="str">
        <f t="shared" si="3"/>
        <v>INSERT INTO COTACAO (blt_id, pap_id, cot_prc_comum, cot_prc_min, cot_prc_max, cot_prc_med, cot_prc_mediana) VALUES (6, 29, NULL, 55, 70, 61.67, 60);</v>
      </c>
    </row>
    <row r="225" spans="1:10" x14ac:dyDescent="0.3">
      <c r="A225">
        <v>224</v>
      </c>
      <c r="B225">
        <v>6</v>
      </c>
      <c r="C225">
        <v>30</v>
      </c>
      <c r="D225" t="str">
        <f>IF('Boletins Nuppa Site'!F225&lt;&gt;0,'Boletins Nuppa Site'!F225,"NULL")</f>
        <v>NULL</v>
      </c>
      <c r="E225">
        <f>IF('Boletins Nuppa Site'!G225&lt;&gt;0,'Boletins Nuppa Site'!G225,"NULL")</f>
        <v>45</v>
      </c>
      <c r="F225">
        <f>IF('Boletins Nuppa Site'!H225&lt;&gt;0,'Boletins Nuppa Site'!H225,"NULL")</f>
        <v>65</v>
      </c>
      <c r="G225">
        <f>IF('Boletins Nuppa Site'!I225&lt;&gt;0,'Boletins Nuppa Site'!I225,"NULL")</f>
        <v>55</v>
      </c>
      <c r="H225">
        <f>IF('Boletins Nuppa Site'!J225&lt;&gt;0,'Boletins Nuppa Site'!J225,"NULL")</f>
        <v>55</v>
      </c>
      <c r="J225" t="str">
        <f t="shared" si="3"/>
        <v>INSERT INTO COTACAO (blt_id, pap_id, cot_prc_comum, cot_prc_min, cot_prc_max, cot_prc_med, cot_prc_mediana) VALUES (6, 30, NULL, 45, 65, 55, 55);</v>
      </c>
    </row>
    <row r="226" spans="1:10" x14ac:dyDescent="0.3">
      <c r="A226">
        <v>225</v>
      </c>
      <c r="B226">
        <v>6</v>
      </c>
      <c r="C226">
        <v>31</v>
      </c>
      <c r="D226">
        <f>IF('Boletins Nuppa Site'!F226&lt;&gt;0,'Boletins Nuppa Site'!F226,"NULL")</f>
        <v>85</v>
      </c>
      <c r="E226">
        <f>IF('Boletins Nuppa Site'!G226&lt;&gt;0,'Boletins Nuppa Site'!G226,"NULL")</f>
        <v>50</v>
      </c>
      <c r="F226">
        <f>IF('Boletins Nuppa Site'!H226&lt;&gt;0,'Boletins Nuppa Site'!H226,"NULL")</f>
        <v>85</v>
      </c>
      <c r="G226" t="str">
        <f>IF('Boletins Nuppa Site'!I226&lt;&gt;0,'Boletins Nuppa Site'!I226,"NULL")</f>
        <v>72.14</v>
      </c>
      <c r="H226">
        <f>IF('Boletins Nuppa Site'!J226&lt;&gt;0,'Boletins Nuppa Site'!J226,"NULL")</f>
        <v>75</v>
      </c>
      <c r="J226" t="str">
        <f t="shared" si="3"/>
        <v>INSERT INTO COTACAO (blt_id, pap_id, cot_prc_comum, cot_prc_min, cot_prc_max, cot_prc_med, cot_prc_mediana) VALUES (6, 31, 85, 50, 85, 72.14, 75);</v>
      </c>
    </row>
    <row r="227" spans="1:10" x14ac:dyDescent="0.3">
      <c r="A227">
        <v>226</v>
      </c>
      <c r="B227">
        <v>6</v>
      </c>
      <c r="C227">
        <v>32</v>
      </c>
      <c r="D227">
        <f>IF('Boletins Nuppa Site'!F227&lt;&gt;0,'Boletins Nuppa Site'!F227,"NULL")</f>
        <v>30</v>
      </c>
      <c r="E227">
        <f>IF('Boletins Nuppa Site'!G227&lt;&gt;0,'Boletins Nuppa Site'!G227,"NULL")</f>
        <v>20</v>
      </c>
      <c r="F227">
        <f>IF('Boletins Nuppa Site'!H227&lt;&gt;0,'Boletins Nuppa Site'!H227,"NULL")</f>
        <v>50</v>
      </c>
      <c r="G227">
        <f>IF('Boletins Nuppa Site'!I227&lt;&gt;0,'Boletins Nuppa Site'!I227,"NULL")</f>
        <v>35</v>
      </c>
      <c r="H227">
        <f>IF('Boletins Nuppa Site'!J227&lt;&gt;0,'Boletins Nuppa Site'!J227,"NULL")</f>
        <v>35</v>
      </c>
      <c r="J227" t="str">
        <f t="shared" si="3"/>
        <v>INSERT INTO COTACAO (blt_id, pap_id, cot_prc_comum, cot_prc_min, cot_prc_max, cot_prc_med, cot_prc_mediana) VALUES (6, 32, 30, 20, 50, 35, 35);</v>
      </c>
    </row>
    <row r="228" spans="1:10" x14ac:dyDescent="0.3">
      <c r="A228">
        <v>227</v>
      </c>
      <c r="B228">
        <v>6</v>
      </c>
      <c r="C228">
        <v>33</v>
      </c>
      <c r="D228">
        <f>IF('Boletins Nuppa Site'!F228&lt;&gt;0,'Boletins Nuppa Site'!F228,"NULL")</f>
        <v>80</v>
      </c>
      <c r="E228">
        <f>IF('Boletins Nuppa Site'!G228&lt;&gt;0,'Boletins Nuppa Site'!G228,"NULL")</f>
        <v>50</v>
      </c>
      <c r="F228">
        <f>IF('Boletins Nuppa Site'!H228&lt;&gt;0,'Boletins Nuppa Site'!H228,"NULL")</f>
        <v>80</v>
      </c>
      <c r="G228" t="str">
        <f>IF('Boletins Nuppa Site'!I228&lt;&gt;0,'Boletins Nuppa Site'!I228,"NULL")</f>
        <v>73.13</v>
      </c>
      <c r="H228" t="str">
        <f>IF('Boletins Nuppa Site'!J228&lt;&gt;0,'Boletins Nuppa Site'!J228,"NULL")</f>
        <v>77.5</v>
      </c>
      <c r="J228" t="str">
        <f t="shared" si="3"/>
        <v>INSERT INTO COTACAO (blt_id, pap_id, cot_prc_comum, cot_prc_min, cot_prc_max, cot_prc_med, cot_prc_mediana) VALUES (6, 33, 80, 50, 80, 73.13, 77.5);</v>
      </c>
    </row>
    <row r="229" spans="1:10" x14ac:dyDescent="0.3">
      <c r="A229">
        <v>228</v>
      </c>
      <c r="B229">
        <v>6</v>
      </c>
      <c r="C229">
        <v>34</v>
      </c>
      <c r="D229">
        <f>IF('Boletins Nuppa Site'!F229&lt;&gt;0,'Boletins Nuppa Site'!F229,"NULL")</f>
        <v>100</v>
      </c>
      <c r="E229">
        <f>IF('Boletins Nuppa Site'!G229&lt;&gt;0,'Boletins Nuppa Site'!G229,"NULL")</f>
        <v>75</v>
      </c>
      <c r="F229">
        <f>IF('Boletins Nuppa Site'!H229&lt;&gt;0,'Boletins Nuppa Site'!H229,"NULL")</f>
        <v>100</v>
      </c>
      <c r="G229">
        <f>IF('Boletins Nuppa Site'!I229&lt;&gt;0,'Boletins Nuppa Site'!I229,"NULL")</f>
        <v>90</v>
      </c>
      <c r="H229">
        <f>IF('Boletins Nuppa Site'!J229&lt;&gt;0,'Boletins Nuppa Site'!J229,"NULL")</f>
        <v>95</v>
      </c>
      <c r="J229" t="str">
        <f t="shared" si="3"/>
        <v>INSERT INTO COTACAO (blt_id, pap_id, cot_prc_comum, cot_prc_min, cot_prc_max, cot_prc_med, cot_prc_mediana) VALUES (6, 34, 100, 75, 100, 90, 95);</v>
      </c>
    </row>
    <row r="230" spans="1:10" x14ac:dyDescent="0.3">
      <c r="A230">
        <v>229</v>
      </c>
      <c r="B230">
        <v>6</v>
      </c>
      <c r="C230">
        <v>35</v>
      </c>
      <c r="D230">
        <f>IF('Boletins Nuppa Site'!F230&lt;&gt;0,'Boletins Nuppa Site'!F230,"NULL")</f>
        <v>120</v>
      </c>
      <c r="E230">
        <f>IF('Boletins Nuppa Site'!G230&lt;&gt;0,'Boletins Nuppa Site'!G230,"NULL")</f>
        <v>110</v>
      </c>
      <c r="F230">
        <f>IF('Boletins Nuppa Site'!H230&lt;&gt;0,'Boletins Nuppa Site'!H230,"NULL")</f>
        <v>130</v>
      </c>
      <c r="G230">
        <f>IF('Boletins Nuppa Site'!I230&lt;&gt;0,'Boletins Nuppa Site'!I230,"NULL")</f>
        <v>120</v>
      </c>
      <c r="H230">
        <f>IF('Boletins Nuppa Site'!J230&lt;&gt;0,'Boletins Nuppa Site'!J230,"NULL")</f>
        <v>120</v>
      </c>
      <c r="J230" t="str">
        <f t="shared" si="3"/>
        <v>INSERT INTO COTACAO (blt_id, pap_id, cot_prc_comum, cot_prc_min, cot_prc_max, cot_prc_med, cot_prc_mediana) VALUES (6, 35, 120, 110, 130, 120, 120);</v>
      </c>
    </row>
    <row r="231" spans="1:10" x14ac:dyDescent="0.3">
      <c r="A231">
        <v>230</v>
      </c>
      <c r="B231">
        <v>6</v>
      </c>
      <c r="C231">
        <v>36</v>
      </c>
      <c r="D231" t="str">
        <f>IF('Boletins Nuppa Site'!F231&lt;&gt;0,'Boletins Nuppa Site'!F231,"NULL")</f>
        <v>NULL</v>
      </c>
      <c r="E231" t="str">
        <f>IF('Boletins Nuppa Site'!G231&lt;&gt;0,'Boletins Nuppa Site'!G231,"NULL")</f>
        <v>NULL</v>
      </c>
      <c r="F231" t="str">
        <f>IF('Boletins Nuppa Site'!H231&lt;&gt;0,'Boletins Nuppa Site'!H231,"NULL")</f>
        <v>NULL</v>
      </c>
      <c r="G231" t="str">
        <f>IF('Boletins Nuppa Site'!I231&lt;&gt;0,'Boletins Nuppa Site'!I231,"NULL")</f>
        <v>NULL</v>
      </c>
      <c r="H231" t="str">
        <f>IF('Boletins Nuppa Site'!J231&lt;&gt;0,'Boletins Nuppa Site'!J231,"NULL")</f>
        <v>NULL</v>
      </c>
      <c r="J231" t="str">
        <f t="shared" si="3"/>
        <v>INSERT INTO COTACAO (blt_id, pap_id, cot_prc_comum, cot_prc_min, cot_prc_max, cot_prc_med, cot_prc_mediana) VALUES (6, 36, NULL, NULL, NULL, NULL, NULL);</v>
      </c>
    </row>
    <row r="232" spans="1:10" x14ac:dyDescent="0.3">
      <c r="A232">
        <v>231</v>
      </c>
      <c r="B232">
        <v>6</v>
      </c>
      <c r="C232">
        <v>37</v>
      </c>
      <c r="D232" t="str">
        <f>IF('Boletins Nuppa Site'!F232&lt;&gt;0,'Boletins Nuppa Site'!F232,"NULL")</f>
        <v>NULL</v>
      </c>
      <c r="E232" t="str">
        <f>IF('Boletins Nuppa Site'!G232&lt;&gt;0,'Boletins Nuppa Site'!G232,"NULL")</f>
        <v>NULL</v>
      </c>
      <c r="F232" t="str">
        <f>IF('Boletins Nuppa Site'!H232&lt;&gt;0,'Boletins Nuppa Site'!H232,"NULL")</f>
        <v>NULL</v>
      </c>
      <c r="G232" t="str">
        <f>IF('Boletins Nuppa Site'!I232&lt;&gt;0,'Boletins Nuppa Site'!I232,"NULL")</f>
        <v>NULL</v>
      </c>
      <c r="H232" t="str">
        <f>IF('Boletins Nuppa Site'!J232&lt;&gt;0,'Boletins Nuppa Site'!J232,"NULL")</f>
        <v>NULL</v>
      </c>
      <c r="J232" t="str">
        <f t="shared" si="3"/>
        <v>INSERT INTO COTACAO (blt_id, pap_id, cot_prc_comum, cot_prc_min, cot_prc_max, cot_prc_med, cot_prc_mediana) VALUES (6, 37, NULL, NULL, NULL, NULL, NULL);</v>
      </c>
    </row>
    <row r="233" spans="1:10" x14ac:dyDescent="0.3">
      <c r="A233">
        <v>232</v>
      </c>
      <c r="B233">
        <v>6</v>
      </c>
      <c r="C233">
        <v>38</v>
      </c>
      <c r="D233" t="str">
        <f>IF('Boletins Nuppa Site'!F233&lt;&gt;0,'Boletins Nuppa Site'!F233,"NULL")</f>
        <v>NULL</v>
      </c>
      <c r="E233" t="str">
        <f>IF('Boletins Nuppa Site'!G233&lt;&gt;0,'Boletins Nuppa Site'!G233,"NULL")</f>
        <v>NULL</v>
      </c>
      <c r="F233" t="str">
        <f>IF('Boletins Nuppa Site'!H233&lt;&gt;0,'Boletins Nuppa Site'!H233,"NULL")</f>
        <v>NULL</v>
      </c>
      <c r="G233" t="str">
        <f>IF('Boletins Nuppa Site'!I233&lt;&gt;0,'Boletins Nuppa Site'!I233,"NULL")</f>
        <v>NULL</v>
      </c>
      <c r="H233" t="str">
        <f>IF('Boletins Nuppa Site'!J233&lt;&gt;0,'Boletins Nuppa Site'!J233,"NULL")</f>
        <v>NULL</v>
      </c>
      <c r="J233" t="str">
        <f t="shared" si="3"/>
        <v>INSERT INTO COTACAO (blt_id, pap_id, cot_prc_comum, cot_prc_min, cot_prc_max, cot_prc_med, cot_prc_mediana) VALUES (6, 38, NULL, NULL, NULL, NULL, NULL);</v>
      </c>
    </row>
    <row r="234" spans="1:10" x14ac:dyDescent="0.3">
      <c r="A234">
        <v>233</v>
      </c>
      <c r="B234">
        <v>6</v>
      </c>
      <c r="C234">
        <v>40</v>
      </c>
      <c r="D234" t="str">
        <f>IF('Boletins Nuppa Site'!F234&lt;&gt;0,'Boletins Nuppa Site'!F234,"NULL")</f>
        <v>NULL</v>
      </c>
      <c r="E234" t="str">
        <f>IF('Boletins Nuppa Site'!G234&lt;&gt;0,'Boletins Nuppa Site'!G234,"NULL")</f>
        <v>NULL</v>
      </c>
      <c r="F234" t="str">
        <f>IF('Boletins Nuppa Site'!H234&lt;&gt;0,'Boletins Nuppa Site'!H234,"NULL")</f>
        <v>NULL</v>
      </c>
      <c r="G234" t="str">
        <f>IF('Boletins Nuppa Site'!I234&lt;&gt;0,'Boletins Nuppa Site'!I234,"NULL")</f>
        <v>NULL</v>
      </c>
      <c r="H234" t="str">
        <f>IF('Boletins Nuppa Site'!J234&lt;&gt;0,'Boletins Nuppa Site'!J234,"NULL")</f>
        <v>NULL</v>
      </c>
      <c r="J234" t="str">
        <f t="shared" si="3"/>
        <v>INSERT INTO COTACAO (blt_id, pap_id, cot_prc_comum, cot_prc_min, cot_prc_max, cot_prc_med, cot_prc_mediana) VALUES (6, 40, NULL, NULL, NULL, NULL, NULL);</v>
      </c>
    </row>
    <row r="235" spans="1:10" x14ac:dyDescent="0.3">
      <c r="A235">
        <v>234</v>
      </c>
      <c r="B235">
        <v>7</v>
      </c>
      <c r="C235">
        <v>1</v>
      </c>
      <c r="D235">
        <f>IF('Boletins Nuppa Site'!F235&lt;&gt;0,'Boletins Nuppa Site'!F235,"NULL")</f>
        <v>42</v>
      </c>
      <c r="E235">
        <f>IF('Boletins Nuppa Site'!G235&lt;&gt;0,'Boletins Nuppa Site'!G235,"NULL")</f>
        <v>36</v>
      </c>
      <c r="F235">
        <f>IF('Boletins Nuppa Site'!H235&lt;&gt;0,'Boletins Nuppa Site'!H235,"NULL")</f>
        <v>42</v>
      </c>
      <c r="G235">
        <f>IF('Boletins Nuppa Site'!I235&lt;&gt;0,'Boletins Nuppa Site'!I235,"NULL")</f>
        <v>40</v>
      </c>
      <c r="H235">
        <f>IF('Boletins Nuppa Site'!J235&lt;&gt;0,'Boletins Nuppa Site'!J235,"NULL")</f>
        <v>42</v>
      </c>
      <c r="J235" t="str">
        <f t="shared" si="3"/>
        <v>INSERT INTO COTACAO (blt_id, pap_id, cot_prc_comum, cot_prc_min, cot_prc_max, cot_prc_med, cot_prc_mediana) VALUES (7, 1, 42, 36, 42, 40, 42);</v>
      </c>
    </row>
    <row r="236" spans="1:10" x14ac:dyDescent="0.3">
      <c r="A236">
        <v>235</v>
      </c>
      <c r="B236">
        <v>7</v>
      </c>
      <c r="C236">
        <v>2</v>
      </c>
      <c r="D236">
        <f>IF('Boletins Nuppa Site'!F236&lt;&gt;0,'Boletins Nuppa Site'!F236,"NULL")</f>
        <v>60</v>
      </c>
      <c r="E236">
        <f>IF('Boletins Nuppa Site'!G236&lt;&gt;0,'Boletins Nuppa Site'!G236,"NULL")</f>
        <v>36</v>
      </c>
      <c r="F236">
        <f>IF('Boletins Nuppa Site'!H236&lt;&gt;0,'Boletins Nuppa Site'!H236,"NULL")</f>
        <v>60</v>
      </c>
      <c r="G236">
        <f>IF('Boletins Nuppa Site'!I236&lt;&gt;0,'Boletins Nuppa Site'!I236,"NULL")</f>
        <v>52</v>
      </c>
      <c r="H236">
        <f>IF('Boletins Nuppa Site'!J236&lt;&gt;0,'Boletins Nuppa Site'!J236,"NULL")</f>
        <v>60</v>
      </c>
      <c r="J236" t="str">
        <f t="shared" si="3"/>
        <v>INSERT INTO COTACAO (blt_id, pap_id, cot_prc_comum, cot_prc_min, cot_prc_max, cot_prc_med, cot_prc_mediana) VALUES (7, 2, 60, 36, 60, 52, 60);</v>
      </c>
    </row>
    <row r="237" spans="1:10" x14ac:dyDescent="0.3">
      <c r="A237">
        <v>236</v>
      </c>
      <c r="B237">
        <v>7</v>
      </c>
      <c r="C237">
        <v>3</v>
      </c>
      <c r="D237">
        <f>IF('Boletins Nuppa Site'!F237&lt;&gt;0,'Boletins Nuppa Site'!F237,"NULL")</f>
        <v>36</v>
      </c>
      <c r="E237">
        <f>IF('Boletins Nuppa Site'!G237&lt;&gt;0,'Boletins Nuppa Site'!G237,"NULL")</f>
        <v>36</v>
      </c>
      <c r="F237">
        <f>IF('Boletins Nuppa Site'!H237&lt;&gt;0,'Boletins Nuppa Site'!H237,"NULL")</f>
        <v>42</v>
      </c>
      <c r="G237">
        <f>IF('Boletins Nuppa Site'!I237&lt;&gt;0,'Boletins Nuppa Site'!I237,"NULL")</f>
        <v>38</v>
      </c>
      <c r="H237">
        <f>IF('Boletins Nuppa Site'!J237&lt;&gt;0,'Boletins Nuppa Site'!J237,"NULL")</f>
        <v>36</v>
      </c>
      <c r="J237" t="str">
        <f t="shared" si="3"/>
        <v>INSERT INTO COTACAO (blt_id, pap_id, cot_prc_comum, cot_prc_min, cot_prc_max, cot_prc_med, cot_prc_mediana) VALUES (7, 3, 36, 36, 42, 38, 36);</v>
      </c>
    </row>
    <row r="238" spans="1:10" x14ac:dyDescent="0.3">
      <c r="A238">
        <v>237</v>
      </c>
      <c r="B238">
        <v>7</v>
      </c>
      <c r="C238">
        <v>4</v>
      </c>
      <c r="D238">
        <f>IF('Boletins Nuppa Site'!F238&lt;&gt;0,'Boletins Nuppa Site'!F238,"NULL")</f>
        <v>24</v>
      </c>
      <c r="E238">
        <f>IF('Boletins Nuppa Site'!G238&lt;&gt;0,'Boletins Nuppa Site'!G238,"NULL")</f>
        <v>18</v>
      </c>
      <c r="F238">
        <f>IF('Boletins Nuppa Site'!H238&lt;&gt;0,'Boletins Nuppa Site'!H238,"NULL")</f>
        <v>24</v>
      </c>
      <c r="G238" t="str">
        <f>IF('Boletins Nuppa Site'!I238&lt;&gt;0,'Boletins Nuppa Site'!I238,"NULL")</f>
        <v>22.5</v>
      </c>
      <c r="H238">
        <f>IF('Boletins Nuppa Site'!J238&lt;&gt;0,'Boletins Nuppa Site'!J238,"NULL")</f>
        <v>24</v>
      </c>
      <c r="J238" t="str">
        <f t="shared" si="3"/>
        <v>INSERT INTO COTACAO (blt_id, pap_id, cot_prc_comum, cot_prc_min, cot_prc_max, cot_prc_med, cot_prc_mediana) VALUES (7, 4, 24, 18, 24, 22.5, 24);</v>
      </c>
    </row>
    <row r="239" spans="1:10" x14ac:dyDescent="0.3">
      <c r="A239">
        <v>238</v>
      </c>
      <c r="B239">
        <v>7</v>
      </c>
      <c r="C239">
        <v>5</v>
      </c>
      <c r="D239">
        <f>IF('Boletins Nuppa Site'!F239&lt;&gt;0,'Boletins Nuppa Site'!F239,"NULL")</f>
        <v>24</v>
      </c>
      <c r="E239">
        <f>IF('Boletins Nuppa Site'!G239&lt;&gt;0,'Boletins Nuppa Site'!G239,"NULL")</f>
        <v>18</v>
      </c>
      <c r="F239">
        <f>IF('Boletins Nuppa Site'!H239&lt;&gt;0,'Boletins Nuppa Site'!H239,"NULL")</f>
        <v>24</v>
      </c>
      <c r="G239">
        <f>IF('Boletins Nuppa Site'!I239&lt;&gt;0,'Boletins Nuppa Site'!I239,"NULL")</f>
        <v>21</v>
      </c>
      <c r="H239">
        <f>IF('Boletins Nuppa Site'!J239&lt;&gt;0,'Boletins Nuppa Site'!J239,"NULL")</f>
        <v>21</v>
      </c>
      <c r="J239" t="str">
        <f t="shared" si="3"/>
        <v>INSERT INTO COTACAO (blt_id, pap_id, cot_prc_comum, cot_prc_min, cot_prc_max, cot_prc_med, cot_prc_mediana) VALUES (7, 5, 24, 18, 24, 21, 21);</v>
      </c>
    </row>
    <row r="240" spans="1:10" x14ac:dyDescent="0.3">
      <c r="A240">
        <v>239</v>
      </c>
      <c r="B240">
        <v>7</v>
      </c>
      <c r="C240">
        <v>6</v>
      </c>
      <c r="D240" t="str">
        <f>IF('Boletins Nuppa Site'!F240&lt;&gt;0,'Boletins Nuppa Site'!F240,"NULL")</f>
        <v>NULL</v>
      </c>
      <c r="E240">
        <f>IF('Boletins Nuppa Site'!G240&lt;&gt;0,'Boletins Nuppa Site'!G240,"NULL")</f>
        <v>42</v>
      </c>
      <c r="F240">
        <f>IF('Boletins Nuppa Site'!H240&lt;&gt;0,'Boletins Nuppa Site'!H240,"NULL")</f>
        <v>48</v>
      </c>
      <c r="G240">
        <f>IF('Boletins Nuppa Site'!I240&lt;&gt;0,'Boletins Nuppa Site'!I240,"NULL")</f>
        <v>45</v>
      </c>
      <c r="H240">
        <f>IF('Boletins Nuppa Site'!J240&lt;&gt;0,'Boletins Nuppa Site'!J240,"NULL")</f>
        <v>45</v>
      </c>
      <c r="J240" t="str">
        <f t="shared" si="3"/>
        <v>INSERT INTO COTACAO (blt_id, pap_id, cot_prc_comum, cot_prc_min, cot_prc_max, cot_prc_med, cot_prc_mediana) VALUES (7, 6, NULL, 42, 48, 45, 45);</v>
      </c>
    </row>
    <row r="241" spans="1:10" x14ac:dyDescent="0.3">
      <c r="A241">
        <v>240</v>
      </c>
      <c r="B241">
        <v>7</v>
      </c>
      <c r="C241">
        <v>7</v>
      </c>
      <c r="D241">
        <f>IF('Boletins Nuppa Site'!F241&lt;&gt;0,'Boletins Nuppa Site'!F241,"NULL")</f>
        <v>60</v>
      </c>
      <c r="E241">
        <f>IF('Boletins Nuppa Site'!G241&lt;&gt;0,'Boletins Nuppa Site'!G241,"NULL")</f>
        <v>60</v>
      </c>
      <c r="F241">
        <f>IF('Boletins Nuppa Site'!H241&lt;&gt;0,'Boletins Nuppa Site'!H241,"NULL")</f>
        <v>60</v>
      </c>
      <c r="G241">
        <f>IF('Boletins Nuppa Site'!I241&lt;&gt;0,'Boletins Nuppa Site'!I241,"NULL")</f>
        <v>60</v>
      </c>
      <c r="H241">
        <f>IF('Boletins Nuppa Site'!J241&lt;&gt;0,'Boletins Nuppa Site'!J241,"NULL")</f>
        <v>60</v>
      </c>
      <c r="J241" t="str">
        <f t="shared" si="3"/>
        <v>INSERT INTO COTACAO (blt_id, pap_id, cot_prc_comum, cot_prc_min, cot_prc_max, cot_prc_med, cot_prc_mediana) VALUES (7, 7, 60, 60, 60, 60, 60);</v>
      </c>
    </row>
    <row r="242" spans="1:10" x14ac:dyDescent="0.3">
      <c r="A242">
        <v>241</v>
      </c>
      <c r="B242">
        <v>7</v>
      </c>
      <c r="C242">
        <v>8</v>
      </c>
      <c r="D242">
        <f>IF('Boletins Nuppa Site'!F242&lt;&gt;0,'Boletins Nuppa Site'!F242,"NULL")</f>
        <v>60</v>
      </c>
      <c r="E242">
        <f>IF('Boletins Nuppa Site'!G242&lt;&gt;0,'Boletins Nuppa Site'!G242,"NULL")</f>
        <v>60</v>
      </c>
      <c r="F242">
        <f>IF('Boletins Nuppa Site'!H242&lt;&gt;0,'Boletins Nuppa Site'!H242,"NULL")</f>
        <v>72</v>
      </c>
      <c r="G242">
        <f>IF('Boletins Nuppa Site'!I242&lt;&gt;0,'Boletins Nuppa Site'!I242,"NULL")</f>
        <v>64</v>
      </c>
      <c r="H242">
        <f>IF('Boletins Nuppa Site'!J242&lt;&gt;0,'Boletins Nuppa Site'!J242,"NULL")</f>
        <v>60</v>
      </c>
      <c r="J242" t="str">
        <f t="shared" si="3"/>
        <v>INSERT INTO COTACAO (blt_id, pap_id, cot_prc_comum, cot_prc_min, cot_prc_max, cot_prc_med, cot_prc_mediana) VALUES (7, 8, 60, 60, 72, 64, 60);</v>
      </c>
    </row>
    <row r="243" spans="1:10" x14ac:dyDescent="0.3">
      <c r="A243">
        <v>242</v>
      </c>
      <c r="B243">
        <v>7</v>
      </c>
      <c r="C243">
        <v>9</v>
      </c>
      <c r="D243">
        <f>IF('Boletins Nuppa Site'!F243&lt;&gt;0,'Boletins Nuppa Site'!F243,"NULL")</f>
        <v>15</v>
      </c>
      <c r="E243">
        <f>IF('Boletins Nuppa Site'!G243&lt;&gt;0,'Boletins Nuppa Site'!G243,"NULL")</f>
        <v>15</v>
      </c>
      <c r="F243">
        <f>IF('Boletins Nuppa Site'!H243&lt;&gt;0,'Boletins Nuppa Site'!H243,"NULL")</f>
        <v>24</v>
      </c>
      <c r="G243">
        <f>IF('Boletins Nuppa Site'!I243&lt;&gt;0,'Boletins Nuppa Site'!I243,"NULL")</f>
        <v>18</v>
      </c>
      <c r="H243">
        <f>IF('Boletins Nuppa Site'!J243&lt;&gt;0,'Boletins Nuppa Site'!J243,"NULL")</f>
        <v>15</v>
      </c>
      <c r="J243" t="str">
        <f t="shared" si="3"/>
        <v>INSERT INTO COTACAO (blt_id, pap_id, cot_prc_comum, cot_prc_min, cot_prc_max, cot_prc_med, cot_prc_mediana) VALUES (7, 9, 15, 15, 24, 18, 15);</v>
      </c>
    </row>
    <row r="244" spans="1:10" x14ac:dyDescent="0.3">
      <c r="A244">
        <v>243</v>
      </c>
      <c r="B244">
        <v>7</v>
      </c>
      <c r="C244">
        <v>10</v>
      </c>
      <c r="D244">
        <f>IF('Boletins Nuppa Site'!F244&lt;&gt;0,'Boletins Nuppa Site'!F244,"NULL")</f>
        <v>60</v>
      </c>
      <c r="E244">
        <f>IF('Boletins Nuppa Site'!G244&lt;&gt;0,'Boletins Nuppa Site'!G244,"NULL")</f>
        <v>60</v>
      </c>
      <c r="F244">
        <f>IF('Boletins Nuppa Site'!H244&lt;&gt;0,'Boletins Nuppa Site'!H244,"NULL")</f>
        <v>60</v>
      </c>
      <c r="G244">
        <f>IF('Boletins Nuppa Site'!I244&lt;&gt;0,'Boletins Nuppa Site'!I244,"NULL")</f>
        <v>60</v>
      </c>
      <c r="H244">
        <f>IF('Boletins Nuppa Site'!J244&lt;&gt;0,'Boletins Nuppa Site'!J244,"NULL")</f>
        <v>60</v>
      </c>
      <c r="J244" t="str">
        <f t="shared" si="3"/>
        <v>INSERT INTO COTACAO (blt_id, pap_id, cot_prc_comum, cot_prc_min, cot_prc_max, cot_prc_med, cot_prc_mediana) VALUES (7, 10, 60, 60, 60, 60, 60);</v>
      </c>
    </row>
    <row r="245" spans="1:10" x14ac:dyDescent="0.3">
      <c r="A245">
        <v>244</v>
      </c>
      <c r="B245">
        <v>7</v>
      </c>
      <c r="C245">
        <v>11</v>
      </c>
      <c r="D245">
        <f>IF('Boletins Nuppa Site'!F245&lt;&gt;0,'Boletins Nuppa Site'!F245,"NULL")</f>
        <v>24</v>
      </c>
      <c r="E245">
        <f>IF('Boletins Nuppa Site'!G245&lt;&gt;0,'Boletins Nuppa Site'!G245,"NULL")</f>
        <v>24</v>
      </c>
      <c r="F245">
        <f>IF('Boletins Nuppa Site'!H245&lt;&gt;0,'Boletins Nuppa Site'!H245,"NULL")</f>
        <v>24</v>
      </c>
      <c r="G245">
        <f>IF('Boletins Nuppa Site'!I245&lt;&gt;0,'Boletins Nuppa Site'!I245,"NULL")</f>
        <v>24</v>
      </c>
      <c r="H245">
        <f>IF('Boletins Nuppa Site'!J245&lt;&gt;0,'Boletins Nuppa Site'!J245,"NULL")</f>
        <v>24</v>
      </c>
      <c r="J245" t="str">
        <f t="shared" si="3"/>
        <v>INSERT INTO COTACAO (blt_id, pap_id, cot_prc_comum, cot_prc_min, cot_prc_max, cot_prc_med, cot_prc_mediana) VALUES (7, 11, 24, 24, 24, 24, 24);</v>
      </c>
    </row>
    <row r="246" spans="1:10" x14ac:dyDescent="0.3">
      <c r="A246">
        <v>245</v>
      </c>
      <c r="B246">
        <v>7</v>
      </c>
      <c r="C246">
        <v>12</v>
      </c>
      <c r="D246">
        <f>IF('Boletins Nuppa Site'!F246&lt;&gt;0,'Boletins Nuppa Site'!F246,"NULL")</f>
        <v>42</v>
      </c>
      <c r="E246">
        <f>IF('Boletins Nuppa Site'!G246&lt;&gt;0,'Boletins Nuppa Site'!G246,"NULL")</f>
        <v>42</v>
      </c>
      <c r="F246">
        <f>IF('Boletins Nuppa Site'!H246&lt;&gt;0,'Boletins Nuppa Site'!H246,"NULL")</f>
        <v>42</v>
      </c>
      <c r="G246">
        <f>IF('Boletins Nuppa Site'!I246&lt;&gt;0,'Boletins Nuppa Site'!I246,"NULL")</f>
        <v>42</v>
      </c>
      <c r="H246">
        <f>IF('Boletins Nuppa Site'!J246&lt;&gt;0,'Boletins Nuppa Site'!J246,"NULL")</f>
        <v>42</v>
      </c>
      <c r="J246" t="str">
        <f t="shared" si="3"/>
        <v>INSERT INTO COTACAO (blt_id, pap_id, cot_prc_comum, cot_prc_min, cot_prc_max, cot_prc_med, cot_prc_mediana) VALUES (7, 12, 42, 42, 42, 42, 42);</v>
      </c>
    </row>
    <row r="247" spans="1:10" x14ac:dyDescent="0.3">
      <c r="A247">
        <v>246</v>
      </c>
      <c r="B247">
        <v>7</v>
      </c>
      <c r="C247">
        <v>13</v>
      </c>
      <c r="D247" t="str">
        <f>IF('Boletins Nuppa Site'!F247&lt;&gt;0,'Boletins Nuppa Site'!F247,"NULL")</f>
        <v>NULL</v>
      </c>
      <c r="E247">
        <f>IF('Boletins Nuppa Site'!G247&lt;&gt;0,'Boletins Nuppa Site'!G247,"NULL")</f>
        <v>42</v>
      </c>
      <c r="F247">
        <f>IF('Boletins Nuppa Site'!H247&lt;&gt;0,'Boletins Nuppa Site'!H247,"NULL")</f>
        <v>60</v>
      </c>
      <c r="G247">
        <f>IF('Boletins Nuppa Site'!I247&lt;&gt;0,'Boletins Nuppa Site'!I247,"NULL")</f>
        <v>51</v>
      </c>
      <c r="H247">
        <f>IF('Boletins Nuppa Site'!J247&lt;&gt;0,'Boletins Nuppa Site'!J247,"NULL")</f>
        <v>51</v>
      </c>
      <c r="J247" t="str">
        <f t="shared" si="3"/>
        <v>INSERT INTO COTACAO (blt_id, pap_id, cot_prc_comum, cot_prc_min, cot_prc_max, cot_prc_med, cot_prc_mediana) VALUES (7, 13, NULL, 42, 60, 51, 51);</v>
      </c>
    </row>
    <row r="248" spans="1:10" x14ac:dyDescent="0.3">
      <c r="A248">
        <v>247</v>
      </c>
      <c r="B248">
        <v>7</v>
      </c>
      <c r="C248">
        <v>14</v>
      </c>
      <c r="D248">
        <f>IF('Boletins Nuppa Site'!F248&lt;&gt;0,'Boletins Nuppa Site'!F248,"NULL")</f>
        <v>36</v>
      </c>
      <c r="E248">
        <f>IF('Boletins Nuppa Site'!G248&lt;&gt;0,'Boletins Nuppa Site'!G248,"NULL")</f>
        <v>36</v>
      </c>
      <c r="F248">
        <f>IF('Boletins Nuppa Site'!H248&lt;&gt;0,'Boletins Nuppa Site'!H248,"NULL")</f>
        <v>48</v>
      </c>
      <c r="G248">
        <f>IF('Boletins Nuppa Site'!I248&lt;&gt;0,'Boletins Nuppa Site'!I248,"NULL")</f>
        <v>40</v>
      </c>
      <c r="H248">
        <f>IF('Boletins Nuppa Site'!J248&lt;&gt;0,'Boletins Nuppa Site'!J248,"NULL")</f>
        <v>36</v>
      </c>
      <c r="J248" t="str">
        <f t="shared" si="3"/>
        <v>INSERT INTO COTACAO (blt_id, pap_id, cot_prc_comum, cot_prc_min, cot_prc_max, cot_prc_med, cot_prc_mediana) VALUES (7, 14, 36, 36, 48, 40, 36);</v>
      </c>
    </row>
    <row r="249" spans="1:10" x14ac:dyDescent="0.3">
      <c r="A249">
        <v>248</v>
      </c>
      <c r="B249">
        <v>7</v>
      </c>
      <c r="C249">
        <v>15</v>
      </c>
      <c r="D249">
        <f>IF('Boletins Nuppa Site'!F249&lt;&gt;0,'Boletins Nuppa Site'!F249,"NULL")</f>
        <v>24</v>
      </c>
      <c r="E249">
        <f>IF('Boletins Nuppa Site'!G249&lt;&gt;0,'Boletins Nuppa Site'!G249,"NULL")</f>
        <v>18</v>
      </c>
      <c r="F249">
        <f>IF('Boletins Nuppa Site'!H249&lt;&gt;0,'Boletins Nuppa Site'!H249,"NULL")</f>
        <v>30</v>
      </c>
      <c r="G249">
        <f>IF('Boletins Nuppa Site'!I249&lt;&gt;0,'Boletins Nuppa Site'!I249,"NULL")</f>
        <v>24</v>
      </c>
      <c r="H249">
        <f>IF('Boletins Nuppa Site'!J249&lt;&gt;0,'Boletins Nuppa Site'!J249,"NULL")</f>
        <v>24</v>
      </c>
      <c r="J249" t="str">
        <f t="shared" si="3"/>
        <v>INSERT INTO COTACAO (blt_id, pap_id, cot_prc_comum, cot_prc_min, cot_prc_max, cot_prc_med, cot_prc_mediana) VALUES (7, 15, 24, 18, 30, 24, 24);</v>
      </c>
    </row>
    <row r="250" spans="1:10" x14ac:dyDescent="0.3">
      <c r="A250">
        <v>249</v>
      </c>
      <c r="B250">
        <v>7</v>
      </c>
      <c r="C250">
        <v>16</v>
      </c>
      <c r="D250">
        <f>IF('Boletins Nuppa Site'!F250&lt;&gt;0,'Boletins Nuppa Site'!F250,"NULL")</f>
        <v>42</v>
      </c>
      <c r="E250">
        <f>IF('Boletins Nuppa Site'!G250&lt;&gt;0,'Boletins Nuppa Site'!G250,"NULL")</f>
        <v>36</v>
      </c>
      <c r="F250">
        <f>IF('Boletins Nuppa Site'!H250&lt;&gt;0,'Boletins Nuppa Site'!H250,"NULL")</f>
        <v>42</v>
      </c>
      <c r="G250">
        <f>IF('Boletins Nuppa Site'!I250&lt;&gt;0,'Boletins Nuppa Site'!I250,"NULL")</f>
        <v>39</v>
      </c>
      <c r="H250">
        <f>IF('Boletins Nuppa Site'!J250&lt;&gt;0,'Boletins Nuppa Site'!J250,"NULL")</f>
        <v>39</v>
      </c>
      <c r="J250" t="str">
        <f t="shared" si="3"/>
        <v>INSERT INTO COTACAO (blt_id, pap_id, cot_prc_comum, cot_prc_min, cot_prc_max, cot_prc_med, cot_prc_mediana) VALUES (7, 16, 42, 36, 42, 39, 39);</v>
      </c>
    </row>
    <row r="251" spans="1:10" x14ac:dyDescent="0.3">
      <c r="A251">
        <v>250</v>
      </c>
      <c r="B251">
        <v>7</v>
      </c>
      <c r="C251">
        <v>17</v>
      </c>
      <c r="D251">
        <f>IF('Boletins Nuppa Site'!F251&lt;&gt;0,'Boletins Nuppa Site'!F251,"NULL")</f>
        <v>5</v>
      </c>
      <c r="E251" t="str">
        <f>IF('Boletins Nuppa Site'!G251&lt;&gt;0,'Boletins Nuppa Site'!G251,"NULL")</f>
        <v>3.5</v>
      </c>
      <c r="F251">
        <f>IF('Boletins Nuppa Site'!H251&lt;&gt;0,'Boletins Nuppa Site'!H251,"NULL")</f>
        <v>5</v>
      </c>
      <c r="G251" t="str">
        <f>IF('Boletins Nuppa Site'!I251&lt;&gt;0,'Boletins Nuppa Site'!I251,"NULL")</f>
        <v>4.38</v>
      </c>
      <c r="H251" t="str">
        <f>IF('Boletins Nuppa Site'!J251&lt;&gt;0,'Boletins Nuppa Site'!J251,"NULL")</f>
        <v>4.5</v>
      </c>
      <c r="J251" t="str">
        <f t="shared" si="3"/>
        <v>INSERT INTO COTACAO (blt_id, pap_id, cot_prc_comum, cot_prc_min, cot_prc_max, cot_prc_med, cot_prc_mediana) VALUES (7, 17, 5, 3.5, 5, 4.38, 4.5);</v>
      </c>
    </row>
    <row r="252" spans="1:10" x14ac:dyDescent="0.3">
      <c r="A252">
        <v>251</v>
      </c>
      <c r="B252">
        <v>7</v>
      </c>
      <c r="C252">
        <v>18</v>
      </c>
      <c r="D252" t="str">
        <f>IF('Boletins Nuppa Site'!F252&lt;&gt;0,'Boletins Nuppa Site'!F252,"NULL")</f>
        <v>NULL</v>
      </c>
      <c r="E252">
        <f>IF('Boletins Nuppa Site'!G252&lt;&gt;0,'Boletins Nuppa Site'!G252,"NULL")</f>
        <v>18</v>
      </c>
      <c r="F252">
        <f>IF('Boletins Nuppa Site'!H252&lt;&gt;0,'Boletins Nuppa Site'!H252,"NULL")</f>
        <v>25</v>
      </c>
      <c r="G252">
        <f>IF('Boletins Nuppa Site'!I252&lt;&gt;0,'Boletins Nuppa Site'!I252,"NULL")</f>
        <v>21</v>
      </c>
      <c r="H252">
        <f>IF('Boletins Nuppa Site'!J252&lt;&gt;0,'Boletins Nuppa Site'!J252,"NULL")</f>
        <v>20</v>
      </c>
      <c r="J252" t="str">
        <f t="shared" si="3"/>
        <v>INSERT INTO COTACAO (blt_id, pap_id, cot_prc_comum, cot_prc_min, cot_prc_max, cot_prc_med, cot_prc_mediana) VALUES (7, 18, NULL, 18, 25, 21, 20);</v>
      </c>
    </row>
    <row r="253" spans="1:10" x14ac:dyDescent="0.3">
      <c r="A253">
        <v>252</v>
      </c>
      <c r="B253">
        <v>7</v>
      </c>
      <c r="C253">
        <v>19</v>
      </c>
      <c r="D253">
        <f>IF('Boletins Nuppa Site'!F253&lt;&gt;0,'Boletins Nuppa Site'!F253,"NULL")</f>
        <v>25</v>
      </c>
      <c r="E253">
        <f>IF('Boletins Nuppa Site'!G253&lt;&gt;0,'Boletins Nuppa Site'!G253,"NULL")</f>
        <v>25</v>
      </c>
      <c r="F253">
        <f>IF('Boletins Nuppa Site'!H253&lt;&gt;0,'Boletins Nuppa Site'!H253,"NULL")</f>
        <v>30</v>
      </c>
      <c r="G253" t="str">
        <f>IF('Boletins Nuppa Site'!I253&lt;&gt;0,'Boletins Nuppa Site'!I253,"NULL")</f>
        <v>26.67</v>
      </c>
      <c r="H253">
        <f>IF('Boletins Nuppa Site'!J253&lt;&gt;0,'Boletins Nuppa Site'!J253,"NULL")</f>
        <v>25</v>
      </c>
      <c r="J253" t="str">
        <f t="shared" si="3"/>
        <v>INSERT INTO COTACAO (blt_id, pap_id, cot_prc_comum, cot_prc_min, cot_prc_max, cot_prc_med, cot_prc_mediana) VALUES (7, 19, 25, 25, 30, 26.67, 25);</v>
      </c>
    </row>
    <row r="254" spans="1:10" x14ac:dyDescent="0.3">
      <c r="A254">
        <v>253</v>
      </c>
      <c r="B254">
        <v>7</v>
      </c>
      <c r="C254">
        <v>21</v>
      </c>
      <c r="D254">
        <f>IF('Boletins Nuppa Site'!F254&lt;&gt;0,'Boletins Nuppa Site'!F254,"NULL")</f>
        <v>60</v>
      </c>
      <c r="E254">
        <f>IF('Boletins Nuppa Site'!G254&lt;&gt;0,'Boletins Nuppa Site'!G254,"NULL")</f>
        <v>40</v>
      </c>
      <c r="F254">
        <f>IF('Boletins Nuppa Site'!H254&lt;&gt;0,'Boletins Nuppa Site'!H254,"NULL")</f>
        <v>60</v>
      </c>
      <c r="G254" t="str">
        <f>IF('Boletins Nuppa Site'!I254&lt;&gt;0,'Boletins Nuppa Site'!I254,"NULL")</f>
        <v>52.5</v>
      </c>
      <c r="H254">
        <f>IF('Boletins Nuppa Site'!J254&lt;&gt;0,'Boletins Nuppa Site'!J254,"NULL")</f>
        <v>55</v>
      </c>
      <c r="J254" t="str">
        <f t="shared" si="3"/>
        <v>INSERT INTO COTACAO (blt_id, pap_id, cot_prc_comum, cot_prc_min, cot_prc_max, cot_prc_med, cot_prc_mediana) VALUES (7, 21, 60, 40, 60, 52.5, 55);</v>
      </c>
    </row>
    <row r="255" spans="1:10" x14ac:dyDescent="0.3">
      <c r="A255">
        <v>254</v>
      </c>
      <c r="B255">
        <v>7</v>
      </c>
      <c r="C255">
        <v>22</v>
      </c>
      <c r="D255">
        <f>IF('Boletins Nuppa Site'!F255&lt;&gt;0,'Boletins Nuppa Site'!F255,"NULL")</f>
        <v>50</v>
      </c>
      <c r="E255">
        <f>IF('Boletins Nuppa Site'!G255&lt;&gt;0,'Boletins Nuppa Site'!G255,"NULL")</f>
        <v>45</v>
      </c>
      <c r="F255">
        <f>IF('Boletins Nuppa Site'!H255&lt;&gt;0,'Boletins Nuppa Site'!H255,"NULL")</f>
        <v>50</v>
      </c>
      <c r="G255" t="str">
        <f>IF('Boletins Nuppa Site'!I255&lt;&gt;0,'Boletins Nuppa Site'!I255,"NULL")</f>
        <v>48.75</v>
      </c>
      <c r="H255">
        <f>IF('Boletins Nuppa Site'!J255&lt;&gt;0,'Boletins Nuppa Site'!J255,"NULL")</f>
        <v>50</v>
      </c>
      <c r="J255" t="str">
        <f t="shared" si="3"/>
        <v>INSERT INTO COTACAO (blt_id, pap_id, cot_prc_comum, cot_prc_min, cot_prc_max, cot_prc_med, cot_prc_mediana) VALUES (7, 22, 50, 45, 50, 48.75, 50);</v>
      </c>
    </row>
    <row r="256" spans="1:10" x14ac:dyDescent="0.3">
      <c r="A256">
        <v>255</v>
      </c>
      <c r="B256">
        <v>7</v>
      </c>
      <c r="C256">
        <v>23</v>
      </c>
      <c r="D256">
        <f>IF('Boletins Nuppa Site'!F256&lt;&gt;0,'Boletins Nuppa Site'!F256,"NULL")</f>
        <v>50</v>
      </c>
      <c r="E256">
        <f>IF('Boletins Nuppa Site'!G256&lt;&gt;0,'Boletins Nuppa Site'!G256,"NULL")</f>
        <v>35</v>
      </c>
      <c r="F256">
        <f>IF('Boletins Nuppa Site'!H256&lt;&gt;0,'Boletins Nuppa Site'!H256,"NULL")</f>
        <v>50</v>
      </c>
      <c r="G256">
        <f>IF('Boletins Nuppa Site'!I256&lt;&gt;0,'Boletins Nuppa Site'!I256,"NULL")</f>
        <v>45</v>
      </c>
      <c r="H256" t="str">
        <f>IF('Boletins Nuppa Site'!J256&lt;&gt;0,'Boletins Nuppa Site'!J256,"NULL")</f>
        <v>47.5</v>
      </c>
      <c r="J256" t="str">
        <f t="shared" si="3"/>
        <v>INSERT INTO COTACAO (blt_id, pap_id, cot_prc_comum, cot_prc_min, cot_prc_max, cot_prc_med, cot_prc_mediana) VALUES (7, 23, 50, 35, 50, 45, 47.5);</v>
      </c>
    </row>
    <row r="257" spans="1:10" x14ac:dyDescent="0.3">
      <c r="A257">
        <v>256</v>
      </c>
      <c r="B257">
        <v>7</v>
      </c>
      <c r="C257">
        <v>24</v>
      </c>
      <c r="D257" t="str">
        <f>IF('Boletins Nuppa Site'!F257&lt;&gt;0,'Boletins Nuppa Site'!F257,"NULL")</f>
        <v>NULL</v>
      </c>
      <c r="E257">
        <f>IF('Boletins Nuppa Site'!G257&lt;&gt;0,'Boletins Nuppa Site'!G257,"NULL")</f>
        <v>60</v>
      </c>
      <c r="F257">
        <f>IF('Boletins Nuppa Site'!H257&lt;&gt;0,'Boletins Nuppa Site'!H257,"NULL")</f>
        <v>60</v>
      </c>
      <c r="G257">
        <f>IF('Boletins Nuppa Site'!I257&lt;&gt;0,'Boletins Nuppa Site'!I257,"NULL")</f>
        <v>60</v>
      </c>
      <c r="H257">
        <f>IF('Boletins Nuppa Site'!J257&lt;&gt;0,'Boletins Nuppa Site'!J257,"NULL")</f>
        <v>60</v>
      </c>
      <c r="J257" t="str">
        <f t="shared" si="3"/>
        <v>INSERT INTO COTACAO (blt_id, pap_id, cot_prc_comum, cot_prc_min, cot_prc_max, cot_prc_med, cot_prc_mediana) VALUES (7, 24, NULL, 60, 60, 60, 60);</v>
      </c>
    </row>
    <row r="258" spans="1:10" x14ac:dyDescent="0.3">
      <c r="A258">
        <v>257</v>
      </c>
      <c r="B258">
        <v>7</v>
      </c>
      <c r="C258">
        <v>25</v>
      </c>
      <c r="D258">
        <f>IF('Boletins Nuppa Site'!F258&lt;&gt;0,'Boletins Nuppa Site'!F258,"NULL")</f>
        <v>60</v>
      </c>
      <c r="E258">
        <f>IF('Boletins Nuppa Site'!G258&lt;&gt;0,'Boletins Nuppa Site'!G258,"NULL")</f>
        <v>50</v>
      </c>
      <c r="F258">
        <f>IF('Boletins Nuppa Site'!H258&lt;&gt;0,'Boletins Nuppa Site'!H258,"NULL")</f>
        <v>70</v>
      </c>
      <c r="G258">
        <f>IF('Boletins Nuppa Site'!I258&lt;&gt;0,'Boletins Nuppa Site'!I258,"NULL")</f>
        <v>60</v>
      </c>
      <c r="H258">
        <f>IF('Boletins Nuppa Site'!J258&lt;&gt;0,'Boletins Nuppa Site'!J258,"NULL")</f>
        <v>60</v>
      </c>
      <c r="J258" t="str">
        <f t="shared" si="3"/>
        <v>INSERT INTO COTACAO (blt_id, pap_id, cot_prc_comum, cot_prc_min, cot_prc_max, cot_prc_med, cot_prc_mediana) VALUES (7, 25, 60, 50, 70, 60, 60);</v>
      </c>
    </row>
    <row r="259" spans="1:10" x14ac:dyDescent="0.3">
      <c r="A259">
        <v>258</v>
      </c>
      <c r="B259">
        <v>7</v>
      </c>
      <c r="C259">
        <v>26</v>
      </c>
      <c r="D259">
        <f>IF('Boletins Nuppa Site'!F259&lt;&gt;0,'Boletins Nuppa Site'!F259,"NULL")</f>
        <v>60</v>
      </c>
      <c r="E259">
        <f>IF('Boletins Nuppa Site'!G259&lt;&gt;0,'Boletins Nuppa Site'!G259,"NULL")</f>
        <v>40</v>
      </c>
      <c r="F259">
        <f>IF('Boletins Nuppa Site'!H259&lt;&gt;0,'Boletins Nuppa Site'!H259,"NULL")</f>
        <v>60</v>
      </c>
      <c r="G259">
        <f>IF('Boletins Nuppa Site'!I259&lt;&gt;0,'Boletins Nuppa Site'!I259,"NULL")</f>
        <v>54</v>
      </c>
      <c r="H259">
        <f>IF('Boletins Nuppa Site'!J259&lt;&gt;0,'Boletins Nuppa Site'!J259,"NULL")</f>
        <v>60</v>
      </c>
      <c r="J259" t="str">
        <f t="shared" ref="J259:J322" si="4">"INSERT INTO COTACAO (blt_id, pap_id, cot_prc_comum, cot_prc_min, cot_prc_max, cot_prc_med, cot_prc_mediana) VALUES ("&amp;B259&amp;", "&amp;C259&amp;", "&amp;D259&amp;", "&amp;E259&amp;", "&amp;F259&amp;", "&amp;G259&amp;", "&amp;H259&amp;");"</f>
        <v>INSERT INTO COTACAO (blt_id, pap_id, cot_prc_comum, cot_prc_min, cot_prc_max, cot_prc_med, cot_prc_mediana) VALUES (7, 26, 60, 40, 60, 54, 60);</v>
      </c>
    </row>
    <row r="260" spans="1:10" x14ac:dyDescent="0.3">
      <c r="A260">
        <v>259</v>
      </c>
      <c r="B260">
        <v>7</v>
      </c>
      <c r="C260">
        <v>27</v>
      </c>
      <c r="D260">
        <f>IF('Boletins Nuppa Site'!F260&lt;&gt;0,'Boletins Nuppa Site'!F260,"NULL")</f>
        <v>50</v>
      </c>
      <c r="E260">
        <f>IF('Boletins Nuppa Site'!G260&lt;&gt;0,'Boletins Nuppa Site'!G260,"NULL")</f>
        <v>35</v>
      </c>
      <c r="F260">
        <f>IF('Boletins Nuppa Site'!H260&lt;&gt;0,'Boletins Nuppa Site'!H260,"NULL")</f>
        <v>50</v>
      </c>
      <c r="G260">
        <f>IF('Boletins Nuppa Site'!I260&lt;&gt;0,'Boletins Nuppa Site'!I260,"NULL")</f>
        <v>46</v>
      </c>
      <c r="H260">
        <f>IF('Boletins Nuppa Site'!J260&lt;&gt;0,'Boletins Nuppa Site'!J260,"NULL")</f>
        <v>50</v>
      </c>
      <c r="J260" t="str">
        <f t="shared" si="4"/>
        <v>INSERT INTO COTACAO (blt_id, pap_id, cot_prc_comum, cot_prc_min, cot_prc_max, cot_prc_med, cot_prc_mediana) VALUES (7, 27, 50, 35, 50, 46, 50);</v>
      </c>
    </row>
    <row r="261" spans="1:10" x14ac:dyDescent="0.3">
      <c r="A261">
        <v>260</v>
      </c>
      <c r="B261">
        <v>7</v>
      </c>
      <c r="C261">
        <v>28</v>
      </c>
      <c r="D261">
        <f>IF('Boletins Nuppa Site'!F261&lt;&gt;0,'Boletins Nuppa Site'!F261,"NULL")</f>
        <v>70</v>
      </c>
      <c r="E261">
        <f>IF('Boletins Nuppa Site'!G261&lt;&gt;0,'Boletins Nuppa Site'!G261,"NULL")</f>
        <v>50</v>
      </c>
      <c r="F261">
        <f>IF('Boletins Nuppa Site'!H261&lt;&gt;0,'Boletins Nuppa Site'!H261,"NULL")</f>
        <v>70</v>
      </c>
      <c r="G261" t="str">
        <f>IF('Boletins Nuppa Site'!I261&lt;&gt;0,'Boletins Nuppa Site'!I261,"NULL")</f>
        <v>62.5</v>
      </c>
      <c r="H261">
        <f>IF('Boletins Nuppa Site'!J261&lt;&gt;0,'Boletins Nuppa Site'!J261,"NULL")</f>
        <v>65</v>
      </c>
      <c r="J261" t="str">
        <f t="shared" si="4"/>
        <v>INSERT INTO COTACAO (blt_id, pap_id, cot_prc_comum, cot_prc_min, cot_prc_max, cot_prc_med, cot_prc_mediana) VALUES (7, 28, 70, 50, 70, 62.5, 65);</v>
      </c>
    </row>
    <row r="262" spans="1:10" x14ac:dyDescent="0.3">
      <c r="A262">
        <v>261</v>
      </c>
      <c r="B262">
        <v>7</v>
      </c>
      <c r="C262">
        <v>29</v>
      </c>
      <c r="D262" t="str">
        <f>IF('Boletins Nuppa Site'!F262&lt;&gt;0,'Boletins Nuppa Site'!F262,"NULL")</f>
        <v>NULL</v>
      </c>
      <c r="E262">
        <f>IF('Boletins Nuppa Site'!G262&lt;&gt;0,'Boletins Nuppa Site'!G262,"NULL")</f>
        <v>50</v>
      </c>
      <c r="F262">
        <f>IF('Boletins Nuppa Site'!H262&lt;&gt;0,'Boletins Nuppa Site'!H262,"NULL")</f>
        <v>55</v>
      </c>
      <c r="G262" t="str">
        <f>IF('Boletins Nuppa Site'!I262&lt;&gt;0,'Boletins Nuppa Site'!I262,"NULL")</f>
        <v>52.5</v>
      </c>
      <c r="H262" t="str">
        <f>IF('Boletins Nuppa Site'!J262&lt;&gt;0,'Boletins Nuppa Site'!J262,"NULL")</f>
        <v>52.5</v>
      </c>
      <c r="J262" t="str">
        <f t="shared" si="4"/>
        <v>INSERT INTO COTACAO (blt_id, pap_id, cot_prc_comum, cot_prc_min, cot_prc_max, cot_prc_med, cot_prc_mediana) VALUES (7, 29, NULL, 50, 55, 52.5, 52.5);</v>
      </c>
    </row>
    <row r="263" spans="1:10" x14ac:dyDescent="0.3">
      <c r="A263">
        <v>262</v>
      </c>
      <c r="B263">
        <v>7</v>
      </c>
      <c r="C263">
        <v>30</v>
      </c>
      <c r="D263" t="str">
        <f>IF('Boletins Nuppa Site'!F263&lt;&gt;0,'Boletins Nuppa Site'!F263,"NULL")</f>
        <v>NULL</v>
      </c>
      <c r="E263">
        <f>IF('Boletins Nuppa Site'!G263&lt;&gt;0,'Boletins Nuppa Site'!G263,"NULL")</f>
        <v>45</v>
      </c>
      <c r="F263">
        <f>IF('Boletins Nuppa Site'!H263&lt;&gt;0,'Boletins Nuppa Site'!H263,"NULL")</f>
        <v>60</v>
      </c>
      <c r="G263" t="str">
        <f>IF('Boletins Nuppa Site'!I263&lt;&gt;0,'Boletins Nuppa Site'!I263,"NULL")</f>
        <v>51.67</v>
      </c>
      <c r="H263">
        <f>IF('Boletins Nuppa Site'!J263&lt;&gt;0,'Boletins Nuppa Site'!J263,"NULL")</f>
        <v>50</v>
      </c>
      <c r="J263" t="str">
        <f t="shared" si="4"/>
        <v>INSERT INTO COTACAO (blt_id, pap_id, cot_prc_comum, cot_prc_min, cot_prc_max, cot_prc_med, cot_prc_mediana) VALUES (7, 30, NULL, 45, 60, 51.67, 50);</v>
      </c>
    </row>
    <row r="264" spans="1:10" x14ac:dyDescent="0.3">
      <c r="A264">
        <v>263</v>
      </c>
      <c r="B264">
        <v>7</v>
      </c>
      <c r="C264">
        <v>31</v>
      </c>
      <c r="D264" t="str">
        <f>IF('Boletins Nuppa Site'!F264&lt;&gt;0,'Boletins Nuppa Site'!F264,"NULL")</f>
        <v>NULL</v>
      </c>
      <c r="E264">
        <f>IF('Boletins Nuppa Site'!G264&lt;&gt;0,'Boletins Nuppa Site'!G264,"NULL")</f>
        <v>60</v>
      </c>
      <c r="F264">
        <f>IF('Boletins Nuppa Site'!H264&lt;&gt;0,'Boletins Nuppa Site'!H264,"NULL")</f>
        <v>100</v>
      </c>
      <c r="G264">
        <f>IF('Boletins Nuppa Site'!I264&lt;&gt;0,'Boletins Nuppa Site'!I264,"NULL")</f>
        <v>81</v>
      </c>
      <c r="H264">
        <f>IF('Boletins Nuppa Site'!J264&lt;&gt;0,'Boletins Nuppa Site'!J264,"NULL")</f>
        <v>80</v>
      </c>
      <c r="J264" t="str">
        <f t="shared" si="4"/>
        <v>INSERT INTO COTACAO (blt_id, pap_id, cot_prc_comum, cot_prc_min, cot_prc_max, cot_prc_med, cot_prc_mediana) VALUES (7, 31, NULL, 60, 100, 81, 80);</v>
      </c>
    </row>
    <row r="265" spans="1:10" x14ac:dyDescent="0.3">
      <c r="A265">
        <v>264</v>
      </c>
      <c r="B265">
        <v>7</v>
      </c>
      <c r="C265">
        <v>32</v>
      </c>
      <c r="D265">
        <f>IF('Boletins Nuppa Site'!F265&lt;&gt;0,'Boletins Nuppa Site'!F265,"NULL")</f>
        <v>40</v>
      </c>
      <c r="E265">
        <f>IF('Boletins Nuppa Site'!G265&lt;&gt;0,'Boletins Nuppa Site'!G265,"NULL")</f>
        <v>35</v>
      </c>
      <c r="F265">
        <f>IF('Boletins Nuppa Site'!H265&lt;&gt;0,'Boletins Nuppa Site'!H265,"NULL")</f>
        <v>40</v>
      </c>
      <c r="G265" t="str">
        <f>IF('Boletins Nuppa Site'!I265&lt;&gt;0,'Boletins Nuppa Site'!I265,"NULL")</f>
        <v>38.75</v>
      </c>
      <c r="H265">
        <f>IF('Boletins Nuppa Site'!J265&lt;&gt;0,'Boletins Nuppa Site'!J265,"NULL")</f>
        <v>40</v>
      </c>
      <c r="J265" t="str">
        <f t="shared" si="4"/>
        <v>INSERT INTO COTACAO (blt_id, pap_id, cot_prc_comum, cot_prc_min, cot_prc_max, cot_prc_med, cot_prc_mediana) VALUES (7, 32, 40, 35, 40, 38.75, 40);</v>
      </c>
    </row>
    <row r="266" spans="1:10" x14ac:dyDescent="0.3">
      <c r="A266">
        <v>265</v>
      </c>
      <c r="B266">
        <v>7</v>
      </c>
      <c r="C266">
        <v>33</v>
      </c>
      <c r="D266">
        <f>IF('Boletins Nuppa Site'!F266&lt;&gt;0,'Boletins Nuppa Site'!F266,"NULL")</f>
        <v>70</v>
      </c>
      <c r="E266">
        <f>IF('Boletins Nuppa Site'!G266&lt;&gt;0,'Boletins Nuppa Site'!G266,"NULL")</f>
        <v>70</v>
      </c>
      <c r="F266">
        <f>IF('Boletins Nuppa Site'!H266&lt;&gt;0,'Boletins Nuppa Site'!H266,"NULL")</f>
        <v>100</v>
      </c>
      <c r="G266">
        <f>IF('Boletins Nuppa Site'!I266&lt;&gt;0,'Boletins Nuppa Site'!I266,"NULL")</f>
        <v>80</v>
      </c>
      <c r="H266">
        <f>IF('Boletins Nuppa Site'!J266&lt;&gt;0,'Boletins Nuppa Site'!J266,"NULL")</f>
        <v>75</v>
      </c>
      <c r="J266" t="str">
        <f t="shared" si="4"/>
        <v>INSERT INTO COTACAO (blt_id, pap_id, cot_prc_comum, cot_prc_min, cot_prc_max, cot_prc_med, cot_prc_mediana) VALUES (7, 33, 70, 70, 100, 80, 75);</v>
      </c>
    </row>
    <row r="267" spans="1:10" x14ac:dyDescent="0.3">
      <c r="A267">
        <v>266</v>
      </c>
      <c r="B267">
        <v>7</v>
      </c>
      <c r="C267">
        <v>34</v>
      </c>
      <c r="D267">
        <f>IF('Boletins Nuppa Site'!F267&lt;&gt;0,'Boletins Nuppa Site'!F267,"NULL")</f>
        <v>110</v>
      </c>
      <c r="E267">
        <f>IF('Boletins Nuppa Site'!G267&lt;&gt;0,'Boletins Nuppa Site'!G267,"NULL")</f>
        <v>100</v>
      </c>
      <c r="F267">
        <f>IF('Boletins Nuppa Site'!H267&lt;&gt;0,'Boletins Nuppa Site'!H267,"NULL")</f>
        <v>140</v>
      </c>
      <c r="G267">
        <f>IF('Boletins Nuppa Site'!I267&lt;&gt;0,'Boletins Nuppa Site'!I267,"NULL")</f>
        <v>115</v>
      </c>
      <c r="H267">
        <f>IF('Boletins Nuppa Site'!J267&lt;&gt;0,'Boletins Nuppa Site'!J267,"NULL")</f>
        <v>110</v>
      </c>
      <c r="J267" t="str">
        <f t="shared" si="4"/>
        <v>INSERT INTO COTACAO (blt_id, pap_id, cot_prc_comum, cot_prc_min, cot_prc_max, cot_prc_med, cot_prc_mediana) VALUES (7, 34, 110, 100, 140, 115, 110);</v>
      </c>
    </row>
    <row r="268" spans="1:10" x14ac:dyDescent="0.3">
      <c r="A268">
        <v>267</v>
      </c>
      <c r="B268">
        <v>7</v>
      </c>
      <c r="C268">
        <v>35</v>
      </c>
      <c r="D268">
        <f>IF('Boletins Nuppa Site'!F268&lt;&gt;0,'Boletins Nuppa Site'!F268,"NULL")</f>
        <v>120</v>
      </c>
      <c r="E268">
        <f>IF('Boletins Nuppa Site'!G268&lt;&gt;0,'Boletins Nuppa Site'!G268,"NULL")</f>
        <v>100</v>
      </c>
      <c r="F268">
        <f>IF('Boletins Nuppa Site'!H268&lt;&gt;0,'Boletins Nuppa Site'!H268,"NULL")</f>
        <v>130</v>
      </c>
      <c r="G268" t="str">
        <f>IF('Boletins Nuppa Site'!I268&lt;&gt;0,'Boletins Nuppa Site'!I268,"NULL")</f>
        <v>117.5</v>
      </c>
      <c r="H268">
        <f>IF('Boletins Nuppa Site'!J268&lt;&gt;0,'Boletins Nuppa Site'!J268,"NULL")</f>
        <v>120</v>
      </c>
      <c r="J268" t="str">
        <f t="shared" si="4"/>
        <v>INSERT INTO COTACAO (blt_id, pap_id, cot_prc_comum, cot_prc_min, cot_prc_max, cot_prc_med, cot_prc_mediana) VALUES (7, 35, 120, 100, 130, 117.5, 120);</v>
      </c>
    </row>
    <row r="269" spans="1:10" x14ac:dyDescent="0.3">
      <c r="A269">
        <v>268</v>
      </c>
      <c r="B269">
        <v>7</v>
      </c>
      <c r="C269">
        <v>36</v>
      </c>
      <c r="D269" t="str">
        <f>IF('Boletins Nuppa Site'!F269&lt;&gt;0,'Boletins Nuppa Site'!F269,"NULL")</f>
        <v>NULL</v>
      </c>
      <c r="E269" t="str">
        <f>IF('Boletins Nuppa Site'!G269&lt;&gt;0,'Boletins Nuppa Site'!G269,"NULL")</f>
        <v>NULL</v>
      </c>
      <c r="F269" t="str">
        <f>IF('Boletins Nuppa Site'!H269&lt;&gt;0,'Boletins Nuppa Site'!H269,"NULL")</f>
        <v>NULL</v>
      </c>
      <c r="G269" t="str">
        <f>IF('Boletins Nuppa Site'!I269&lt;&gt;0,'Boletins Nuppa Site'!I269,"NULL")</f>
        <v>NULL</v>
      </c>
      <c r="H269" t="str">
        <f>IF('Boletins Nuppa Site'!J269&lt;&gt;0,'Boletins Nuppa Site'!J269,"NULL")</f>
        <v>NULL</v>
      </c>
      <c r="J269" t="str">
        <f t="shared" si="4"/>
        <v>INSERT INTO COTACAO (blt_id, pap_id, cot_prc_comum, cot_prc_min, cot_prc_max, cot_prc_med, cot_prc_mediana) VALUES (7, 36, NULL, NULL, NULL, NULL, NULL);</v>
      </c>
    </row>
    <row r="270" spans="1:10" x14ac:dyDescent="0.3">
      <c r="A270">
        <v>269</v>
      </c>
      <c r="B270">
        <v>7</v>
      </c>
      <c r="C270">
        <v>37</v>
      </c>
      <c r="D270" t="str">
        <f>IF('Boletins Nuppa Site'!F270&lt;&gt;0,'Boletins Nuppa Site'!F270,"NULL")</f>
        <v>NULL</v>
      </c>
      <c r="E270" t="str">
        <f>IF('Boletins Nuppa Site'!G270&lt;&gt;0,'Boletins Nuppa Site'!G270,"NULL")</f>
        <v>NULL</v>
      </c>
      <c r="F270" t="str">
        <f>IF('Boletins Nuppa Site'!H270&lt;&gt;0,'Boletins Nuppa Site'!H270,"NULL")</f>
        <v>NULL</v>
      </c>
      <c r="G270" t="str">
        <f>IF('Boletins Nuppa Site'!I270&lt;&gt;0,'Boletins Nuppa Site'!I270,"NULL")</f>
        <v>NULL</v>
      </c>
      <c r="H270" t="str">
        <f>IF('Boletins Nuppa Site'!J270&lt;&gt;0,'Boletins Nuppa Site'!J270,"NULL")</f>
        <v>NULL</v>
      </c>
      <c r="J270" t="str">
        <f t="shared" si="4"/>
        <v>INSERT INTO COTACAO (blt_id, pap_id, cot_prc_comum, cot_prc_min, cot_prc_max, cot_prc_med, cot_prc_mediana) VALUES (7, 37, NULL, NULL, NULL, NULL, NULL);</v>
      </c>
    </row>
    <row r="271" spans="1:10" x14ac:dyDescent="0.3">
      <c r="A271">
        <v>270</v>
      </c>
      <c r="B271">
        <v>7</v>
      </c>
      <c r="C271">
        <v>38</v>
      </c>
      <c r="D271" t="str">
        <f>IF('Boletins Nuppa Site'!F271&lt;&gt;0,'Boletins Nuppa Site'!F271,"NULL")</f>
        <v>NULL</v>
      </c>
      <c r="E271" t="str">
        <f>IF('Boletins Nuppa Site'!G271&lt;&gt;0,'Boletins Nuppa Site'!G271,"NULL")</f>
        <v>NULL</v>
      </c>
      <c r="F271" t="str">
        <f>IF('Boletins Nuppa Site'!H271&lt;&gt;0,'Boletins Nuppa Site'!H271,"NULL")</f>
        <v>NULL</v>
      </c>
      <c r="G271" t="str">
        <f>IF('Boletins Nuppa Site'!I271&lt;&gt;0,'Boletins Nuppa Site'!I271,"NULL")</f>
        <v>NULL</v>
      </c>
      <c r="H271" t="str">
        <f>IF('Boletins Nuppa Site'!J271&lt;&gt;0,'Boletins Nuppa Site'!J271,"NULL")</f>
        <v>NULL</v>
      </c>
      <c r="J271" t="str">
        <f t="shared" si="4"/>
        <v>INSERT INTO COTACAO (blt_id, pap_id, cot_prc_comum, cot_prc_min, cot_prc_max, cot_prc_med, cot_prc_mediana) VALUES (7, 38, NULL, NULL, NULL, NULL, NULL);</v>
      </c>
    </row>
    <row r="272" spans="1:10" x14ac:dyDescent="0.3">
      <c r="A272">
        <v>271</v>
      </c>
      <c r="B272">
        <v>7</v>
      </c>
      <c r="C272">
        <v>39</v>
      </c>
      <c r="D272" t="str">
        <f>IF('Boletins Nuppa Site'!F272&lt;&gt;0,'Boletins Nuppa Site'!F272,"NULL")</f>
        <v>NULL</v>
      </c>
      <c r="E272" t="str">
        <f>IF('Boletins Nuppa Site'!G272&lt;&gt;0,'Boletins Nuppa Site'!G272,"NULL")</f>
        <v>NULL</v>
      </c>
      <c r="F272" t="str">
        <f>IF('Boletins Nuppa Site'!H272&lt;&gt;0,'Boletins Nuppa Site'!H272,"NULL")</f>
        <v>NULL</v>
      </c>
      <c r="G272" t="str">
        <f>IF('Boletins Nuppa Site'!I272&lt;&gt;0,'Boletins Nuppa Site'!I272,"NULL")</f>
        <v>NULL</v>
      </c>
      <c r="H272" t="str">
        <f>IF('Boletins Nuppa Site'!J272&lt;&gt;0,'Boletins Nuppa Site'!J272,"NULL")</f>
        <v>NULL</v>
      </c>
      <c r="J272" t="str">
        <f t="shared" si="4"/>
        <v>INSERT INTO COTACAO (blt_id, pap_id, cot_prc_comum, cot_prc_min, cot_prc_max, cot_prc_med, cot_prc_mediana) VALUES (7, 39, NULL, NULL, NULL, NULL, NULL);</v>
      </c>
    </row>
    <row r="273" spans="1:10" x14ac:dyDescent="0.3">
      <c r="A273">
        <v>272</v>
      </c>
      <c r="B273">
        <v>7</v>
      </c>
      <c r="C273">
        <v>40</v>
      </c>
      <c r="D273" t="str">
        <f>IF('Boletins Nuppa Site'!F273&lt;&gt;0,'Boletins Nuppa Site'!F273,"NULL")</f>
        <v>NULL</v>
      </c>
      <c r="E273" t="str">
        <f>IF('Boletins Nuppa Site'!G273&lt;&gt;0,'Boletins Nuppa Site'!G273,"NULL")</f>
        <v>NULL</v>
      </c>
      <c r="F273" t="str">
        <f>IF('Boletins Nuppa Site'!H273&lt;&gt;0,'Boletins Nuppa Site'!H273,"NULL")</f>
        <v>NULL</v>
      </c>
      <c r="G273" t="str">
        <f>IF('Boletins Nuppa Site'!I273&lt;&gt;0,'Boletins Nuppa Site'!I273,"NULL")</f>
        <v>NULL</v>
      </c>
      <c r="H273" t="str">
        <f>IF('Boletins Nuppa Site'!J273&lt;&gt;0,'Boletins Nuppa Site'!J273,"NULL")</f>
        <v>NULL</v>
      </c>
      <c r="J273" t="str">
        <f t="shared" si="4"/>
        <v>INSERT INTO COTACAO (blt_id, pap_id, cot_prc_comum, cot_prc_min, cot_prc_max, cot_prc_med, cot_prc_mediana) VALUES (7, 40, NULL, NULL, NULL, NULL, NULL);</v>
      </c>
    </row>
    <row r="274" spans="1:10" x14ac:dyDescent="0.3">
      <c r="A274">
        <v>273</v>
      </c>
      <c r="B274">
        <v>8</v>
      </c>
      <c r="C274">
        <v>1</v>
      </c>
      <c r="D274">
        <f>IF('Boletins Nuppa Site'!F274&lt;&gt;0,'Boletins Nuppa Site'!F274,"NULL")</f>
        <v>60</v>
      </c>
      <c r="E274">
        <f>IF('Boletins Nuppa Site'!G274&lt;&gt;0,'Boletins Nuppa Site'!G274,"NULL")</f>
        <v>48</v>
      </c>
      <c r="F274">
        <f>IF('Boletins Nuppa Site'!H274&lt;&gt;0,'Boletins Nuppa Site'!H274,"NULL")</f>
        <v>78</v>
      </c>
      <c r="G274" t="str">
        <f>IF('Boletins Nuppa Site'!I274&lt;&gt;0,'Boletins Nuppa Site'!I274,"NULL")</f>
        <v>61.5</v>
      </c>
      <c r="H274">
        <f>IF('Boletins Nuppa Site'!J274&lt;&gt;0,'Boletins Nuppa Site'!J274,"NULL")</f>
        <v>60</v>
      </c>
      <c r="J274" t="str">
        <f t="shared" si="4"/>
        <v>INSERT INTO COTACAO (blt_id, pap_id, cot_prc_comum, cot_prc_min, cot_prc_max, cot_prc_med, cot_prc_mediana) VALUES (8, 1, 60, 48, 78, 61.5, 60);</v>
      </c>
    </row>
    <row r="275" spans="1:10" x14ac:dyDescent="0.3">
      <c r="A275">
        <v>274</v>
      </c>
      <c r="B275">
        <v>8</v>
      </c>
      <c r="C275">
        <v>2</v>
      </c>
      <c r="D275">
        <f>IF('Boletins Nuppa Site'!F275&lt;&gt;0,'Boletins Nuppa Site'!F275,"NULL")</f>
        <v>84</v>
      </c>
      <c r="E275">
        <f>IF('Boletins Nuppa Site'!G275&lt;&gt;0,'Boletins Nuppa Site'!G275,"NULL")</f>
        <v>72</v>
      </c>
      <c r="F275">
        <f>IF('Boletins Nuppa Site'!H275&lt;&gt;0,'Boletins Nuppa Site'!H275,"NULL")</f>
        <v>84</v>
      </c>
      <c r="G275">
        <f>IF('Boletins Nuppa Site'!I275&lt;&gt;0,'Boletins Nuppa Site'!I275,"NULL")</f>
        <v>80</v>
      </c>
      <c r="H275">
        <f>IF('Boletins Nuppa Site'!J275&lt;&gt;0,'Boletins Nuppa Site'!J275,"NULL")</f>
        <v>84</v>
      </c>
      <c r="J275" t="str">
        <f t="shared" si="4"/>
        <v>INSERT INTO COTACAO (blt_id, pap_id, cot_prc_comum, cot_prc_min, cot_prc_max, cot_prc_med, cot_prc_mediana) VALUES (8, 2, 84, 72, 84, 80, 84);</v>
      </c>
    </row>
    <row r="276" spans="1:10" x14ac:dyDescent="0.3">
      <c r="A276">
        <v>275</v>
      </c>
      <c r="B276">
        <v>8</v>
      </c>
      <c r="C276">
        <v>3</v>
      </c>
      <c r="D276" t="str">
        <f>IF('Boletins Nuppa Site'!F276&lt;&gt;0,'Boletins Nuppa Site'!F276,"NULL")</f>
        <v>NULL</v>
      </c>
      <c r="E276">
        <f>IF('Boletins Nuppa Site'!G276&lt;&gt;0,'Boletins Nuppa Site'!G276,"NULL")</f>
        <v>45</v>
      </c>
      <c r="F276">
        <f>IF('Boletins Nuppa Site'!H276&lt;&gt;0,'Boletins Nuppa Site'!H276,"NULL")</f>
        <v>60</v>
      </c>
      <c r="G276" t="str">
        <f>IF('Boletins Nuppa Site'!I276&lt;&gt;0,'Boletins Nuppa Site'!I276,"NULL")</f>
        <v>51.75</v>
      </c>
      <c r="H276">
        <f>IF('Boletins Nuppa Site'!J276&lt;&gt;0,'Boletins Nuppa Site'!J276,"NULL")</f>
        <v>51</v>
      </c>
      <c r="J276" t="str">
        <f t="shared" si="4"/>
        <v>INSERT INTO COTACAO (blt_id, pap_id, cot_prc_comum, cot_prc_min, cot_prc_max, cot_prc_med, cot_prc_mediana) VALUES (8, 3, NULL, 45, 60, 51.75, 51);</v>
      </c>
    </row>
    <row r="277" spans="1:10" x14ac:dyDescent="0.3">
      <c r="A277">
        <v>276</v>
      </c>
      <c r="B277">
        <v>8</v>
      </c>
      <c r="C277">
        <v>4</v>
      </c>
      <c r="D277" t="str">
        <f>IF('Boletins Nuppa Site'!F277&lt;&gt;0,'Boletins Nuppa Site'!F277,"NULL")</f>
        <v>NULL</v>
      </c>
      <c r="E277">
        <f>IF('Boletins Nuppa Site'!G277&lt;&gt;0,'Boletins Nuppa Site'!G277,"NULL")</f>
        <v>30</v>
      </c>
      <c r="F277">
        <f>IF('Boletins Nuppa Site'!H277&lt;&gt;0,'Boletins Nuppa Site'!H277,"NULL")</f>
        <v>50</v>
      </c>
      <c r="G277" t="str">
        <f>IF('Boletins Nuppa Site'!I277&lt;&gt;0,'Boletins Nuppa Site'!I277,"NULL")</f>
        <v>38.6</v>
      </c>
      <c r="H277">
        <f>IF('Boletins Nuppa Site'!J277&lt;&gt;0,'Boletins Nuppa Site'!J277,"NULL")</f>
        <v>36</v>
      </c>
      <c r="J277" t="str">
        <f t="shared" si="4"/>
        <v>INSERT INTO COTACAO (blt_id, pap_id, cot_prc_comum, cot_prc_min, cot_prc_max, cot_prc_med, cot_prc_mediana) VALUES (8, 4, NULL, 30, 50, 38.6, 36);</v>
      </c>
    </row>
    <row r="278" spans="1:10" x14ac:dyDescent="0.3">
      <c r="A278">
        <v>277</v>
      </c>
      <c r="B278">
        <v>8</v>
      </c>
      <c r="C278">
        <v>5</v>
      </c>
      <c r="D278" t="str">
        <f>IF('Boletins Nuppa Site'!F278&lt;&gt;0,'Boletins Nuppa Site'!F278,"NULL")</f>
        <v>NULL</v>
      </c>
      <c r="E278">
        <f>IF('Boletins Nuppa Site'!G278&lt;&gt;0,'Boletins Nuppa Site'!G278,"NULL")</f>
        <v>30</v>
      </c>
      <c r="F278">
        <f>IF('Boletins Nuppa Site'!H278&lt;&gt;0,'Boletins Nuppa Site'!H278,"NULL")</f>
        <v>42</v>
      </c>
      <c r="G278" t="str">
        <f>IF('Boletins Nuppa Site'!I278&lt;&gt;0,'Boletins Nuppa Site'!I278,"NULL")</f>
        <v>35.75</v>
      </c>
      <c r="H278" t="str">
        <f>IF('Boletins Nuppa Site'!J278&lt;&gt;0,'Boletins Nuppa Site'!J278,"NULL")</f>
        <v>35.5</v>
      </c>
      <c r="J278" t="str">
        <f t="shared" si="4"/>
        <v>INSERT INTO COTACAO (blt_id, pap_id, cot_prc_comum, cot_prc_min, cot_prc_max, cot_prc_med, cot_prc_mediana) VALUES (8, 5, NULL, 30, 42, 35.75, 35.5);</v>
      </c>
    </row>
    <row r="279" spans="1:10" x14ac:dyDescent="0.3">
      <c r="A279">
        <v>278</v>
      </c>
      <c r="B279">
        <v>8</v>
      </c>
      <c r="C279">
        <v>6</v>
      </c>
      <c r="D279">
        <f>IF('Boletins Nuppa Site'!F279&lt;&gt;0,'Boletins Nuppa Site'!F279,"NULL")</f>
        <v>60</v>
      </c>
      <c r="E279">
        <f>IF('Boletins Nuppa Site'!G279&lt;&gt;0,'Boletins Nuppa Site'!G279,"NULL")</f>
        <v>48</v>
      </c>
      <c r="F279">
        <f>IF('Boletins Nuppa Site'!H279&lt;&gt;0,'Boletins Nuppa Site'!H279,"NULL")</f>
        <v>60</v>
      </c>
      <c r="G279">
        <f>IF('Boletins Nuppa Site'!I279&lt;&gt;0,'Boletins Nuppa Site'!I279,"NULL")</f>
        <v>56</v>
      </c>
      <c r="H279">
        <f>IF('Boletins Nuppa Site'!J279&lt;&gt;0,'Boletins Nuppa Site'!J279,"NULL")</f>
        <v>60</v>
      </c>
      <c r="J279" t="str">
        <f t="shared" si="4"/>
        <v>INSERT INTO COTACAO (blt_id, pap_id, cot_prc_comum, cot_prc_min, cot_prc_max, cot_prc_med, cot_prc_mediana) VALUES (8, 6, 60, 48, 60, 56, 60);</v>
      </c>
    </row>
    <row r="280" spans="1:10" x14ac:dyDescent="0.3">
      <c r="A280">
        <v>279</v>
      </c>
      <c r="B280">
        <v>8</v>
      </c>
      <c r="C280">
        <v>7</v>
      </c>
      <c r="D280">
        <f>IF('Boletins Nuppa Site'!F280&lt;&gt;0,'Boletins Nuppa Site'!F280,"NULL")</f>
        <v>72</v>
      </c>
      <c r="E280">
        <f>IF('Boletins Nuppa Site'!G280&lt;&gt;0,'Boletins Nuppa Site'!G280,"NULL")</f>
        <v>60</v>
      </c>
      <c r="F280">
        <f>IF('Boletins Nuppa Site'!H280&lt;&gt;0,'Boletins Nuppa Site'!H280,"NULL")</f>
        <v>84</v>
      </c>
      <c r="G280">
        <f>IF('Boletins Nuppa Site'!I280&lt;&gt;0,'Boletins Nuppa Site'!I280,"NULL")</f>
        <v>72</v>
      </c>
      <c r="H280">
        <f>IF('Boletins Nuppa Site'!J280&lt;&gt;0,'Boletins Nuppa Site'!J280,"NULL")</f>
        <v>72</v>
      </c>
      <c r="J280" t="str">
        <f t="shared" si="4"/>
        <v>INSERT INTO COTACAO (blt_id, pap_id, cot_prc_comum, cot_prc_min, cot_prc_max, cot_prc_med, cot_prc_mediana) VALUES (8, 7, 72, 60, 84, 72, 72);</v>
      </c>
    </row>
    <row r="281" spans="1:10" x14ac:dyDescent="0.3">
      <c r="A281">
        <v>280</v>
      </c>
      <c r="B281">
        <v>8</v>
      </c>
      <c r="C281">
        <v>8</v>
      </c>
      <c r="D281">
        <f>IF('Boletins Nuppa Site'!F281&lt;&gt;0,'Boletins Nuppa Site'!F281,"NULL")</f>
        <v>84</v>
      </c>
      <c r="E281">
        <f>IF('Boletins Nuppa Site'!G281&lt;&gt;0,'Boletins Nuppa Site'!G281,"NULL")</f>
        <v>72</v>
      </c>
      <c r="F281">
        <f>IF('Boletins Nuppa Site'!H281&lt;&gt;0,'Boletins Nuppa Site'!H281,"NULL")</f>
        <v>96</v>
      </c>
      <c r="G281">
        <f>IF('Boletins Nuppa Site'!I281&lt;&gt;0,'Boletins Nuppa Site'!I281,"NULL")</f>
        <v>84</v>
      </c>
      <c r="H281">
        <f>IF('Boletins Nuppa Site'!J281&lt;&gt;0,'Boletins Nuppa Site'!J281,"NULL")</f>
        <v>84</v>
      </c>
      <c r="J281" t="str">
        <f t="shared" si="4"/>
        <v>INSERT INTO COTACAO (blt_id, pap_id, cot_prc_comum, cot_prc_min, cot_prc_max, cot_prc_med, cot_prc_mediana) VALUES (8, 8, 84, 72, 96, 84, 84);</v>
      </c>
    </row>
    <row r="282" spans="1:10" x14ac:dyDescent="0.3">
      <c r="A282">
        <v>281</v>
      </c>
      <c r="B282">
        <v>8</v>
      </c>
      <c r="C282">
        <v>9</v>
      </c>
      <c r="D282">
        <f>IF('Boletins Nuppa Site'!F282&lt;&gt;0,'Boletins Nuppa Site'!F282,"NULL")</f>
        <v>25</v>
      </c>
      <c r="E282">
        <f>IF('Boletins Nuppa Site'!G282&lt;&gt;0,'Boletins Nuppa Site'!G282,"NULL")</f>
        <v>24</v>
      </c>
      <c r="F282">
        <f>IF('Boletins Nuppa Site'!H282&lt;&gt;0,'Boletins Nuppa Site'!H282,"NULL")</f>
        <v>30</v>
      </c>
      <c r="G282">
        <f>IF('Boletins Nuppa Site'!I282&lt;&gt;0,'Boletins Nuppa Site'!I282,"NULL")</f>
        <v>26</v>
      </c>
      <c r="H282">
        <f>IF('Boletins Nuppa Site'!J282&lt;&gt;0,'Boletins Nuppa Site'!J282,"NULL")</f>
        <v>25</v>
      </c>
      <c r="J282" t="str">
        <f t="shared" si="4"/>
        <v>INSERT INTO COTACAO (blt_id, pap_id, cot_prc_comum, cot_prc_min, cot_prc_max, cot_prc_med, cot_prc_mediana) VALUES (8, 9, 25, 24, 30, 26, 25);</v>
      </c>
    </row>
    <row r="283" spans="1:10" x14ac:dyDescent="0.3">
      <c r="A283">
        <v>282</v>
      </c>
      <c r="B283">
        <v>8</v>
      </c>
      <c r="C283">
        <v>10</v>
      </c>
      <c r="D283">
        <f>IF('Boletins Nuppa Site'!F283&lt;&gt;0,'Boletins Nuppa Site'!F283,"NULL")</f>
        <v>84</v>
      </c>
      <c r="E283">
        <f>IF('Boletins Nuppa Site'!G283&lt;&gt;0,'Boletins Nuppa Site'!G283,"NULL")</f>
        <v>84</v>
      </c>
      <c r="F283">
        <f>IF('Boletins Nuppa Site'!H283&lt;&gt;0,'Boletins Nuppa Site'!H283,"NULL")</f>
        <v>108</v>
      </c>
      <c r="G283" t="str">
        <f>IF('Boletins Nuppa Site'!I283&lt;&gt;0,'Boletins Nuppa Site'!I283,"NULL")</f>
        <v>93.6</v>
      </c>
      <c r="H283">
        <f>IF('Boletins Nuppa Site'!J283&lt;&gt;0,'Boletins Nuppa Site'!J283,"NULL")</f>
        <v>96</v>
      </c>
      <c r="J283" t="str">
        <f t="shared" si="4"/>
        <v>INSERT INTO COTACAO (blt_id, pap_id, cot_prc_comum, cot_prc_min, cot_prc_max, cot_prc_med, cot_prc_mediana) VALUES (8, 10, 84, 84, 108, 93.6, 96);</v>
      </c>
    </row>
    <row r="284" spans="1:10" x14ac:dyDescent="0.3">
      <c r="A284">
        <v>283</v>
      </c>
      <c r="B284">
        <v>8</v>
      </c>
      <c r="C284">
        <v>11</v>
      </c>
      <c r="D284" t="str">
        <f>IF('Boletins Nuppa Site'!F284&lt;&gt;0,'Boletins Nuppa Site'!F284,"NULL")</f>
        <v>NULL</v>
      </c>
      <c r="E284">
        <f>IF('Boletins Nuppa Site'!G284&lt;&gt;0,'Boletins Nuppa Site'!G284,"NULL")</f>
        <v>25</v>
      </c>
      <c r="F284">
        <f>IF('Boletins Nuppa Site'!H284&lt;&gt;0,'Boletins Nuppa Site'!H284,"NULL")</f>
        <v>42</v>
      </c>
      <c r="G284" t="str">
        <f>IF('Boletins Nuppa Site'!I284&lt;&gt;0,'Boletins Nuppa Site'!I284,"NULL")</f>
        <v>33.25</v>
      </c>
      <c r="H284">
        <f>IF('Boletins Nuppa Site'!J284&lt;&gt;0,'Boletins Nuppa Site'!J284,"NULL")</f>
        <v>33</v>
      </c>
      <c r="J284" t="str">
        <f t="shared" si="4"/>
        <v>INSERT INTO COTACAO (blt_id, pap_id, cot_prc_comum, cot_prc_min, cot_prc_max, cot_prc_med, cot_prc_mediana) VALUES (8, 11, NULL, 25, 42, 33.25, 33);</v>
      </c>
    </row>
    <row r="285" spans="1:10" x14ac:dyDescent="0.3">
      <c r="A285">
        <v>284</v>
      </c>
      <c r="B285">
        <v>8</v>
      </c>
      <c r="C285">
        <v>12</v>
      </c>
      <c r="D285">
        <f>IF('Boletins Nuppa Site'!F285&lt;&gt;0,'Boletins Nuppa Site'!F285,"NULL")</f>
        <v>60</v>
      </c>
      <c r="E285">
        <f>IF('Boletins Nuppa Site'!G285&lt;&gt;0,'Boletins Nuppa Site'!G285,"NULL")</f>
        <v>60</v>
      </c>
      <c r="F285">
        <f>IF('Boletins Nuppa Site'!H285&lt;&gt;0,'Boletins Nuppa Site'!H285,"NULL")</f>
        <v>72</v>
      </c>
      <c r="G285">
        <f>IF('Boletins Nuppa Site'!I285&lt;&gt;0,'Boletins Nuppa Site'!I285,"NULL")</f>
        <v>64</v>
      </c>
      <c r="H285">
        <f>IF('Boletins Nuppa Site'!J285&lt;&gt;0,'Boletins Nuppa Site'!J285,"NULL")</f>
        <v>60</v>
      </c>
      <c r="J285" t="str">
        <f t="shared" si="4"/>
        <v>INSERT INTO COTACAO (blt_id, pap_id, cot_prc_comum, cot_prc_min, cot_prc_max, cot_prc_med, cot_prc_mediana) VALUES (8, 12, 60, 60, 72, 64, 60);</v>
      </c>
    </row>
    <row r="286" spans="1:10" x14ac:dyDescent="0.3">
      <c r="A286">
        <v>285</v>
      </c>
      <c r="B286">
        <v>8</v>
      </c>
      <c r="C286">
        <v>13</v>
      </c>
      <c r="D286">
        <f>IF('Boletins Nuppa Site'!F286&lt;&gt;0,'Boletins Nuppa Site'!F286,"NULL")</f>
        <v>60</v>
      </c>
      <c r="E286">
        <f>IF('Boletins Nuppa Site'!G286&lt;&gt;0,'Boletins Nuppa Site'!G286,"NULL")</f>
        <v>48</v>
      </c>
      <c r="F286">
        <f>IF('Boletins Nuppa Site'!H286&lt;&gt;0,'Boletins Nuppa Site'!H286,"NULL")</f>
        <v>72</v>
      </c>
      <c r="G286">
        <f>IF('Boletins Nuppa Site'!I286&lt;&gt;0,'Boletins Nuppa Site'!I286,"NULL")</f>
        <v>60</v>
      </c>
      <c r="H286">
        <f>IF('Boletins Nuppa Site'!J286&lt;&gt;0,'Boletins Nuppa Site'!J286,"NULL")</f>
        <v>60</v>
      </c>
      <c r="J286" t="str">
        <f t="shared" si="4"/>
        <v>INSERT INTO COTACAO (blt_id, pap_id, cot_prc_comum, cot_prc_min, cot_prc_max, cot_prc_med, cot_prc_mediana) VALUES (8, 13, 60, 48, 72, 60, 60);</v>
      </c>
    </row>
    <row r="287" spans="1:10" x14ac:dyDescent="0.3">
      <c r="A287">
        <v>286</v>
      </c>
      <c r="B287">
        <v>8</v>
      </c>
      <c r="C287">
        <v>14</v>
      </c>
      <c r="D287">
        <f>IF('Boletins Nuppa Site'!F287&lt;&gt;0,'Boletins Nuppa Site'!F287,"NULL")</f>
        <v>84</v>
      </c>
      <c r="E287">
        <f>IF('Boletins Nuppa Site'!G287&lt;&gt;0,'Boletins Nuppa Site'!G287,"NULL")</f>
        <v>60</v>
      </c>
      <c r="F287">
        <f>IF('Boletins Nuppa Site'!H287&lt;&gt;0,'Boletins Nuppa Site'!H287,"NULL")</f>
        <v>84</v>
      </c>
      <c r="G287">
        <f>IF('Boletins Nuppa Site'!I287&lt;&gt;0,'Boletins Nuppa Site'!I287,"NULL")</f>
        <v>75</v>
      </c>
      <c r="H287">
        <f>IF('Boletins Nuppa Site'!J287&lt;&gt;0,'Boletins Nuppa Site'!J287,"NULL")</f>
        <v>78</v>
      </c>
      <c r="J287" t="str">
        <f t="shared" si="4"/>
        <v>INSERT INTO COTACAO (blt_id, pap_id, cot_prc_comum, cot_prc_min, cot_prc_max, cot_prc_med, cot_prc_mediana) VALUES (8, 14, 84, 60, 84, 75, 78);</v>
      </c>
    </row>
    <row r="288" spans="1:10" x14ac:dyDescent="0.3">
      <c r="A288">
        <v>287</v>
      </c>
      <c r="B288">
        <v>8</v>
      </c>
      <c r="C288">
        <v>15</v>
      </c>
      <c r="D288">
        <f>IF('Boletins Nuppa Site'!F288&lt;&gt;0,'Boletins Nuppa Site'!F288,"NULL")</f>
        <v>60</v>
      </c>
      <c r="E288">
        <f>IF('Boletins Nuppa Site'!G288&lt;&gt;0,'Boletins Nuppa Site'!G288,"NULL")</f>
        <v>48</v>
      </c>
      <c r="F288">
        <f>IF('Boletins Nuppa Site'!H288&lt;&gt;0,'Boletins Nuppa Site'!H288,"NULL")</f>
        <v>78</v>
      </c>
      <c r="G288" t="str">
        <f>IF('Boletins Nuppa Site'!I288&lt;&gt;0,'Boletins Nuppa Site'!I288,"NULL")</f>
        <v>61.2</v>
      </c>
      <c r="H288">
        <f>IF('Boletins Nuppa Site'!J288&lt;&gt;0,'Boletins Nuppa Site'!J288,"NULL")</f>
        <v>60</v>
      </c>
      <c r="J288" t="str">
        <f t="shared" si="4"/>
        <v>INSERT INTO COTACAO (blt_id, pap_id, cot_prc_comum, cot_prc_min, cot_prc_max, cot_prc_med, cot_prc_mediana) VALUES (8, 15, 60, 48, 78, 61.2, 60);</v>
      </c>
    </row>
    <row r="289" spans="1:10" x14ac:dyDescent="0.3">
      <c r="A289">
        <v>288</v>
      </c>
      <c r="B289">
        <v>8</v>
      </c>
      <c r="C289">
        <v>16</v>
      </c>
      <c r="D289" t="str">
        <f>IF('Boletins Nuppa Site'!F289&lt;&gt;0,'Boletins Nuppa Site'!F289,"NULL")</f>
        <v>NULL</v>
      </c>
      <c r="E289">
        <f>IF('Boletins Nuppa Site'!G289&lt;&gt;0,'Boletins Nuppa Site'!G289,"NULL")</f>
        <v>42</v>
      </c>
      <c r="F289">
        <f>IF('Boletins Nuppa Site'!H289&lt;&gt;0,'Boletins Nuppa Site'!H289,"NULL")</f>
        <v>54</v>
      </c>
      <c r="G289">
        <f>IF('Boletins Nuppa Site'!I289&lt;&gt;0,'Boletins Nuppa Site'!I289,"NULL")</f>
        <v>48</v>
      </c>
      <c r="H289">
        <f>IF('Boletins Nuppa Site'!J289&lt;&gt;0,'Boletins Nuppa Site'!J289,"NULL")</f>
        <v>48</v>
      </c>
      <c r="J289" t="str">
        <f t="shared" si="4"/>
        <v>INSERT INTO COTACAO (blt_id, pap_id, cot_prc_comum, cot_prc_min, cot_prc_max, cot_prc_med, cot_prc_mediana) VALUES (8, 16, NULL, 42, 54, 48, 48);</v>
      </c>
    </row>
    <row r="290" spans="1:10" x14ac:dyDescent="0.3">
      <c r="A290">
        <v>289</v>
      </c>
      <c r="B290">
        <v>8</v>
      </c>
      <c r="C290">
        <v>17</v>
      </c>
      <c r="D290">
        <f>IF('Boletins Nuppa Site'!F290&lt;&gt;0,'Boletins Nuppa Site'!F290,"NULL")</f>
        <v>5</v>
      </c>
      <c r="E290">
        <f>IF('Boletins Nuppa Site'!G290&lt;&gt;0,'Boletins Nuppa Site'!G290,"NULL")</f>
        <v>4</v>
      </c>
      <c r="F290">
        <f>IF('Boletins Nuppa Site'!H290&lt;&gt;0,'Boletins Nuppa Site'!H290,"NULL")</f>
        <v>5</v>
      </c>
      <c r="G290" t="str">
        <f>IF('Boletins Nuppa Site'!I290&lt;&gt;0,'Boletins Nuppa Site'!I290,"NULL")</f>
        <v>4.63</v>
      </c>
      <c r="H290" t="str">
        <f>IF('Boletins Nuppa Site'!J290&lt;&gt;0,'Boletins Nuppa Site'!J290,"NULL")</f>
        <v>4.75</v>
      </c>
      <c r="J290" t="str">
        <f t="shared" si="4"/>
        <v>INSERT INTO COTACAO (blt_id, pap_id, cot_prc_comum, cot_prc_min, cot_prc_max, cot_prc_med, cot_prc_mediana) VALUES (8, 17, 5, 4, 5, 4.63, 4.75);</v>
      </c>
    </row>
    <row r="291" spans="1:10" x14ac:dyDescent="0.3">
      <c r="A291">
        <v>290</v>
      </c>
      <c r="B291">
        <v>8</v>
      </c>
      <c r="C291">
        <v>18</v>
      </c>
      <c r="D291">
        <f>IF('Boletins Nuppa Site'!F291&lt;&gt;0,'Boletins Nuppa Site'!F291,"NULL")</f>
        <v>20</v>
      </c>
      <c r="E291">
        <f>IF('Boletins Nuppa Site'!G291&lt;&gt;0,'Boletins Nuppa Site'!G291,"NULL")</f>
        <v>20</v>
      </c>
      <c r="F291">
        <f>IF('Boletins Nuppa Site'!H291&lt;&gt;0,'Boletins Nuppa Site'!H291,"NULL")</f>
        <v>40</v>
      </c>
      <c r="G291" t="str">
        <f>IF('Boletins Nuppa Site'!I291&lt;&gt;0,'Boletins Nuppa Site'!I291,"NULL")</f>
        <v>26.25</v>
      </c>
      <c r="H291" t="str">
        <f>IF('Boletins Nuppa Site'!J291&lt;&gt;0,'Boletins Nuppa Site'!J291,"NULL")</f>
        <v>22.5</v>
      </c>
      <c r="J291" t="str">
        <f t="shared" si="4"/>
        <v>INSERT INTO COTACAO (blt_id, pap_id, cot_prc_comum, cot_prc_min, cot_prc_max, cot_prc_med, cot_prc_mediana) VALUES (8, 18, 20, 20, 40, 26.25, 22.5);</v>
      </c>
    </row>
    <row r="292" spans="1:10" x14ac:dyDescent="0.3">
      <c r="A292">
        <v>291</v>
      </c>
      <c r="B292">
        <v>8</v>
      </c>
      <c r="C292">
        <v>19</v>
      </c>
      <c r="D292">
        <f>IF('Boletins Nuppa Site'!F292&lt;&gt;0,'Boletins Nuppa Site'!F292,"NULL")</f>
        <v>25</v>
      </c>
      <c r="E292">
        <f>IF('Boletins Nuppa Site'!G292&lt;&gt;0,'Boletins Nuppa Site'!G292,"NULL")</f>
        <v>25</v>
      </c>
      <c r="F292">
        <f>IF('Boletins Nuppa Site'!H292&lt;&gt;0,'Boletins Nuppa Site'!H292,"NULL")</f>
        <v>30</v>
      </c>
      <c r="G292" t="str">
        <f>IF('Boletins Nuppa Site'!I292&lt;&gt;0,'Boletins Nuppa Site'!I292,"NULL")</f>
        <v>27.6</v>
      </c>
      <c r="H292">
        <f>IF('Boletins Nuppa Site'!J292&lt;&gt;0,'Boletins Nuppa Site'!J292,"NULL")</f>
        <v>28</v>
      </c>
      <c r="J292" t="str">
        <f t="shared" si="4"/>
        <v>INSERT INTO COTACAO (blt_id, pap_id, cot_prc_comum, cot_prc_min, cot_prc_max, cot_prc_med, cot_prc_mediana) VALUES (8, 19, 25, 25, 30, 27.6, 28);</v>
      </c>
    </row>
    <row r="293" spans="1:10" x14ac:dyDescent="0.3">
      <c r="A293">
        <v>292</v>
      </c>
      <c r="B293">
        <v>8</v>
      </c>
      <c r="C293">
        <v>20</v>
      </c>
      <c r="D293" t="str">
        <f>IF('Boletins Nuppa Site'!F293&lt;&gt;0,'Boletins Nuppa Site'!F293,"NULL")</f>
        <v>NULL</v>
      </c>
      <c r="E293">
        <f>IF('Boletins Nuppa Site'!G293&lt;&gt;0,'Boletins Nuppa Site'!G293,"NULL")</f>
        <v>10</v>
      </c>
      <c r="F293">
        <f>IF('Boletins Nuppa Site'!H293&lt;&gt;0,'Boletins Nuppa Site'!H293,"NULL")</f>
        <v>110</v>
      </c>
      <c r="G293" t="str">
        <f>IF('Boletins Nuppa Site'!I293&lt;&gt;0,'Boletins Nuppa Site'!I293,"NULL")</f>
        <v>78.75</v>
      </c>
      <c r="H293" t="str">
        <f>IF('Boletins Nuppa Site'!J293&lt;&gt;0,'Boletins Nuppa Site'!J293,"NULL")</f>
        <v>97.5</v>
      </c>
      <c r="J293" t="str">
        <f t="shared" si="4"/>
        <v>INSERT INTO COTACAO (blt_id, pap_id, cot_prc_comum, cot_prc_min, cot_prc_max, cot_prc_med, cot_prc_mediana) VALUES (8, 20, NULL, 10, 110, 78.75, 97.5);</v>
      </c>
    </row>
    <row r="294" spans="1:10" x14ac:dyDescent="0.3">
      <c r="A294">
        <v>293</v>
      </c>
      <c r="B294">
        <v>8</v>
      </c>
      <c r="C294">
        <v>21</v>
      </c>
      <c r="D294">
        <f>IF('Boletins Nuppa Site'!F294&lt;&gt;0,'Boletins Nuppa Site'!F294,"NULL")</f>
        <v>100</v>
      </c>
      <c r="E294">
        <f>IF('Boletins Nuppa Site'!G294&lt;&gt;0,'Boletins Nuppa Site'!G294,"NULL")</f>
        <v>78</v>
      </c>
      <c r="F294">
        <f>IF('Boletins Nuppa Site'!H294&lt;&gt;0,'Boletins Nuppa Site'!H294,"NULL")</f>
        <v>100</v>
      </c>
      <c r="G294" t="str">
        <f>IF('Boletins Nuppa Site'!I294&lt;&gt;0,'Boletins Nuppa Site'!I294,"NULL")</f>
        <v>89.67</v>
      </c>
      <c r="H294">
        <f>IF('Boletins Nuppa Site'!J294&lt;&gt;0,'Boletins Nuppa Site'!J294,"NULL")</f>
        <v>90</v>
      </c>
      <c r="J294" t="str">
        <f t="shared" si="4"/>
        <v>INSERT INTO COTACAO (blt_id, pap_id, cot_prc_comum, cot_prc_min, cot_prc_max, cot_prc_med, cot_prc_mediana) VALUES (8, 21, 100, 78, 100, 89.67, 90);</v>
      </c>
    </row>
    <row r="295" spans="1:10" x14ac:dyDescent="0.3">
      <c r="A295">
        <v>294</v>
      </c>
      <c r="B295">
        <v>8</v>
      </c>
      <c r="C295">
        <v>22</v>
      </c>
      <c r="D295" t="str">
        <f>IF('Boletins Nuppa Site'!F295&lt;&gt;0,'Boletins Nuppa Site'!F295,"NULL")</f>
        <v>NULL</v>
      </c>
      <c r="E295">
        <f>IF('Boletins Nuppa Site'!G295&lt;&gt;0,'Boletins Nuppa Site'!G295,"NULL")</f>
        <v>50</v>
      </c>
      <c r="F295">
        <f>IF('Boletins Nuppa Site'!H295&lt;&gt;0,'Boletins Nuppa Site'!H295,"NULL")</f>
        <v>80</v>
      </c>
      <c r="G295">
        <f>IF('Boletins Nuppa Site'!I295&lt;&gt;0,'Boletins Nuppa Site'!I295,"NULL")</f>
        <v>66</v>
      </c>
      <c r="H295">
        <f>IF('Boletins Nuppa Site'!J295&lt;&gt;0,'Boletins Nuppa Site'!J295,"NULL")</f>
        <v>70</v>
      </c>
      <c r="J295" t="str">
        <f t="shared" si="4"/>
        <v>INSERT INTO COTACAO (blt_id, pap_id, cot_prc_comum, cot_prc_min, cot_prc_max, cot_prc_med, cot_prc_mediana) VALUES (8, 22, NULL, 50, 80, 66, 70);</v>
      </c>
    </row>
    <row r="296" spans="1:10" x14ac:dyDescent="0.3">
      <c r="A296">
        <v>295</v>
      </c>
      <c r="B296">
        <v>8</v>
      </c>
      <c r="C296">
        <v>23</v>
      </c>
      <c r="D296">
        <f>IF('Boletins Nuppa Site'!F296&lt;&gt;0,'Boletins Nuppa Site'!F296,"NULL")</f>
        <v>40</v>
      </c>
      <c r="E296">
        <f>IF('Boletins Nuppa Site'!G296&lt;&gt;0,'Boletins Nuppa Site'!G296,"NULL")</f>
        <v>30</v>
      </c>
      <c r="F296">
        <f>IF('Boletins Nuppa Site'!H296&lt;&gt;0,'Boletins Nuppa Site'!H296,"NULL")</f>
        <v>50</v>
      </c>
      <c r="G296">
        <f>IF('Boletins Nuppa Site'!I296&lt;&gt;0,'Boletins Nuppa Site'!I296,"NULL")</f>
        <v>40</v>
      </c>
      <c r="H296">
        <f>IF('Boletins Nuppa Site'!J296&lt;&gt;0,'Boletins Nuppa Site'!J296,"NULL")</f>
        <v>40</v>
      </c>
      <c r="J296" t="str">
        <f t="shared" si="4"/>
        <v>INSERT INTO COTACAO (blt_id, pap_id, cot_prc_comum, cot_prc_min, cot_prc_max, cot_prc_med, cot_prc_mediana) VALUES (8, 23, 40, 30, 50, 40, 40);</v>
      </c>
    </row>
    <row r="297" spans="1:10" x14ac:dyDescent="0.3">
      <c r="A297">
        <v>296</v>
      </c>
      <c r="B297">
        <v>8</v>
      </c>
      <c r="C297">
        <v>24</v>
      </c>
      <c r="D297" t="str">
        <f>IF('Boletins Nuppa Site'!F297&lt;&gt;0,'Boletins Nuppa Site'!F297,"NULL")</f>
        <v>NULL</v>
      </c>
      <c r="E297">
        <f>IF('Boletins Nuppa Site'!G297&lt;&gt;0,'Boletins Nuppa Site'!G297,"NULL")</f>
        <v>95</v>
      </c>
      <c r="F297">
        <f>IF('Boletins Nuppa Site'!H297&lt;&gt;0,'Boletins Nuppa Site'!H297,"NULL")</f>
        <v>100</v>
      </c>
      <c r="G297" t="str">
        <f>IF('Boletins Nuppa Site'!I297&lt;&gt;0,'Boletins Nuppa Site'!I297,"NULL")</f>
        <v>97.5</v>
      </c>
      <c r="H297" t="str">
        <f>IF('Boletins Nuppa Site'!J297&lt;&gt;0,'Boletins Nuppa Site'!J297,"NULL")</f>
        <v>97.5</v>
      </c>
      <c r="J297" t="str">
        <f t="shared" si="4"/>
        <v>INSERT INTO COTACAO (blt_id, pap_id, cot_prc_comum, cot_prc_min, cot_prc_max, cot_prc_med, cot_prc_mediana) VALUES (8, 24, NULL, 95, 100, 97.5, 97.5);</v>
      </c>
    </row>
    <row r="298" spans="1:10" x14ac:dyDescent="0.3">
      <c r="A298">
        <v>297</v>
      </c>
      <c r="B298">
        <v>8</v>
      </c>
      <c r="C298">
        <v>25</v>
      </c>
      <c r="D298">
        <f>IF('Boletins Nuppa Site'!F298&lt;&gt;0,'Boletins Nuppa Site'!F298,"NULL")</f>
        <v>95</v>
      </c>
      <c r="E298">
        <f>IF('Boletins Nuppa Site'!G298&lt;&gt;0,'Boletins Nuppa Site'!G298,"NULL")</f>
        <v>70</v>
      </c>
      <c r="F298">
        <f>IF('Boletins Nuppa Site'!H298&lt;&gt;0,'Boletins Nuppa Site'!H298,"NULL")</f>
        <v>120</v>
      </c>
      <c r="G298">
        <f>IF('Boletins Nuppa Site'!I298&lt;&gt;0,'Boletins Nuppa Site'!I298,"NULL")</f>
        <v>92</v>
      </c>
      <c r="H298">
        <f>IF('Boletins Nuppa Site'!J298&lt;&gt;0,'Boletins Nuppa Site'!J298,"NULL")</f>
        <v>95</v>
      </c>
      <c r="J298" t="str">
        <f t="shared" si="4"/>
        <v>INSERT INTO COTACAO (blt_id, pap_id, cot_prc_comum, cot_prc_min, cot_prc_max, cot_prc_med, cot_prc_mediana) VALUES (8, 25, 95, 70, 120, 92, 95);</v>
      </c>
    </row>
    <row r="299" spans="1:10" x14ac:dyDescent="0.3">
      <c r="A299">
        <v>298</v>
      </c>
      <c r="B299">
        <v>8</v>
      </c>
      <c r="C299">
        <v>26</v>
      </c>
      <c r="D299">
        <f>IF('Boletins Nuppa Site'!F299&lt;&gt;0,'Boletins Nuppa Site'!F299,"NULL")</f>
        <v>130</v>
      </c>
      <c r="E299">
        <f>IF('Boletins Nuppa Site'!G299&lt;&gt;0,'Boletins Nuppa Site'!G299,"NULL")</f>
        <v>80</v>
      </c>
      <c r="F299">
        <f>IF('Boletins Nuppa Site'!H299&lt;&gt;0,'Boletins Nuppa Site'!H299,"NULL")</f>
        <v>130</v>
      </c>
      <c r="G299">
        <f>IF('Boletins Nuppa Site'!I299&lt;&gt;0,'Boletins Nuppa Site'!I299,"NULL")</f>
        <v>110</v>
      </c>
      <c r="H299">
        <f>IF('Boletins Nuppa Site'!J299&lt;&gt;0,'Boletins Nuppa Site'!J299,"NULL")</f>
        <v>130</v>
      </c>
      <c r="J299" t="str">
        <f t="shared" si="4"/>
        <v>INSERT INTO COTACAO (blt_id, pap_id, cot_prc_comum, cot_prc_min, cot_prc_max, cot_prc_med, cot_prc_mediana) VALUES (8, 26, 130, 80, 130, 110, 130);</v>
      </c>
    </row>
    <row r="300" spans="1:10" x14ac:dyDescent="0.3">
      <c r="A300">
        <v>299</v>
      </c>
      <c r="B300">
        <v>8</v>
      </c>
      <c r="C300">
        <v>27</v>
      </c>
      <c r="D300">
        <f>IF('Boletins Nuppa Site'!F300&lt;&gt;0,'Boletins Nuppa Site'!F300,"NULL")</f>
        <v>60</v>
      </c>
      <c r="E300">
        <f>IF('Boletins Nuppa Site'!G300&lt;&gt;0,'Boletins Nuppa Site'!G300,"NULL")</f>
        <v>50</v>
      </c>
      <c r="F300">
        <f>IF('Boletins Nuppa Site'!H300&lt;&gt;0,'Boletins Nuppa Site'!H300,"NULL")</f>
        <v>80</v>
      </c>
      <c r="G300">
        <f>IF('Boletins Nuppa Site'!I300&lt;&gt;0,'Boletins Nuppa Site'!I300,"NULL")</f>
        <v>64</v>
      </c>
      <c r="H300">
        <f>IF('Boletins Nuppa Site'!J300&lt;&gt;0,'Boletins Nuppa Site'!J300,"NULL")</f>
        <v>60</v>
      </c>
      <c r="J300" t="str">
        <f t="shared" si="4"/>
        <v>INSERT INTO COTACAO (blt_id, pap_id, cot_prc_comum, cot_prc_min, cot_prc_max, cot_prc_med, cot_prc_mediana) VALUES (8, 27, 60, 50, 80, 64, 60);</v>
      </c>
    </row>
    <row r="301" spans="1:10" x14ac:dyDescent="0.3">
      <c r="A301">
        <v>300</v>
      </c>
      <c r="B301">
        <v>8</v>
      </c>
      <c r="C301">
        <v>28</v>
      </c>
      <c r="D301">
        <f>IF('Boletins Nuppa Site'!F301&lt;&gt;0,'Boletins Nuppa Site'!F301,"NULL")</f>
        <v>80</v>
      </c>
      <c r="E301">
        <f>IF('Boletins Nuppa Site'!G301&lt;&gt;0,'Boletins Nuppa Site'!G301,"NULL")</f>
        <v>40</v>
      </c>
      <c r="F301">
        <f>IF('Boletins Nuppa Site'!H301&lt;&gt;0,'Boletins Nuppa Site'!H301,"NULL")</f>
        <v>100</v>
      </c>
      <c r="G301" t="str">
        <f>IF('Boletins Nuppa Site'!I301&lt;&gt;0,'Boletins Nuppa Site'!I301,"NULL")</f>
        <v>70.83</v>
      </c>
      <c r="H301" t="str">
        <f>IF('Boletins Nuppa Site'!J301&lt;&gt;0,'Boletins Nuppa Site'!J301,"NULL")</f>
        <v>77.5</v>
      </c>
      <c r="J301" t="str">
        <f t="shared" si="4"/>
        <v>INSERT INTO COTACAO (blt_id, pap_id, cot_prc_comum, cot_prc_min, cot_prc_max, cot_prc_med, cot_prc_mediana) VALUES (8, 28, 80, 40, 100, 70.83, 77.5);</v>
      </c>
    </row>
    <row r="302" spans="1:10" x14ac:dyDescent="0.3">
      <c r="A302">
        <v>301</v>
      </c>
      <c r="B302">
        <v>8</v>
      </c>
      <c r="C302">
        <v>29</v>
      </c>
      <c r="D302" t="str">
        <f>IF('Boletins Nuppa Site'!F302&lt;&gt;0,'Boletins Nuppa Site'!F302,"NULL")</f>
        <v>NULL</v>
      </c>
      <c r="E302">
        <f>IF('Boletins Nuppa Site'!G302&lt;&gt;0,'Boletins Nuppa Site'!G302,"NULL")</f>
        <v>80</v>
      </c>
      <c r="F302">
        <f>IF('Boletins Nuppa Site'!H302&lt;&gt;0,'Boletins Nuppa Site'!H302,"NULL")</f>
        <v>80</v>
      </c>
      <c r="G302">
        <f>IF('Boletins Nuppa Site'!I302&lt;&gt;0,'Boletins Nuppa Site'!I302,"NULL")</f>
        <v>80</v>
      </c>
      <c r="H302">
        <f>IF('Boletins Nuppa Site'!J302&lt;&gt;0,'Boletins Nuppa Site'!J302,"NULL")</f>
        <v>80</v>
      </c>
      <c r="J302" t="str">
        <f t="shared" si="4"/>
        <v>INSERT INTO COTACAO (blt_id, pap_id, cot_prc_comum, cot_prc_min, cot_prc_max, cot_prc_med, cot_prc_mediana) VALUES (8, 29, NULL, 80, 80, 80, 80);</v>
      </c>
    </row>
    <row r="303" spans="1:10" x14ac:dyDescent="0.3">
      <c r="A303">
        <v>302</v>
      </c>
      <c r="B303">
        <v>8</v>
      </c>
      <c r="C303">
        <v>30</v>
      </c>
      <c r="D303">
        <f>IF('Boletins Nuppa Site'!F303&lt;&gt;0,'Boletins Nuppa Site'!F303,"NULL")</f>
        <v>80</v>
      </c>
      <c r="E303">
        <f>IF('Boletins Nuppa Site'!G303&lt;&gt;0,'Boletins Nuppa Site'!G303,"NULL")</f>
        <v>70</v>
      </c>
      <c r="F303">
        <f>IF('Boletins Nuppa Site'!H303&lt;&gt;0,'Boletins Nuppa Site'!H303,"NULL")</f>
        <v>80</v>
      </c>
      <c r="G303" t="str">
        <f>IF('Boletins Nuppa Site'!I303&lt;&gt;0,'Boletins Nuppa Site'!I303,"NULL")</f>
        <v>76.67</v>
      </c>
      <c r="H303">
        <f>IF('Boletins Nuppa Site'!J303&lt;&gt;0,'Boletins Nuppa Site'!J303,"NULL")</f>
        <v>80</v>
      </c>
      <c r="J303" t="str">
        <f t="shared" si="4"/>
        <v>INSERT INTO COTACAO (blt_id, pap_id, cot_prc_comum, cot_prc_min, cot_prc_max, cot_prc_med, cot_prc_mediana) VALUES (8, 30, 80, 70, 80, 76.67, 80);</v>
      </c>
    </row>
    <row r="304" spans="1:10" x14ac:dyDescent="0.3">
      <c r="A304">
        <v>303</v>
      </c>
      <c r="B304">
        <v>8</v>
      </c>
      <c r="C304">
        <v>31</v>
      </c>
      <c r="D304">
        <f>IF('Boletins Nuppa Site'!F304&lt;&gt;0,'Boletins Nuppa Site'!F304,"NULL")</f>
        <v>100</v>
      </c>
      <c r="E304">
        <f>IF('Boletins Nuppa Site'!G304&lt;&gt;0,'Boletins Nuppa Site'!G304,"NULL")</f>
        <v>70</v>
      </c>
      <c r="F304">
        <f>IF('Boletins Nuppa Site'!H304&lt;&gt;0,'Boletins Nuppa Site'!H304,"NULL")</f>
        <v>120</v>
      </c>
      <c r="G304" t="str">
        <f>IF('Boletins Nuppa Site'!I304&lt;&gt;0,'Boletins Nuppa Site'!I304,"NULL")</f>
        <v>97.5</v>
      </c>
      <c r="H304">
        <f>IF('Boletins Nuppa Site'!J304&lt;&gt;0,'Boletins Nuppa Site'!J304,"NULL")</f>
        <v>100</v>
      </c>
      <c r="J304" t="str">
        <f t="shared" si="4"/>
        <v>INSERT INTO COTACAO (blt_id, pap_id, cot_prc_comum, cot_prc_min, cot_prc_max, cot_prc_med, cot_prc_mediana) VALUES (8, 31, 100, 70, 120, 97.5, 100);</v>
      </c>
    </row>
    <row r="305" spans="1:10" x14ac:dyDescent="0.3">
      <c r="A305">
        <v>304</v>
      </c>
      <c r="B305">
        <v>8</v>
      </c>
      <c r="C305">
        <v>32</v>
      </c>
      <c r="D305">
        <f>IF('Boletins Nuppa Site'!F305&lt;&gt;0,'Boletins Nuppa Site'!F305,"NULL")</f>
        <v>50</v>
      </c>
      <c r="E305">
        <f>IF('Boletins Nuppa Site'!G305&lt;&gt;0,'Boletins Nuppa Site'!G305,"NULL")</f>
        <v>40</v>
      </c>
      <c r="F305">
        <f>IF('Boletins Nuppa Site'!H305&lt;&gt;0,'Boletins Nuppa Site'!H305,"NULL")</f>
        <v>60</v>
      </c>
      <c r="G305" t="str">
        <f>IF('Boletins Nuppa Site'!I305&lt;&gt;0,'Boletins Nuppa Site'!I305,"NULL")</f>
        <v>48.33</v>
      </c>
      <c r="H305">
        <f>IF('Boletins Nuppa Site'!J305&lt;&gt;0,'Boletins Nuppa Site'!J305,"NULL")</f>
        <v>50</v>
      </c>
      <c r="J305" t="str">
        <f t="shared" si="4"/>
        <v>INSERT INTO COTACAO (blt_id, pap_id, cot_prc_comum, cot_prc_min, cot_prc_max, cot_prc_med, cot_prc_mediana) VALUES (8, 32, 50, 40, 60, 48.33, 50);</v>
      </c>
    </row>
    <row r="306" spans="1:10" x14ac:dyDescent="0.3">
      <c r="A306">
        <v>305</v>
      </c>
      <c r="B306">
        <v>8</v>
      </c>
      <c r="C306">
        <v>33</v>
      </c>
      <c r="D306">
        <f>IF('Boletins Nuppa Site'!F306&lt;&gt;0,'Boletins Nuppa Site'!F306,"NULL")</f>
        <v>70</v>
      </c>
      <c r="E306">
        <f>IF('Boletins Nuppa Site'!G306&lt;&gt;0,'Boletins Nuppa Site'!G306,"NULL")</f>
        <v>60</v>
      </c>
      <c r="F306">
        <f>IF('Boletins Nuppa Site'!H306&lt;&gt;0,'Boletins Nuppa Site'!H306,"NULL")</f>
        <v>90</v>
      </c>
      <c r="G306" t="str">
        <f>IF('Boletins Nuppa Site'!I306&lt;&gt;0,'Boletins Nuppa Site'!I306,"NULL")</f>
        <v>73.33</v>
      </c>
      <c r="H306">
        <f>IF('Boletins Nuppa Site'!J306&lt;&gt;0,'Boletins Nuppa Site'!J306,"NULL")</f>
        <v>70</v>
      </c>
      <c r="J306" t="str">
        <f t="shared" si="4"/>
        <v>INSERT INTO COTACAO (blt_id, pap_id, cot_prc_comum, cot_prc_min, cot_prc_max, cot_prc_med, cot_prc_mediana) VALUES (8, 33, 70, 60, 90, 73.33, 70);</v>
      </c>
    </row>
    <row r="307" spans="1:10" x14ac:dyDescent="0.3">
      <c r="A307">
        <v>306</v>
      </c>
      <c r="B307">
        <v>8</v>
      </c>
      <c r="C307">
        <v>34</v>
      </c>
      <c r="D307">
        <f>IF('Boletins Nuppa Site'!F307&lt;&gt;0,'Boletins Nuppa Site'!F307,"NULL")</f>
        <v>130</v>
      </c>
      <c r="E307">
        <f>IF('Boletins Nuppa Site'!G307&lt;&gt;0,'Boletins Nuppa Site'!G307,"NULL")</f>
        <v>100</v>
      </c>
      <c r="F307">
        <f>IF('Boletins Nuppa Site'!H307&lt;&gt;0,'Boletins Nuppa Site'!H307,"NULL")</f>
        <v>130</v>
      </c>
      <c r="G307" t="str">
        <f>IF('Boletins Nuppa Site'!I307&lt;&gt;0,'Boletins Nuppa Site'!I307,"NULL")</f>
        <v>117.14</v>
      </c>
      <c r="H307">
        <f>IF('Boletins Nuppa Site'!J307&lt;&gt;0,'Boletins Nuppa Site'!J307,"NULL")</f>
        <v>120</v>
      </c>
      <c r="J307" t="str">
        <f t="shared" si="4"/>
        <v>INSERT INTO COTACAO (blt_id, pap_id, cot_prc_comum, cot_prc_min, cot_prc_max, cot_prc_med, cot_prc_mediana) VALUES (8, 34, 130, 100, 130, 117.14, 120);</v>
      </c>
    </row>
    <row r="308" spans="1:10" x14ac:dyDescent="0.3">
      <c r="A308">
        <v>307</v>
      </c>
      <c r="B308">
        <v>8</v>
      </c>
      <c r="C308">
        <v>35</v>
      </c>
      <c r="D308">
        <f>IF('Boletins Nuppa Site'!F308&lt;&gt;0,'Boletins Nuppa Site'!F308,"NULL")</f>
        <v>120</v>
      </c>
      <c r="E308">
        <f>IF('Boletins Nuppa Site'!G308&lt;&gt;0,'Boletins Nuppa Site'!G308,"NULL")</f>
        <v>110</v>
      </c>
      <c r="F308">
        <f>IF('Boletins Nuppa Site'!H308&lt;&gt;0,'Boletins Nuppa Site'!H308,"NULL")</f>
        <v>150</v>
      </c>
      <c r="G308">
        <f>IF('Boletins Nuppa Site'!I308&lt;&gt;0,'Boletins Nuppa Site'!I308,"NULL")</f>
        <v>128</v>
      </c>
      <c r="H308">
        <f>IF('Boletins Nuppa Site'!J308&lt;&gt;0,'Boletins Nuppa Site'!J308,"NULL")</f>
        <v>120</v>
      </c>
      <c r="J308" t="str">
        <f t="shared" si="4"/>
        <v>INSERT INTO COTACAO (blt_id, pap_id, cot_prc_comum, cot_prc_min, cot_prc_max, cot_prc_med, cot_prc_mediana) VALUES (8, 35, 120, 110, 150, 128, 120);</v>
      </c>
    </row>
    <row r="309" spans="1:10" x14ac:dyDescent="0.3">
      <c r="A309">
        <v>308</v>
      </c>
      <c r="B309">
        <v>8</v>
      </c>
      <c r="C309">
        <v>36</v>
      </c>
      <c r="D309" t="str">
        <f>IF('Boletins Nuppa Site'!F309&lt;&gt;0,'Boletins Nuppa Site'!F309,"NULL")</f>
        <v>NULL</v>
      </c>
      <c r="E309">
        <f>IF('Boletins Nuppa Site'!G309&lt;&gt;0,'Boletins Nuppa Site'!G309,"NULL")</f>
        <v>80</v>
      </c>
      <c r="F309">
        <f>IF('Boletins Nuppa Site'!H309&lt;&gt;0,'Boletins Nuppa Site'!H309,"NULL")</f>
        <v>80</v>
      </c>
      <c r="G309">
        <f>IF('Boletins Nuppa Site'!I309&lt;&gt;0,'Boletins Nuppa Site'!I309,"NULL")</f>
        <v>80</v>
      </c>
      <c r="H309">
        <f>IF('Boletins Nuppa Site'!J309&lt;&gt;0,'Boletins Nuppa Site'!J309,"NULL")</f>
        <v>80</v>
      </c>
      <c r="J309" t="str">
        <f t="shared" si="4"/>
        <v>INSERT INTO COTACAO (blt_id, pap_id, cot_prc_comum, cot_prc_min, cot_prc_max, cot_prc_med, cot_prc_mediana) VALUES (8, 36, NULL, 80, 80, 80, 80);</v>
      </c>
    </row>
    <row r="310" spans="1:10" x14ac:dyDescent="0.3">
      <c r="A310">
        <v>309</v>
      </c>
      <c r="B310">
        <v>8</v>
      </c>
      <c r="C310">
        <v>37</v>
      </c>
      <c r="D310" t="str">
        <f>IF('Boletins Nuppa Site'!F310&lt;&gt;0,'Boletins Nuppa Site'!F310,"NULL")</f>
        <v>NULL</v>
      </c>
      <c r="E310">
        <f>IF('Boletins Nuppa Site'!G310&lt;&gt;0,'Boletins Nuppa Site'!G310,"NULL")</f>
        <v>60</v>
      </c>
      <c r="F310">
        <f>IF('Boletins Nuppa Site'!H310&lt;&gt;0,'Boletins Nuppa Site'!H310,"NULL")</f>
        <v>60</v>
      </c>
      <c r="G310">
        <f>IF('Boletins Nuppa Site'!I310&lt;&gt;0,'Boletins Nuppa Site'!I310,"NULL")</f>
        <v>60</v>
      </c>
      <c r="H310">
        <f>IF('Boletins Nuppa Site'!J310&lt;&gt;0,'Boletins Nuppa Site'!J310,"NULL")</f>
        <v>60</v>
      </c>
      <c r="J310" t="str">
        <f t="shared" si="4"/>
        <v>INSERT INTO COTACAO (blt_id, pap_id, cot_prc_comum, cot_prc_min, cot_prc_max, cot_prc_med, cot_prc_mediana) VALUES (8, 37, NULL, 60, 60, 60, 60);</v>
      </c>
    </row>
    <row r="311" spans="1:10" x14ac:dyDescent="0.3">
      <c r="A311">
        <v>310</v>
      </c>
      <c r="B311">
        <v>8</v>
      </c>
      <c r="C311">
        <v>38</v>
      </c>
      <c r="D311" t="str">
        <f>IF('Boletins Nuppa Site'!F311&lt;&gt;0,'Boletins Nuppa Site'!F311,"NULL")</f>
        <v>NULL</v>
      </c>
      <c r="E311">
        <f>IF('Boletins Nuppa Site'!G311&lt;&gt;0,'Boletins Nuppa Site'!G311,"NULL")</f>
        <v>40</v>
      </c>
      <c r="F311">
        <f>IF('Boletins Nuppa Site'!H311&lt;&gt;0,'Boletins Nuppa Site'!H311,"NULL")</f>
        <v>40</v>
      </c>
      <c r="G311">
        <f>IF('Boletins Nuppa Site'!I311&lt;&gt;0,'Boletins Nuppa Site'!I311,"NULL")</f>
        <v>40</v>
      </c>
      <c r="H311">
        <f>IF('Boletins Nuppa Site'!J311&lt;&gt;0,'Boletins Nuppa Site'!J311,"NULL")</f>
        <v>40</v>
      </c>
      <c r="J311" t="str">
        <f t="shared" si="4"/>
        <v>INSERT INTO COTACAO (blt_id, pap_id, cot_prc_comum, cot_prc_min, cot_prc_max, cot_prc_med, cot_prc_mediana) VALUES (8, 38, NULL, 40, 40, 40, 40);</v>
      </c>
    </row>
    <row r="312" spans="1:10" x14ac:dyDescent="0.3">
      <c r="A312">
        <v>311</v>
      </c>
      <c r="B312">
        <v>8</v>
      </c>
      <c r="C312">
        <v>39</v>
      </c>
      <c r="D312" t="str">
        <f>IF('Boletins Nuppa Site'!F312&lt;&gt;0,'Boletins Nuppa Site'!F312,"NULL")</f>
        <v>NULL</v>
      </c>
      <c r="E312" t="str">
        <f>IF('Boletins Nuppa Site'!G312&lt;&gt;0,'Boletins Nuppa Site'!G312,"NULL")</f>
        <v>NULL</v>
      </c>
      <c r="F312" t="str">
        <f>IF('Boletins Nuppa Site'!H312&lt;&gt;0,'Boletins Nuppa Site'!H312,"NULL")</f>
        <v>NULL</v>
      </c>
      <c r="G312" t="str">
        <f>IF('Boletins Nuppa Site'!I312&lt;&gt;0,'Boletins Nuppa Site'!I312,"NULL")</f>
        <v>NULL</v>
      </c>
      <c r="H312" t="str">
        <f>IF('Boletins Nuppa Site'!J312&lt;&gt;0,'Boletins Nuppa Site'!J312,"NULL")</f>
        <v>NULL</v>
      </c>
      <c r="J312" t="str">
        <f t="shared" si="4"/>
        <v>INSERT INTO COTACAO (blt_id, pap_id, cot_prc_comum, cot_prc_min, cot_prc_max, cot_prc_med, cot_prc_mediana) VALUES (8, 39, NULL, NULL, NULL, NULL, NULL);</v>
      </c>
    </row>
    <row r="313" spans="1:10" x14ac:dyDescent="0.3">
      <c r="A313">
        <v>312</v>
      </c>
      <c r="B313">
        <v>8</v>
      </c>
      <c r="C313">
        <v>40</v>
      </c>
      <c r="D313" t="str">
        <f>IF('Boletins Nuppa Site'!F313&lt;&gt;0,'Boletins Nuppa Site'!F313,"NULL")</f>
        <v>NULL</v>
      </c>
      <c r="E313" t="str">
        <f>IF('Boletins Nuppa Site'!G313&lt;&gt;0,'Boletins Nuppa Site'!G313,"NULL")</f>
        <v>NULL</v>
      </c>
      <c r="F313" t="str">
        <f>IF('Boletins Nuppa Site'!H313&lt;&gt;0,'Boletins Nuppa Site'!H313,"NULL")</f>
        <v>NULL</v>
      </c>
      <c r="G313" t="str">
        <f>IF('Boletins Nuppa Site'!I313&lt;&gt;0,'Boletins Nuppa Site'!I313,"NULL")</f>
        <v>NULL</v>
      </c>
      <c r="H313" t="str">
        <f>IF('Boletins Nuppa Site'!J313&lt;&gt;0,'Boletins Nuppa Site'!J313,"NULL")</f>
        <v>NULL</v>
      </c>
      <c r="J313" t="str">
        <f t="shared" si="4"/>
        <v>INSERT INTO COTACAO (blt_id, pap_id, cot_prc_comum, cot_prc_min, cot_prc_max, cot_prc_med, cot_prc_mediana) VALUES (8, 40, NULL, NULL, NULL, NULL, NULL);</v>
      </c>
    </row>
    <row r="314" spans="1:10" x14ac:dyDescent="0.3">
      <c r="A314">
        <v>313</v>
      </c>
      <c r="B314">
        <v>9</v>
      </c>
      <c r="C314">
        <v>1</v>
      </c>
      <c r="D314" t="str">
        <f>IF('Boletins Nuppa Site'!F314&lt;&gt;0,'Boletins Nuppa Site'!F314,"NULL")</f>
        <v>NULL</v>
      </c>
      <c r="E314">
        <f>IF('Boletins Nuppa Site'!G314&lt;&gt;0,'Boletins Nuppa Site'!G314,"NULL")</f>
        <v>60</v>
      </c>
      <c r="F314">
        <f>IF('Boletins Nuppa Site'!H314&lt;&gt;0,'Boletins Nuppa Site'!H314,"NULL")</f>
        <v>78</v>
      </c>
      <c r="G314">
        <f>IF('Boletins Nuppa Site'!I314&lt;&gt;0,'Boletins Nuppa Site'!I314,"NULL")</f>
        <v>69</v>
      </c>
      <c r="H314">
        <f>IF('Boletins Nuppa Site'!J314&lt;&gt;0,'Boletins Nuppa Site'!J314,"NULL")</f>
        <v>69</v>
      </c>
      <c r="J314" t="str">
        <f t="shared" si="4"/>
        <v>INSERT INTO COTACAO (blt_id, pap_id, cot_prc_comum, cot_prc_min, cot_prc_max, cot_prc_med, cot_prc_mediana) VALUES (9, 1, NULL, 60, 78, 69, 69);</v>
      </c>
    </row>
    <row r="315" spans="1:10" x14ac:dyDescent="0.3">
      <c r="A315">
        <v>314</v>
      </c>
      <c r="B315">
        <v>9</v>
      </c>
      <c r="C315">
        <v>2</v>
      </c>
      <c r="D315">
        <f>IF('Boletins Nuppa Site'!F315&lt;&gt;0,'Boletins Nuppa Site'!F315,"NULL")</f>
        <v>84</v>
      </c>
      <c r="E315">
        <f>IF('Boletins Nuppa Site'!G315&lt;&gt;0,'Boletins Nuppa Site'!G315,"NULL")</f>
        <v>84</v>
      </c>
      <c r="F315">
        <f>IF('Boletins Nuppa Site'!H315&lt;&gt;0,'Boletins Nuppa Site'!H315,"NULL")</f>
        <v>84</v>
      </c>
      <c r="G315">
        <f>IF('Boletins Nuppa Site'!I315&lt;&gt;0,'Boletins Nuppa Site'!I315,"NULL")</f>
        <v>84</v>
      </c>
      <c r="H315">
        <f>IF('Boletins Nuppa Site'!J315&lt;&gt;0,'Boletins Nuppa Site'!J315,"NULL")</f>
        <v>84</v>
      </c>
      <c r="J315" t="str">
        <f t="shared" si="4"/>
        <v>INSERT INTO COTACAO (blt_id, pap_id, cot_prc_comum, cot_prc_min, cot_prc_max, cot_prc_med, cot_prc_mediana) VALUES (9, 2, 84, 84, 84, 84, 84);</v>
      </c>
    </row>
    <row r="316" spans="1:10" x14ac:dyDescent="0.3">
      <c r="A316">
        <v>315</v>
      </c>
      <c r="B316">
        <v>9</v>
      </c>
      <c r="C316">
        <v>3</v>
      </c>
      <c r="D316" t="str">
        <f>IF('Boletins Nuppa Site'!F316&lt;&gt;0,'Boletins Nuppa Site'!F316,"NULL")</f>
        <v>NULL</v>
      </c>
      <c r="E316">
        <f>IF('Boletins Nuppa Site'!G316&lt;&gt;0,'Boletins Nuppa Site'!G316,"NULL")</f>
        <v>50</v>
      </c>
      <c r="F316">
        <f>IF('Boletins Nuppa Site'!H316&lt;&gt;0,'Boletins Nuppa Site'!H316,"NULL")</f>
        <v>60</v>
      </c>
      <c r="G316" t="str">
        <f>IF('Boletins Nuppa Site'!I316&lt;&gt;0,'Boletins Nuppa Site'!I316,"NULL")</f>
        <v>54.67</v>
      </c>
      <c r="H316">
        <f>IF('Boletins Nuppa Site'!J316&lt;&gt;0,'Boletins Nuppa Site'!J316,"NULL")</f>
        <v>54</v>
      </c>
      <c r="J316" t="str">
        <f t="shared" si="4"/>
        <v>INSERT INTO COTACAO (blt_id, pap_id, cot_prc_comum, cot_prc_min, cot_prc_max, cot_prc_med, cot_prc_mediana) VALUES (9, 3, NULL, 50, 60, 54.67, 54);</v>
      </c>
    </row>
    <row r="317" spans="1:10" x14ac:dyDescent="0.3">
      <c r="A317">
        <v>316</v>
      </c>
      <c r="B317">
        <v>9</v>
      </c>
      <c r="C317">
        <v>4</v>
      </c>
      <c r="D317" t="str">
        <f>IF('Boletins Nuppa Site'!F317&lt;&gt;0,'Boletins Nuppa Site'!F317,"NULL")</f>
        <v>NULL</v>
      </c>
      <c r="E317">
        <f>IF('Boletins Nuppa Site'!G317&lt;&gt;0,'Boletins Nuppa Site'!G317,"NULL")</f>
        <v>30</v>
      </c>
      <c r="F317">
        <f>IF('Boletins Nuppa Site'!H317&lt;&gt;0,'Boletins Nuppa Site'!H317,"NULL")</f>
        <v>42</v>
      </c>
      <c r="G317">
        <f>IF('Boletins Nuppa Site'!I317&lt;&gt;0,'Boletins Nuppa Site'!I317,"NULL")</f>
        <v>36</v>
      </c>
      <c r="H317">
        <f>IF('Boletins Nuppa Site'!J317&lt;&gt;0,'Boletins Nuppa Site'!J317,"NULL")</f>
        <v>36</v>
      </c>
      <c r="J317" t="str">
        <f t="shared" si="4"/>
        <v>INSERT INTO COTACAO (blt_id, pap_id, cot_prc_comum, cot_prc_min, cot_prc_max, cot_prc_med, cot_prc_mediana) VALUES (9, 4, NULL, 30, 42, 36, 36);</v>
      </c>
    </row>
    <row r="318" spans="1:10" x14ac:dyDescent="0.3">
      <c r="A318">
        <v>317</v>
      </c>
      <c r="B318">
        <v>9</v>
      </c>
      <c r="C318">
        <v>5</v>
      </c>
      <c r="D318" t="str">
        <f>IF('Boletins Nuppa Site'!F318&lt;&gt;0,'Boletins Nuppa Site'!F318,"NULL")</f>
        <v>NULL</v>
      </c>
      <c r="E318">
        <f>IF('Boletins Nuppa Site'!G318&lt;&gt;0,'Boletins Nuppa Site'!G318,"NULL")</f>
        <v>36</v>
      </c>
      <c r="F318">
        <f>IF('Boletins Nuppa Site'!H318&lt;&gt;0,'Boletins Nuppa Site'!H318,"NULL")</f>
        <v>42</v>
      </c>
      <c r="G318">
        <f>IF('Boletins Nuppa Site'!I318&lt;&gt;0,'Boletins Nuppa Site'!I318,"NULL")</f>
        <v>39</v>
      </c>
      <c r="H318">
        <f>IF('Boletins Nuppa Site'!J318&lt;&gt;0,'Boletins Nuppa Site'!J318,"NULL")</f>
        <v>39</v>
      </c>
      <c r="J318" t="str">
        <f t="shared" si="4"/>
        <v>INSERT INTO COTACAO (blt_id, pap_id, cot_prc_comum, cot_prc_min, cot_prc_max, cot_prc_med, cot_prc_mediana) VALUES (9, 5, NULL, 36, 42, 39, 39);</v>
      </c>
    </row>
    <row r="319" spans="1:10" x14ac:dyDescent="0.3">
      <c r="A319">
        <v>318</v>
      </c>
      <c r="B319">
        <v>9</v>
      </c>
      <c r="C319">
        <v>6</v>
      </c>
      <c r="D319">
        <f>IF('Boletins Nuppa Site'!F319&lt;&gt;0,'Boletins Nuppa Site'!F319,"NULL")</f>
        <v>60</v>
      </c>
      <c r="E319">
        <f>IF('Boletins Nuppa Site'!G319&lt;&gt;0,'Boletins Nuppa Site'!G319,"NULL")</f>
        <v>60</v>
      </c>
      <c r="F319">
        <f>IF('Boletins Nuppa Site'!H319&lt;&gt;0,'Boletins Nuppa Site'!H319,"NULL")</f>
        <v>60</v>
      </c>
      <c r="G319">
        <f>IF('Boletins Nuppa Site'!I319&lt;&gt;0,'Boletins Nuppa Site'!I319,"NULL")</f>
        <v>60</v>
      </c>
      <c r="H319">
        <f>IF('Boletins Nuppa Site'!J319&lt;&gt;0,'Boletins Nuppa Site'!J319,"NULL")</f>
        <v>60</v>
      </c>
      <c r="J319" t="str">
        <f t="shared" si="4"/>
        <v>INSERT INTO COTACAO (blt_id, pap_id, cot_prc_comum, cot_prc_min, cot_prc_max, cot_prc_med, cot_prc_mediana) VALUES (9, 6, 60, 60, 60, 60, 60);</v>
      </c>
    </row>
    <row r="320" spans="1:10" x14ac:dyDescent="0.3">
      <c r="A320">
        <v>319</v>
      </c>
      <c r="B320">
        <v>9</v>
      </c>
      <c r="C320">
        <v>7</v>
      </c>
      <c r="D320" t="str">
        <f>IF('Boletins Nuppa Site'!F320&lt;&gt;0,'Boletins Nuppa Site'!F320,"NULL")</f>
        <v>NULL</v>
      </c>
      <c r="E320">
        <f>IF('Boletins Nuppa Site'!G320&lt;&gt;0,'Boletins Nuppa Site'!G320,"NULL")</f>
        <v>78</v>
      </c>
      <c r="F320">
        <f>IF('Boletins Nuppa Site'!H320&lt;&gt;0,'Boletins Nuppa Site'!H320,"NULL")</f>
        <v>84</v>
      </c>
      <c r="G320">
        <f>IF('Boletins Nuppa Site'!I320&lt;&gt;0,'Boletins Nuppa Site'!I320,"NULL")</f>
        <v>81</v>
      </c>
      <c r="H320">
        <f>IF('Boletins Nuppa Site'!J320&lt;&gt;0,'Boletins Nuppa Site'!J320,"NULL")</f>
        <v>81</v>
      </c>
      <c r="J320" t="str">
        <f t="shared" si="4"/>
        <v>INSERT INTO COTACAO (blt_id, pap_id, cot_prc_comum, cot_prc_min, cot_prc_max, cot_prc_med, cot_prc_mediana) VALUES (9, 7, NULL, 78, 84, 81, 81);</v>
      </c>
    </row>
    <row r="321" spans="1:10" x14ac:dyDescent="0.3">
      <c r="A321">
        <v>320</v>
      </c>
      <c r="B321">
        <v>9</v>
      </c>
      <c r="C321">
        <v>8</v>
      </c>
      <c r="D321" t="str">
        <f>IF('Boletins Nuppa Site'!F321&lt;&gt;0,'Boletins Nuppa Site'!F321,"NULL")</f>
        <v>NULL</v>
      </c>
      <c r="E321">
        <f>IF('Boletins Nuppa Site'!G321&lt;&gt;0,'Boletins Nuppa Site'!G321,"NULL")</f>
        <v>96</v>
      </c>
      <c r="F321">
        <f>IF('Boletins Nuppa Site'!H321&lt;&gt;0,'Boletins Nuppa Site'!H321,"NULL")</f>
        <v>96</v>
      </c>
      <c r="G321">
        <f>IF('Boletins Nuppa Site'!I321&lt;&gt;0,'Boletins Nuppa Site'!I321,"NULL")</f>
        <v>96</v>
      </c>
      <c r="H321">
        <f>IF('Boletins Nuppa Site'!J321&lt;&gt;0,'Boletins Nuppa Site'!J321,"NULL")</f>
        <v>96</v>
      </c>
      <c r="J321" t="str">
        <f t="shared" si="4"/>
        <v>INSERT INTO COTACAO (blt_id, pap_id, cot_prc_comum, cot_prc_min, cot_prc_max, cot_prc_med, cot_prc_mediana) VALUES (9, 8, NULL, 96, 96, 96, 96);</v>
      </c>
    </row>
    <row r="322" spans="1:10" x14ac:dyDescent="0.3">
      <c r="A322">
        <v>321</v>
      </c>
      <c r="B322">
        <v>9</v>
      </c>
      <c r="C322">
        <v>9</v>
      </c>
      <c r="D322" t="str">
        <f>IF('Boletins Nuppa Site'!F322&lt;&gt;0,'Boletins Nuppa Site'!F322,"NULL")</f>
        <v>NULL</v>
      </c>
      <c r="E322">
        <f>IF('Boletins Nuppa Site'!G322&lt;&gt;0,'Boletins Nuppa Site'!G322,"NULL")</f>
        <v>25</v>
      </c>
      <c r="F322">
        <f>IF('Boletins Nuppa Site'!H322&lt;&gt;0,'Boletins Nuppa Site'!H322,"NULL")</f>
        <v>36</v>
      </c>
      <c r="G322" t="str">
        <f>IF('Boletins Nuppa Site'!I322&lt;&gt;0,'Boletins Nuppa Site'!I322,"NULL")</f>
        <v>30.5</v>
      </c>
      <c r="H322" t="str">
        <f>IF('Boletins Nuppa Site'!J322&lt;&gt;0,'Boletins Nuppa Site'!J322,"NULL")</f>
        <v>30.5</v>
      </c>
      <c r="J322" t="str">
        <f t="shared" si="4"/>
        <v>INSERT INTO COTACAO (blt_id, pap_id, cot_prc_comum, cot_prc_min, cot_prc_max, cot_prc_med, cot_prc_mediana) VALUES (9, 9, NULL, 25, 36, 30.5, 30.5);</v>
      </c>
    </row>
    <row r="323" spans="1:10" x14ac:dyDescent="0.3">
      <c r="A323">
        <v>322</v>
      </c>
      <c r="B323">
        <v>9</v>
      </c>
      <c r="C323">
        <v>10</v>
      </c>
      <c r="D323" t="str">
        <f>IF('Boletins Nuppa Site'!F323&lt;&gt;0,'Boletins Nuppa Site'!F323,"NULL")</f>
        <v>NULL</v>
      </c>
      <c r="E323">
        <f>IF('Boletins Nuppa Site'!G323&lt;&gt;0,'Boletins Nuppa Site'!G323,"NULL")</f>
        <v>84</v>
      </c>
      <c r="F323">
        <f>IF('Boletins Nuppa Site'!H323&lt;&gt;0,'Boletins Nuppa Site'!H323,"NULL")</f>
        <v>120</v>
      </c>
      <c r="G323">
        <f>IF('Boletins Nuppa Site'!I323&lt;&gt;0,'Boletins Nuppa Site'!I323,"NULL")</f>
        <v>102</v>
      </c>
      <c r="H323">
        <f>IF('Boletins Nuppa Site'!J323&lt;&gt;0,'Boletins Nuppa Site'!J323,"NULL")</f>
        <v>102</v>
      </c>
      <c r="J323" t="str">
        <f t="shared" ref="J323:J386" si="5">"INSERT INTO COTACAO (blt_id, pap_id, cot_prc_comum, cot_prc_min, cot_prc_max, cot_prc_med, cot_prc_mediana) VALUES ("&amp;B323&amp;", "&amp;C323&amp;", "&amp;D323&amp;", "&amp;E323&amp;", "&amp;F323&amp;", "&amp;G323&amp;", "&amp;H323&amp;");"</f>
        <v>INSERT INTO COTACAO (blt_id, pap_id, cot_prc_comum, cot_prc_min, cot_prc_max, cot_prc_med, cot_prc_mediana) VALUES (9, 10, NULL, 84, 120, 102, 102);</v>
      </c>
    </row>
    <row r="324" spans="1:10" x14ac:dyDescent="0.3">
      <c r="A324">
        <v>323</v>
      </c>
      <c r="B324">
        <v>9</v>
      </c>
      <c r="C324">
        <v>11</v>
      </c>
      <c r="D324" t="str">
        <f>IF('Boletins Nuppa Site'!F324&lt;&gt;0,'Boletins Nuppa Site'!F324,"NULL")</f>
        <v>NULL</v>
      </c>
      <c r="E324">
        <f>IF('Boletins Nuppa Site'!G324&lt;&gt;0,'Boletins Nuppa Site'!G324,"NULL")</f>
        <v>36</v>
      </c>
      <c r="F324">
        <f>IF('Boletins Nuppa Site'!H324&lt;&gt;0,'Boletins Nuppa Site'!H324,"NULL")</f>
        <v>42</v>
      </c>
      <c r="G324">
        <f>IF('Boletins Nuppa Site'!I324&lt;&gt;0,'Boletins Nuppa Site'!I324,"NULL")</f>
        <v>39</v>
      </c>
      <c r="H324">
        <f>IF('Boletins Nuppa Site'!J324&lt;&gt;0,'Boletins Nuppa Site'!J324,"NULL")</f>
        <v>39</v>
      </c>
      <c r="J324" t="str">
        <f t="shared" si="5"/>
        <v>INSERT INTO COTACAO (blt_id, pap_id, cot_prc_comum, cot_prc_min, cot_prc_max, cot_prc_med, cot_prc_mediana) VALUES (9, 11, NULL, 36, 42, 39, 39);</v>
      </c>
    </row>
    <row r="325" spans="1:10" x14ac:dyDescent="0.3">
      <c r="A325">
        <v>324</v>
      </c>
      <c r="B325">
        <v>9</v>
      </c>
      <c r="C325">
        <v>12</v>
      </c>
      <c r="D325" t="str">
        <f>IF('Boletins Nuppa Site'!F325&lt;&gt;0,'Boletins Nuppa Site'!F325,"NULL")</f>
        <v>NULL</v>
      </c>
      <c r="E325">
        <f>IF('Boletins Nuppa Site'!G325&lt;&gt;0,'Boletins Nuppa Site'!G325,"NULL")</f>
        <v>54</v>
      </c>
      <c r="F325">
        <f>IF('Boletins Nuppa Site'!H325&lt;&gt;0,'Boletins Nuppa Site'!H325,"NULL")</f>
        <v>60</v>
      </c>
      <c r="G325">
        <f>IF('Boletins Nuppa Site'!I325&lt;&gt;0,'Boletins Nuppa Site'!I325,"NULL")</f>
        <v>57</v>
      </c>
      <c r="H325">
        <f>IF('Boletins Nuppa Site'!J325&lt;&gt;0,'Boletins Nuppa Site'!J325,"NULL")</f>
        <v>57</v>
      </c>
      <c r="J325" t="str">
        <f t="shared" si="5"/>
        <v>INSERT INTO COTACAO (blt_id, pap_id, cot_prc_comum, cot_prc_min, cot_prc_max, cot_prc_med, cot_prc_mediana) VALUES (9, 12, NULL, 54, 60, 57, 57);</v>
      </c>
    </row>
    <row r="326" spans="1:10" x14ac:dyDescent="0.3">
      <c r="A326">
        <v>325</v>
      </c>
      <c r="B326">
        <v>9</v>
      </c>
      <c r="C326">
        <v>13</v>
      </c>
      <c r="D326" t="str">
        <f>IF('Boletins Nuppa Site'!F326&lt;&gt;0,'Boletins Nuppa Site'!F326,"NULL")</f>
        <v>NULL</v>
      </c>
      <c r="E326">
        <f>IF('Boletins Nuppa Site'!G326&lt;&gt;0,'Boletins Nuppa Site'!G326,"NULL")</f>
        <v>60</v>
      </c>
      <c r="F326">
        <f>IF('Boletins Nuppa Site'!H326&lt;&gt;0,'Boletins Nuppa Site'!H326,"NULL")</f>
        <v>78</v>
      </c>
      <c r="G326">
        <f>IF('Boletins Nuppa Site'!I326&lt;&gt;0,'Boletins Nuppa Site'!I326,"NULL")</f>
        <v>69</v>
      </c>
      <c r="H326">
        <f>IF('Boletins Nuppa Site'!J326&lt;&gt;0,'Boletins Nuppa Site'!J326,"NULL")</f>
        <v>69</v>
      </c>
      <c r="J326" t="str">
        <f t="shared" si="5"/>
        <v>INSERT INTO COTACAO (blt_id, pap_id, cot_prc_comum, cot_prc_min, cot_prc_max, cot_prc_med, cot_prc_mediana) VALUES (9, 13, NULL, 60, 78, 69, 69);</v>
      </c>
    </row>
    <row r="327" spans="1:10" x14ac:dyDescent="0.3">
      <c r="A327">
        <v>326</v>
      </c>
      <c r="B327">
        <v>9</v>
      </c>
      <c r="C327">
        <v>14</v>
      </c>
      <c r="D327" t="str">
        <f>IF('Boletins Nuppa Site'!F327&lt;&gt;0,'Boletins Nuppa Site'!F327,"NULL")</f>
        <v>NULL</v>
      </c>
      <c r="E327">
        <f>IF('Boletins Nuppa Site'!G327&lt;&gt;0,'Boletins Nuppa Site'!G327,"NULL")</f>
        <v>72</v>
      </c>
      <c r="F327">
        <f>IF('Boletins Nuppa Site'!H327&lt;&gt;0,'Boletins Nuppa Site'!H327,"NULL")</f>
        <v>102</v>
      </c>
      <c r="G327">
        <f>IF('Boletins Nuppa Site'!I327&lt;&gt;0,'Boletins Nuppa Site'!I327,"NULL")</f>
        <v>87</v>
      </c>
      <c r="H327">
        <f>IF('Boletins Nuppa Site'!J327&lt;&gt;0,'Boletins Nuppa Site'!J327,"NULL")</f>
        <v>87</v>
      </c>
      <c r="J327" t="str">
        <f t="shared" si="5"/>
        <v>INSERT INTO COTACAO (blt_id, pap_id, cot_prc_comum, cot_prc_min, cot_prc_max, cot_prc_med, cot_prc_mediana) VALUES (9, 14, NULL, 72, 102, 87, 87);</v>
      </c>
    </row>
    <row r="328" spans="1:10" x14ac:dyDescent="0.3">
      <c r="A328">
        <v>327</v>
      </c>
      <c r="B328">
        <v>9</v>
      </c>
      <c r="C328">
        <v>15</v>
      </c>
      <c r="D328" t="str">
        <f>IF('Boletins Nuppa Site'!F328&lt;&gt;0,'Boletins Nuppa Site'!F328,"NULL")</f>
        <v>NULL</v>
      </c>
      <c r="E328">
        <f>IF('Boletins Nuppa Site'!G328&lt;&gt;0,'Boletins Nuppa Site'!G328,"NULL")</f>
        <v>55</v>
      </c>
      <c r="F328">
        <f>IF('Boletins Nuppa Site'!H328&lt;&gt;0,'Boletins Nuppa Site'!H328,"NULL")</f>
        <v>84</v>
      </c>
      <c r="G328" t="str">
        <f>IF('Boletins Nuppa Site'!I328&lt;&gt;0,'Boletins Nuppa Site'!I328,"NULL")</f>
        <v>66.33</v>
      </c>
      <c r="H328">
        <f>IF('Boletins Nuppa Site'!J328&lt;&gt;0,'Boletins Nuppa Site'!J328,"NULL")</f>
        <v>60</v>
      </c>
      <c r="J328" t="str">
        <f t="shared" si="5"/>
        <v>INSERT INTO COTACAO (blt_id, pap_id, cot_prc_comum, cot_prc_min, cot_prc_max, cot_prc_med, cot_prc_mediana) VALUES (9, 15, NULL, 55, 84, 66.33, 60);</v>
      </c>
    </row>
    <row r="329" spans="1:10" x14ac:dyDescent="0.3">
      <c r="A329">
        <v>328</v>
      </c>
      <c r="B329">
        <v>9</v>
      </c>
      <c r="C329">
        <v>16</v>
      </c>
      <c r="D329">
        <f>IF('Boletins Nuppa Site'!F329&lt;&gt;0,'Boletins Nuppa Site'!F329,"NULL")</f>
        <v>54</v>
      </c>
      <c r="E329">
        <f>IF('Boletins Nuppa Site'!G329&lt;&gt;0,'Boletins Nuppa Site'!G329,"NULL")</f>
        <v>54</v>
      </c>
      <c r="F329">
        <f>IF('Boletins Nuppa Site'!H329&lt;&gt;0,'Boletins Nuppa Site'!H329,"NULL")</f>
        <v>54</v>
      </c>
      <c r="G329">
        <f>IF('Boletins Nuppa Site'!I329&lt;&gt;0,'Boletins Nuppa Site'!I329,"NULL")</f>
        <v>54</v>
      </c>
      <c r="H329">
        <f>IF('Boletins Nuppa Site'!J329&lt;&gt;0,'Boletins Nuppa Site'!J329,"NULL")</f>
        <v>54</v>
      </c>
      <c r="J329" t="str">
        <f t="shared" si="5"/>
        <v>INSERT INTO COTACAO (blt_id, pap_id, cot_prc_comum, cot_prc_min, cot_prc_max, cot_prc_med, cot_prc_mediana) VALUES (9, 16, 54, 54, 54, 54, 54);</v>
      </c>
    </row>
    <row r="330" spans="1:10" x14ac:dyDescent="0.3">
      <c r="A330">
        <v>329</v>
      </c>
      <c r="B330">
        <v>9</v>
      </c>
      <c r="C330">
        <v>17</v>
      </c>
      <c r="D330">
        <f>IF('Boletins Nuppa Site'!F330&lt;&gt;0,'Boletins Nuppa Site'!F330,"NULL")</f>
        <v>5</v>
      </c>
      <c r="E330" t="str">
        <f>IF('Boletins Nuppa Site'!G330&lt;&gt;0,'Boletins Nuppa Site'!G330,"NULL")</f>
        <v>4.5</v>
      </c>
      <c r="F330">
        <f>IF('Boletins Nuppa Site'!H330&lt;&gt;0,'Boletins Nuppa Site'!H330,"NULL")</f>
        <v>5</v>
      </c>
      <c r="G330" t="str">
        <f>IF('Boletins Nuppa Site'!I330&lt;&gt;0,'Boletins Nuppa Site'!I330,"NULL")</f>
        <v>4.83</v>
      </c>
      <c r="H330">
        <f>IF('Boletins Nuppa Site'!J330&lt;&gt;0,'Boletins Nuppa Site'!J330,"NULL")</f>
        <v>5</v>
      </c>
      <c r="J330" t="str">
        <f t="shared" si="5"/>
        <v>INSERT INTO COTACAO (blt_id, pap_id, cot_prc_comum, cot_prc_min, cot_prc_max, cot_prc_med, cot_prc_mediana) VALUES (9, 17, 5, 4.5, 5, 4.83, 5);</v>
      </c>
    </row>
    <row r="331" spans="1:10" x14ac:dyDescent="0.3">
      <c r="A331">
        <v>330</v>
      </c>
      <c r="B331">
        <v>9</v>
      </c>
      <c r="C331">
        <v>18</v>
      </c>
      <c r="D331" t="str">
        <f>IF('Boletins Nuppa Site'!F331&lt;&gt;0,'Boletins Nuppa Site'!F331,"NULL")</f>
        <v>NULL</v>
      </c>
      <c r="E331">
        <f>IF('Boletins Nuppa Site'!G331&lt;&gt;0,'Boletins Nuppa Site'!G331,"NULL")</f>
        <v>20</v>
      </c>
      <c r="F331">
        <f>IF('Boletins Nuppa Site'!H331&lt;&gt;0,'Boletins Nuppa Site'!H331,"NULL")</f>
        <v>35</v>
      </c>
      <c r="G331" t="str">
        <f>IF('Boletins Nuppa Site'!I331&lt;&gt;0,'Boletins Nuppa Site'!I331,"NULL")</f>
        <v>26.67</v>
      </c>
      <c r="H331">
        <f>IF('Boletins Nuppa Site'!J331&lt;&gt;0,'Boletins Nuppa Site'!J331,"NULL")</f>
        <v>25</v>
      </c>
      <c r="J331" t="str">
        <f t="shared" si="5"/>
        <v>INSERT INTO COTACAO (blt_id, pap_id, cot_prc_comum, cot_prc_min, cot_prc_max, cot_prc_med, cot_prc_mediana) VALUES (9, 18, NULL, 20, 35, 26.67, 25);</v>
      </c>
    </row>
    <row r="332" spans="1:10" x14ac:dyDescent="0.3">
      <c r="A332">
        <v>331</v>
      </c>
      <c r="B332">
        <v>9</v>
      </c>
      <c r="C332">
        <v>19</v>
      </c>
      <c r="D332" t="str">
        <f>IF('Boletins Nuppa Site'!F332&lt;&gt;0,'Boletins Nuppa Site'!F332,"NULL")</f>
        <v>NULL</v>
      </c>
      <c r="E332">
        <f>IF('Boletins Nuppa Site'!G332&lt;&gt;0,'Boletins Nuppa Site'!G332,"NULL")</f>
        <v>30</v>
      </c>
      <c r="F332">
        <f>IF('Boletins Nuppa Site'!H332&lt;&gt;0,'Boletins Nuppa Site'!H332,"NULL")</f>
        <v>40</v>
      </c>
      <c r="G332">
        <f>IF('Boletins Nuppa Site'!I332&lt;&gt;0,'Boletins Nuppa Site'!I332,"NULL")</f>
        <v>35</v>
      </c>
      <c r="H332">
        <f>IF('Boletins Nuppa Site'!J332&lt;&gt;0,'Boletins Nuppa Site'!J332,"NULL")</f>
        <v>35</v>
      </c>
      <c r="J332" t="str">
        <f t="shared" si="5"/>
        <v>INSERT INTO COTACAO (blt_id, pap_id, cot_prc_comum, cot_prc_min, cot_prc_max, cot_prc_med, cot_prc_mediana) VALUES (9, 19, NULL, 30, 40, 35, 35);</v>
      </c>
    </row>
    <row r="333" spans="1:10" x14ac:dyDescent="0.3">
      <c r="A333">
        <v>332</v>
      </c>
      <c r="B333">
        <v>9</v>
      </c>
      <c r="C333">
        <v>20</v>
      </c>
      <c r="D333" t="str">
        <f>IF('Boletins Nuppa Site'!F333&lt;&gt;0,'Boletins Nuppa Site'!F333,"NULL")</f>
        <v>NULL</v>
      </c>
      <c r="E333" t="str">
        <f>IF('Boletins Nuppa Site'!G333&lt;&gt;0,'Boletins Nuppa Site'!G333,"NULL")</f>
        <v>NULL</v>
      </c>
      <c r="F333" t="str">
        <f>IF('Boletins Nuppa Site'!H333&lt;&gt;0,'Boletins Nuppa Site'!H333,"NULL")</f>
        <v>NULL</v>
      </c>
      <c r="G333" t="str">
        <f>IF('Boletins Nuppa Site'!I333&lt;&gt;0,'Boletins Nuppa Site'!I333,"NULL")</f>
        <v>NULL</v>
      </c>
      <c r="H333" t="str">
        <f>IF('Boletins Nuppa Site'!J333&lt;&gt;0,'Boletins Nuppa Site'!J333,"NULL")</f>
        <v>NULL</v>
      </c>
      <c r="J333" t="str">
        <f t="shared" si="5"/>
        <v>INSERT INTO COTACAO (blt_id, pap_id, cot_prc_comum, cot_prc_min, cot_prc_max, cot_prc_med, cot_prc_mediana) VALUES (9, 20, NULL, NULL, NULL, NULL, NULL);</v>
      </c>
    </row>
    <row r="334" spans="1:10" x14ac:dyDescent="0.3">
      <c r="A334">
        <v>333</v>
      </c>
      <c r="B334">
        <v>9</v>
      </c>
      <c r="C334">
        <v>21</v>
      </c>
      <c r="D334">
        <f>IF('Boletins Nuppa Site'!F334&lt;&gt;0,'Boletins Nuppa Site'!F334,"NULL")</f>
        <v>80</v>
      </c>
      <c r="E334">
        <f>IF('Boletins Nuppa Site'!G334&lt;&gt;0,'Boletins Nuppa Site'!G334,"NULL")</f>
        <v>70</v>
      </c>
      <c r="F334">
        <f>IF('Boletins Nuppa Site'!H334&lt;&gt;0,'Boletins Nuppa Site'!H334,"NULL")</f>
        <v>85</v>
      </c>
      <c r="G334" t="str">
        <f>IF('Boletins Nuppa Site'!I334&lt;&gt;0,'Boletins Nuppa Site'!I334,"NULL")</f>
        <v>78.75</v>
      </c>
      <c r="H334">
        <f>IF('Boletins Nuppa Site'!J334&lt;&gt;0,'Boletins Nuppa Site'!J334,"NULL")</f>
        <v>80</v>
      </c>
      <c r="J334" t="str">
        <f t="shared" si="5"/>
        <v>INSERT INTO COTACAO (blt_id, pap_id, cot_prc_comum, cot_prc_min, cot_prc_max, cot_prc_med, cot_prc_mediana) VALUES (9, 21, 80, 70, 85, 78.75, 80);</v>
      </c>
    </row>
    <row r="335" spans="1:10" x14ac:dyDescent="0.3">
      <c r="A335">
        <v>334</v>
      </c>
      <c r="B335">
        <v>9</v>
      </c>
      <c r="C335">
        <v>22</v>
      </c>
      <c r="D335">
        <f>IF('Boletins Nuppa Site'!F335&lt;&gt;0,'Boletins Nuppa Site'!F335,"NULL")</f>
        <v>75</v>
      </c>
      <c r="E335">
        <f>IF('Boletins Nuppa Site'!G335&lt;&gt;0,'Boletins Nuppa Site'!G335,"NULL")</f>
        <v>55</v>
      </c>
      <c r="F335">
        <f>IF('Boletins Nuppa Site'!H335&lt;&gt;0,'Boletins Nuppa Site'!H335,"NULL")</f>
        <v>75</v>
      </c>
      <c r="G335">
        <f>IF('Boletins Nuppa Site'!I335&lt;&gt;0,'Boletins Nuppa Site'!I335,"NULL")</f>
        <v>70</v>
      </c>
      <c r="H335">
        <f>IF('Boletins Nuppa Site'!J335&lt;&gt;0,'Boletins Nuppa Site'!J335,"NULL")</f>
        <v>75</v>
      </c>
      <c r="J335" t="str">
        <f t="shared" si="5"/>
        <v>INSERT INTO COTACAO (blt_id, pap_id, cot_prc_comum, cot_prc_min, cot_prc_max, cot_prc_med, cot_prc_mediana) VALUES (9, 22, 75, 55, 75, 70, 75);</v>
      </c>
    </row>
    <row r="336" spans="1:10" x14ac:dyDescent="0.3">
      <c r="A336">
        <v>335</v>
      </c>
      <c r="B336">
        <v>9</v>
      </c>
      <c r="C336">
        <v>23</v>
      </c>
      <c r="D336">
        <f>IF('Boletins Nuppa Site'!F336&lt;&gt;0,'Boletins Nuppa Site'!F336,"NULL")</f>
        <v>50</v>
      </c>
      <c r="E336">
        <f>IF('Boletins Nuppa Site'!G336&lt;&gt;0,'Boletins Nuppa Site'!G336,"NULL")</f>
        <v>30</v>
      </c>
      <c r="F336">
        <f>IF('Boletins Nuppa Site'!H336&lt;&gt;0,'Boletins Nuppa Site'!H336,"NULL")</f>
        <v>50</v>
      </c>
      <c r="G336">
        <f>IF('Boletins Nuppa Site'!I336&lt;&gt;0,'Boletins Nuppa Site'!I336,"NULL")</f>
        <v>44</v>
      </c>
      <c r="H336">
        <f>IF('Boletins Nuppa Site'!J336&lt;&gt;0,'Boletins Nuppa Site'!J336,"NULL")</f>
        <v>50</v>
      </c>
      <c r="J336" t="str">
        <f t="shared" si="5"/>
        <v>INSERT INTO COTACAO (blt_id, pap_id, cot_prc_comum, cot_prc_min, cot_prc_max, cot_prc_med, cot_prc_mediana) VALUES (9, 23, 50, 30, 50, 44, 50);</v>
      </c>
    </row>
    <row r="337" spans="1:10" x14ac:dyDescent="0.3">
      <c r="A337">
        <v>336</v>
      </c>
      <c r="B337">
        <v>9</v>
      </c>
      <c r="C337">
        <v>24</v>
      </c>
      <c r="D337" t="str">
        <f>IF('Boletins Nuppa Site'!F337&lt;&gt;0,'Boletins Nuppa Site'!F337,"NULL")</f>
        <v>NULL</v>
      </c>
      <c r="E337">
        <f>IF('Boletins Nuppa Site'!G337&lt;&gt;0,'Boletins Nuppa Site'!G337,"NULL")</f>
        <v>80</v>
      </c>
      <c r="F337">
        <f>IF('Boletins Nuppa Site'!H337&lt;&gt;0,'Boletins Nuppa Site'!H337,"NULL")</f>
        <v>80</v>
      </c>
      <c r="G337">
        <f>IF('Boletins Nuppa Site'!I337&lt;&gt;0,'Boletins Nuppa Site'!I337,"NULL")</f>
        <v>80</v>
      </c>
      <c r="H337">
        <f>IF('Boletins Nuppa Site'!J337&lt;&gt;0,'Boletins Nuppa Site'!J337,"NULL")</f>
        <v>80</v>
      </c>
      <c r="J337" t="str">
        <f t="shared" si="5"/>
        <v>INSERT INTO COTACAO (blt_id, pap_id, cot_prc_comum, cot_prc_min, cot_prc_max, cot_prc_med, cot_prc_mediana) VALUES (9, 24, NULL, 80, 80, 80, 80);</v>
      </c>
    </row>
    <row r="338" spans="1:10" x14ac:dyDescent="0.3">
      <c r="A338">
        <v>337</v>
      </c>
      <c r="B338">
        <v>9</v>
      </c>
      <c r="C338">
        <v>25</v>
      </c>
      <c r="D338">
        <f>IF('Boletins Nuppa Site'!F338&lt;&gt;0,'Boletins Nuppa Site'!F338,"NULL")</f>
        <v>100</v>
      </c>
      <c r="E338">
        <f>IF('Boletins Nuppa Site'!G338&lt;&gt;0,'Boletins Nuppa Site'!G338,"NULL")</f>
        <v>100</v>
      </c>
      <c r="F338">
        <f>IF('Boletins Nuppa Site'!H338&lt;&gt;0,'Boletins Nuppa Site'!H338,"NULL")</f>
        <v>130</v>
      </c>
      <c r="G338" t="str">
        <f>IF('Boletins Nuppa Site'!I338&lt;&gt;0,'Boletins Nuppa Site'!I338,"NULL")</f>
        <v>113.75</v>
      </c>
      <c r="H338" t="str">
        <f>IF('Boletins Nuppa Site'!J338&lt;&gt;0,'Boletins Nuppa Site'!J338,"NULL")</f>
        <v>112.5</v>
      </c>
      <c r="J338" t="str">
        <f t="shared" si="5"/>
        <v>INSERT INTO COTACAO (blt_id, pap_id, cot_prc_comum, cot_prc_min, cot_prc_max, cot_prc_med, cot_prc_mediana) VALUES (9, 25, 100, 100, 130, 113.75, 112.5);</v>
      </c>
    </row>
    <row r="339" spans="1:10" x14ac:dyDescent="0.3">
      <c r="A339">
        <v>338</v>
      </c>
      <c r="B339">
        <v>9</v>
      </c>
      <c r="C339">
        <v>26</v>
      </c>
      <c r="D339">
        <f>IF('Boletins Nuppa Site'!F339&lt;&gt;0,'Boletins Nuppa Site'!F339,"NULL")</f>
        <v>130</v>
      </c>
      <c r="E339">
        <f>IF('Boletins Nuppa Site'!G339&lt;&gt;0,'Boletins Nuppa Site'!G339,"NULL")</f>
        <v>90</v>
      </c>
      <c r="F339">
        <f>IF('Boletins Nuppa Site'!H339&lt;&gt;0,'Boletins Nuppa Site'!H339,"NULL")</f>
        <v>140</v>
      </c>
      <c r="G339" t="str">
        <f>IF('Boletins Nuppa Site'!I339&lt;&gt;0,'Boletins Nuppa Site'!I339,"NULL")</f>
        <v>122.5</v>
      </c>
      <c r="H339">
        <f>IF('Boletins Nuppa Site'!J339&lt;&gt;0,'Boletins Nuppa Site'!J339,"NULL")</f>
        <v>130</v>
      </c>
      <c r="J339" t="str">
        <f t="shared" si="5"/>
        <v>INSERT INTO COTACAO (blt_id, pap_id, cot_prc_comum, cot_prc_min, cot_prc_max, cot_prc_med, cot_prc_mediana) VALUES (9, 26, 130, 90, 140, 122.5, 130);</v>
      </c>
    </row>
    <row r="340" spans="1:10" x14ac:dyDescent="0.3">
      <c r="A340">
        <v>339</v>
      </c>
      <c r="B340">
        <v>9</v>
      </c>
      <c r="C340">
        <v>27</v>
      </c>
      <c r="D340">
        <f>IF('Boletins Nuppa Site'!F340&lt;&gt;0,'Boletins Nuppa Site'!F340,"NULL")</f>
        <v>70</v>
      </c>
      <c r="E340">
        <f>IF('Boletins Nuppa Site'!G340&lt;&gt;0,'Boletins Nuppa Site'!G340,"NULL")</f>
        <v>70</v>
      </c>
      <c r="F340">
        <f>IF('Boletins Nuppa Site'!H340&lt;&gt;0,'Boletins Nuppa Site'!H340,"NULL")</f>
        <v>90</v>
      </c>
      <c r="G340">
        <f>IF('Boletins Nuppa Site'!I340&lt;&gt;0,'Boletins Nuppa Site'!I340,"NULL")</f>
        <v>75</v>
      </c>
      <c r="H340">
        <f>IF('Boletins Nuppa Site'!J340&lt;&gt;0,'Boletins Nuppa Site'!J340,"NULL")</f>
        <v>70</v>
      </c>
      <c r="J340" t="str">
        <f t="shared" si="5"/>
        <v>INSERT INTO COTACAO (blt_id, pap_id, cot_prc_comum, cot_prc_min, cot_prc_max, cot_prc_med, cot_prc_mediana) VALUES (9, 27, 70, 70, 90, 75, 70);</v>
      </c>
    </row>
    <row r="341" spans="1:10" x14ac:dyDescent="0.3">
      <c r="A341">
        <v>340</v>
      </c>
      <c r="B341">
        <v>9</v>
      </c>
      <c r="C341">
        <v>28</v>
      </c>
      <c r="D341" t="str">
        <f>IF('Boletins Nuppa Site'!F341&lt;&gt;0,'Boletins Nuppa Site'!F341,"NULL")</f>
        <v>NULL</v>
      </c>
      <c r="E341">
        <f>IF('Boletins Nuppa Site'!G341&lt;&gt;0,'Boletins Nuppa Site'!G341,"NULL")</f>
        <v>80</v>
      </c>
      <c r="F341">
        <f>IF('Boletins Nuppa Site'!H341&lt;&gt;0,'Boletins Nuppa Site'!H341,"NULL")</f>
        <v>85</v>
      </c>
      <c r="G341" t="str">
        <f>IF('Boletins Nuppa Site'!I341&lt;&gt;0,'Boletins Nuppa Site'!I341,"NULL")</f>
        <v>82.5</v>
      </c>
      <c r="H341" t="str">
        <f>IF('Boletins Nuppa Site'!J341&lt;&gt;0,'Boletins Nuppa Site'!J341,"NULL")</f>
        <v>82.5</v>
      </c>
      <c r="J341" t="str">
        <f t="shared" si="5"/>
        <v>INSERT INTO COTACAO (blt_id, pap_id, cot_prc_comum, cot_prc_min, cot_prc_max, cot_prc_med, cot_prc_mediana) VALUES (9, 28, NULL, 80, 85, 82.5, 82.5);</v>
      </c>
    </row>
    <row r="342" spans="1:10" x14ac:dyDescent="0.3">
      <c r="A342">
        <v>341</v>
      </c>
      <c r="B342">
        <v>9</v>
      </c>
      <c r="C342">
        <v>29</v>
      </c>
      <c r="D342">
        <f>IF('Boletins Nuppa Site'!F342&lt;&gt;0,'Boletins Nuppa Site'!F342,"NULL")</f>
        <v>60</v>
      </c>
      <c r="E342">
        <f>IF('Boletins Nuppa Site'!G342&lt;&gt;0,'Boletins Nuppa Site'!G342,"NULL")</f>
        <v>60</v>
      </c>
      <c r="F342">
        <f>IF('Boletins Nuppa Site'!H342&lt;&gt;0,'Boletins Nuppa Site'!H342,"NULL")</f>
        <v>60</v>
      </c>
      <c r="G342">
        <f>IF('Boletins Nuppa Site'!I342&lt;&gt;0,'Boletins Nuppa Site'!I342,"NULL")</f>
        <v>60</v>
      </c>
      <c r="H342">
        <f>IF('Boletins Nuppa Site'!J342&lt;&gt;0,'Boletins Nuppa Site'!J342,"NULL")</f>
        <v>60</v>
      </c>
      <c r="J342" t="str">
        <f t="shared" si="5"/>
        <v>INSERT INTO COTACAO (blt_id, pap_id, cot_prc_comum, cot_prc_min, cot_prc_max, cot_prc_med, cot_prc_mediana) VALUES (9, 29, 60, 60, 60, 60, 60);</v>
      </c>
    </row>
    <row r="343" spans="1:10" x14ac:dyDescent="0.3">
      <c r="A343">
        <v>342</v>
      </c>
      <c r="B343">
        <v>9</v>
      </c>
      <c r="C343">
        <v>30</v>
      </c>
      <c r="D343">
        <f>IF('Boletins Nuppa Site'!F343&lt;&gt;0,'Boletins Nuppa Site'!F343,"NULL")</f>
        <v>70</v>
      </c>
      <c r="E343">
        <f>IF('Boletins Nuppa Site'!G343&lt;&gt;0,'Boletins Nuppa Site'!G343,"NULL")</f>
        <v>70</v>
      </c>
      <c r="F343">
        <f>IF('Boletins Nuppa Site'!H343&lt;&gt;0,'Boletins Nuppa Site'!H343,"NULL")</f>
        <v>70</v>
      </c>
      <c r="G343">
        <f>IF('Boletins Nuppa Site'!I343&lt;&gt;0,'Boletins Nuppa Site'!I343,"NULL")</f>
        <v>70</v>
      </c>
      <c r="H343">
        <f>IF('Boletins Nuppa Site'!J343&lt;&gt;0,'Boletins Nuppa Site'!J343,"NULL")</f>
        <v>70</v>
      </c>
      <c r="J343" t="str">
        <f t="shared" si="5"/>
        <v>INSERT INTO COTACAO (blt_id, pap_id, cot_prc_comum, cot_prc_min, cot_prc_max, cot_prc_med, cot_prc_mediana) VALUES (9, 30, 70, 70, 70, 70, 70);</v>
      </c>
    </row>
    <row r="344" spans="1:10" x14ac:dyDescent="0.3">
      <c r="A344">
        <v>343</v>
      </c>
      <c r="B344">
        <v>9</v>
      </c>
      <c r="C344">
        <v>31</v>
      </c>
      <c r="D344" t="str">
        <f>IF('Boletins Nuppa Site'!F344&lt;&gt;0,'Boletins Nuppa Site'!F344,"NULL")</f>
        <v>NULL</v>
      </c>
      <c r="E344">
        <f>IF('Boletins Nuppa Site'!G344&lt;&gt;0,'Boletins Nuppa Site'!G344,"NULL")</f>
        <v>80</v>
      </c>
      <c r="F344">
        <f>IF('Boletins Nuppa Site'!H344&lt;&gt;0,'Boletins Nuppa Site'!H344,"NULL")</f>
        <v>135</v>
      </c>
      <c r="G344" t="str">
        <f>IF('Boletins Nuppa Site'!I344&lt;&gt;0,'Boletins Nuppa Site'!I344,"NULL")</f>
        <v>106.25</v>
      </c>
      <c r="H344">
        <f>IF('Boletins Nuppa Site'!J344&lt;&gt;0,'Boletins Nuppa Site'!J344,"NULL")</f>
        <v>105</v>
      </c>
      <c r="J344" t="str">
        <f t="shared" si="5"/>
        <v>INSERT INTO COTACAO (blt_id, pap_id, cot_prc_comum, cot_prc_min, cot_prc_max, cot_prc_med, cot_prc_mediana) VALUES (9, 31, NULL, 80, 135, 106.25, 105);</v>
      </c>
    </row>
    <row r="345" spans="1:10" x14ac:dyDescent="0.3">
      <c r="A345">
        <v>344</v>
      </c>
      <c r="B345">
        <v>9</v>
      </c>
      <c r="C345">
        <v>32</v>
      </c>
      <c r="D345">
        <f>IF('Boletins Nuppa Site'!F345&lt;&gt;0,'Boletins Nuppa Site'!F345,"NULL")</f>
        <v>60</v>
      </c>
      <c r="E345">
        <f>IF('Boletins Nuppa Site'!G345&lt;&gt;0,'Boletins Nuppa Site'!G345,"NULL")</f>
        <v>45</v>
      </c>
      <c r="F345">
        <f>IF('Boletins Nuppa Site'!H345&lt;&gt;0,'Boletins Nuppa Site'!H345,"NULL")</f>
        <v>70</v>
      </c>
      <c r="G345" t="str">
        <f>IF('Boletins Nuppa Site'!I345&lt;&gt;0,'Boletins Nuppa Site'!I345,"NULL")</f>
        <v>58.75</v>
      </c>
      <c r="H345">
        <f>IF('Boletins Nuppa Site'!J345&lt;&gt;0,'Boletins Nuppa Site'!J345,"NULL")</f>
        <v>60</v>
      </c>
      <c r="J345" t="str">
        <f t="shared" si="5"/>
        <v>INSERT INTO COTACAO (blt_id, pap_id, cot_prc_comum, cot_prc_min, cot_prc_max, cot_prc_med, cot_prc_mediana) VALUES (9, 32, 60, 45, 70, 58.75, 60);</v>
      </c>
    </row>
    <row r="346" spans="1:10" x14ac:dyDescent="0.3">
      <c r="A346">
        <v>345</v>
      </c>
      <c r="B346">
        <v>9</v>
      </c>
      <c r="C346">
        <v>33</v>
      </c>
      <c r="D346" t="str">
        <f>IF('Boletins Nuppa Site'!F346&lt;&gt;0,'Boletins Nuppa Site'!F346,"NULL")</f>
        <v>NULL</v>
      </c>
      <c r="E346">
        <f>IF('Boletins Nuppa Site'!G346&lt;&gt;0,'Boletins Nuppa Site'!G346,"NULL")</f>
        <v>50</v>
      </c>
      <c r="F346">
        <f>IF('Boletins Nuppa Site'!H346&lt;&gt;0,'Boletins Nuppa Site'!H346,"NULL")</f>
        <v>70</v>
      </c>
      <c r="G346">
        <f>IF('Boletins Nuppa Site'!I346&lt;&gt;0,'Boletins Nuppa Site'!I346,"NULL")</f>
        <v>60</v>
      </c>
      <c r="H346">
        <f>IF('Boletins Nuppa Site'!J346&lt;&gt;0,'Boletins Nuppa Site'!J346,"NULL")</f>
        <v>60</v>
      </c>
      <c r="J346" t="str">
        <f t="shared" si="5"/>
        <v>INSERT INTO COTACAO (blt_id, pap_id, cot_prc_comum, cot_prc_min, cot_prc_max, cot_prc_med, cot_prc_mediana) VALUES (9, 33, NULL, 50, 70, 60, 60);</v>
      </c>
    </row>
    <row r="347" spans="1:10" x14ac:dyDescent="0.3">
      <c r="A347">
        <v>346</v>
      </c>
      <c r="B347">
        <v>9</v>
      </c>
      <c r="C347">
        <v>34</v>
      </c>
      <c r="D347">
        <f>IF('Boletins Nuppa Site'!F347&lt;&gt;0,'Boletins Nuppa Site'!F347,"NULL")</f>
        <v>150</v>
      </c>
      <c r="E347">
        <f>IF('Boletins Nuppa Site'!G347&lt;&gt;0,'Boletins Nuppa Site'!G347,"NULL")</f>
        <v>110</v>
      </c>
      <c r="F347">
        <f>IF('Boletins Nuppa Site'!H347&lt;&gt;0,'Boletins Nuppa Site'!H347,"NULL")</f>
        <v>150</v>
      </c>
      <c r="G347" t="str">
        <f>IF('Boletins Nuppa Site'!I347&lt;&gt;0,'Boletins Nuppa Site'!I347,"NULL")</f>
        <v>137.5</v>
      </c>
      <c r="H347">
        <f>IF('Boletins Nuppa Site'!J347&lt;&gt;0,'Boletins Nuppa Site'!J347,"NULL")</f>
        <v>145</v>
      </c>
      <c r="J347" t="str">
        <f t="shared" si="5"/>
        <v>INSERT INTO COTACAO (blt_id, pap_id, cot_prc_comum, cot_prc_min, cot_prc_max, cot_prc_med, cot_prc_mediana) VALUES (9, 34, 150, 110, 150, 137.5, 145);</v>
      </c>
    </row>
    <row r="348" spans="1:10" x14ac:dyDescent="0.3">
      <c r="A348">
        <v>347</v>
      </c>
      <c r="B348">
        <v>9</v>
      </c>
      <c r="C348">
        <v>35</v>
      </c>
      <c r="D348" t="str">
        <f>IF('Boletins Nuppa Site'!F348&lt;&gt;0,'Boletins Nuppa Site'!F348,"NULL")</f>
        <v>NULL</v>
      </c>
      <c r="E348">
        <f>IF('Boletins Nuppa Site'!G348&lt;&gt;0,'Boletins Nuppa Site'!G348,"NULL")</f>
        <v>120</v>
      </c>
      <c r="F348">
        <f>IF('Boletins Nuppa Site'!H348&lt;&gt;0,'Boletins Nuppa Site'!H348,"NULL")</f>
        <v>150</v>
      </c>
      <c r="G348" t="str">
        <f>IF('Boletins Nuppa Site'!I348&lt;&gt;0,'Boletins Nuppa Site'!I348,"NULL")</f>
        <v>136.67</v>
      </c>
      <c r="H348">
        <f>IF('Boletins Nuppa Site'!J348&lt;&gt;0,'Boletins Nuppa Site'!J348,"NULL")</f>
        <v>140</v>
      </c>
      <c r="J348" t="str">
        <f t="shared" si="5"/>
        <v>INSERT INTO COTACAO (blt_id, pap_id, cot_prc_comum, cot_prc_min, cot_prc_max, cot_prc_med, cot_prc_mediana) VALUES (9, 35, NULL, 120, 150, 136.67, 140);</v>
      </c>
    </row>
    <row r="349" spans="1:10" x14ac:dyDescent="0.3">
      <c r="A349">
        <v>348</v>
      </c>
      <c r="B349">
        <v>9</v>
      </c>
      <c r="C349">
        <v>36</v>
      </c>
      <c r="D349" t="str">
        <f>IF('Boletins Nuppa Site'!F349&lt;&gt;0,'Boletins Nuppa Site'!F349,"NULL")</f>
        <v>NULL</v>
      </c>
      <c r="E349">
        <f>IF('Boletins Nuppa Site'!G349&lt;&gt;0,'Boletins Nuppa Site'!G349,"NULL")</f>
        <v>110</v>
      </c>
      <c r="F349">
        <f>IF('Boletins Nuppa Site'!H349&lt;&gt;0,'Boletins Nuppa Site'!H349,"NULL")</f>
        <v>110</v>
      </c>
      <c r="G349">
        <f>IF('Boletins Nuppa Site'!I349&lt;&gt;0,'Boletins Nuppa Site'!I349,"NULL")</f>
        <v>110</v>
      </c>
      <c r="H349">
        <f>IF('Boletins Nuppa Site'!J349&lt;&gt;0,'Boletins Nuppa Site'!J349,"NULL")</f>
        <v>110</v>
      </c>
      <c r="J349" t="str">
        <f t="shared" si="5"/>
        <v>INSERT INTO COTACAO (blt_id, pap_id, cot_prc_comum, cot_prc_min, cot_prc_max, cot_prc_med, cot_prc_mediana) VALUES (9, 36, NULL, 110, 110, 110, 110);</v>
      </c>
    </row>
    <row r="350" spans="1:10" x14ac:dyDescent="0.3">
      <c r="A350">
        <v>349</v>
      </c>
      <c r="B350">
        <v>9</v>
      </c>
      <c r="C350">
        <v>37</v>
      </c>
      <c r="D350" t="str">
        <f>IF('Boletins Nuppa Site'!F350&lt;&gt;0,'Boletins Nuppa Site'!F350,"NULL")</f>
        <v>NULL</v>
      </c>
      <c r="E350">
        <f>IF('Boletins Nuppa Site'!G350&lt;&gt;0,'Boletins Nuppa Site'!G350,"NULL")</f>
        <v>70</v>
      </c>
      <c r="F350">
        <f>IF('Boletins Nuppa Site'!H350&lt;&gt;0,'Boletins Nuppa Site'!H350,"NULL")</f>
        <v>70</v>
      </c>
      <c r="G350">
        <f>IF('Boletins Nuppa Site'!I350&lt;&gt;0,'Boletins Nuppa Site'!I350,"NULL")</f>
        <v>70</v>
      </c>
      <c r="H350">
        <f>IF('Boletins Nuppa Site'!J350&lt;&gt;0,'Boletins Nuppa Site'!J350,"NULL")</f>
        <v>70</v>
      </c>
      <c r="J350" t="str">
        <f t="shared" si="5"/>
        <v>INSERT INTO COTACAO (blt_id, pap_id, cot_prc_comum, cot_prc_min, cot_prc_max, cot_prc_med, cot_prc_mediana) VALUES (9, 37, NULL, 70, 70, 70, 70);</v>
      </c>
    </row>
    <row r="351" spans="1:10" x14ac:dyDescent="0.3">
      <c r="A351">
        <v>350</v>
      </c>
      <c r="B351">
        <v>9</v>
      </c>
      <c r="C351">
        <v>38</v>
      </c>
      <c r="D351" t="str">
        <f>IF('Boletins Nuppa Site'!F351&lt;&gt;0,'Boletins Nuppa Site'!F351,"NULL")</f>
        <v>NULL</v>
      </c>
      <c r="E351">
        <f>IF('Boletins Nuppa Site'!G351&lt;&gt;0,'Boletins Nuppa Site'!G351,"NULL")</f>
        <v>40</v>
      </c>
      <c r="F351">
        <f>IF('Boletins Nuppa Site'!H351&lt;&gt;0,'Boletins Nuppa Site'!H351,"NULL")</f>
        <v>40</v>
      </c>
      <c r="G351">
        <f>IF('Boletins Nuppa Site'!I351&lt;&gt;0,'Boletins Nuppa Site'!I351,"NULL")</f>
        <v>40</v>
      </c>
      <c r="H351">
        <f>IF('Boletins Nuppa Site'!J351&lt;&gt;0,'Boletins Nuppa Site'!J351,"NULL")</f>
        <v>40</v>
      </c>
      <c r="J351" t="str">
        <f t="shared" si="5"/>
        <v>INSERT INTO COTACAO (blt_id, pap_id, cot_prc_comum, cot_prc_min, cot_prc_max, cot_prc_med, cot_prc_mediana) VALUES (9, 38, NULL, 40, 40, 40, 40);</v>
      </c>
    </row>
    <row r="352" spans="1:10" x14ac:dyDescent="0.3">
      <c r="A352">
        <v>351</v>
      </c>
      <c r="B352">
        <v>9</v>
      </c>
      <c r="C352">
        <v>39</v>
      </c>
      <c r="D352" t="str">
        <f>IF('Boletins Nuppa Site'!F352&lt;&gt;0,'Boletins Nuppa Site'!F352,"NULL")</f>
        <v>NULL</v>
      </c>
      <c r="E352">
        <f>IF('Boletins Nuppa Site'!G352&lt;&gt;0,'Boletins Nuppa Site'!G352,"NULL")</f>
        <v>50</v>
      </c>
      <c r="F352">
        <f>IF('Boletins Nuppa Site'!H352&lt;&gt;0,'Boletins Nuppa Site'!H352,"NULL")</f>
        <v>50</v>
      </c>
      <c r="G352">
        <f>IF('Boletins Nuppa Site'!I352&lt;&gt;0,'Boletins Nuppa Site'!I352,"NULL")</f>
        <v>50</v>
      </c>
      <c r="H352">
        <f>IF('Boletins Nuppa Site'!J352&lt;&gt;0,'Boletins Nuppa Site'!J352,"NULL")</f>
        <v>50</v>
      </c>
      <c r="J352" t="str">
        <f t="shared" si="5"/>
        <v>INSERT INTO COTACAO (blt_id, pap_id, cot_prc_comum, cot_prc_min, cot_prc_max, cot_prc_med, cot_prc_mediana) VALUES (9, 39, NULL, 50, 50, 50, 50);</v>
      </c>
    </row>
    <row r="353" spans="1:10" x14ac:dyDescent="0.3">
      <c r="A353">
        <v>352</v>
      </c>
      <c r="B353">
        <v>9</v>
      </c>
      <c r="C353">
        <v>40</v>
      </c>
      <c r="D353" t="str">
        <f>IF('Boletins Nuppa Site'!F353&lt;&gt;0,'Boletins Nuppa Site'!F353,"NULL")</f>
        <v>NULL</v>
      </c>
      <c r="E353" t="str">
        <f>IF('Boletins Nuppa Site'!G353&lt;&gt;0,'Boletins Nuppa Site'!G353,"NULL")</f>
        <v>NULL</v>
      </c>
      <c r="F353" t="str">
        <f>IF('Boletins Nuppa Site'!H353&lt;&gt;0,'Boletins Nuppa Site'!H353,"NULL")</f>
        <v>NULL</v>
      </c>
      <c r="G353" t="str">
        <f>IF('Boletins Nuppa Site'!I353&lt;&gt;0,'Boletins Nuppa Site'!I353,"NULL")</f>
        <v>NULL</v>
      </c>
      <c r="H353" t="str">
        <f>IF('Boletins Nuppa Site'!J353&lt;&gt;0,'Boletins Nuppa Site'!J353,"NULL")</f>
        <v>NULL</v>
      </c>
      <c r="J353" t="str">
        <f t="shared" si="5"/>
        <v>INSERT INTO COTACAO (blt_id, pap_id, cot_prc_comum, cot_prc_min, cot_prc_max, cot_prc_med, cot_prc_mediana) VALUES (9, 40, NULL, NULL, NULL, NULL, NULL);</v>
      </c>
    </row>
    <row r="354" spans="1:10" x14ac:dyDescent="0.3">
      <c r="A354">
        <v>353</v>
      </c>
      <c r="B354">
        <v>10</v>
      </c>
      <c r="C354">
        <v>1</v>
      </c>
      <c r="D354">
        <f>IF('Boletins Nuppa Site'!F354&lt;&gt;0,'Boletins Nuppa Site'!F354,"NULL")</f>
        <v>60</v>
      </c>
      <c r="E354">
        <f>IF('Boletins Nuppa Site'!G354&lt;&gt;0,'Boletins Nuppa Site'!G354,"NULL")</f>
        <v>60</v>
      </c>
      <c r="F354">
        <f>IF('Boletins Nuppa Site'!H354&lt;&gt;0,'Boletins Nuppa Site'!H354,"NULL")</f>
        <v>84</v>
      </c>
      <c r="G354">
        <f>IF('Boletins Nuppa Site'!I354&lt;&gt;0,'Boletins Nuppa Site'!I354,"NULL")</f>
        <v>68</v>
      </c>
      <c r="H354">
        <f>IF('Boletins Nuppa Site'!J354&lt;&gt;0,'Boletins Nuppa Site'!J354,"NULL")</f>
        <v>60</v>
      </c>
      <c r="J354" t="str">
        <f t="shared" si="5"/>
        <v>INSERT INTO COTACAO (blt_id, pap_id, cot_prc_comum, cot_prc_min, cot_prc_max, cot_prc_med, cot_prc_mediana) VALUES (10, 1, 60, 60, 84, 68, 60);</v>
      </c>
    </row>
    <row r="355" spans="1:10" x14ac:dyDescent="0.3">
      <c r="A355">
        <v>354</v>
      </c>
      <c r="B355">
        <v>10</v>
      </c>
      <c r="C355">
        <v>2</v>
      </c>
      <c r="D355" t="str">
        <f>IF('Boletins Nuppa Site'!F355&lt;&gt;0,'Boletins Nuppa Site'!F355,"NULL")</f>
        <v>NULL</v>
      </c>
      <c r="E355">
        <f>IF('Boletins Nuppa Site'!G355&lt;&gt;0,'Boletins Nuppa Site'!G355,"NULL")</f>
        <v>32</v>
      </c>
      <c r="F355">
        <f>IF('Boletins Nuppa Site'!H355&lt;&gt;0,'Boletins Nuppa Site'!H355,"NULL")</f>
        <v>84</v>
      </c>
      <c r="G355" t="str">
        <f>IF('Boletins Nuppa Site'!I355&lt;&gt;0,'Boletins Nuppa Site'!I355,"NULL")</f>
        <v>62.67</v>
      </c>
      <c r="H355">
        <f>IF('Boletins Nuppa Site'!J355&lt;&gt;0,'Boletins Nuppa Site'!J355,"NULL")</f>
        <v>72</v>
      </c>
      <c r="J355" t="str">
        <f t="shared" si="5"/>
        <v>INSERT INTO COTACAO (blt_id, pap_id, cot_prc_comum, cot_prc_min, cot_prc_max, cot_prc_med, cot_prc_mediana) VALUES (10, 2, NULL, 32, 84, 62.67, 72);</v>
      </c>
    </row>
    <row r="356" spans="1:10" x14ac:dyDescent="0.3">
      <c r="A356">
        <v>355</v>
      </c>
      <c r="B356">
        <v>10</v>
      </c>
      <c r="C356">
        <v>3</v>
      </c>
      <c r="D356">
        <f>IF('Boletins Nuppa Site'!F356&lt;&gt;0,'Boletins Nuppa Site'!F356,"NULL")</f>
        <v>45</v>
      </c>
      <c r="E356">
        <f>IF('Boletins Nuppa Site'!G356&lt;&gt;0,'Boletins Nuppa Site'!G356,"NULL")</f>
        <v>45</v>
      </c>
      <c r="F356">
        <f>IF('Boletins Nuppa Site'!H356&lt;&gt;0,'Boletins Nuppa Site'!H356,"NULL")</f>
        <v>60</v>
      </c>
      <c r="G356" t="str">
        <f>IF('Boletins Nuppa Site'!I356&lt;&gt;0,'Boletins Nuppa Site'!I356,"NULL")</f>
        <v>49.5</v>
      </c>
      <c r="H356" t="str">
        <f>IF('Boletins Nuppa Site'!J356&lt;&gt;0,'Boletins Nuppa Site'!J356,"NULL")</f>
        <v>46.5</v>
      </c>
      <c r="J356" t="str">
        <f t="shared" si="5"/>
        <v>INSERT INTO COTACAO (blt_id, pap_id, cot_prc_comum, cot_prc_min, cot_prc_max, cot_prc_med, cot_prc_mediana) VALUES (10, 3, 45, 45, 60, 49.5, 46.5);</v>
      </c>
    </row>
    <row r="357" spans="1:10" x14ac:dyDescent="0.3">
      <c r="A357">
        <v>356</v>
      </c>
      <c r="B357">
        <v>10</v>
      </c>
      <c r="C357">
        <v>4</v>
      </c>
      <c r="D357" t="str">
        <f>IF('Boletins Nuppa Site'!F357&lt;&gt;0,'Boletins Nuppa Site'!F357,"NULL")</f>
        <v>NULL</v>
      </c>
      <c r="E357">
        <f>IF('Boletins Nuppa Site'!G357&lt;&gt;0,'Boletins Nuppa Site'!G357,"NULL")</f>
        <v>30</v>
      </c>
      <c r="F357">
        <f>IF('Boletins Nuppa Site'!H357&lt;&gt;0,'Boletins Nuppa Site'!H357,"NULL")</f>
        <v>60</v>
      </c>
      <c r="G357" t="str">
        <f>IF('Boletins Nuppa Site'!I357&lt;&gt;0,'Boletins Nuppa Site'!I357,"NULL")</f>
        <v>41.75</v>
      </c>
      <c r="H357" t="str">
        <f>IF('Boletins Nuppa Site'!J357&lt;&gt;0,'Boletins Nuppa Site'!J357,"NULL")</f>
        <v>38.5</v>
      </c>
      <c r="J357" t="str">
        <f t="shared" si="5"/>
        <v>INSERT INTO COTACAO (blt_id, pap_id, cot_prc_comum, cot_prc_min, cot_prc_max, cot_prc_med, cot_prc_mediana) VALUES (10, 4, NULL, 30, 60, 41.75, 38.5);</v>
      </c>
    </row>
    <row r="358" spans="1:10" x14ac:dyDescent="0.3">
      <c r="A358">
        <v>357</v>
      </c>
      <c r="B358">
        <v>10</v>
      </c>
      <c r="C358">
        <v>5</v>
      </c>
      <c r="D358" t="str">
        <f>IF('Boletins Nuppa Site'!F358&lt;&gt;0,'Boletins Nuppa Site'!F358,"NULL")</f>
        <v>NULL</v>
      </c>
      <c r="E358">
        <f>IF('Boletins Nuppa Site'!G358&lt;&gt;0,'Boletins Nuppa Site'!G358,"NULL")</f>
        <v>35</v>
      </c>
      <c r="F358">
        <f>IF('Boletins Nuppa Site'!H358&lt;&gt;0,'Boletins Nuppa Site'!H358,"NULL")</f>
        <v>60</v>
      </c>
      <c r="G358" t="str">
        <f>IF('Boletins Nuppa Site'!I358&lt;&gt;0,'Boletins Nuppa Site'!I358,"NULL")</f>
        <v>45.67</v>
      </c>
      <c r="H358">
        <f>IF('Boletins Nuppa Site'!J358&lt;&gt;0,'Boletins Nuppa Site'!J358,"NULL")</f>
        <v>42</v>
      </c>
      <c r="J358" t="str">
        <f t="shared" si="5"/>
        <v>INSERT INTO COTACAO (blt_id, pap_id, cot_prc_comum, cot_prc_min, cot_prc_max, cot_prc_med, cot_prc_mediana) VALUES (10, 5, NULL, 35, 60, 45.67, 42);</v>
      </c>
    </row>
    <row r="359" spans="1:10" x14ac:dyDescent="0.3">
      <c r="A359">
        <v>358</v>
      </c>
      <c r="B359">
        <v>10</v>
      </c>
      <c r="C359">
        <v>6</v>
      </c>
      <c r="D359">
        <f>IF('Boletins Nuppa Site'!F359&lt;&gt;0,'Boletins Nuppa Site'!F359,"NULL")</f>
        <v>60</v>
      </c>
      <c r="E359">
        <f>IF('Boletins Nuppa Site'!G359&lt;&gt;0,'Boletins Nuppa Site'!G359,"NULL")</f>
        <v>54</v>
      </c>
      <c r="F359">
        <f>IF('Boletins Nuppa Site'!H359&lt;&gt;0,'Boletins Nuppa Site'!H359,"NULL")</f>
        <v>60</v>
      </c>
      <c r="G359">
        <f>IF('Boletins Nuppa Site'!I359&lt;&gt;0,'Boletins Nuppa Site'!I359,"NULL")</f>
        <v>58</v>
      </c>
      <c r="H359">
        <f>IF('Boletins Nuppa Site'!J359&lt;&gt;0,'Boletins Nuppa Site'!J359,"NULL")</f>
        <v>60</v>
      </c>
      <c r="J359" t="str">
        <f t="shared" si="5"/>
        <v>INSERT INTO COTACAO (blt_id, pap_id, cot_prc_comum, cot_prc_min, cot_prc_max, cot_prc_med, cot_prc_mediana) VALUES (10, 6, 60, 54, 60, 58, 60);</v>
      </c>
    </row>
    <row r="360" spans="1:10" x14ac:dyDescent="0.3">
      <c r="A360">
        <v>359</v>
      </c>
      <c r="B360">
        <v>10</v>
      </c>
      <c r="C360">
        <v>7</v>
      </c>
      <c r="D360">
        <f>IF('Boletins Nuppa Site'!F360&lt;&gt;0,'Boletins Nuppa Site'!F360,"NULL")</f>
        <v>60</v>
      </c>
      <c r="E360">
        <f>IF('Boletins Nuppa Site'!G360&lt;&gt;0,'Boletins Nuppa Site'!G360,"NULL")</f>
        <v>60</v>
      </c>
      <c r="F360">
        <f>IF('Boletins Nuppa Site'!H360&lt;&gt;0,'Boletins Nuppa Site'!H360,"NULL")</f>
        <v>78</v>
      </c>
      <c r="G360" t="str">
        <f>IF('Boletins Nuppa Site'!I360&lt;&gt;0,'Boletins Nuppa Site'!I360,"NULL")</f>
        <v>64.5</v>
      </c>
      <c r="H360">
        <f>IF('Boletins Nuppa Site'!J360&lt;&gt;0,'Boletins Nuppa Site'!J360,"NULL")</f>
        <v>60</v>
      </c>
      <c r="J360" t="str">
        <f t="shared" si="5"/>
        <v>INSERT INTO COTACAO (blt_id, pap_id, cot_prc_comum, cot_prc_min, cot_prc_max, cot_prc_med, cot_prc_mediana) VALUES (10, 7, 60, 60, 78, 64.5, 60);</v>
      </c>
    </row>
    <row r="361" spans="1:10" x14ac:dyDescent="0.3">
      <c r="A361">
        <v>360</v>
      </c>
      <c r="B361">
        <v>10</v>
      </c>
      <c r="C361">
        <v>8</v>
      </c>
      <c r="D361">
        <f>IF('Boletins Nuppa Site'!F361&lt;&gt;0,'Boletins Nuppa Site'!F361,"NULL")</f>
        <v>84</v>
      </c>
      <c r="E361">
        <f>IF('Boletins Nuppa Site'!G361&lt;&gt;0,'Boletins Nuppa Site'!G361,"NULL")</f>
        <v>72</v>
      </c>
      <c r="F361">
        <f>IF('Boletins Nuppa Site'!H361&lt;&gt;0,'Boletins Nuppa Site'!H361,"NULL")</f>
        <v>96</v>
      </c>
      <c r="G361">
        <f>IF('Boletins Nuppa Site'!I361&lt;&gt;0,'Boletins Nuppa Site'!I361,"NULL")</f>
        <v>84</v>
      </c>
      <c r="H361">
        <f>IF('Boletins Nuppa Site'!J361&lt;&gt;0,'Boletins Nuppa Site'!J361,"NULL")</f>
        <v>84</v>
      </c>
      <c r="J361" t="str">
        <f t="shared" si="5"/>
        <v>INSERT INTO COTACAO (blt_id, pap_id, cot_prc_comum, cot_prc_min, cot_prc_max, cot_prc_med, cot_prc_mediana) VALUES (10, 8, 84, 72, 96, 84, 84);</v>
      </c>
    </row>
    <row r="362" spans="1:10" x14ac:dyDescent="0.3">
      <c r="A362">
        <v>361</v>
      </c>
      <c r="B362">
        <v>10</v>
      </c>
      <c r="C362">
        <v>9</v>
      </c>
      <c r="D362">
        <f>IF('Boletins Nuppa Site'!F362&lt;&gt;0,'Boletins Nuppa Site'!F362,"NULL")</f>
        <v>30</v>
      </c>
      <c r="E362">
        <f>IF('Boletins Nuppa Site'!G362&lt;&gt;0,'Boletins Nuppa Site'!G362,"NULL")</f>
        <v>24</v>
      </c>
      <c r="F362">
        <f>IF('Boletins Nuppa Site'!H362&lt;&gt;0,'Boletins Nuppa Site'!H362,"NULL")</f>
        <v>30</v>
      </c>
      <c r="G362" t="str">
        <f>IF('Boletins Nuppa Site'!I362&lt;&gt;0,'Boletins Nuppa Site'!I362,"NULL")</f>
        <v>28.5</v>
      </c>
      <c r="H362">
        <f>IF('Boletins Nuppa Site'!J362&lt;&gt;0,'Boletins Nuppa Site'!J362,"NULL")</f>
        <v>30</v>
      </c>
      <c r="J362" t="str">
        <f t="shared" si="5"/>
        <v>INSERT INTO COTACAO (blt_id, pap_id, cot_prc_comum, cot_prc_min, cot_prc_max, cot_prc_med, cot_prc_mediana) VALUES (10, 9, 30, 24, 30, 28.5, 30);</v>
      </c>
    </row>
    <row r="363" spans="1:10" x14ac:dyDescent="0.3">
      <c r="A363">
        <v>362</v>
      </c>
      <c r="B363">
        <v>10</v>
      </c>
      <c r="C363">
        <v>10</v>
      </c>
      <c r="D363" t="str">
        <f>IF('Boletins Nuppa Site'!F363&lt;&gt;0,'Boletins Nuppa Site'!F363,"NULL")</f>
        <v>NULL</v>
      </c>
      <c r="E363">
        <f>IF('Boletins Nuppa Site'!G363&lt;&gt;0,'Boletins Nuppa Site'!G363,"NULL")</f>
        <v>84</v>
      </c>
      <c r="F363">
        <f>IF('Boletins Nuppa Site'!H363&lt;&gt;0,'Boletins Nuppa Site'!H363,"NULL")</f>
        <v>120</v>
      </c>
      <c r="G363">
        <f>IF('Boletins Nuppa Site'!I363&lt;&gt;0,'Boletins Nuppa Site'!I363,"NULL")</f>
        <v>100</v>
      </c>
      <c r="H363">
        <f>IF('Boletins Nuppa Site'!J363&lt;&gt;0,'Boletins Nuppa Site'!J363,"NULL")</f>
        <v>96</v>
      </c>
      <c r="J363" t="str">
        <f t="shared" si="5"/>
        <v>INSERT INTO COTACAO (blt_id, pap_id, cot_prc_comum, cot_prc_min, cot_prc_max, cot_prc_med, cot_prc_mediana) VALUES (10, 10, NULL, 84, 120, 100, 96);</v>
      </c>
    </row>
    <row r="364" spans="1:10" x14ac:dyDescent="0.3">
      <c r="A364">
        <v>363</v>
      </c>
      <c r="B364">
        <v>10</v>
      </c>
      <c r="C364">
        <v>11</v>
      </c>
      <c r="D364" t="str">
        <f>IF('Boletins Nuppa Site'!F364&lt;&gt;0,'Boletins Nuppa Site'!F364,"NULL")</f>
        <v>NULL</v>
      </c>
      <c r="E364">
        <f>IF('Boletins Nuppa Site'!G364&lt;&gt;0,'Boletins Nuppa Site'!G364,"NULL")</f>
        <v>30</v>
      </c>
      <c r="F364">
        <f>IF('Boletins Nuppa Site'!H364&lt;&gt;0,'Boletins Nuppa Site'!H364,"NULL")</f>
        <v>42</v>
      </c>
      <c r="G364" t="str">
        <f>IF('Boletins Nuppa Site'!I364&lt;&gt;0,'Boletins Nuppa Site'!I364,"NULL")</f>
        <v>35.67</v>
      </c>
      <c r="H364">
        <f>IF('Boletins Nuppa Site'!J364&lt;&gt;0,'Boletins Nuppa Site'!J364,"NULL")</f>
        <v>35</v>
      </c>
      <c r="J364" t="str">
        <f t="shared" si="5"/>
        <v>INSERT INTO COTACAO (blt_id, pap_id, cot_prc_comum, cot_prc_min, cot_prc_max, cot_prc_med, cot_prc_mediana) VALUES (10, 11, NULL, 30, 42, 35.67, 35);</v>
      </c>
    </row>
    <row r="365" spans="1:10" x14ac:dyDescent="0.3">
      <c r="A365">
        <v>364</v>
      </c>
      <c r="B365">
        <v>10</v>
      </c>
      <c r="C365">
        <v>12</v>
      </c>
      <c r="D365">
        <f>IF('Boletins Nuppa Site'!F365&lt;&gt;0,'Boletins Nuppa Site'!F365,"NULL")</f>
        <v>84</v>
      </c>
      <c r="E365">
        <f>IF('Boletins Nuppa Site'!G365&lt;&gt;0,'Boletins Nuppa Site'!G365,"NULL")</f>
        <v>72</v>
      </c>
      <c r="F365">
        <f>IF('Boletins Nuppa Site'!H365&lt;&gt;0,'Boletins Nuppa Site'!H365,"NULL")</f>
        <v>84</v>
      </c>
      <c r="G365">
        <f>IF('Boletins Nuppa Site'!I365&lt;&gt;0,'Boletins Nuppa Site'!I365,"NULL")</f>
        <v>80</v>
      </c>
      <c r="H365">
        <f>IF('Boletins Nuppa Site'!J365&lt;&gt;0,'Boletins Nuppa Site'!J365,"NULL")</f>
        <v>84</v>
      </c>
      <c r="J365" t="str">
        <f t="shared" si="5"/>
        <v>INSERT INTO COTACAO (blt_id, pap_id, cot_prc_comum, cot_prc_min, cot_prc_max, cot_prc_med, cot_prc_mediana) VALUES (10, 12, 84, 72, 84, 80, 84);</v>
      </c>
    </row>
    <row r="366" spans="1:10" x14ac:dyDescent="0.3">
      <c r="A366">
        <v>365</v>
      </c>
      <c r="B366">
        <v>10</v>
      </c>
      <c r="C366">
        <v>13</v>
      </c>
      <c r="D366" t="str">
        <f>IF('Boletins Nuppa Site'!F366&lt;&gt;0,'Boletins Nuppa Site'!F366,"NULL")</f>
        <v>NULL</v>
      </c>
      <c r="E366">
        <f>IF('Boletins Nuppa Site'!G366&lt;&gt;0,'Boletins Nuppa Site'!G366,"NULL")</f>
        <v>48</v>
      </c>
      <c r="F366">
        <f>IF('Boletins Nuppa Site'!H366&lt;&gt;0,'Boletins Nuppa Site'!H366,"NULL")</f>
        <v>78</v>
      </c>
      <c r="G366" t="str">
        <f>IF('Boletins Nuppa Site'!I366&lt;&gt;0,'Boletins Nuppa Site'!I366,"NULL")</f>
        <v>64.5</v>
      </c>
      <c r="H366">
        <f>IF('Boletins Nuppa Site'!J366&lt;&gt;0,'Boletins Nuppa Site'!J366,"NULL")</f>
        <v>66</v>
      </c>
      <c r="J366" t="str">
        <f t="shared" si="5"/>
        <v>INSERT INTO COTACAO (blt_id, pap_id, cot_prc_comum, cot_prc_min, cot_prc_max, cot_prc_med, cot_prc_mediana) VALUES (10, 13, NULL, 48, 78, 64.5, 66);</v>
      </c>
    </row>
    <row r="367" spans="1:10" x14ac:dyDescent="0.3">
      <c r="A367">
        <v>366</v>
      </c>
      <c r="B367">
        <v>10</v>
      </c>
      <c r="C367">
        <v>14</v>
      </c>
      <c r="D367" t="str">
        <f>IF('Boletins Nuppa Site'!F367&lt;&gt;0,'Boletins Nuppa Site'!F367,"NULL")</f>
        <v>NULL</v>
      </c>
      <c r="E367">
        <f>IF('Boletins Nuppa Site'!G367&lt;&gt;0,'Boletins Nuppa Site'!G367,"NULL")</f>
        <v>50</v>
      </c>
      <c r="F367">
        <f>IF('Boletins Nuppa Site'!H367&lt;&gt;0,'Boletins Nuppa Site'!H367,"NULL")</f>
        <v>80</v>
      </c>
      <c r="G367" t="str">
        <f>IF('Boletins Nuppa Site'!I367&lt;&gt;0,'Boletins Nuppa Site'!I367,"NULL")</f>
        <v>67.33</v>
      </c>
      <c r="H367">
        <f>IF('Boletins Nuppa Site'!J367&lt;&gt;0,'Boletins Nuppa Site'!J367,"NULL")</f>
        <v>72</v>
      </c>
      <c r="J367" t="str">
        <f t="shared" si="5"/>
        <v>INSERT INTO COTACAO (blt_id, pap_id, cot_prc_comum, cot_prc_min, cot_prc_max, cot_prc_med, cot_prc_mediana) VALUES (10, 14, NULL, 50, 80, 67.33, 72);</v>
      </c>
    </row>
    <row r="368" spans="1:10" x14ac:dyDescent="0.3">
      <c r="A368">
        <v>367</v>
      </c>
      <c r="B368">
        <v>10</v>
      </c>
      <c r="C368">
        <v>15</v>
      </c>
      <c r="D368">
        <f>IF('Boletins Nuppa Site'!F368&lt;&gt;0,'Boletins Nuppa Site'!F368,"NULL")</f>
        <v>50</v>
      </c>
      <c r="E368">
        <f>IF('Boletins Nuppa Site'!G368&lt;&gt;0,'Boletins Nuppa Site'!G368,"NULL")</f>
        <v>50</v>
      </c>
      <c r="F368">
        <f>IF('Boletins Nuppa Site'!H368&lt;&gt;0,'Boletins Nuppa Site'!H368,"NULL")</f>
        <v>60</v>
      </c>
      <c r="G368">
        <f>IF('Boletins Nuppa Site'!I368&lt;&gt;0,'Boletins Nuppa Site'!I368,"NULL")</f>
        <v>55</v>
      </c>
      <c r="H368">
        <f>IF('Boletins Nuppa Site'!J368&lt;&gt;0,'Boletins Nuppa Site'!J368,"NULL")</f>
        <v>55</v>
      </c>
      <c r="J368" t="str">
        <f t="shared" si="5"/>
        <v>INSERT INTO COTACAO (blt_id, pap_id, cot_prc_comum, cot_prc_min, cot_prc_max, cot_prc_med, cot_prc_mediana) VALUES (10, 15, 50, 50, 60, 55, 55);</v>
      </c>
    </row>
    <row r="369" spans="1:10" x14ac:dyDescent="0.3">
      <c r="A369">
        <v>368</v>
      </c>
      <c r="B369">
        <v>10</v>
      </c>
      <c r="C369">
        <v>16</v>
      </c>
      <c r="D369" t="str">
        <f>IF('Boletins Nuppa Site'!F369&lt;&gt;0,'Boletins Nuppa Site'!F369,"NULL")</f>
        <v>NULL</v>
      </c>
      <c r="E369">
        <f>IF('Boletins Nuppa Site'!G369&lt;&gt;0,'Boletins Nuppa Site'!G369,"NULL")</f>
        <v>42</v>
      </c>
      <c r="F369">
        <f>IF('Boletins Nuppa Site'!H369&lt;&gt;0,'Boletins Nuppa Site'!H369,"NULL")</f>
        <v>54</v>
      </c>
      <c r="G369">
        <f>IF('Boletins Nuppa Site'!I369&lt;&gt;0,'Boletins Nuppa Site'!I369,"NULL")</f>
        <v>48</v>
      </c>
      <c r="H369">
        <f>IF('Boletins Nuppa Site'!J369&lt;&gt;0,'Boletins Nuppa Site'!J369,"NULL")</f>
        <v>48</v>
      </c>
      <c r="J369" t="str">
        <f t="shared" si="5"/>
        <v>INSERT INTO COTACAO (blt_id, pap_id, cot_prc_comum, cot_prc_min, cot_prc_max, cot_prc_med, cot_prc_mediana) VALUES (10, 16, NULL, 42, 54, 48, 48);</v>
      </c>
    </row>
    <row r="370" spans="1:10" x14ac:dyDescent="0.3">
      <c r="A370">
        <v>369</v>
      </c>
      <c r="B370">
        <v>10</v>
      </c>
      <c r="C370">
        <v>17</v>
      </c>
      <c r="D370">
        <f>IF('Boletins Nuppa Site'!F370&lt;&gt;0,'Boletins Nuppa Site'!F370,"NULL")</f>
        <v>5</v>
      </c>
      <c r="E370">
        <f>IF('Boletins Nuppa Site'!G370&lt;&gt;0,'Boletins Nuppa Site'!G370,"NULL")</f>
        <v>4</v>
      </c>
      <c r="F370">
        <f>IF('Boletins Nuppa Site'!H370&lt;&gt;0,'Boletins Nuppa Site'!H370,"NULL")</f>
        <v>5</v>
      </c>
      <c r="G370" t="str">
        <f>IF('Boletins Nuppa Site'!I370&lt;&gt;0,'Boletins Nuppa Site'!I370,"NULL")</f>
        <v>4.63</v>
      </c>
      <c r="H370" t="str">
        <f>IF('Boletins Nuppa Site'!J370&lt;&gt;0,'Boletins Nuppa Site'!J370,"NULL")</f>
        <v>4.75</v>
      </c>
      <c r="J370" t="str">
        <f t="shared" si="5"/>
        <v>INSERT INTO COTACAO (blt_id, pap_id, cot_prc_comum, cot_prc_min, cot_prc_max, cot_prc_med, cot_prc_mediana) VALUES (10, 17, 5, 4, 5, 4.63, 4.75);</v>
      </c>
    </row>
    <row r="371" spans="1:10" x14ac:dyDescent="0.3">
      <c r="A371">
        <v>370</v>
      </c>
      <c r="B371">
        <v>10</v>
      </c>
      <c r="C371">
        <v>18</v>
      </c>
      <c r="D371">
        <f>IF('Boletins Nuppa Site'!F371&lt;&gt;0,'Boletins Nuppa Site'!F371,"NULL")</f>
        <v>20</v>
      </c>
      <c r="E371">
        <f>IF('Boletins Nuppa Site'!G371&lt;&gt;0,'Boletins Nuppa Site'!G371,"NULL")</f>
        <v>15</v>
      </c>
      <c r="F371">
        <f>IF('Boletins Nuppa Site'!H371&lt;&gt;0,'Boletins Nuppa Site'!H371,"NULL")</f>
        <v>25</v>
      </c>
      <c r="G371" t="str">
        <f>IF('Boletins Nuppa Site'!I371&lt;&gt;0,'Boletins Nuppa Site'!I371,"NULL")</f>
        <v>20.83</v>
      </c>
      <c r="H371">
        <f>IF('Boletins Nuppa Site'!J371&lt;&gt;0,'Boletins Nuppa Site'!J371,"NULL")</f>
        <v>20</v>
      </c>
      <c r="J371" t="str">
        <f t="shared" si="5"/>
        <v>INSERT INTO COTACAO (blt_id, pap_id, cot_prc_comum, cot_prc_min, cot_prc_max, cot_prc_med, cot_prc_mediana) VALUES (10, 18, 20, 15, 25, 20.83, 20);</v>
      </c>
    </row>
    <row r="372" spans="1:10" x14ac:dyDescent="0.3">
      <c r="A372">
        <v>371</v>
      </c>
      <c r="B372">
        <v>10</v>
      </c>
      <c r="C372">
        <v>19</v>
      </c>
      <c r="D372" t="str">
        <f>IF('Boletins Nuppa Site'!F372&lt;&gt;0,'Boletins Nuppa Site'!F372,"NULL")</f>
        <v>NULL</v>
      </c>
      <c r="E372">
        <f>IF('Boletins Nuppa Site'!G372&lt;&gt;0,'Boletins Nuppa Site'!G372,"NULL")</f>
        <v>30</v>
      </c>
      <c r="F372">
        <f>IF('Boletins Nuppa Site'!H372&lt;&gt;0,'Boletins Nuppa Site'!H372,"NULL")</f>
        <v>45</v>
      </c>
      <c r="G372" t="str">
        <f>IF('Boletins Nuppa Site'!I372&lt;&gt;0,'Boletins Nuppa Site'!I372,"NULL")</f>
        <v>37.5</v>
      </c>
      <c r="H372" t="str">
        <f>IF('Boletins Nuppa Site'!J372&lt;&gt;0,'Boletins Nuppa Site'!J372,"NULL")</f>
        <v>37.5</v>
      </c>
      <c r="J372" t="str">
        <f t="shared" si="5"/>
        <v>INSERT INTO COTACAO (blt_id, pap_id, cot_prc_comum, cot_prc_min, cot_prc_max, cot_prc_med, cot_prc_mediana) VALUES (10, 19, NULL, 30, 45, 37.5, 37.5);</v>
      </c>
    </row>
    <row r="373" spans="1:10" x14ac:dyDescent="0.3">
      <c r="A373">
        <v>372</v>
      </c>
      <c r="B373">
        <v>10</v>
      </c>
      <c r="C373">
        <v>20</v>
      </c>
      <c r="D373" t="str">
        <f>IF('Boletins Nuppa Site'!F373&lt;&gt;0,'Boletins Nuppa Site'!F373,"NULL")</f>
        <v>NULL</v>
      </c>
      <c r="E373">
        <f>IF('Boletins Nuppa Site'!G373&lt;&gt;0,'Boletins Nuppa Site'!G373,"NULL")</f>
        <v>100</v>
      </c>
      <c r="F373">
        <f>IF('Boletins Nuppa Site'!H373&lt;&gt;0,'Boletins Nuppa Site'!H373,"NULL")</f>
        <v>105</v>
      </c>
      <c r="G373" t="str">
        <f>IF('Boletins Nuppa Site'!I373&lt;&gt;0,'Boletins Nuppa Site'!I373,"NULL")</f>
        <v>102.5</v>
      </c>
      <c r="H373" t="str">
        <f>IF('Boletins Nuppa Site'!J373&lt;&gt;0,'Boletins Nuppa Site'!J373,"NULL")</f>
        <v>102.5</v>
      </c>
      <c r="J373" t="str">
        <f t="shared" si="5"/>
        <v>INSERT INTO COTACAO (blt_id, pap_id, cot_prc_comum, cot_prc_min, cot_prc_max, cot_prc_med, cot_prc_mediana) VALUES (10, 20, NULL, 100, 105, 102.5, 102.5);</v>
      </c>
    </row>
    <row r="374" spans="1:10" x14ac:dyDescent="0.3">
      <c r="A374">
        <v>373</v>
      </c>
      <c r="B374">
        <v>10</v>
      </c>
      <c r="C374">
        <v>21</v>
      </c>
      <c r="D374">
        <f>IF('Boletins Nuppa Site'!F374&lt;&gt;0,'Boletins Nuppa Site'!F374,"NULL")</f>
        <v>70</v>
      </c>
      <c r="E374">
        <f>IF('Boletins Nuppa Site'!G374&lt;&gt;0,'Boletins Nuppa Site'!G374,"NULL")</f>
        <v>50</v>
      </c>
      <c r="F374">
        <f>IF('Boletins Nuppa Site'!H374&lt;&gt;0,'Boletins Nuppa Site'!H374,"NULL")</f>
        <v>80</v>
      </c>
      <c r="G374" t="str">
        <f>IF('Boletins Nuppa Site'!I374&lt;&gt;0,'Boletins Nuppa Site'!I374,"NULL")</f>
        <v>67.5</v>
      </c>
      <c r="H374">
        <f>IF('Boletins Nuppa Site'!J374&lt;&gt;0,'Boletins Nuppa Site'!J374,"NULL")</f>
        <v>70</v>
      </c>
      <c r="J374" t="str">
        <f t="shared" si="5"/>
        <v>INSERT INTO COTACAO (blt_id, pap_id, cot_prc_comum, cot_prc_min, cot_prc_max, cot_prc_med, cot_prc_mediana) VALUES (10, 21, 70, 50, 80, 67.5, 70);</v>
      </c>
    </row>
    <row r="375" spans="1:10" x14ac:dyDescent="0.3">
      <c r="A375">
        <v>374</v>
      </c>
      <c r="B375">
        <v>10</v>
      </c>
      <c r="C375">
        <v>22</v>
      </c>
      <c r="D375">
        <f>IF('Boletins Nuppa Site'!F375&lt;&gt;0,'Boletins Nuppa Site'!F375,"NULL")</f>
        <v>70</v>
      </c>
      <c r="E375">
        <f>IF('Boletins Nuppa Site'!G375&lt;&gt;0,'Boletins Nuppa Site'!G375,"NULL")</f>
        <v>50</v>
      </c>
      <c r="F375">
        <f>IF('Boletins Nuppa Site'!H375&lt;&gt;0,'Boletins Nuppa Site'!H375,"NULL")</f>
        <v>75</v>
      </c>
      <c r="G375">
        <f>IF('Boletins Nuppa Site'!I375&lt;&gt;0,'Boletins Nuppa Site'!I375,"NULL")</f>
        <v>65</v>
      </c>
      <c r="H375">
        <f>IF('Boletins Nuppa Site'!J375&lt;&gt;0,'Boletins Nuppa Site'!J375,"NULL")</f>
        <v>70</v>
      </c>
      <c r="J375" t="str">
        <f t="shared" si="5"/>
        <v>INSERT INTO COTACAO (blt_id, pap_id, cot_prc_comum, cot_prc_min, cot_prc_max, cot_prc_med, cot_prc_mediana) VALUES (10, 22, 70, 50, 75, 65, 70);</v>
      </c>
    </row>
    <row r="376" spans="1:10" x14ac:dyDescent="0.3">
      <c r="A376">
        <v>375</v>
      </c>
      <c r="B376">
        <v>10</v>
      </c>
      <c r="C376">
        <v>23</v>
      </c>
      <c r="D376">
        <f>IF('Boletins Nuppa Site'!F376&lt;&gt;0,'Boletins Nuppa Site'!F376,"NULL")</f>
        <v>35</v>
      </c>
      <c r="E376">
        <f>IF('Boletins Nuppa Site'!G376&lt;&gt;0,'Boletins Nuppa Site'!G376,"NULL")</f>
        <v>35</v>
      </c>
      <c r="F376">
        <f>IF('Boletins Nuppa Site'!H376&lt;&gt;0,'Boletins Nuppa Site'!H376,"NULL")</f>
        <v>50</v>
      </c>
      <c r="G376" t="str">
        <f>IF('Boletins Nuppa Site'!I376&lt;&gt;0,'Boletins Nuppa Site'!I376,"NULL")</f>
        <v>42.5</v>
      </c>
      <c r="H376" t="str">
        <f>IF('Boletins Nuppa Site'!J376&lt;&gt;0,'Boletins Nuppa Site'!J376,"NULL")</f>
        <v>42.5</v>
      </c>
      <c r="J376" t="str">
        <f t="shared" si="5"/>
        <v>INSERT INTO COTACAO (blt_id, pap_id, cot_prc_comum, cot_prc_min, cot_prc_max, cot_prc_med, cot_prc_mediana) VALUES (10, 23, 35, 35, 50, 42.5, 42.5);</v>
      </c>
    </row>
    <row r="377" spans="1:10" x14ac:dyDescent="0.3">
      <c r="A377">
        <v>376</v>
      </c>
      <c r="B377">
        <v>10</v>
      </c>
      <c r="C377">
        <v>24</v>
      </c>
      <c r="D377" t="str">
        <f>IF('Boletins Nuppa Site'!F377&lt;&gt;0,'Boletins Nuppa Site'!F377,"NULL")</f>
        <v>NULL</v>
      </c>
      <c r="E377">
        <f>IF('Boletins Nuppa Site'!G377&lt;&gt;0,'Boletins Nuppa Site'!G377,"NULL")</f>
        <v>100</v>
      </c>
      <c r="F377">
        <f>IF('Boletins Nuppa Site'!H377&lt;&gt;0,'Boletins Nuppa Site'!H377,"NULL")</f>
        <v>120</v>
      </c>
      <c r="G377">
        <f>IF('Boletins Nuppa Site'!I377&lt;&gt;0,'Boletins Nuppa Site'!I377,"NULL")</f>
        <v>110</v>
      </c>
      <c r="H377">
        <f>IF('Boletins Nuppa Site'!J377&lt;&gt;0,'Boletins Nuppa Site'!J377,"NULL")</f>
        <v>110</v>
      </c>
      <c r="J377" t="str">
        <f t="shared" si="5"/>
        <v>INSERT INTO COTACAO (blt_id, pap_id, cot_prc_comum, cot_prc_min, cot_prc_max, cot_prc_med, cot_prc_mediana) VALUES (10, 24, NULL, 100, 120, 110, 110);</v>
      </c>
    </row>
    <row r="378" spans="1:10" x14ac:dyDescent="0.3">
      <c r="A378">
        <v>377</v>
      </c>
      <c r="B378">
        <v>10</v>
      </c>
      <c r="C378">
        <v>25</v>
      </c>
      <c r="D378">
        <f>IF('Boletins Nuppa Site'!F378&lt;&gt;0,'Boletins Nuppa Site'!F378,"NULL")</f>
        <v>100</v>
      </c>
      <c r="E378">
        <f>IF('Boletins Nuppa Site'!G378&lt;&gt;0,'Boletins Nuppa Site'!G378,"NULL")</f>
        <v>70</v>
      </c>
      <c r="F378">
        <f>IF('Boletins Nuppa Site'!H378&lt;&gt;0,'Boletins Nuppa Site'!H378,"NULL")</f>
        <v>130</v>
      </c>
      <c r="G378">
        <f>IF('Boletins Nuppa Site'!I378&lt;&gt;0,'Boletins Nuppa Site'!I378,"NULL")</f>
        <v>106</v>
      </c>
      <c r="H378">
        <f>IF('Boletins Nuppa Site'!J378&lt;&gt;0,'Boletins Nuppa Site'!J378,"NULL")</f>
        <v>100</v>
      </c>
      <c r="J378" t="str">
        <f t="shared" si="5"/>
        <v>INSERT INTO COTACAO (blt_id, pap_id, cot_prc_comum, cot_prc_min, cot_prc_max, cot_prc_med, cot_prc_mediana) VALUES (10, 25, 100, 70, 130, 106, 100);</v>
      </c>
    </row>
    <row r="379" spans="1:10" x14ac:dyDescent="0.3">
      <c r="A379">
        <v>378</v>
      </c>
      <c r="B379">
        <v>10</v>
      </c>
      <c r="C379">
        <v>26</v>
      </c>
      <c r="D379" t="str">
        <f>IF('Boletins Nuppa Site'!F379&lt;&gt;0,'Boletins Nuppa Site'!F379,"NULL")</f>
        <v>NULL</v>
      </c>
      <c r="E379">
        <f>IF('Boletins Nuppa Site'!G379&lt;&gt;0,'Boletins Nuppa Site'!G379,"NULL")</f>
        <v>60</v>
      </c>
      <c r="F379">
        <f>IF('Boletins Nuppa Site'!H379&lt;&gt;0,'Boletins Nuppa Site'!H379,"NULL")</f>
        <v>140</v>
      </c>
      <c r="G379" t="str">
        <f>IF('Boletins Nuppa Site'!I379&lt;&gt;0,'Boletins Nuppa Site'!I379,"NULL")</f>
        <v>96.67</v>
      </c>
      <c r="H379">
        <f>IF('Boletins Nuppa Site'!J379&lt;&gt;0,'Boletins Nuppa Site'!J379,"NULL")</f>
        <v>90</v>
      </c>
      <c r="J379" t="str">
        <f t="shared" si="5"/>
        <v>INSERT INTO COTACAO (blt_id, pap_id, cot_prc_comum, cot_prc_min, cot_prc_max, cot_prc_med, cot_prc_mediana) VALUES (10, 26, NULL, 60, 140, 96.67, 90);</v>
      </c>
    </row>
    <row r="380" spans="1:10" x14ac:dyDescent="0.3">
      <c r="A380">
        <v>379</v>
      </c>
      <c r="B380">
        <v>10</v>
      </c>
      <c r="C380">
        <v>27</v>
      </c>
      <c r="D380" t="str">
        <f>IF('Boletins Nuppa Site'!F380&lt;&gt;0,'Boletins Nuppa Site'!F380,"NULL")</f>
        <v>NULL</v>
      </c>
      <c r="E380">
        <f>IF('Boletins Nuppa Site'!G380&lt;&gt;0,'Boletins Nuppa Site'!G380,"NULL")</f>
        <v>50</v>
      </c>
      <c r="F380">
        <f>IF('Boletins Nuppa Site'!H380&lt;&gt;0,'Boletins Nuppa Site'!H380,"NULL")</f>
        <v>95</v>
      </c>
      <c r="G380">
        <f>IF('Boletins Nuppa Site'!I380&lt;&gt;0,'Boletins Nuppa Site'!I380,"NULL")</f>
        <v>68</v>
      </c>
      <c r="H380">
        <f>IF('Boletins Nuppa Site'!J380&lt;&gt;0,'Boletins Nuppa Site'!J380,"NULL")</f>
        <v>65</v>
      </c>
      <c r="J380" t="str">
        <f t="shared" si="5"/>
        <v>INSERT INTO COTACAO (blt_id, pap_id, cot_prc_comum, cot_prc_min, cot_prc_max, cot_prc_med, cot_prc_mediana) VALUES (10, 27, NULL, 50, 95, 68, 65);</v>
      </c>
    </row>
    <row r="381" spans="1:10" x14ac:dyDescent="0.3">
      <c r="A381">
        <v>380</v>
      </c>
      <c r="B381">
        <v>10</v>
      </c>
      <c r="C381">
        <v>28</v>
      </c>
      <c r="D381" t="str">
        <f>IF('Boletins Nuppa Site'!F381&lt;&gt;0,'Boletins Nuppa Site'!F381,"NULL")</f>
        <v>NULL</v>
      </c>
      <c r="E381">
        <f>IF('Boletins Nuppa Site'!G381&lt;&gt;0,'Boletins Nuppa Site'!G381,"NULL")</f>
        <v>90</v>
      </c>
      <c r="F381">
        <f>IF('Boletins Nuppa Site'!H381&lt;&gt;0,'Boletins Nuppa Site'!H381,"NULL")</f>
        <v>90</v>
      </c>
      <c r="G381">
        <f>IF('Boletins Nuppa Site'!I381&lt;&gt;0,'Boletins Nuppa Site'!I381,"NULL")</f>
        <v>90</v>
      </c>
      <c r="H381">
        <f>IF('Boletins Nuppa Site'!J381&lt;&gt;0,'Boletins Nuppa Site'!J381,"NULL")</f>
        <v>90</v>
      </c>
      <c r="J381" t="str">
        <f t="shared" si="5"/>
        <v>INSERT INTO COTACAO (blt_id, pap_id, cot_prc_comum, cot_prc_min, cot_prc_max, cot_prc_med, cot_prc_mediana) VALUES (10, 28, NULL, 90, 90, 90, 90);</v>
      </c>
    </row>
    <row r="382" spans="1:10" x14ac:dyDescent="0.3">
      <c r="A382">
        <v>381</v>
      </c>
      <c r="B382">
        <v>10</v>
      </c>
      <c r="C382">
        <v>29</v>
      </c>
      <c r="D382" t="str">
        <f>IF('Boletins Nuppa Site'!F382&lt;&gt;0,'Boletins Nuppa Site'!F382,"NULL")</f>
        <v>NULL</v>
      </c>
      <c r="E382">
        <f>IF('Boletins Nuppa Site'!G382&lt;&gt;0,'Boletins Nuppa Site'!G382,"NULL")</f>
        <v>80</v>
      </c>
      <c r="F382">
        <f>IF('Boletins Nuppa Site'!H382&lt;&gt;0,'Boletins Nuppa Site'!H382,"NULL")</f>
        <v>90</v>
      </c>
      <c r="G382">
        <f>IF('Boletins Nuppa Site'!I382&lt;&gt;0,'Boletins Nuppa Site'!I382,"NULL")</f>
        <v>85</v>
      </c>
      <c r="H382">
        <f>IF('Boletins Nuppa Site'!J382&lt;&gt;0,'Boletins Nuppa Site'!J382,"NULL")</f>
        <v>85</v>
      </c>
      <c r="J382" t="str">
        <f t="shared" si="5"/>
        <v>INSERT INTO COTACAO (blt_id, pap_id, cot_prc_comum, cot_prc_min, cot_prc_max, cot_prc_med, cot_prc_mediana) VALUES (10, 29, NULL, 80, 90, 85, 85);</v>
      </c>
    </row>
    <row r="383" spans="1:10" x14ac:dyDescent="0.3">
      <c r="A383">
        <v>382</v>
      </c>
      <c r="B383">
        <v>10</v>
      </c>
      <c r="C383">
        <v>30</v>
      </c>
      <c r="D383" t="str">
        <f>IF('Boletins Nuppa Site'!F383&lt;&gt;0,'Boletins Nuppa Site'!F383,"NULL")</f>
        <v>NULL</v>
      </c>
      <c r="E383">
        <f>IF('Boletins Nuppa Site'!G383&lt;&gt;0,'Boletins Nuppa Site'!G383,"NULL")</f>
        <v>42</v>
      </c>
      <c r="F383">
        <f>IF('Boletins Nuppa Site'!H383&lt;&gt;0,'Boletins Nuppa Site'!H383,"NULL")</f>
        <v>110</v>
      </c>
      <c r="G383">
        <f>IF('Boletins Nuppa Site'!I383&lt;&gt;0,'Boletins Nuppa Site'!I383,"NULL")</f>
        <v>84</v>
      </c>
      <c r="H383">
        <f>IF('Boletins Nuppa Site'!J383&lt;&gt;0,'Boletins Nuppa Site'!J383,"NULL")</f>
        <v>100</v>
      </c>
      <c r="J383" t="str">
        <f t="shared" si="5"/>
        <v>INSERT INTO COTACAO (blt_id, pap_id, cot_prc_comum, cot_prc_min, cot_prc_max, cot_prc_med, cot_prc_mediana) VALUES (10, 30, NULL, 42, 110, 84, 100);</v>
      </c>
    </row>
    <row r="384" spans="1:10" x14ac:dyDescent="0.3">
      <c r="A384">
        <v>383</v>
      </c>
      <c r="B384">
        <v>10</v>
      </c>
      <c r="C384">
        <v>31</v>
      </c>
      <c r="D384">
        <f>IF('Boletins Nuppa Site'!F384&lt;&gt;0,'Boletins Nuppa Site'!F384,"NULL")</f>
        <v>100</v>
      </c>
      <c r="E384">
        <f>IF('Boletins Nuppa Site'!G384&lt;&gt;0,'Boletins Nuppa Site'!G384,"NULL")</f>
        <v>75</v>
      </c>
      <c r="F384">
        <f>IF('Boletins Nuppa Site'!H384&lt;&gt;0,'Boletins Nuppa Site'!H384,"NULL")</f>
        <v>120</v>
      </c>
      <c r="G384">
        <f>IF('Boletins Nuppa Site'!I384&lt;&gt;0,'Boletins Nuppa Site'!I384,"NULL")</f>
        <v>95</v>
      </c>
      <c r="H384">
        <f>IF('Boletins Nuppa Site'!J384&lt;&gt;0,'Boletins Nuppa Site'!J384,"NULL")</f>
        <v>100</v>
      </c>
      <c r="J384" t="str">
        <f t="shared" si="5"/>
        <v>INSERT INTO COTACAO (blt_id, pap_id, cot_prc_comum, cot_prc_min, cot_prc_max, cot_prc_med, cot_prc_mediana) VALUES (10, 31, 100, 75, 120, 95, 100);</v>
      </c>
    </row>
    <row r="385" spans="1:10" x14ac:dyDescent="0.3">
      <c r="A385">
        <v>384</v>
      </c>
      <c r="B385">
        <v>10</v>
      </c>
      <c r="C385">
        <v>32</v>
      </c>
      <c r="D385">
        <f>IF('Boletins Nuppa Site'!F385&lt;&gt;0,'Boletins Nuppa Site'!F385,"NULL")</f>
        <v>60</v>
      </c>
      <c r="E385">
        <f>IF('Boletins Nuppa Site'!G385&lt;&gt;0,'Boletins Nuppa Site'!G385,"NULL")</f>
        <v>40</v>
      </c>
      <c r="F385">
        <f>IF('Boletins Nuppa Site'!H385&lt;&gt;0,'Boletins Nuppa Site'!H385,"NULL")</f>
        <v>80</v>
      </c>
      <c r="G385">
        <f>IF('Boletins Nuppa Site'!I385&lt;&gt;0,'Boletins Nuppa Site'!I385,"NULL")</f>
        <v>60</v>
      </c>
      <c r="H385">
        <f>IF('Boletins Nuppa Site'!J385&lt;&gt;0,'Boletins Nuppa Site'!J385,"NULL")</f>
        <v>60</v>
      </c>
      <c r="J385" t="str">
        <f t="shared" si="5"/>
        <v>INSERT INTO COTACAO (blt_id, pap_id, cot_prc_comum, cot_prc_min, cot_prc_max, cot_prc_med, cot_prc_mediana) VALUES (10, 32, 60, 40, 80, 60, 60);</v>
      </c>
    </row>
    <row r="386" spans="1:10" x14ac:dyDescent="0.3">
      <c r="A386">
        <v>385</v>
      </c>
      <c r="B386">
        <v>10</v>
      </c>
      <c r="C386">
        <v>33</v>
      </c>
      <c r="D386">
        <f>IF('Boletins Nuppa Site'!F386&lt;&gt;0,'Boletins Nuppa Site'!F386,"NULL")</f>
        <v>60</v>
      </c>
      <c r="E386">
        <f>IF('Boletins Nuppa Site'!G386&lt;&gt;0,'Boletins Nuppa Site'!G386,"NULL")</f>
        <v>60</v>
      </c>
      <c r="F386">
        <f>IF('Boletins Nuppa Site'!H386&lt;&gt;0,'Boletins Nuppa Site'!H386,"NULL")</f>
        <v>130</v>
      </c>
      <c r="G386">
        <f>IF('Boletins Nuppa Site'!I386&lt;&gt;0,'Boletins Nuppa Site'!I386,"NULL")</f>
        <v>77</v>
      </c>
      <c r="H386">
        <f>IF('Boletins Nuppa Site'!J386&lt;&gt;0,'Boletins Nuppa Site'!J386,"NULL")</f>
        <v>65</v>
      </c>
      <c r="J386" t="str">
        <f t="shared" si="5"/>
        <v>INSERT INTO COTACAO (blt_id, pap_id, cot_prc_comum, cot_prc_min, cot_prc_max, cot_prc_med, cot_prc_mediana) VALUES (10, 33, 60, 60, 130, 77, 65);</v>
      </c>
    </row>
    <row r="387" spans="1:10" x14ac:dyDescent="0.3">
      <c r="A387">
        <v>386</v>
      </c>
      <c r="B387">
        <v>10</v>
      </c>
      <c r="C387">
        <v>34</v>
      </c>
      <c r="D387" t="str">
        <f>IF('Boletins Nuppa Site'!F387&lt;&gt;0,'Boletins Nuppa Site'!F387,"NULL")</f>
        <v>NULL</v>
      </c>
      <c r="E387">
        <f>IF('Boletins Nuppa Site'!G387&lt;&gt;0,'Boletins Nuppa Site'!G387,"NULL")</f>
        <v>65</v>
      </c>
      <c r="F387">
        <f>IF('Boletins Nuppa Site'!H387&lt;&gt;0,'Boletins Nuppa Site'!H387,"NULL")</f>
        <v>140</v>
      </c>
      <c r="G387">
        <f>IF('Boletins Nuppa Site'!I387&lt;&gt;0,'Boletins Nuppa Site'!I387,"NULL")</f>
        <v>107</v>
      </c>
      <c r="H387">
        <f>IF('Boletins Nuppa Site'!J387&lt;&gt;0,'Boletins Nuppa Site'!J387,"NULL")</f>
        <v>110</v>
      </c>
      <c r="J387" t="str">
        <f t="shared" ref="J387:J450" si="6">"INSERT INTO COTACAO (blt_id, pap_id, cot_prc_comum, cot_prc_min, cot_prc_max, cot_prc_med, cot_prc_mediana) VALUES ("&amp;B387&amp;", "&amp;C387&amp;", "&amp;D387&amp;", "&amp;E387&amp;", "&amp;F387&amp;", "&amp;G387&amp;", "&amp;H387&amp;");"</f>
        <v>INSERT INTO COTACAO (blt_id, pap_id, cot_prc_comum, cot_prc_min, cot_prc_max, cot_prc_med, cot_prc_mediana) VALUES (10, 34, NULL, 65, 140, 107, 110);</v>
      </c>
    </row>
    <row r="388" spans="1:10" x14ac:dyDescent="0.3">
      <c r="A388">
        <v>387</v>
      </c>
      <c r="B388">
        <v>10</v>
      </c>
      <c r="C388">
        <v>35</v>
      </c>
      <c r="D388">
        <f>IF('Boletins Nuppa Site'!F388&lt;&gt;0,'Boletins Nuppa Site'!F388,"NULL")</f>
        <v>120</v>
      </c>
      <c r="E388">
        <f>IF('Boletins Nuppa Site'!G388&lt;&gt;0,'Boletins Nuppa Site'!G388,"NULL")</f>
        <v>100</v>
      </c>
      <c r="F388">
        <f>IF('Boletins Nuppa Site'!H388&lt;&gt;0,'Boletins Nuppa Site'!H388,"NULL")</f>
        <v>120</v>
      </c>
      <c r="G388">
        <f>IF('Boletins Nuppa Site'!I388&lt;&gt;0,'Boletins Nuppa Site'!I388,"NULL")</f>
        <v>115</v>
      </c>
      <c r="H388">
        <f>IF('Boletins Nuppa Site'!J388&lt;&gt;0,'Boletins Nuppa Site'!J388,"NULL")</f>
        <v>120</v>
      </c>
      <c r="J388" t="str">
        <f t="shared" si="6"/>
        <v>INSERT INTO COTACAO (blt_id, pap_id, cot_prc_comum, cot_prc_min, cot_prc_max, cot_prc_med, cot_prc_mediana) VALUES (10, 35, 120, 100, 120, 115, 120);</v>
      </c>
    </row>
    <row r="389" spans="1:10" x14ac:dyDescent="0.3">
      <c r="A389">
        <v>388</v>
      </c>
      <c r="B389">
        <v>10</v>
      </c>
      <c r="C389">
        <v>36</v>
      </c>
      <c r="D389" t="str">
        <f>IF('Boletins Nuppa Site'!F389&lt;&gt;0,'Boletins Nuppa Site'!F389,"NULL")</f>
        <v>NULL</v>
      </c>
      <c r="E389">
        <f>IF('Boletins Nuppa Site'!G389&lt;&gt;0,'Boletins Nuppa Site'!G389,"NULL")</f>
        <v>80</v>
      </c>
      <c r="F389">
        <f>IF('Boletins Nuppa Site'!H389&lt;&gt;0,'Boletins Nuppa Site'!H389,"NULL")</f>
        <v>80</v>
      </c>
      <c r="G389">
        <f>IF('Boletins Nuppa Site'!I389&lt;&gt;0,'Boletins Nuppa Site'!I389,"NULL")</f>
        <v>80</v>
      </c>
      <c r="H389">
        <f>IF('Boletins Nuppa Site'!J389&lt;&gt;0,'Boletins Nuppa Site'!J389,"NULL")</f>
        <v>80</v>
      </c>
      <c r="J389" t="str">
        <f t="shared" si="6"/>
        <v>INSERT INTO COTACAO (blt_id, pap_id, cot_prc_comum, cot_prc_min, cot_prc_max, cot_prc_med, cot_prc_mediana) VALUES (10, 36, NULL, 80, 80, 80, 80);</v>
      </c>
    </row>
    <row r="390" spans="1:10" x14ac:dyDescent="0.3">
      <c r="A390">
        <v>389</v>
      </c>
      <c r="B390">
        <v>10</v>
      </c>
      <c r="C390">
        <v>37</v>
      </c>
      <c r="D390" t="str">
        <f>IF('Boletins Nuppa Site'!F390&lt;&gt;0,'Boletins Nuppa Site'!F390,"NULL")</f>
        <v>NULL</v>
      </c>
      <c r="E390">
        <f>IF('Boletins Nuppa Site'!G390&lt;&gt;0,'Boletins Nuppa Site'!G390,"NULL")</f>
        <v>60</v>
      </c>
      <c r="F390">
        <f>IF('Boletins Nuppa Site'!H390&lt;&gt;0,'Boletins Nuppa Site'!H390,"NULL")</f>
        <v>60</v>
      </c>
      <c r="G390">
        <f>IF('Boletins Nuppa Site'!I390&lt;&gt;0,'Boletins Nuppa Site'!I390,"NULL")</f>
        <v>60</v>
      </c>
      <c r="H390">
        <f>IF('Boletins Nuppa Site'!J390&lt;&gt;0,'Boletins Nuppa Site'!J390,"NULL")</f>
        <v>60</v>
      </c>
      <c r="J390" t="str">
        <f t="shared" si="6"/>
        <v>INSERT INTO COTACAO (blt_id, pap_id, cot_prc_comum, cot_prc_min, cot_prc_max, cot_prc_med, cot_prc_mediana) VALUES (10, 37, NULL, 60, 60, 60, 60);</v>
      </c>
    </row>
    <row r="391" spans="1:10" x14ac:dyDescent="0.3">
      <c r="A391">
        <v>390</v>
      </c>
      <c r="B391">
        <v>10</v>
      </c>
      <c r="C391">
        <v>38</v>
      </c>
      <c r="D391" t="str">
        <f>IF('Boletins Nuppa Site'!F391&lt;&gt;0,'Boletins Nuppa Site'!F391,"NULL")</f>
        <v>NULL</v>
      </c>
      <c r="E391">
        <f>IF('Boletins Nuppa Site'!G391&lt;&gt;0,'Boletins Nuppa Site'!G391,"NULL")</f>
        <v>45</v>
      </c>
      <c r="F391">
        <f>IF('Boletins Nuppa Site'!H391&lt;&gt;0,'Boletins Nuppa Site'!H391,"NULL")</f>
        <v>60</v>
      </c>
      <c r="G391" t="str">
        <f>IF('Boletins Nuppa Site'!I391&lt;&gt;0,'Boletins Nuppa Site'!I391,"NULL")</f>
        <v>52.5</v>
      </c>
      <c r="H391" t="str">
        <f>IF('Boletins Nuppa Site'!J391&lt;&gt;0,'Boletins Nuppa Site'!J391,"NULL")</f>
        <v>52.5</v>
      </c>
      <c r="J391" t="str">
        <f t="shared" si="6"/>
        <v>INSERT INTO COTACAO (blt_id, pap_id, cot_prc_comum, cot_prc_min, cot_prc_max, cot_prc_med, cot_prc_mediana) VALUES (10, 38, NULL, 45, 60, 52.5, 52.5);</v>
      </c>
    </row>
    <row r="392" spans="1:10" x14ac:dyDescent="0.3">
      <c r="A392">
        <v>391</v>
      </c>
      <c r="B392">
        <v>10</v>
      </c>
      <c r="C392">
        <v>39</v>
      </c>
      <c r="D392" t="str">
        <f>IF('Boletins Nuppa Site'!F392&lt;&gt;0,'Boletins Nuppa Site'!F392,"NULL")</f>
        <v>NULL</v>
      </c>
      <c r="E392">
        <f>IF('Boletins Nuppa Site'!G392&lt;&gt;0,'Boletins Nuppa Site'!G392,"NULL")</f>
        <v>48</v>
      </c>
      <c r="F392">
        <f>IF('Boletins Nuppa Site'!H392&lt;&gt;0,'Boletins Nuppa Site'!H392,"NULL")</f>
        <v>48</v>
      </c>
      <c r="G392">
        <f>IF('Boletins Nuppa Site'!I392&lt;&gt;0,'Boletins Nuppa Site'!I392,"NULL")</f>
        <v>48</v>
      </c>
      <c r="H392">
        <f>IF('Boletins Nuppa Site'!J392&lt;&gt;0,'Boletins Nuppa Site'!J392,"NULL")</f>
        <v>48</v>
      </c>
      <c r="J392" t="str">
        <f t="shared" si="6"/>
        <v>INSERT INTO COTACAO (blt_id, pap_id, cot_prc_comum, cot_prc_min, cot_prc_max, cot_prc_med, cot_prc_mediana) VALUES (10, 39, NULL, 48, 48, 48, 48);</v>
      </c>
    </row>
    <row r="393" spans="1:10" x14ac:dyDescent="0.3">
      <c r="A393">
        <v>392</v>
      </c>
      <c r="B393">
        <v>10</v>
      </c>
      <c r="C393">
        <v>40</v>
      </c>
      <c r="D393">
        <f>IF('Boletins Nuppa Site'!F393&lt;&gt;0,'Boletins Nuppa Site'!F393,"NULL")</f>
        <v>90</v>
      </c>
      <c r="E393">
        <f>IF('Boletins Nuppa Site'!G393&lt;&gt;0,'Boletins Nuppa Site'!G393,"NULL")</f>
        <v>90</v>
      </c>
      <c r="F393">
        <f>IF('Boletins Nuppa Site'!H393&lt;&gt;0,'Boletins Nuppa Site'!H393,"NULL")</f>
        <v>90</v>
      </c>
      <c r="G393">
        <f>IF('Boletins Nuppa Site'!I393&lt;&gt;0,'Boletins Nuppa Site'!I393,"NULL")</f>
        <v>90</v>
      </c>
      <c r="H393">
        <f>IF('Boletins Nuppa Site'!J393&lt;&gt;0,'Boletins Nuppa Site'!J393,"NULL")</f>
        <v>90</v>
      </c>
      <c r="J393" t="str">
        <f t="shared" si="6"/>
        <v>INSERT INTO COTACAO (blt_id, pap_id, cot_prc_comum, cot_prc_min, cot_prc_max, cot_prc_med, cot_prc_mediana) VALUES (10, 40, 90, 90, 90, 90, 90);</v>
      </c>
    </row>
    <row r="394" spans="1:10" x14ac:dyDescent="0.3">
      <c r="A394">
        <v>393</v>
      </c>
      <c r="B394">
        <v>11</v>
      </c>
      <c r="C394">
        <v>1</v>
      </c>
      <c r="D394" t="str">
        <f>IF('Boletins Nuppa Site'!F394&lt;&gt;0,'Boletins Nuppa Site'!F394,"NULL")</f>
        <v>NULL</v>
      </c>
      <c r="E394">
        <f>IF('Boletins Nuppa Site'!G394&lt;&gt;0,'Boletins Nuppa Site'!G394,"NULL")</f>
        <v>48</v>
      </c>
      <c r="F394">
        <f>IF('Boletins Nuppa Site'!H394&lt;&gt;0,'Boletins Nuppa Site'!H394,"NULL")</f>
        <v>60</v>
      </c>
      <c r="G394">
        <f>IF('Boletins Nuppa Site'!I394&lt;&gt;0,'Boletins Nuppa Site'!I394,"NULL")</f>
        <v>54</v>
      </c>
      <c r="H394">
        <f>IF('Boletins Nuppa Site'!J394&lt;&gt;0,'Boletins Nuppa Site'!J394,"NULL")</f>
        <v>54</v>
      </c>
      <c r="J394" t="str">
        <f t="shared" si="6"/>
        <v>INSERT INTO COTACAO (blt_id, pap_id, cot_prc_comum, cot_prc_min, cot_prc_max, cot_prc_med, cot_prc_mediana) VALUES (11, 1, NULL, 48, 60, 54, 54);</v>
      </c>
    </row>
    <row r="395" spans="1:10" x14ac:dyDescent="0.3">
      <c r="A395">
        <v>394</v>
      </c>
      <c r="B395">
        <v>11</v>
      </c>
      <c r="C395">
        <v>2</v>
      </c>
      <c r="D395">
        <f>IF('Boletins Nuppa Site'!F395&lt;&gt;0,'Boletins Nuppa Site'!F395,"NULL")</f>
        <v>72</v>
      </c>
      <c r="E395">
        <f>IF('Boletins Nuppa Site'!G395&lt;&gt;0,'Boletins Nuppa Site'!G395,"NULL")</f>
        <v>72</v>
      </c>
      <c r="F395">
        <f>IF('Boletins Nuppa Site'!H395&lt;&gt;0,'Boletins Nuppa Site'!H395,"NULL")</f>
        <v>84</v>
      </c>
      <c r="G395">
        <f>IF('Boletins Nuppa Site'!I395&lt;&gt;0,'Boletins Nuppa Site'!I395,"NULL")</f>
        <v>76</v>
      </c>
      <c r="H395">
        <f>IF('Boletins Nuppa Site'!J395&lt;&gt;0,'Boletins Nuppa Site'!J395,"NULL")</f>
        <v>72</v>
      </c>
      <c r="J395" t="str">
        <f t="shared" si="6"/>
        <v>INSERT INTO COTACAO (blt_id, pap_id, cot_prc_comum, cot_prc_min, cot_prc_max, cot_prc_med, cot_prc_mediana) VALUES (11, 2, 72, 72, 84, 76, 72);</v>
      </c>
    </row>
    <row r="396" spans="1:10" x14ac:dyDescent="0.3">
      <c r="A396">
        <v>395</v>
      </c>
      <c r="B396">
        <v>11</v>
      </c>
      <c r="C396">
        <v>3</v>
      </c>
      <c r="D396">
        <f>IF('Boletins Nuppa Site'!F396&lt;&gt;0,'Boletins Nuppa Site'!F396,"NULL")</f>
        <v>48</v>
      </c>
      <c r="E396">
        <f>IF('Boletins Nuppa Site'!G396&lt;&gt;0,'Boletins Nuppa Site'!G396,"NULL")</f>
        <v>48</v>
      </c>
      <c r="F396">
        <f>IF('Boletins Nuppa Site'!H396&lt;&gt;0,'Boletins Nuppa Site'!H396,"NULL")</f>
        <v>60</v>
      </c>
      <c r="G396">
        <f>IF('Boletins Nuppa Site'!I396&lt;&gt;0,'Boletins Nuppa Site'!I396,"NULL")</f>
        <v>52</v>
      </c>
      <c r="H396">
        <f>IF('Boletins Nuppa Site'!J396&lt;&gt;0,'Boletins Nuppa Site'!J396,"NULL")</f>
        <v>48</v>
      </c>
      <c r="J396" t="str">
        <f t="shared" si="6"/>
        <v>INSERT INTO COTACAO (blt_id, pap_id, cot_prc_comum, cot_prc_min, cot_prc_max, cot_prc_med, cot_prc_mediana) VALUES (11, 3, 48, 48, 60, 52, 48);</v>
      </c>
    </row>
    <row r="397" spans="1:10" x14ac:dyDescent="0.3">
      <c r="A397">
        <v>396</v>
      </c>
      <c r="B397">
        <v>11</v>
      </c>
      <c r="C397">
        <v>4</v>
      </c>
      <c r="D397" t="str">
        <f>IF('Boletins Nuppa Site'!F397&lt;&gt;0,'Boletins Nuppa Site'!F397,"NULL")</f>
        <v>NULL</v>
      </c>
      <c r="E397">
        <f>IF('Boletins Nuppa Site'!G397&lt;&gt;0,'Boletins Nuppa Site'!G397,"NULL")</f>
        <v>35</v>
      </c>
      <c r="F397">
        <f>IF('Boletins Nuppa Site'!H397&lt;&gt;0,'Boletins Nuppa Site'!H397,"NULL")</f>
        <v>50</v>
      </c>
      <c r="G397" t="str">
        <f>IF('Boletins Nuppa Site'!I397&lt;&gt;0,'Boletins Nuppa Site'!I397,"NULL")</f>
        <v>42.33</v>
      </c>
      <c r="H397">
        <f>IF('Boletins Nuppa Site'!J397&lt;&gt;0,'Boletins Nuppa Site'!J397,"NULL")</f>
        <v>42</v>
      </c>
      <c r="J397" t="str">
        <f t="shared" si="6"/>
        <v>INSERT INTO COTACAO (blt_id, pap_id, cot_prc_comum, cot_prc_min, cot_prc_max, cot_prc_med, cot_prc_mediana) VALUES (11, 4, NULL, 35, 50, 42.33, 42);</v>
      </c>
    </row>
    <row r="398" spans="1:10" x14ac:dyDescent="0.3">
      <c r="A398">
        <v>397</v>
      </c>
      <c r="B398">
        <v>11</v>
      </c>
      <c r="C398">
        <v>5</v>
      </c>
      <c r="D398" t="str">
        <f>IF('Boletins Nuppa Site'!F398&lt;&gt;0,'Boletins Nuppa Site'!F398,"NULL")</f>
        <v>NULL</v>
      </c>
      <c r="E398">
        <f>IF('Boletins Nuppa Site'!G398&lt;&gt;0,'Boletins Nuppa Site'!G398,"NULL")</f>
        <v>35</v>
      </c>
      <c r="F398">
        <f>IF('Boletins Nuppa Site'!H398&lt;&gt;0,'Boletins Nuppa Site'!H398,"NULL")</f>
        <v>50</v>
      </c>
      <c r="G398" t="str">
        <f>IF('Boletins Nuppa Site'!I398&lt;&gt;0,'Boletins Nuppa Site'!I398,"NULL")</f>
        <v>42.33</v>
      </c>
      <c r="H398">
        <f>IF('Boletins Nuppa Site'!J398&lt;&gt;0,'Boletins Nuppa Site'!J398,"NULL")</f>
        <v>42</v>
      </c>
      <c r="J398" t="str">
        <f t="shared" si="6"/>
        <v>INSERT INTO COTACAO (blt_id, pap_id, cot_prc_comum, cot_prc_min, cot_prc_max, cot_prc_med, cot_prc_mediana) VALUES (11, 5, NULL, 35, 50, 42.33, 42);</v>
      </c>
    </row>
    <row r="399" spans="1:10" x14ac:dyDescent="0.3">
      <c r="A399">
        <v>398</v>
      </c>
      <c r="B399">
        <v>11</v>
      </c>
      <c r="C399">
        <v>6</v>
      </c>
      <c r="D399">
        <f>IF('Boletins Nuppa Site'!F399&lt;&gt;0,'Boletins Nuppa Site'!F399,"NULL")</f>
        <v>72</v>
      </c>
      <c r="E399">
        <f>IF('Boletins Nuppa Site'!G399&lt;&gt;0,'Boletins Nuppa Site'!G399,"NULL")</f>
        <v>60</v>
      </c>
      <c r="F399">
        <f>IF('Boletins Nuppa Site'!H399&lt;&gt;0,'Boletins Nuppa Site'!H399,"NULL")</f>
        <v>72</v>
      </c>
      <c r="G399">
        <f>IF('Boletins Nuppa Site'!I399&lt;&gt;0,'Boletins Nuppa Site'!I399,"NULL")</f>
        <v>68</v>
      </c>
      <c r="H399">
        <f>IF('Boletins Nuppa Site'!J399&lt;&gt;0,'Boletins Nuppa Site'!J399,"NULL")</f>
        <v>72</v>
      </c>
      <c r="J399" t="str">
        <f t="shared" si="6"/>
        <v>INSERT INTO COTACAO (blt_id, pap_id, cot_prc_comum, cot_prc_min, cot_prc_max, cot_prc_med, cot_prc_mediana) VALUES (11, 6, 72, 60, 72, 68, 72);</v>
      </c>
    </row>
    <row r="400" spans="1:10" x14ac:dyDescent="0.3">
      <c r="A400">
        <v>399</v>
      </c>
      <c r="B400">
        <v>11</v>
      </c>
      <c r="C400">
        <v>7</v>
      </c>
      <c r="D400" t="str">
        <f>IF('Boletins Nuppa Site'!F400&lt;&gt;0,'Boletins Nuppa Site'!F400,"NULL")</f>
        <v>NULL</v>
      </c>
      <c r="E400">
        <f>IF('Boletins Nuppa Site'!G400&lt;&gt;0,'Boletins Nuppa Site'!G400,"NULL")</f>
        <v>72</v>
      </c>
      <c r="F400">
        <f>IF('Boletins Nuppa Site'!H400&lt;&gt;0,'Boletins Nuppa Site'!H400,"NULL")</f>
        <v>96</v>
      </c>
      <c r="G400">
        <f>IF('Boletins Nuppa Site'!I400&lt;&gt;0,'Boletins Nuppa Site'!I400,"NULL")</f>
        <v>86</v>
      </c>
      <c r="H400">
        <f>IF('Boletins Nuppa Site'!J400&lt;&gt;0,'Boletins Nuppa Site'!J400,"NULL")</f>
        <v>90</v>
      </c>
      <c r="J400" t="str">
        <f t="shared" si="6"/>
        <v>INSERT INTO COTACAO (blt_id, pap_id, cot_prc_comum, cot_prc_min, cot_prc_max, cot_prc_med, cot_prc_mediana) VALUES (11, 7, NULL, 72, 96, 86, 90);</v>
      </c>
    </row>
    <row r="401" spans="1:10" x14ac:dyDescent="0.3">
      <c r="A401">
        <v>400</v>
      </c>
      <c r="B401">
        <v>11</v>
      </c>
      <c r="C401">
        <v>8</v>
      </c>
      <c r="D401" t="str">
        <f>IF('Boletins Nuppa Site'!F401&lt;&gt;0,'Boletins Nuppa Site'!F401,"NULL")</f>
        <v>NULL</v>
      </c>
      <c r="E401">
        <f>IF('Boletins Nuppa Site'!G401&lt;&gt;0,'Boletins Nuppa Site'!G401,"NULL")</f>
        <v>120</v>
      </c>
      <c r="F401">
        <f>IF('Boletins Nuppa Site'!H401&lt;&gt;0,'Boletins Nuppa Site'!H401,"NULL")</f>
        <v>120</v>
      </c>
      <c r="G401">
        <f>IF('Boletins Nuppa Site'!I401&lt;&gt;0,'Boletins Nuppa Site'!I401,"NULL")</f>
        <v>120</v>
      </c>
      <c r="H401">
        <f>IF('Boletins Nuppa Site'!J401&lt;&gt;0,'Boletins Nuppa Site'!J401,"NULL")</f>
        <v>120</v>
      </c>
      <c r="J401" t="str">
        <f t="shared" si="6"/>
        <v>INSERT INTO COTACAO (blt_id, pap_id, cot_prc_comum, cot_prc_min, cot_prc_max, cot_prc_med, cot_prc_mediana) VALUES (11, 8, NULL, 120, 120, 120, 120);</v>
      </c>
    </row>
    <row r="402" spans="1:10" x14ac:dyDescent="0.3">
      <c r="A402">
        <v>401</v>
      </c>
      <c r="B402">
        <v>11</v>
      </c>
      <c r="C402">
        <v>9</v>
      </c>
      <c r="D402">
        <f>IF('Boletins Nuppa Site'!F402&lt;&gt;0,'Boletins Nuppa Site'!F402,"NULL")</f>
        <v>30</v>
      </c>
      <c r="E402">
        <f>IF('Boletins Nuppa Site'!G402&lt;&gt;0,'Boletins Nuppa Site'!G402,"NULL")</f>
        <v>30</v>
      </c>
      <c r="F402">
        <f>IF('Boletins Nuppa Site'!H402&lt;&gt;0,'Boletins Nuppa Site'!H402,"NULL")</f>
        <v>36</v>
      </c>
      <c r="G402">
        <f>IF('Boletins Nuppa Site'!I402&lt;&gt;0,'Boletins Nuppa Site'!I402,"NULL")</f>
        <v>32</v>
      </c>
      <c r="H402">
        <f>IF('Boletins Nuppa Site'!J402&lt;&gt;0,'Boletins Nuppa Site'!J402,"NULL")</f>
        <v>30</v>
      </c>
      <c r="J402" t="str">
        <f t="shared" si="6"/>
        <v>INSERT INTO COTACAO (blt_id, pap_id, cot_prc_comum, cot_prc_min, cot_prc_max, cot_prc_med, cot_prc_mediana) VALUES (11, 9, 30, 30, 36, 32, 30);</v>
      </c>
    </row>
    <row r="403" spans="1:10" x14ac:dyDescent="0.3">
      <c r="A403">
        <v>402</v>
      </c>
      <c r="B403">
        <v>11</v>
      </c>
      <c r="C403">
        <v>10</v>
      </c>
      <c r="D403">
        <f>IF('Boletins Nuppa Site'!F403&lt;&gt;0,'Boletins Nuppa Site'!F403,"NULL")</f>
        <v>120</v>
      </c>
      <c r="E403">
        <f>IF('Boletins Nuppa Site'!G403&lt;&gt;0,'Boletins Nuppa Site'!G403,"NULL")</f>
        <v>120</v>
      </c>
      <c r="F403">
        <f>IF('Boletins Nuppa Site'!H403&lt;&gt;0,'Boletins Nuppa Site'!H403,"NULL")</f>
        <v>120</v>
      </c>
      <c r="G403">
        <f>IF('Boletins Nuppa Site'!I403&lt;&gt;0,'Boletins Nuppa Site'!I403,"NULL")</f>
        <v>120</v>
      </c>
      <c r="H403">
        <f>IF('Boletins Nuppa Site'!J403&lt;&gt;0,'Boletins Nuppa Site'!J403,"NULL")</f>
        <v>120</v>
      </c>
      <c r="J403" t="str">
        <f t="shared" si="6"/>
        <v>INSERT INTO COTACAO (blt_id, pap_id, cot_prc_comum, cot_prc_min, cot_prc_max, cot_prc_med, cot_prc_mediana) VALUES (11, 10, 120, 120, 120, 120, 120);</v>
      </c>
    </row>
    <row r="404" spans="1:10" x14ac:dyDescent="0.3">
      <c r="A404">
        <v>403</v>
      </c>
      <c r="B404">
        <v>11</v>
      </c>
      <c r="C404">
        <v>11</v>
      </c>
      <c r="D404" t="str">
        <f>IF('Boletins Nuppa Site'!F404&lt;&gt;0,'Boletins Nuppa Site'!F404,"NULL")</f>
        <v>NULL</v>
      </c>
      <c r="E404">
        <f>IF('Boletins Nuppa Site'!G404&lt;&gt;0,'Boletins Nuppa Site'!G404,"NULL")</f>
        <v>30</v>
      </c>
      <c r="F404">
        <f>IF('Boletins Nuppa Site'!H404&lt;&gt;0,'Boletins Nuppa Site'!H404,"NULL")</f>
        <v>42</v>
      </c>
      <c r="G404">
        <f>IF('Boletins Nuppa Site'!I404&lt;&gt;0,'Boletins Nuppa Site'!I404,"NULL")</f>
        <v>36</v>
      </c>
      <c r="H404">
        <f>IF('Boletins Nuppa Site'!J404&lt;&gt;0,'Boletins Nuppa Site'!J404,"NULL")</f>
        <v>36</v>
      </c>
      <c r="J404" t="str">
        <f t="shared" si="6"/>
        <v>INSERT INTO COTACAO (blt_id, pap_id, cot_prc_comum, cot_prc_min, cot_prc_max, cot_prc_med, cot_prc_mediana) VALUES (11, 11, NULL, 30, 42, 36, 36);</v>
      </c>
    </row>
    <row r="405" spans="1:10" x14ac:dyDescent="0.3">
      <c r="A405">
        <v>404</v>
      </c>
      <c r="B405">
        <v>11</v>
      </c>
      <c r="C405">
        <v>12</v>
      </c>
      <c r="D405" t="str">
        <f>IF('Boletins Nuppa Site'!F405&lt;&gt;0,'Boletins Nuppa Site'!F405,"NULL")</f>
        <v>NULL</v>
      </c>
      <c r="E405">
        <f>IF('Boletins Nuppa Site'!G405&lt;&gt;0,'Boletins Nuppa Site'!G405,"NULL")</f>
        <v>78</v>
      </c>
      <c r="F405">
        <f>IF('Boletins Nuppa Site'!H405&lt;&gt;0,'Boletins Nuppa Site'!H405,"NULL")</f>
        <v>96</v>
      </c>
      <c r="G405">
        <f>IF('Boletins Nuppa Site'!I405&lt;&gt;0,'Boletins Nuppa Site'!I405,"NULL")</f>
        <v>86</v>
      </c>
      <c r="H405">
        <f>IF('Boletins Nuppa Site'!J405&lt;&gt;0,'Boletins Nuppa Site'!J405,"NULL")</f>
        <v>84</v>
      </c>
      <c r="J405" t="str">
        <f t="shared" si="6"/>
        <v>INSERT INTO COTACAO (blt_id, pap_id, cot_prc_comum, cot_prc_min, cot_prc_max, cot_prc_med, cot_prc_mediana) VALUES (11, 12, NULL, 78, 96, 86, 84);</v>
      </c>
    </row>
    <row r="406" spans="1:10" x14ac:dyDescent="0.3">
      <c r="A406">
        <v>405</v>
      </c>
      <c r="B406">
        <v>11</v>
      </c>
      <c r="C406">
        <v>13</v>
      </c>
      <c r="D406" t="str">
        <f>IF('Boletins Nuppa Site'!F406&lt;&gt;0,'Boletins Nuppa Site'!F406,"NULL")</f>
        <v>NULL</v>
      </c>
      <c r="E406">
        <f>IF('Boletins Nuppa Site'!G406&lt;&gt;0,'Boletins Nuppa Site'!G406,"NULL")</f>
        <v>60</v>
      </c>
      <c r="F406">
        <f>IF('Boletins Nuppa Site'!H406&lt;&gt;0,'Boletins Nuppa Site'!H406,"NULL")</f>
        <v>78</v>
      </c>
      <c r="G406">
        <f>IF('Boletins Nuppa Site'!I406&lt;&gt;0,'Boletins Nuppa Site'!I406,"NULL")</f>
        <v>70</v>
      </c>
      <c r="H406">
        <f>IF('Boletins Nuppa Site'!J406&lt;&gt;0,'Boletins Nuppa Site'!J406,"NULL")</f>
        <v>72</v>
      </c>
      <c r="J406" t="str">
        <f t="shared" si="6"/>
        <v>INSERT INTO COTACAO (blt_id, pap_id, cot_prc_comum, cot_prc_min, cot_prc_max, cot_prc_med, cot_prc_mediana) VALUES (11, 13, NULL, 60, 78, 70, 72);</v>
      </c>
    </row>
    <row r="407" spans="1:10" x14ac:dyDescent="0.3">
      <c r="A407">
        <v>406</v>
      </c>
      <c r="B407">
        <v>11</v>
      </c>
      <c r="C407">
        <v>14</v>
      </c>
      <c r="D407" t="str">
        <f>IF('Boletins Nuppa Site'!F407&lt;&gt;0,'Boletins Nuppa Site'!F407,"NULL")</f>
        <v>NULL</v>
      </c>
      <c r="E407">
        <f>IF('Boletins Nuppa Site'!G407&lt;&gt;0,'Boletins Nuppa Site'!G407,"NULL")</f>
        <v>60</v>
      </c>
      <c r="F407">
        <f>IF('Boletins Nuppa Site'!H407&lt;&gt;0,'Boletins Nuppa Site'!H407,"NULL")</f>
        <v>120</v>
      </c>
      <c r="G407" t="str">
        <f>IF('Boletins Nuppa Site'!I407&lt;&gt;0,'Boletins Nuppa Site'!I407,"NULL")</f>
        <v>81.8</v>
      </c>
      <c r="H407">
        <f>IF('Boletins Nuppa Site'!J407&lt;&gt;0,'Boletins Nuppa Site'!J407,"NULL")</f>
        <v>75</v>
      </c>
      <c r="J407" t="str">
        <f t="shared" si="6"/>
        <v>INSERT INTO COTACAO (blt_id, pap_id, cot_prc_comum, cot_prc_min, cot_prc_max, cot_prc_med, cot_prc_mediana) VALUES (11, 14, NULL, 60, 120, 81.8, 75);</v>
      </c>
    </row>
    <row r="408" spans="1:10" x14ac:dyDescent="0.3">
      <c r="A408">
        <v>407</v>
      </c>
      <c r="B408">
        <v>11</v>
      </c>
      <c r="C408">
        <v>15</v>
      </c>
      <c r="D408">
        <f>IF('Boletins Nuppa Site'!F408&lt;&gt;0,'Boletins Nuppa Site'!F408,"NULL")</f>
        <v>60</v>
      </c>
      <c r="E408">
        <f>IF('Boletins Nuppa Site'!G408&lt;&gt;0,'Boletins Nuppa Site'!G408,"NULL")</f>
        <v>50</v>
      </c>
      <c r="F408">
        <f>IF('Boletins Nuppa Site'!H408&lt;&gt;0,'Boletins Nuppa Site'!H408,"NULL")</f>
        <v>84</v>
      </c>
      <c r="G408" t="str">
        <f>IF('Boletins Nuppa Site'!I408&lt;&gt;0,'Boletins Nuppa Site'!I408,"NULL")</f>
        <v>62.33</v>
      </c>
      <c r="H408">
        <f>IF('Boletins Nuppa Site'!J408&lt;&gt;0,'Boletins Nuppa Site'!J408,"NULL")</f>
        <v>60</v>
      </c>
      <c r="J408" t="str">
        <f t="shared" si="6"/>
        <v>INSERT INTO COTACAO (blt_id, pap_id, cot_prc_comum, cot_prc_min, cot_prc_max, cot_prc_med, cot_prc_mediana) VALUES (11, 15, 60, 50, 84, 62.33, 60);</v>
      </c>
    </row>
    <row r="409" spans="1:10" x14ac:dyDescent="0.3">
      <c r="A409">
        <v>408</v>
      </c>
      <c r="B409">
        <v>11</v>
      </c>
      <c r="C409">
        <v>16</v>
      </c>
      <c r="D409">
        <f>IF('Boletins Nuppa Site'!F409&lt;&gt;0,'Boletins Nuppa Site'!F409,"NULL")</f>
        <v>54</v>
      </c>
      <c r="E409">
        <f>IF('Boletins Nuppa Site'!G409&lt;&gt;0,'Boletins Nuppa Site'!G409,"NULL")</f>
        <v>48</v>
      </c>
      <c r="F409">
        <f>IF('Boletins Nuppa Site'!H409&lt;&gt;0,'Boletins Nuppa Site'!H409,"NULL")</f>
        <v>54</v>
      </c>
      <c r="G409">
        <f>IF('Boletins Nuppa Site'!I409&lt;&gt;0,'Boletins Nuppa Site'!I409,"NULL")</f>
        <v>52</v>
      </c>
      <c r="H409">
        <f>IF('Boletins Nuppa Site'!J409&lt;&gt;0,'Boletins Nuppa Site'!J409,"NULL")</f>
        <v>54</v>
      </c>
      <c r="J409" t="str">
        <f t="shared" si="6"/>
        <v>INSERT INTO COTACAO (blt_id, pap_id, cot_prc_comum, cot_prc_min, cot_prc_max, cot_prc_med, cot_prc_mediana) VALUES (11, 16, 54, 48, 54, 52, 54);</v>
      </c>
    </row>
    <row r="410" spans="1:10" x14ac:dyDescent="0.3">
      <c r="A410">
        <v>409</v>
      </c>
      <c r="B410">
        <v>11</v>
      </c>
      <c r="C410">
        <v>17</v>
      </c>
      <c r="D410" t="str">
        <f>IF('Boletins Nuppa Site'!F410&lt;&gt;0,'Boletins Nuppa Site'!F410,"NULL")</f>
        <v>NULL</v>
      </c>
      <c r="E410" t="str">
        <f>IF('Boletins Nuppa Site'!G410&lt;&gt;0,'Boletins Nuppa Site'!G410,"NULL")</f>
        <v>4.5</v>
      </c>
      <c r="F410">
        <f>IF('Boletins Nuppa Site'!H410&lt;&gt;0,'Boletins Nuppa Site'!H410,"NULL")</f>
        <v>5</v>
      </c>
      <c r="G410" t="str">
        <f>IF('Boletins Nuppa Site'!I410&lt;&gt;0,'Boletins Nuppa Site'!I410,"NULL")</f>
        <v>4.75</v>
      </c>
      <c r="H410" t="str">
        <f>IF('Boletins Nuppa Site'!J410&lt;&gt;0,'Boletins Nuppa Site'!J410,"NULL")</f>
        <v>4.75</v>
      </c>
      <c r="J410" t="str">
        <f t="shared" si="6"/>
        <v>INSERT INTO COTACAO (blt_id, pap_id, cot_prc_comum, cot_prc_min, cot_prc_max, cot_prc_med, cot_prc_mediana) VALUES (11, 17, NULL, 4.5, 5, 4.75, 4.75);</v>
      </c>
    </row>
    <row r="411" spans="1:10" x14ac:dyDescent="0.3">
      <c r="A411">
        <v>410</v>
      </c>
      <c r="B411">
        <v>11</v>
      </c>
      <c r="C411">
        <v>18</v>
      </c>
      <c r="D411" t="str">
        <f>IF('Boletins Nuppa Site'!F411&lt;&gt;0,'Boletins Nuppa Site'!F411,"NULL")</f>
        <v>NULL</v>
      </c>
      <c r="E411">
        <f>IF('Boletins Nuppa Site'!G411&lt;&gt;0,'Boletins Nuppa Site'!G411,"NULL")</f>
        <v>25</v>
      </c>
      <c r="F411">
        <f>IF('Boletins Nuppa Site'!H411&lt;&gt;0,'Boletins Nuppa Site'!H411,"NULL")</f>
        <v>40</v>
      </c>
      <c r="G411" t="str">
        <f>IF('Boletins Nuppa Site'!I411&lt;&gt;0,'Boletins Nuppa Site'!I411,"NULL")</f>
        <v>32.5</v>
      </c>
      <c r="H411" t="str">
        <f>IF('Boletins Nuppa Site'!J411&lt;&gt;0,'Boletins Nuppa Site'!J411,"NULL")</f>
        <v>32.5</v>
      </c>
      <c r="J411" t="str">
        <f t="shared" si="6"/>
        <v>INSERT INTO COTACAO (blt_id, pap_id, cot_prc_comum, cot_prc_min, cot_prc_max, cot_prc_med, cot_prc_mediana) VALUES (11, 18, NULL, 25, 40, 32.5, 32.5);</v>
      </c>
    </row>
    <row r="412" spans="1:10" x14ac:dyDescent="0.3">
      <c r="A412">
        <v>411</v>
      </c>
      <c r="B412">
        <v>11</v>
      </c>
      <c r="C412">
        <v>19</v>
      </c>
      <c r="D412" t="str">
        <f>IF('Boletins Nuppa Site'!F412&lt;&gt;0,'Boletins Nuppa Site'!F412,"NULL")</f>
        <v>NULL</v>
      </c>
      <c r="E412">
        <f>IF('Boletins Nuppa Site'!G412&lt;&gt;0,'Boletins Nuppa Site'!G412,"NULL")</f>
        <v>40</v>
      </c>
      <c r="F412">
        <f>IF('Boletins Nuppa Site'!H412&lt;&gt;0,'Boletins Nuppa Site'!H412,"NULL")</f>
        <v>45</v>
      </c>
      <c r="G412" t="str">
        <f>IF('Boletins Nuppa Site'!I412&lt;&gt;0,'Boletins Nuppa Site'!I412,"NULL")</f>
        <v>42.5</v>
      </c>
      <c r="H412" t="str">
        <f>IF('Boletins Nuppa Site'!J412&lt;&gt;0,'Boletins Nuppa Site'!J412,"NULL")</f>
        <v>42.5</v>
      </c>
      <c r="J412" t="str">
        <f t="shared" si="6"/>
        <v>INSERT INTO COTACAO (blt_id, pap_id, cot_prc_comum, cot_prc_min, cot_prc_max, cot_prc_med, cot_prc_mediana) VALUES (11, 19, NULL, 40, 45, 42.5, 42.5);</v>
      </c>
    </row>
    <row r="413" spans="1:10" x14ac:dyDescent="0.3">
      <c r="A413">
        <v>412</v>
      </c>
      <c r="B413">
        <v>11</v>
      </c>
      <c r="C413">
        <v>20</v>
      </c>
      <c r="D413">
        <f>IF('Boletins Nuppa Site'!F413&lt;&gt;0,'Boletins Nuppa Site'!F413,"NULL")</f>
        <v>120</v>
      </c>
      <c r="E413">
        <f>IF('Boletins Nuppa Site'!G413&lt;&gt;0,'Boletins Nuppa Site'!G413,"NULL")</f>
        <v>110</v>
      </c>
      <c r="F413">
        <f>IF('Boletins Nuppa Site'!H413&lt;&gt;0,'Boletins Nuppa Site'!H413,"NULL")</f>
        <v>120</v>
      </c>
      <c r="G413" t="str">
        <f>IF('Boletins Nuppa Site'!I413&lt;&gt;0,'Boletins Nuppa Site'!I413,"NULL")</f>
        <v>115.83</v>
      </c>
      <c r="H413" t="str">
        <f>IF('Boletins Nuppa Site'!J413&lt;&gt;0,'Boletins Nuppa Site'!J413,"NULL")</f>
        <v>117.5</v>
      </c>
      <c r="J413" t="str">
        <f t="shared" si="6"/>
        <v>INSERT INTO COTACAO (blt_id, pap_id, cot_prc_comum, cot_prc_min, cot_prc_max, cot_prc_med, cot_prc_mediana) VALUES (11, 20, 120, 110, 120, 115.83, 117.5);</v>
      </c>
    </row>
    <row r="414" spans="1:10" x14ac:dyDescent="0.3">
      <c r="A414">
        <v>413</v>
      </c>
      <c r="B414">
        <v>11</v>
      </c>
      <c r="C414">
        <v>21</v>
      </c>
      <c r="D414">
        <f>IF('Boletins Nuppa Site'!F414&lt;&gt;0,'Boletins Nuppa Site'!F414,"NULL")</f>
        <v>90</v>
      </c>
      <c r="E414">
        <f>IF('Boletins Nuppa Site'!G414&lt;&gt;0,'Boletins Nuppa Site'!G414,"NULL")</f>
        <v>70</v>
      </c>
      <c r="F414">
        <f>IF('Boletins Nuppa Site'!H414&lt;&gt;0,'Boletins Nuppa Site'!H414,"NULL")</f>
        <v>100</v>
      </c>
      <c r="G414" t="str">
        <f>IF('Boletins Nuppa Site'!I414&lt;&gt;0,'Boletins Nuppa Site'!I414,"NULL")</f>
        <v>86.88</v>
      </c>
      <c r="H414">
        <f>IF('Boletins Nuppa Site'!J414&lt;&gt;0,'Boletins Nuppa Site'!J414,"NULL")</f>
        <v>90</v>
      </c>
      <c r="J414" t="str">
        <f t="shared" si="6"/>
        <v>INSERT INTO COTACAO (blt_id, pap_id, cot_prc_comum, cot_prc_min, cot_prc_max, cot_prc_med, cot_prc_mediana) VALUES (11, 21, 90, 70, 100, 86.88, 90);</v>
      </c>
    </row>
    <row r="415" spans="1:10" x14ac:dyDescent="0.3">
      <c r="A415">
        <v>414</v>
      </c>
      <c r="B415">
        <v>11</v>
      </c>
      <c r="C415">
        <v>22</v>
      </c>
      <c r="D415">
        <f>IF('Boletins Nuppa Site'!F415&lt;&gt;0,'Boletins Nuppa Site'!F415,"NULL")</f>
        <v>50</v>
      </c>
      <c r="E415">
        <f>IF('Boletins Nuppa Site'!G415&lt;&gt;0,'Boletins Nuppa Site'!G415,"NULL")</f>
        <v>50</v>
      </c>
      <c r="F415">
        <f>IF('Boletins Nuppa Site'!H415&lt;&gt;0,'Boletins Nuppa Site'!H415,"NULL")</f>
        <v>80</v>
      </c>
      <c r="G415" t="str">
        <f>IF('Boletins Nuppa Site'!I415&lt;&gt;0,'Boletins Nuppa Site'!I415,"NULL")</f>
        <v>68.57</v>
      </c>
      <c r="H415">
        <f>IF('Boletins Nuppa Site'!J415&lt;&gt;0,'Boletins Nuppa Site'!J415,"NULL")</f>
        <v>75</v>
      </c>
      <c r="J415" t="str">
        <f t="shared" si="6"/>
        <v>INSERT INTO COTACAO (blt_id, pap_id, cot_prc_comum, cot_prc_min, cot_prc_max, cot_prc_med, cot_prc_mediana) VALUES (11, 22, 50, 50, 80, 68.57, 75);</v>
      </c>
    </row>
    <row r="416" spans="1:10" x14ac:dyDescent="0.3">
      <c r="A416">
        <v>415</v>
      </c>
      <c r="B416">
        <v>11</v>
      </c>
      <c r="C416">
        <v>23</v>
      </c>
      <c r="D416">
        <f>IF('Boletins Nuppa Site'!F416&lt;&gt;0,'Boletins Nuppa Site'!F416,"NULL")</f>
        <v>50</v>
      </c>
      <c r="E416">
        <f>IF('Boletins Nuppa Site'!G416&lt;&gt;0,'Boletins Nuppa Site'!G416,"NULL")</f>
        <v>35</v>
      </c>
      <c r="F416">
        <f>IF('Boletins Nuppa Site'!H416&lt;&gt;0,'Boletins Nuppa Site'!H416,"NULL")</f>
        <v>60</v>
      </c>
      <c r="G416">
        <f>IF('Boletins Nuppa Site'!I416&lt;&gt;0,'Boletins Nuppa Site'!I416,"NULL")</f>
        <v>45</v>
      </c>
      <c r="H416">
        <f>IF('Boletins Nuppa Site'!J416&lt;&gt;0,'Boletins Nuppa Site'!J416,"NULL")</f>
        <v>45</v>
      </c>
      <c r="J416" t="str">
        <f t="shared" si="6"/>
        <v>INSERT INTO COTACAO (blt_id, pap_id, cot_prc_comum, cot_prc_min, cot_prc_max, cot_prc_med, cot_prc_mediana) VALUES (11, 23, 50, 35, 60, 45, 45);</v>
      </c>
    </row>
    <row r="417" spans="1:10" x14ac:dyDescent="0.3">
      <c r="A417">
        <v>416</v>
      </c>
      <c r="B417">
        <v>11</v>
      </c>
      <c r="C417">
        <v>24</v>
      </c>
      <c r="D417" t="str">
        <f>IF('Boletins Nuppa Site'!F417&lt;&gt;0,'Boletins Nuppa Site'!F417,"NULL")</f>
        <v>NULL</v>
      </c>
      <c r="E417">
        <f>IF('Boletins Nuppa Site'!G417&lt;&gt;0,'Boletins Nuppa Site'!G417,"NULL")</f>
        <v>65</v>
      </c>
      <c r="F417">
        <f>IF('Boletins Nuppa Site'!H417&lt;&gt;0,'Boletins Nuppa Site'!H417,"NULL")</f>
        <v>120</v>
      </c>
      <c r="G417">
        <f>IF('Boletins Nuppa Site'!I417&lt;&gt;0,'Boletins Nuppa Site'!I417,"NULL")</f>
        <v>95</v>
      </c>
      <c r="H417">
        <f>IF('Boletins Nuppa Site'!J417&lt;&gt;0,'Boletins Nuppa Site'!J417,"NULL")</f>
        <v>100</v>
      </c>
      <c r="J417" t="str">
        <f t="shared" si="6"/>
        <v>INSERT INTO COTACAO (blt_id, pap_id, cot_prc_comum, cot_prc_min, cot_prc_max, cot_prc_med, cot_prc_mediana) VALUES (11, 24, NULL, 65, 120, 95, 100);</v>
      </c>
    </row>
    <row r="418" spans="1:10" x14ac:dyDescent="0.3">
      <c r="A418">
        <v>417</v>
      </c>
      <c r="B418">
        <v>11</v>
      </c>
      <c r="C418">
        <v>25</v>
      </c>
      <c r="D418">
        <f>IF('Boletins Nuppa Site'!F418&lt;&gt;0,'Boletins Nuppa Site'!F418,"NULL")</f>
        <v>100</v>
      </c>
      <c r="E418">
        <f>IF('Boletins Nuppa Site'!G418&lt;&gt;0,'Boletins Nuppa Site'!G418,"NULL")</f>
        <v>80</v>
      </c>
      <c r="F418">
        <f>IF('Boletins Nuppa Site'!H418&lt;&gt;0,'Boletins Nuppa Site'!H418,"NULL")</f>
        <v>130</v>
      </c>
      <c r="G418">
        <f>IF('Boletins Nuppa Site'!I418&lt;&gt;0,'Boletins Nuppa Site'!I418,"NULL")</f>
        <v>110</v>
      </c>
      <c r="H418">
        <f>IF('Boletins Nuppa Site'!J418&lt;&gt;0,'Boletins Nuppa Site'!J418,"NULL")</f>
        <v>110</v>
      </c>
      <c r="J418" t="str">
        <f t="shared" si="6"/>
        <v>INSERT INTO COTACAO (blt_id, pap_id, cot_prc_comum, cot_prc_min, cot_prc_max, cot_prc_med, cot_prc_mediana) VALUES (11, 25, 100, 80, 130, 110, 110);</v>
      </c>
    </row>
    <row r="419" spans="1:10" x14ac:dyDescent="0.3">
      <c r="A419">
        <v>418</v>
      </c>
      <c r="B419">
        <v>11</v>
      </c>
      <c r="C419">
        <v>26</v>
      </c>
      <c r="D419">
        <f>IF('Boletins Nuppa Site'!F419&lt;&gt;0,'Boletins Nuppa Site'!F419,"NULL")</f>
        <v>80</v>
      </c>
      <c r="E419">
        <f>IF('Boletins Nuppa Site'!G419&lt;&gt;0,'Boletins Nuppa Site'!G419,"NULL")</f>
        <v>80</v>
      </c>
      <c r="F419">
        <f>IF('Boletins Nuppa Site'!H419&lt;&gt;0,'Boletins Nuppa Site'!H419,"NULL")</f>
        <v>150</v>
      </c>
      <c r="G419" t="str">
        <f>IF('Boletins Nuppa Site'!I419&lt;&gt;0,'Boletins Nuppa Site'!I419,"NULL")</f>
        <v>117.86</v>
      </c>
      <c r="H419">
        <f>IF('Boletins Nuppa Site'!J419&lt;&gt;0,'Boletins Nuppa Site'!J419,"NULL")</f>
        <v>120</v>
      </c>
      <c r="J419" t="str">
        <f t="shared" si="6"/>
        <v>INSERT INTO COTACAO (blt_id, pap_id, cot_prc_comum, cot_prc_min, cot_prc_max, cot_prc_med, cot_prc_mediana) VALUES (11, 26, 80, 80, 150, 117.86, 120);</v>
      </c>
    </row>
    <row r="420" spans="1:10" x14ac:dyDescent="0.3">
      <c r="A420">
        <v>419</v>
      </c>
      <c r="B420">
        <v>11</v>
      </c>
      <c r="C420">
        <v>27</v>
      </c>
      <c r="D420">
        <f>IF('Boletins Nuppa Site'!F420&lt;&gt;0,'Boletins Nuppa Site'!F420,"NULL")</f>
        <v>60</v>
      </c>
      <c r="E420">
        <f>IF('Boletins Nuppa Site'!G420&lt;&gt;0,'Boletins Nuppa Site'!G420,"NULL")</f>
        <v>50</v>
      </c>
      <c r="F420">
        <f>IF('Boletins Nuppa Site'!H420&lt;&gt;0,'Boletins Nuppa Site'!H420,"NULL")</f>
        <v>70</v>
      </c>
      <c r="G420">
        <f>IF('Boletins Nuppa Site'!I420&lt;&gt;0,'Boletins Nuppa Site'!I420,"NULL")</f>
        <v>60</v>
      </c>
      <c r="H420">
        <f>IF('Boletins Nuppa Site'!J420&lt;&gt;0,'Boletins Nuppa Site'!J420,"NULL")</f>
        <v>60</v>
      </c>
      <c r="J420" t="str">
        <f t="shared" si="6"/>
        <v>INSERT INTO COTACAO (blt_id, pap_id, cot_prc_comum, cot_prc_min, cot_prc_max, cot_prc_med, cot_prc_mediana) VALUES (11, 27, 60, 50, 70, 60, 60);</v>
      </c>
    </row>
    <row r="421" spans="1:10" x14ac:dyDescent="0.3">
      <c r="A421">
        <v>420</v>
      </c>
      <c r="B421">
        <v>11</v>
      </c>
      <c r="C421">
        <v>28</v>
      </c>
      <c r="D421">
        <f>IF('Boletins Nuppa Site'!F421&lt;&gt;0,'Boletins Nuppa Site'!F421,"NULL")</f>
        <v>100</v>
      </c>
      <c r="E421">
        <f>IF('Boletins Nuppa Site'!G421&lt;&gt;0,'Boletins Nuppa Site'!G421,"NULL")</f>
        <v>80</v>
      </c>
      <c r="F421">
        <f>IF('Boletins Nuppa Site'!H421&lt;&gt;0,'Boletins Nuppa Site'!H421,"NULL")</f>
        <v>100</v>
      </c>
      <c r="G421">
        <f>IF('Boletins Nuppa Site'!I421&lt;&gt;0,'Boletins Nuppa Site'!I421,"NULL")</f>
        <v>94</v>
      </c>
      <c r="H421">
        <f>IF('Boletins Nuppa Site'!J421&lt;&gt;0,'Boletins Nuppa Site'!J421,"NULL")</f>
        <v>100</v>
      </c>
      <c r="J421" t="str">
        <f t="shared" si="6"/>
        <v>INSERT INTO COTACAO (blt_id, pap_id, cot_prc_comum, cot_prc_min, cot_prc_max, cot_prc_med, cot_prc_mediana) VALUES (11, 28, 100, 80, 100, 94, 100);</v>
      </c>
    </row>
    <row r="422" spans="1:10" x14ac:dyDescent="0.3">
      <c r="A422">
        <v>421</v>
      </c>
      <c r="B422">
        <v>11</v>
      </c>
      <c r="C422">
        <v>29</v>
      </c>
      <c r="D422" t="str">
        <f>IF('Boletins Nuppa Site'!F422&lt;&gt;0,'Boletins Nuppa Site'!F422,"NULL")</f>
        <v>NULL</v>
      </c>
      <c r="E422">
        <f>IF('Boletins Nuppa Site'!G422&lt;&gt;0,'Boletins Nuppa Site'!G422,"NULL")</f>
        <v>60</v>
      </c>
      <c r="F422">
        <f>IF('Boletins Nuppa Site'!H422&lt;&gt;0,'Boletins Nuppa Site'!H422,"NULL")</f>
        <v>75</v>
      </c>
      <c r="G422" t="str">
        <f>IF('Boletins Nuppa Site'!I422&lt;&gt;0,'Boletins Nuppa Site'!I422,"NULL")</f>
        <v>67.5</v>
      </c>
      <c r="H422" t="str">
        <f>IF('Boletins Nuppa Site'!J422&lt;&gt;0,'Boletins Nuppa Site'!J422,"NULL")</f>
        <v>67.5</v>
      </c>
      <c r="J422" t="str">
        <f t="shared" si="6"/>
        <v>INSERT INTO COTACAO (blt_id, pap_id, cot_prc_comum, cot_prc_min, cot_prc_max, cot_prc_med, cot_prc_mediana) VALUES (11, 29, NULL, 60, 75, 67.5, 67.5);</v>
      </c>
    </row>
    <row r="423" spans="1:10" x14ac:dyDescent="0.3">
      <c r="A423">
        <v>422</v>
      </c>
      <c r="B423">
        <v>11</v>
      </c>
      <c r="C423">
        <v>30</v>
      </c>
      <c r="D423">
        <f>IF('Boletins Nuppa Site'!F423&lt;&gt;0,'Boletins Nuppa Site'!F423,"NULL")</f>
        <v>80</v>
      </c>
      <c r="E423">
        <f>IF('Boletins Nuppa Site'!G423&lt;&gt;0,'Boletins Nuppa Site'!G423,"NULL")</f>
        <v>60</v>
      </c>
      <c r="F423">
        <f>IF('Boletins Nuppa Site'!H423&lt;&gt;0,'Boletins Nuppa Site'!H423,"NULL")</f>
        <v>100</v>
      </c>
      <c r="G423" t="str">
        <f>IF('Boletins Nuppa Site'!I423&lt;&gt;0,'Boletins Nuppa Site'!I423,"NULL")</f>
        <v>81.25</v>
      </c>
      <c r="H423">
        <f>IF('Boletins Nuppa Site'!J423&lt;&gt;0,'Boletins Nuppa Site'!J423,"NULL")</f>
        <v>80</v>
      </c>
      <c r="J423" t="str">
        <f t="shared" si="6"/>
        <v>INSERT INTO COTACAO (blt_id, pap_id, cot_prc_comum, cot_prc_min, cot_prc_max, cot_prc_med, cot_prc_mediana) VALUES (11, 30, 80, 60, 100, 81.25, 80);</v>
      </c>
    </row>
    <row r="424" spans="1:10" x14ac:dyDescent="0.3">
      <c r="A424">
        <v>423</v>
      </c>
      <c r="B424">
        <v>11</v>
      </c>
      <c r="C424">
        <v>31</v>
      </c>
      <c r="D424">
        <f>IF('Boletins Nuppa Site'!F424&lt;&gt;0,'Boletins Nuppa Site'!F424,"NULL")</f>
        <v>120</v>
      </c>
      <c r="E424">
        <f>IF('Boletins Nuppa Site'!G424&lt;&gt;0,'Boletins Nuppa Site'!G424,"NULL")</f>
        <v>80</v>
      </c>
      <c r="F424">
        <f>IF('Boletins Nuppa Site'!H424&lt;&gt;0,'Boletins Nuppa Site'!H424,"NULL")</f>
        <v>140</v>
      </c>
      <c r="G424">
        <f>IF('Boletins Nuppa Site'!I424&lt;&gt;0,'Boletins Nuppa Site'!I424,"NULL")</f>
        <v>115</v>
      </c>
      <c r="H424">
        <f>IF('Boletins Nuppa Site'!J424&lt;&gt;0,'Boletins Nuppa Site'!J424,"NULL")</f>
        <v>120</v>
      </c>
      <c r="J424" t="str">
        <f t="shared" si="6"/>
        <v>INSERT INTO COTACAO (blt_id, pap_id, cot_prc_comum, cot_prc_min, cot_prc_max, cot_prc_med, cot_prc_mediana) VALUES (11, 31, 120, 80, 140, 115, 120);</v>
      </c>
    </row>
    <row r="425" spans="1:10" x14ac:dyDescent="0.3">
      <c r="A425">
        <v>424</v>
      </c>
      <c r="B425">
        <v>11</v>
      </c>
      <c r="C425">
        <v>32</v>
      </c>
      <c r="D425">
        <f>IF('Boletins Nuppa Site'!F425&lt;&gt;0,'Boletins Nuppa Site'!F425,"NULL")</f>
        <v>80</v>
      </c>
      <c r="E425">
        <f>IF('Boletins Nuppa Site'!G425&lt;&gt;0,'Boletins Nuppa Site'!G425,"NULL")</f>
        <v>60</v>
      </c>
      <c r="F425">
        <f>IF('Boletins Nuppa Site'!H425&lt;&gt;0,'Boletins Nuppa Site'!H425,"NULL")</f>
        <v>100</v>
      </c>
      <c r="G425" t="str">
        <f>IF('Boletins Nuppa Site'!I425&lt;&gt;0,'Boletins Nuppa Site'!I425,"NULL")</f>
        <v>82.14</v>
      </c>
      <c r="H425">
        <f>IF('Boletins Nuppa Site'!J425&lt;&gt;0,'Boletins Nuppa Site'!J425,"NULL")</f>
        <v>80</v>
      </c>
      <c r="J425" t="str">
        <f t="shared" si="6"/>
        <v>INSERT INTO COTACAO (blt_id, pap_id, cot_prc_comum, cot_prc_min, cot_prc_max, cot_prc_med, cot_prc_mediana) VALUES (11, 32, 80, 60, 100, 82.14, 80);</v>
      </c>
    </row>
    <row r="426" spans="1:10" x14ac:dyDescent="0.3">
      <c r="A426">
        <v>425</v>
      </c>
      <c r="B426">
        <v>11</v>
      </c>
      <c r="C426">
        <v>33</v>
      </c>
      <c r="D426">
        <f>IF('Boletins Nuppa Site'!F426&lt;&gt;0,'Boletins Nuppa Site'!F426,"NULL")</f>
        <v>150</v>
      </c>
      <c r="E426">
        <f>IF('Boletins Nuppa Site'!G426&lt;&gt;0,'Boletins Nuppa Site'!G426,"NULL")</f>
        <v>100</v>
      </c>
      <c r="F426">
        <f>IF('Boletins Nuppa Site'!H426&lt;&gt;0,'Boletins Nuppa Site'!H426,"NULL")</f>
        <v>150</v>
      </c>
      <c r="G426">
        <f>IF('Boletins Nuppa Site'!I426&lt;&gt;0,'Boletins Nuppa Site'!I426,"NULL")</f>
        <v>130</v>
      </c>
      <c r="H426">
        <f>IF('Boletins Nuppa Site'!J426&lt;&gt;0,'Boletins Nuppa Site'!J426,"NULL")</f>
        <v>130</v>
      </c>
      <c r="J426" t="str">
        <f t="shared" si="6"/>
        <v>INSERT INTO COTACAO (blt_id, pap_id, cot_prc_comum, cot_prc_min, cot_prc_max, cot_prc_med, cot_prc_mediana) VALUES (11, 33, 150, 100, 150, 130, 130);</v>
      </c>
    </row>
    <row r="427" spans="1:10" x14ac:dyDescent="0.3">
      <c r="A427">
        <v>426</v>
      </c>
      <c r="B427">
        <v>11</v>
      </c>
      <c r="C427">
        <v>34</v>
      </c>
      <c r="D427">
        <f>IF('Boletins Nuppa Site'!F427&lt;&gt;0,'Boletins Nuppa Site'!F427,"NULL")</f>
        <v>220</v>
      </c>
      <c r="E427">
        <f>IF('Boletins Nuppa Site'!G427&lt;&gt;0,'Boletins Nuppa Site'!G427,"NULL")</f>
        <v>150</v>
      </c>
      <c r="F427">
        <f>IF('Boletins Nuppa Site'!H427&lt;&gt;0,'Boletins Nuppa Site'!H427,"NULL")</f>
        <v>250</v>
      </c>
      <c r="G427" t="str">
        <f>IF('Boletins Nuppa Site'!I427&lt;&gt;0,'Boletins Nuppa Site'!I427,"NULL")</f>
        <v>221.67</v>
      </c>
      <c r="H427">
        <f>IF('Boletins Nuppa Site'!J427&lt;&gt;0,'Boletins Nuppa Site'!J427,"NULL")</f>
        <v>230</v>
      </c>
      <c r="J427" t="str">
        <f t="shared" si="6"/>
        <v>INSERT INTO COTACAO (blt_id, pap_id, cot_prc_comum, cot_prc_min, cot_prc_max, cot_prc_med, cot_prc_mediana) VALUES (11, 34, 220, 150, 250, 221.67, 230);</v>
      </c>
    </row>
    <row r="428" spans="1:10" x14ac:dyDescent="0.3">
      <c r="A428">
        <v>427</v>
      </c>
      <c r="B428">
        <v>11</v>
      </c>
      <c r="C428">
        <v>35</v>
      </c>
      <c r="D428">
        <f>IF('Boletins Nuppa Site'!F428&lt;&gt;0,'Boletins Nuppa Site'!F428,"NULL")</f>
        <v>140</v>
      </c>
      <c r="E428">
        <f>IF('Boletins Nuppa Site'!G428&lt;&gt;0,'Boletins Nuppa Site'!G428,"NULL")</f>
        <v>120</v>
      </c>
      <c r="F428">
        <f>IF('Boletins Nuppa Site'!H428&lt;&gt;0,'Boletins Nuppa Site'!H428,"NULL")</f>
        <v>200</v>
      </c>
      <c r="G428" t="str">
        <f>IF('Boletins Nuppa Site'!I428&lt;&gt;0,'Boletins Nuppa Site'!I428,"NULL")</f>
        <v>144.29</v>
      </c>
      <c r="H428">
        <f>IF('Boletins Nuppa Site'!J428&lt;&gt;0,'Boletins Nuppa Site'!J428,"NULL")</f>
        <v>140</v>
      </c>
      <c r="J428" t="str">
        <f t="shared" si="6"/>
        <v>INSERT INTO COTACAO (blt_id, pap_id, cot_prc_comum, cot_prc_min, cot_prc_max, cot_prc_med, cot_prc_mediana) VALUES (11, 35, 140, 120, 200, 144.29, 140);</v>
      </c>
    </row>
    <row r="429" spans="1:10" x14ac:dyDescent="0.3">
      <c r="A429">
        <v>428</v>
      </c>
      <c r="B429">
        <v>11</v>
      </c>
      <c r="C429">
        <v>36</v>
      </c>
      <c r="D429">
        <f>IF('Boletins Nuppa Site'!F429&lt;&gt;0,'Boletins Nuppa Site'!F429,"NULL")</f>
        <v>100</v>
      </c>
      <c r="E429">
        <f>IF('Boletins Nuppa Site'!G429&lt;&gt;0,'Boletins Nuppa Site'!G429,"NULL")</f>
        <v>100</v>
      </c>
      <c r="F429">
        <f>IF('Boletins Nuppa Site'!H429&lt;&gt;0,'Boletins Nuppa Site'!H429,"NULL")</f>
        <v>100</v>
      </c>
      <c r="G429">
        <f>IF('Boletins Nuppa Site'!I429&lt;&gt;0,'Boletins Nuppa Site'!I429,"NULL")</f>
        <v>100</v>
      </c>
      <c r="H429">
        <f>IF('Boletins Nuppa Site'!J429&lt;&gt;0,'Boletins Nuppa Site'!J429,"NULL")</f>
        <v>100</v>
      </c>
      <c r="J429" t="str">
        <f t="shared" si="6"/>
        <v>INSERT INTO COTACAO (blt_id, pap_id, cot_prc_comum, cot_prc_min, cot_prc_max, cot_prc_med, cot_prc_mediana) VALUES (11, 36, 100, 100, 100, 100, 100);</v>
      </c>
    </row>
    <row r="430" spans="1:10" x14ac:dyDescent="0.3">
      <c r="A430">
        <v>429</v>
      </c>
      <c r="B430">
        <v>11</v>
      </c>
      <c r="C430">
        <v>37</v>
      </c>
      <c r="D430">
        <f>IF('Boletins Nuppa Site'!F430&lt;&gt;0,'Boletins Nuppa Site'!F430,"NULL")</f>
        <v>80</v>
      </c>
      <c r="E430">
        <f>IF('Boletins Nuppa Site'!G430&lt;&gt;0,'Boletins Nuppa Site'!G430,"NULL")</f>
        <v>80</v>
      </c>
      <c r="F430">
        <f>IF('Boletins Nuppa Site'!H430&lt;&gt;0,'Boletins Nuppa Site'!H430,"NULL")</f>
        <v>80</v>
      </c>
      <c r="G430">
        <f>IF('Boletins Nuppa Site'!I430&lt;&gt;0,'Boletins Nuppa Site'!I430,"NULL")</f>
        <v>80</v>
      </c>
      <c r="H430">
        <f>IF('Boletins Nuppa Site'!J430&lt;&gt;0,'Boletins Nuppa Site'!J430,"NULL")</f>
        <v>80</v>
      </c>
      <c r="J430" t="str">
        <f t="shared" si="6"/>
        <v>INSERT INTO COTACAO (blt_id, pap_id, cot_prc_comum, cot_prc_min, cot_prc_max, cot_prc_med, cot_prc_mediana) VALUES (11, 37, 80, 80, 80, 80, 80);</v>
      </c>
    </row>
    <row r="431" spans="1:10" x14ac:dyDescent="0.3">
      <c r="A431">
        <v>430</v>
      </c>
      <c r="B431">
        <v>11</v>
      </c>
      <c r="C431">
        <v>38</v>
      </c>
      <c r="D431">
        <f>IF('Boletins Nuppa Site'!F431&lt;&gt;0,'Boletins Nuppa Site'!F431,"NULL")</f>
        <v>45</v>
      </c>
      <c r="E431">
        <f>IF('Boletins Nuppa Site'!G431&lt;&gt;0,'Boletins Nuppa Site'!G431,"NULL")</f>
        <v>45</v>
      </c>
      <c r="F431">
        <f>IF('Boletins Nuppa Site'!H431&lt;&gt;0,'Boletins Nuppa Site'!H431,"NULL")</f>
        <v>45</v>
      </c>
      <c r="G431">
        <f>IF('Boletins Nuppa Site'!I431&lt;&gt;0,'Boletins Nuppa Site'!I431,"NULL")</f>
        <v>45</v>
      </c>
      <c r="H431">
        <f>IF('Boletins Nuppa Site'!J431&lt;&gt;0,'Boletins Nuppa Site'!J431,"NULL")</f>
        <v>45</v>
      </c>
      <c r="J431" t="str">
        <f t="shared" si="6"/>
        <v>INSERT INTO COTACAO (blt_id, pap_id, cot_prc_comum, cot_prc_min, cot_prc_max, cot_prc_med, cot_prc_mediana) VALUES (11, 38, 45, 45, 45, 45, 45);</v>
      </c>
    </row>
    <row r="432" spans="1:10" x14ac:dyDescent="0.3">
      <c r="A432">
        <v>431</v>
      </c>
      <c r="B432">
        <v>11</v>
      </c>
      <c r="C432">
        <v>39</v>
      </c>
      <c r="D432">
        <f>IF('Boletins Nuppa Site'!F432&lt;&gt;0,'Boletins Nuppa Site'!F432,"NULL")</f>
        <v>45</v>
      </c>
      <c r="E432">
        <f>IF('Boletins Nuppa Site'!G432&lt;&gt;0,'Boletins Nuppa Site'!G432,"NULL")</f>
        <v>45</v>
      </c>
      <c r="F432">
        <f>IF('Boletins Nuppa Site'!H432&lt;&gt;0,'Boletins Nuppa Site'!H432,"NULL")</f>
        <v>45</v>
      </c>
      <c r="G432">
        <f>IF('Boletins Nuppa Site'!I432&lt;&gt;0,'Boletins Nuppa Site'!I432,"NULL")</f>
        <v>45</v>
      </c>
      <c r="H432">
        <f>IF('Boletins Nuppa Site'!J432&lt;&gt;0,'Boletins Nuppa Site'!J432,"NULL")</f>
        <v>45</v>
      </c>
      <c r="J432" t="str">
        <f t="shared" si="6"/>
        <v>INSERT INTO COTACAO (blt_id, pap_id, cot_prc_comum, cot_prc_min, cot_prc_max, cot_prc_med, cot_prc_mediana) VALUES (11, 39, 45, 45, 45, 45, 45);</v>
      </c>
    </row>
    <row r="433" spans="1:10" x14ac:dyDescent="0.3">
      <c r="A433">
        <v>432</v>
      </c>
      <c r="B433">
        <v>11</v>
      </c>
      <c r="C433">
        <v>40</v>
      </c>
      <c r="D433">
        <f>IF('Boletins Nuppa Site'!F433&lt;&gt;0,'Boletins Nuppa Site'!F433,"NULL")</f>
        <v>85</v>
      </c>
      <c r="E433">
        <f>IF('Boletins Nuppa Site'!G433&lt;&gt;0,'Boletins Nuppa Site'!G433,"NULL")</f>
        <v>85</v>
      </c>
      <c r="F433">
        <f>IF('Boletins Nuppa Site'!H433&lt;&gt;0,'Boletins Nuppa Site'!H433,"NULL")</f>
        <v>85</v>
      </c>
      <c r="G433">
        <f>IF('Boletins Nuppa Site'!I433&lt;&gt;0,'Boletins Nuppa Site'!I433,"NULL")</f>
        <v>85</v>
      </c>
      <c r="H433">
        <f>IF('Boletins Nuppa Site'!J433&lt;&gt;0,'Boletins Nuppa Site'!J433,"NULL")</f>
        <v>85</v>
      </c>
      <c r="J433" t="str">
        <f t="shared" si="6"/>
        <v>INSERT INTO COTACAO (blt_id, pap_id, cot_prc_comum, cot_prc_min, cot_prc_max, cot_prc_med, cot_prc_mediana) VALUES (11, 40, 85, 85, 85, 85, 85);</v>
      </c>
    </row>
    <row r="434" spans="1:10" x14ac:dyDescent="0.3">
      <c r="A434">
        <v>433</v>
      </c>
      <c r="B434">
        <v>12</v>
      </c>
      <c r="C434">
        <v>1</v>
      </c>
      <c r="D434">
        <f>IF('Boletins Nuppa Site'!F434&lt;&gt;0,'Boletins Nuppa Site'!F434,"NULL")</f>
        <v>60</v>
      </c>
      <c r="E434">
        <f>IF('Boletins Nuppa Site'!G434&lt;&gt;0,'Boletins Nuppa Site'!G434,"NULL")</f>
        <v>60</v>
      </c>
      <c r="F434">
        <f>IF('Boletins Nuppa Site'!H434&lt;&gt;0,'Boletins Nuppa Site'!H434,"NULL")</f>
        <v>78</v>
      </c>
      <c r="G434">
        <f>IF('Boletins Nuppa Site'!I434&lt;&gt;0,'Boletins Nuppa Site'!I434,"NULL")</f>
        <v>66</v>
      </c>
      <c r="H434">
        <f>IF('Boletins Nuppa Site'!J434&lt;&gt;0,'Boletins Nuppa Site'!J434,"NULL")</f>
        <v>60</v>
      </c>
      <c r="J434" t="str">
        <f t="shared" si="6"/>
        <v>INSERT INTO COTACAO (blt_id, pap_id, cot_prc_comum, cot_prc_min, cot_prc_max, cot_prc_med, cot_prc_mediana) VALUES (12, 1, 60, 60, 78, 66, 60);</v>
      </c>
    </row>
    <row r="435" spans="1:10" x14ac:dyDescent="0.3">
      <c r="A435">
        <v>434</v>
      </c>
      <c r="B435">
        <v>12</v>
      </c>
      <c r="C435">
        <v>2</v>
      </c>
      <c r="D435" t="str">
        <f>IF('Boletins Nuppa Site'!F435&lt;&gt;0,'Boletins Nuppa Site'!F435,"NULL")</f>
        <v>NULL</v>
      </c>
      <c r="E435">
        <f>IF('Boletins Nuppa Site'!G435&lt;&gt;0,'Boletins Nuppa Site'!G435,"NULL")</f>
        <v>44</v>
      </c>
      <c r="F435">
        <f>IF('Boletins Nuppa Site'!H435&lt;&gt;0,'Boletins Nuppa Site'!H435,"NULL")</f>
        <v>78</v>
      </c>
      <c r="G435" t="str">
        <f>IF('Boletins Nuppa Site'!I435&lt;&gt;0,'Boletins Nuppa Site'!I435,"NULL")</f>
        <v>64.67</v>
      </c>
      <c r="H435">
        <f>IF('Boletins Nuppa Site'!J435&lt;&gt;0,'Boletins Nuppa Site'!J435,"NULL")</f>
        <v>72</v>
      </c>
      <c r="J435" t="str">
        <f t="shared" si="6"/>
        <v>INSERT INTO COTACAO (blt_id, pap_id, cot_prc_comum, cot_prc_min, cot_prc_max, cot_prc_med, cot_prc_mediana) VALUES (12, 2, NULL, 44, 78, 64.67, 72);</v>
      </c>
    </row>
    <row r="436" spans="1:10" x14ac:dyDescent="0.3">
      <c r="A436">
        <v>435</v>
      </c>
      <c r="B436">
        <v>12</v>
      </c>
      <c r="C436">
        <v>3</v>
      </c>
      <c r="D436" t="str">
        <f>IF('Boletins Nuppa Site'!F436&lt;&gt;0,'Boletins Nuppa Site'!F436,"NULL")</f>
        <v>NULL</v>
      </c>
      <c r="E436">
        <f>IF('Boletins Nuppa Site'!G436&lt;&gt;0,'Boletins Nuppa Site'!G436,"NULL")</f>
        <v>42</v>
      </c>
      <c r="F436">
        <f>IF('Boletins Nuppa Site'!H436&lt;&gt;0,'Boletins Nuppa Site'!H436,"NULL")</f>
        <v>60</v>
      </c>
      <c r="G436">
        <f>IF('Boletins Nuppa Site'!I436&lt;&gt;0,'Boletins Nuppa Site'!I436,"NULL")</f>
        <v>50</v>
      </c>
      <c r="H436">
        <f>IF('Boletins Nuppa Site'!J436&lt;&gt;0,'Boletins Nuppa Site'!J436,"NULL")</f>
        <v>48</v>
      </c>
      <c r="J436" t="str">
        <f t="shared" si="6"/>
        <v>INSERT INTO COTACAO (blt_id, pap_id, cot_prc_comum, cot_prc_min, cot_prc_max, cot_prc_med, cot_prc_mediana) VALUES (12, 3, NULL, 42, 60, 50, 48);</v>
      </c>
    </row>
    <row r="437" spans="1:10" x14ac:dyDescent="0.3">
      <c r="A437">
        <v>436</v>
      </c>
      <c r="B437">
        <v>12</v>
      </c>
      <c r="C437">
        <v>4</v>
      </c>
      <c r="D437" t="str">
        <f>IF('Boletins Nuppa Site'!F437&lt;&gt;0,'Boletins Nuppa Site'!F437,"NULL")</f>
        <v>NULL</v>
      </c>
      <c r="E437">
        <f>IF('Boletins Nuppa Site'!G437&lt;&gt;0,'Boletins Nuppa Site'!G437,"NULL")</f>
        <v>30</v>
      </c>
      <c r="F437">
        <f>IF('Boletins Nuppa Site'!H437&lt;&gt;0,'Boletins Nuppa Site'!H437,"NULL")</f>
        <v>42</v>
      </c>
      <c r="G437" t="str">
        <f>IF('Boletins Nuppa Site'!I437&lt;&gt;0,'Boletins Nuppa Site'!I437,"NULL")</f>
        <v>35.67</v>
      </c>
      <c r="H437">
        <f>IF('Boletins Nuppa Site'!J437&lt;&gt;0,'Boletins Nuppa Site'!J437,"NULL")</f>
        <v>35</v>
      </c>
      <c r="J437" t="str">
        <f t="shared" si="6"/>
        <v>INSERT INTO COTACAO (blt_id, pap_id, cot_prc_comum, cot_prc_min, cot_prc_max, cot_prc_med, cot_prc_mediana) VALUES (12, 4, NULL, 30, 42, 35.67, 35);</v>
      </c>
    </row>
    <row r="438" spans="1:10" x14ac:dyDescent="0.3">
      <c r="A438">
        <v>437</v>
      </c>
      <c r="B438">
        <v>12</v>
      </c>
      <c r="C438">
        <v>5</v>
      </c>
      <c r="D438" t="str">
        <f>IF('Boletins Nuppa Site'!F438&lt;&gt;0,'Boletins Nuppa Site'!F438,"NULL")</f>
        <v>NULL</v>
      </c>
      <c r="E438">
        <f>IF('Boletins Nuppa Site'!G438&lt;&gt;0,'Boletins Nuppa Site'!G438,"NULL")</f>
        <v>30</v>
      </c>
      <c r="F438">
        <f>IF('Boletins Nuppa Site'!H438&lt;&gt;0,'Boletins Nuppa Site'!H438,"NULL")</f>
        <v>42</v>
      </c>
      <c r="G438" t="str">
        <f>IF('Boletins Nuppa Site'!I438&lt;&gt;0,'Boletins Nuppa Site'!I438,"NULL")</f>
        <v>35.67</v>
      </c>
      <c r="H438">
        <f>IF('Boletins Nuppa Site'!J438&lt;&gt;0,'Boletins Nuppa Site'!J438,"NULL")</f>
        <v>35</v>
      </c>
      <c r="J438" t="str">
        <f t="shared" si="6"/>
        <v>INSERT INTO COTACAO (blt_id, pap_id, cot_prc_comum, cot_prc_min, cot_prc_max, cot_prc_med, cot_prc_mediana) VALUES (12, 5, NULL, 30, 42, 35.67, 35);</v>
      </c>
    </row>
    <row r="439" spans="1:10" x14ac:dyDescent="0.3">
      <c r="A439">
        <v>438</v>
      </c>
      <c r="B439">
        <v>12</v>
      </c>
      <c r="C439">
        <v>6</v>
      </c>
      <c r="D439" t="str">
        <f>IF('Boletins Nuppa Site'!F439&lt;&gt;0,'Boletins Nuppa Site'!F439,"NULL")</f>
        <v>NULL</v>
      </c>
      <c r="E439">
        <f>IF('Boletins Nuppa Site'!G439&lt;&gt;0,'Boletins Nuppa Site'!G439,"NULL")</f>
        <v>48</v>
      </c>
      <c r="F439">
        <f>IF('Boletins Nuppa Site'!H439&lt;&gt;0,'Boletins Nuppa Site'!H439,"NULL")</f>
        <v>96</v>
      </c>
      <c r="G439">
        <f>IF('Boletins Nuppa Site'!I439&lt;&gt;0,'Boletins Nuppa Site'!I439,"NULL")</f>
        <v>69</v>
      </c>
      <c r="H439">
        <f>IF('Boletins Nuppa Site'!J439&lt;&gt;0,'Boletins Nuppa Site'!J439,"NULL")</f>
        <v>66</v>
      </c>
      <c r="J439" t="str">
        <f t="shared" si="6"/>
        <v>INSERT INTO COTACAO (blt_id, pap_id, cot_prc_comum, cot_prc_min, cot_prc_max, cot_prc_med, cot_prc_mediana) VALUES (12, 6, NULL, 48, 96, 69, 66);</v>
      </c>
    </row>
    <row r="440" spans="1:10" x14ac:dyDescent="0.3">
      <c r="A440">
        <v>439</v>
      </c>
      <c r="B440">
        <v>12</v>
      </c>
      <c r="C440">
        <v>7</v>
      </c>
      <c r="D440" t="str">
        <f>IF('Boletins Nuppa Site'!F440&lt;&gt;0,'Boletins Nuppa Site'!F440,"NULL")</f>
        <v>NULL</v>
      </c>
      <c r="E440">
        <f>IF('Boletins Nuppa Site'!G440&lt;&gt;0,'Boletins Nuppa Site'!G440,"NULL")</f>
        <v>96</v>
      </c>
      <c r="F440">
        <f>IF('Boletins Nuppa Site'!H440&lt;&gt;0,'Boletins Nuppa Site'!H440,"NULL")</f>
        <v>108</v>
      </c>
      <c r="G440" t="str">
        <f>IF('Boletins Nuppa Site'!I440&lt;&gt;0,'Boletins Nuppa Site'!I440,"NULL")</f>
        <v>101.33</v>
      </c>
      <c r="H440">
        <f>IF('Boletins Nuppa Site'!J440&lt;&gt;0,'Boletins Nuppa Site'!J440,"NULL")</f>
        <v>100</v>
      </c>
      <c r="J440" t="str">
        <f t="shared" si="6"/>
        <v>INSERT INTO COTACAO (blt_id, pap_id, cot_prc_comum, cot_prc_min, cot_prc_max, cot_prc_med, cot_prc_mediana) VALUES (12, 7, NULL, 96, 108, 101.33, 100);</v>
      </c>
    </row>
    <row r="441" spans="1:10" x14ac:dyDescent="0.3">
      <c r="A441">
        <v>440</v>
      </c>
      <c r="B441">
        <v>12</v>
      </c>
      <c r="C441">
        <v>8</v>
      </c>
      <c r="D441" t="str">
        <f>IF('Boletins Nuppa Site'!F441&lt;&gt;0,'Boletins Nuppa Site'!F441,"NULL")</f>
        <v>NULL</v>
      </c>
      <c r="E441">
        <f>IF('Boletins Nuppa Site'!G441&lt;&gt;0,'Boletins Nuppa Site'!G441,"NULL")</f>
        <v>84</v>
      </c>
      <c r="F441">
        <f>IF('Boletins Nuppa Site'!H441&lt;&gt;0,'Boletins Nuppa Site'!H441,"NULL")</f>
        <v>100</v>
      </c>
      <c r="G441" t="str">
        <f>IF('Boletins Nuppa Site'!I441&lt;&gt;0,'Boletins Nuppa Site'!I441,"NULL")</f>
        <v>93.33</v>
      </c>
      <c r="H441">
        <f>IF('Boletins Nuppa Site'!J441&lt;&gt;0,'Boletins Nuppa Site'!J441,"NULL")</f>
        <v>96</v>
      </c>
      <c r="J441" t="str">
        <f t="shared" si="6"/>
        <v>INSERT INTO COTACAO (blt_id, pap_id, cot_prc_comum, cot_prc_min, cot_prc_max, cot_prc_med, cot_prc_mediana) VALUES (12, 8, NULL, 84, 100, 93.33, 96);</v>
      </c>
    </row>
    <row r="442" spans="1:10" x14ac:dyDescent="0.3">
      <c r="A442">
        <v>441</v>
      </c>
      <c r="B442">
        <v>12</v>
      </c>
      <c r="C442">
        <v>9</v>
      </c>
      <c r="D442">
        <f>IF('Boletins Nuppa Site'!F442&lt;&gt;0,'Boletins Nuppa Site'!F442,"NULL")</f>
        <v>30</v>
      </c>
      <c r="E442">
        <f>IF('Boletins Nuppa Site'!G442&lt;&gt;0,'Boletins Nuppa Site'!G442,"NULL")</f>
        <v>30</v>
      </c>
      <c r="F442">
        <f>IF('Boletins Nuppa Site'!H442&lt;&gt;0,'Boletins Nuppa Site'!H442,"NULL")</f>
        <v>96</v>
      </c>
      <c r="G442">
        <f>IF('Boletins Nuppa Site'!I442&lt;&gt;0,'Boletins Nuppa Site'!I442,"NULL")</f>
        <v>48</v>
      </c>
      <c r="H442">
        <f>IF('Boletins Nuppa Site'!J442&lt;&gt;0,'Boletins Nuppa Site'!J442,"NULL")</f>
        <v>33</v>
      </c>
      <c r="J442" t="str">
        <f t="shared" si="6"/>
        <v>INSERT INTO COTACAO (blt_id, pap_id, cot_prc_comum, cot_prc_min, cot_prc_max, cot_prc_med, cot_prc_mediana) VALUES (12, 9, 30, 30, 96, 48, 33);</v>
      </c>
    </row>
    <row r="443" spans="1:10" x14ac:dyDescent="0.3">
      <c r="A443">
        <v>442</v>
      </c>
      <c r="B443">
        <v>12</v>
      </c>
      <c r="C443">
        <v>10</v>
      </c>
      <c r="D443" t="str">
        <f>IF('Boletins Nuppa Site'!F443&lt;&gt;0,'Boletins Nuppa Site'!F443,"NULL")</f>
        <v>NULL</v>
      </c>
      <c r="E443">
        <f>IF('Boletins Nuppa Site'!G443&lt;&gt;0,'Boletins Nuppa Site'!G443,"NULL")</f>
        <v>108</v>
      </c>
      <c r="F443">
        <f>IF('Boletins Nuppa Site'!H443&lt;&gt;0,'Boletins Nuppa Site'!H443,"NULL")</f>
        <v>120</v>
      </c>
      <c r="G443">
        <f>IF('Boletins Nuppa Site'!I443&lt;&gt;0,'Boletins Nuppa Site'!I443,"NULL")</f>
        <v>114</v>
      </c>
      <c r="H443">
        <f>IF('Boletins Nuppa Site'!J443&lt;&gt;0,'Boletins Nuppa Site'!J443,"NULL")</f>
        <v>114</v>
      </c>
      <c r="J443" t="str">
        <f t="shared" si="6"/>
        <v>INSERT INTO COTACAO (blt_id, pap_id, cot_prc_comum, cot_prc_min, cot_prc_max, cot_prc_med, cot_prc_mediana) VALUES (12, 10, NULL, 108, 120, 114, 114);</v>
      </c>
    </row>
    <row r="444" spans="1:10" x14ac:dyDescent="0.3">
      <c r="A444">
        <v>443</v>
      </c>
      <c r="B444">
        <v>12</v>
      </c>
      <c r="C444">
        <v>11</v>
      </c>
      <c r="D444" t="str">
        <f>IF('Boletins Nuppa Site'!F444&lt;&gt;0,'Boletins Nuppa Site'!F444,"NULL")</f>
        <v>NULL</v>
      </c>
      <c r="E444">
        <f>IF('Boletins Nuppa Site'!G444&lt;&gt;0,'Boletins Nuppa Site'!G444,"NULL")</f>
        <v>30</v>
      </c>
      <c r="F444">
        <f>IF('Boletins Nuppa Site'!H444&lt;&gt;0,'Boletins Nuppa Site'!H444,"NULL")</f>
        <v>42</v>
      </c>
      <c r="G444">
        <f>IF('Boletins Nuppa Site'!I444&lt;&gt;0,'Boletins Nuppa Site'!I444,"NULL")</f>
        <v>36</v>
      </c>
      <c r="H444">
        <f>IF('Boletins Nuppa Site'!J444&lt;&gt;0,'Boletins Nuppa Site'!J444,"NULL")</f>
        <v>36</v>
      </c>
      <c r="J444" t="str">
        <f t="shared" si="6"/>
        <v>INSERT INTO COTACAO (blt_id, pap_id, cot_prc_comum, cot_prc_min, cot_prc_max, cot_prc_med, cot_prc_mediana) VALUES (12, 11, NULL, 30, 42, 36, 36);</v>
      </c>
    </row>
    <row r="445" spans="1:10" x14ac:dyDescent="0.3">
      <c r="A445">
        <v>444</v>
      </c>
      <c r="B445">
        <v>12</v>
      </c>
      <c r="C445">
        <v>12</v>
      </c>
      <c r="D445" t="str">
        <f>IF('Boletins Nuppa Site'!F445&lt;&gt;0,'Boletins Nuppa Site'!F445,"NULL")</f>
        <v>NULL</v>
      </c>
      <c r="E445">
        <f>IF('Boletins Nuppa Site'!G445&lt;&gt;0,'Boletins Nuppa Site'!G445,"NULL")</f>
        <v>72</v>
      </c>
      <c r="F445">
        <f>IF('Boletins Nuppa Site'!H445&lt;&gt;0,'Boletins Nuppa Site'!H445,"NULL")</f>
        <v>84</v>
      </c>
      <c r="G445">
        <f>IF('Boletins Nuppa Site'!I445&lt;&gt;0,'Boletins Nuppa Site'!I445,"NULL")</f>
        <v>78</v>
      </c>
      <c r="H445">
        <f>IF('Boletins Nuppa Site'!J445&lt;&gt;0,'Boletins Nuppa Site'!J445,"NULL")</f>
        <v>78</v>
      </c>
      <c r="J445" t="str">
        <f t="shared" si="6"/>
        <v>INSERT INTO COTACAO (blt_id, pap_id, cot_prc_comum, cot_prc_min, cot_prc_max, cot_prc_med, cot_prc_mediana) VALUES (12, 12, NULL, 72, 84, 78, 78);</v>
      </c>
    </row>
    <row r="446" spans="1:10" x14ac:dyDescent="0.3">
      <c r="A446">
        <v>445</v>
      </c>
      <c r="B446">
        <v>12</v>
      </c>
      <c r="C446">
        <v>13</v>
      </c>
      <c r="D446" t="str">
        <f>IF('Boletins Nuppa Site'!F446&lt;&gt;0,'Boletins Nuppa Site'!F446,"NULL")</f>
        <v>NULL</v>
      </c>
      <c r="E446">
        <f>IF('Boletins Nuppa Site'!G446&lt;&gt;0,'Boletins Nuppa Site'!G446,"NULL")</f>
        <v>32</v>
      </c>
      <c r="F446">
        <f>IF('Boletins Nuppa Site'!H446&lt;&gt;0,'Boletins Nuppa Site'!H446,"NULL")</f>
        <v>84</v>
      </c>
      <c r="G446" t="str">
        <f>IF('Boletins Nuppa Site'!I446&lt;&gt;0,'Boletins Nuppa Site'!I446,"NULL")</f>
        <v>62.67</v>
      </c>
      <c r="H446">
        <f>IF('Boletins Nuppa Site'!J446&lt;&gt;0,'Boletins Nuppa Site'!J446,"NULL")</f>
        <v>72</v>
      </c>
      <c r="J446" t="str">
        <f t="shared" si="6"/>
        <v>INSERT INTO COTACAO (blt_id, pap_id, cot_prc_comum, cot_prc_min, cot_prc_max, cot_prc_med, cot_prc_mediana) VALUES (12, 13, NULL, 32, 84, 62.67, 72);</v>
      </c>
    </row>
    <row r="447" spans="1:10" x14ac:dyDescent="0.3">
      <c r="A447">
        <v>446</v>
      </c>
      <c r="B447">
        <v>12</v>
      </c>
      <c r="C447">
        <v>14</v>
      </c>
      <c r="D447">
        <f>IF('Boletins Nuppa Site'!F447&lt;&gt;0,'Boletins Nuppa Site'!F447,"NULL")</f>
        <v>60</v>
      </c>
      <c r="E447">
        <f>IF('Boletins Nuppa Site'!G447&lt;&gt;0,'Boletins Nuppa Site'!G447,"NULL")</f>
        <v>60</v>
      </c>
      <c r="F447">
        <f>IF('Boletins Nuppa Site'!H447&lt;&gt;0,'Boletins Nuppa Site'!H447,"NULL")</f>
        <v>80</v>
      </c>
      <c r="G447" t="str">
        <f>IF('Boletins Nuppa Site'!I447&lt;&gt;0,'Boletins Nuppa Site'!I447,"NULL")</f>
        <v>66.67</v>
      </c>
      <c r="H447">
        <f>IF('Boletins Nuppa Site'!J447&lt;&gt;0,'Boletins Nuppa Site'!J447,"NULL")</f>
        <v>60</v>
      </c>
      <c r="J447" t="str">
        <f t="shared" si="6"/>
        <v>INSERT INTO COTACAO (blt_id, pap_id, cot_prc_comum, cot_prc_min, cot_prc_max, cot_prc_med, cot_prc_mediana) VALUES (12, 14, 60, 60, 80, 66.67, 60);</v>
      </c>
    </row>
    <row r="448" spans="1:10" x14ac:dyDescent="0.3">
      <c r="A448">
        <v>447</v>
      </c>
      <c r="B448">
        <v>12</v>
      </c>
      <c r="C448">
        <v>15</v>
      </c>
      <c r="D448" t="str">
        <f>IF('Boletins Nuppa Site'!F448&lt;&gt;0,'Boletins Nuppa Site'!F448,"NULL")</f>
        <v>NULL</v>
      </c>
      <c r="E448">
        <f>IF('Boletins Nuppa Site'!G448&lt;&gt;0,'Boletins Nuppa Site'!G448,"NULL")</f>
        <v>50</v>
      </c>
      <c r="F448">
        <f>IF('Boletins Nuppa Site'!H448&lt;&gt;0,'Boletins Nuppa Site'!H448,"NULL")</f>
        <v>75</v>
      </c>
      <c r="G448" t="str">
        <f>IF('Boletins Nuppa Site'!I448&lt;&gt;0,'Boletins Nuppa Site'!I448,"NULL")</f>
        <v>59.67</v>
      </c>
      <c r="H448">
        <f>IF('Boletins Nuppa Site'!J448&lt;&gt;0,'Boletins Nuppa Site'!J448,"NULL")</f>
        <v>54</v>
      </c>
      <c r="J448" t="str">
        <f t="shared" si="6"/>
        <v>INSERT INTO COTACAO (blt_id, pap_id, cot_prc_comum, cot_prc_min, cot_prc_max, cot_prc_med, cot_prc_mediana) VALUES (12, 15, NULL, 50, 75, 59.67, 54);</v>
      </c>
    </row>
    <row r="449" spans="1:10" x14ac:dyDescent="0.3">
      <c r="A449">
        <v>448</v>
      </c>
      <c r="B449">
        <v>12</v>
      </c>
      <c r="C449">
        <v>16</v>
      </c>
      <c r="D449" t="str">
        <f>IF('Boletins Nuppa Site'!F449&lt;&gt;0,'Boletins Nuppa Site'!F449,"NULL")</f>
        <v>NULL</v>
      </c>
      <c r="E449">
        <f>IF('Boletins Nuppa Site'!G449&lt;&gt;0,'Boletins Nuppa Site'!G449,"NULL")</f>
        <v>42</v>
      </c>
      <c r="F449">
        <f>IF('Boletins Nuppa Site'!H449&lt;&gt;0,'Boletins Nuppa Site'!H449,"NULL")</f>
        <v>54</v>
      </c>
      <c r="G449">
        <f>IF('Boletins Nuppa Site'!I449&lt;&gt;0,'Boletins Nuppa Site'!I449,"NULL")</f>
        <v>48</v>
      </c>
      <c r="H449">
        <f>IF('Boletins Nuppa Site'!J449&lt;&gt;0,'Boletins Nuppa Site'!J449,"NULL")</f>
        <v>48</v>
      </c>
      <c r="J449" t="str">
        <f t="shared" si="6"/>
        <v>INSERT INTO COTACAO (blt_id, pap_id, cot_prc_comum, cot_prc_min, cot_prc_max, cot_prc_med, cot_prc_mediana) VALUES (12, 16, NULL, 42, 54, 48, 48);</v>
      </c>
    </row>
    <row r="450" spans="1:10" x14ac:dyDescent="0.3">
      <c r="A450">
        <v>449</v>
      </c>
      <c r="B450">
        <v>12</v>
      </c>
      <c r="C450">
        <v>17</v>
      </c>
      <c r="D450">
        <f>IF('Boletins Nuppa Site'!F450&lt;&gt;0,'Boletins Nuppa Site'!F450,"NULL")</f>
        <v>5</v>
      </c>
      <c r="E450" t="str">
        <f>IF('Boletins Nuppa Site'!G450&lt;&gt;0,'Boletins Nuppa Site'!G450,"NULL")</f>
        <v>4.5</v>
      </c>
      <c r="F450">
        <f>IF('Boletins Nuppa Site'!H450&lt;&gt;0,'Boletins Nuppa Site'!H450,"NULL")</f>
        <v>5</v>
      </c>
      <c r="G450" t="str">
        <f>IF('Boletins Nuppa Site'!I450&lt;&gt;0,'Boletins Nuppa Site'!I450,"NULL")</f>
        <v>4.83</v>
      </c>
      <c r="H450">
        <f>IF('Boletins Nuppa Site'!J450&lt;&gt;0,'Boletins Nuppa Site'!J450,"NULL")</f>
        <v>5</v>
      </c>
      <c r="J450" t="str">
        <f t="shared" si="6"/>
        <v>INSERT INTO COTACAO (blt_id, pap_id, cot_prc_comum, cot_prc_min, cot_prc_max, cot_prc_med, cot_prc_mediana) VALUES (12, 17, 5, 4.5, 5, 4.83, 5);</v>
      </c>
    </row>
    <row r="451" spans="1:10" x14ac:dyDescent="0.3">
      <c r="A451">
        <v>450</v>
      </c>
      <c r="B451">
        <v>12</v>
      </c>
      <c r="C451">
        <v>18</v>
      </c>
      <c r="D451" t="str">
        <f>IF('Boletins Nuppa Site'!F451&lt;&gt;0,'Boletins Nuppa Site'!F451,"NULL")</f>
        <v>NULL</v>
      </c>
      <c r="E451">
        <f>IF('Boletins Nuppa Site'!G451&lt;&gt;0,'Boletins Nuppa Site'!G451,"NULL")</f>
        <v>20</v>
      </c>
      <c r="F451">
        <f>IF('Boletins Nuppa Site'!H451&lt;&gt;0,'Boletins Nuppa Site'!H451,"NULL")</f>
        <v>30</v>
      </c>
      <c r="G451">
        <f>IF('Boletins Nuppa Site'!I451&lt;&gt;0,'Boletins Nuppa Site'!I451,"NULL")</f>
        <v>25</v>
      </c>
      <c r="H451">
        <f>IF('Boletins Nuppa Site'!J451&lt;&gt;0,'Boletins Nuppa Site'!J451,"NULL")</f>
        <v>25</v>
      </c>
      <c r="J451" t="str">
        <f t="shared" ref="J451:J514" si="7">"INSERT INTO COTACAO (blt_id, pap_id, cot_prc_comum, cot_prc_min, cot_prc_max, cot_prc_med, cot_prc_mediana) VALUES ("&amp;B451&amp;", "&amp;C451&amp;", "&amp;D451&amp;", "&amp;E451&amp;", "&amp;F451&amp;", "&amp;G451&amp;", "&amp;H451&amp;");"</f>
        <v>INSERT INTO COTACAO (blt_id, pap_id, cot_prc_comum, cot_prc_min, cot_prc_max, cot_prc_med, cot_prc_mediana) VALUES (12, 18, NULL, 20, 30, 25, 25);</v>
      </c>
    </row>
    <row r="452" spans="1:10" x14ac:dyDescent="0.3">
      <c r="A452">
        <v>451</v>
      </c>
      <c r="B452">
        <v>12</v>
      </c>
      <c r="C452">
        <v>19</v>
      </c>
      <c r="D452" t="str">
        <f>IF('Boletins Nuppa Site'!F452&lt;&gt;0,'Boletins Nuppa Site'!F452,"NULL")</f>
        <v>NULL</v>
      </c>
      <c r="E452">
        <f>IF('Boletins Nuppa Site'!G452&lt;&gt;0,'Boletins Nuppa Site'!G452,"NULL")</f>
        <v>30</v>
      </c>
      <c r="F452">
        <f>IF('Boletins Nuppa Site'!H452&lt;&gt;0,'Boletins Nuppa Site'!H452,"NULL")</f>
        <v>40</v>
      </c>
      <c r="G452">
        <f>IF('Boletins Nuppa Site'!I452&lt;&gt;0,'Boletins Nuppa Site'!I452,"NULL")</f>
        <v>35</v>
      </c>
      <c r="H452">
        <f>IF('Boletins Nuppa Site'!J452&lt;&gt;0,'Boletins Nuppa Site'!J452,"NULL")</f>
        <v>35</v>
      </c>
      <c r="J452" t="str">
        <f t="shared" si="7"/>
        <v>INSERT INTO COTACAO (blt_id, pap_id, cot_prc_comum, cot_prc_min, cot_prc_max, cot_prc_med, cot_prc_mediana) VALUES (12, 19, NULL, 30, 40, 35, 35);</v>
      </c>
    </row>
    <row r="453" spans="1:10" x14ac:dyDescent="0.3">
      <c r="A453">
        <v>452</v>
      </c>
      <c r="B453">
        <v>12</v>
      </c>
      <c r="C453">
        <v>20</v>
      </c>
      <c r="D453">
        <f>IF('Boletins Nuppa Site'!F453&lt;&gt;0,'Boletins Nuppa Site'!F453,"NULL")</f>
        <v>120</v>
      </c>
      <c r="E453">
        <f>IF('Boletins Nuppa Site'!G453&lt;&gt;0,'Boletins Nuppa Site'!G453,"NULL")</f>
        <v>115</v>
      </c>
      <c r="F453">
        <f>IF('Boletins Nuppa Site'!H453&lt;&gt;0,'Boletins Nuppa Site'!H453,"NULL")</f>
        <v>120</v>
      </c>
      <c r="G453" t="str">
        <f>IF('Boletins Nuppa Site'!I453&lt;&gt;0,'Boletins Nuppa Site'!I453,"NULL")</f>
        <v>118.33</v>
      </c>
      <c r="H453">
        <f>IF('Boletins Nuppa Site'!J453&lt;&gt;0,'Boletins Nuppa Site'!J453,"NULL")</f>
        <v>120</v>
      </c>
      <c r="J453" t="str">
        <f t="shared" si="7"/>
        <v>INSERT INTO COTACAO (blt_id, pap_id, cot_prc_comum, cot_prc_min, cot_prc_max, cot_prc_med, cot_prc_mediana) VALUES (12, 20, 120, 115, 120, 118.33, 120);</v>
      </c>
    </row>
    <row r="454" spans="1:10" x14ac:dyDescent="0.3">
      <c r="A454">
        <v>453</v>
      </c>
      <c r="B454">
        <v>12</v>
      </c>
      <c r="C454">
        <v>21</v>
      </c>
      <c r="D454" t="str">
        <f>IF('Boletins Nuppa Site'!F454&lt;&gt;0,'Boletins Nuppa Site'!F454,"NULL")</f>
        <v>NULL</v>
      </c>
      <c r="E454">
        <f>IF('Boletins Nuppa Site'!G454&lt;&gt;0,'Boletins Nuppa Site'!G454,"NULL")</f>
        <v>80</v>
      </c>
      <c r="F454">
        <f>IF('Boletins Nuppa Site'!H454&lt;&gt;0,'Boletins Nuppa Site'!H454,"NULL")</f>
        <v>100</v>
      </c>
      <c r="G454">
        <f>IF('Boletins Nuppa Site'!I454&lt;&gt;0,'Boletins Nuppa Site'!I454,"NULL")</f>
        <v>90</v>
      </c>
      <c r="H454">
        <f>IF('Boletins Nuppa Site'!J454&lt;&gt;0,'Boletins Nuppa Site'!J454,"NULL")</f>
        <v>90</v>
      </c>
      <c r="J454" t="str">
        <f t="shared" si="7"/>
        <v>INSERT INTO COTACAO (blt_id, pap_id, cot_prc_comum, cot_prc_min, cot_prc_max, cot_prc_med, cot_prc_mediana) VALUES (12, 21, NULL, 80, 100, 90, 90);</v>
      </c>
    </row>
    <row r="455" spans="1:10" x14ac:dyDescent="0.3">
      <c r="A455">
        <v>454</v>
      </c>
      <c r="B455">
        <v>12</v>
      </c>
      <c r="C455">
        <v>22</v>
      </c>
      <c r="D455">
        <f>IF('Boletins Nuppa Site'!F455&lt;&gt;0,'Boletins Nuppa Site'!F455,"NULL")</f>
        <v>75</v>
      </c>
      <c r="E455">
        <f>IF('Boletins Nuppa Site'!G455&lt;&gt;0,'Boletins Nuppa Site'!G455,"NULL")</f>
        <v>45</v>
      </c>
      <c r="F455">
        <f>IF('Boletins Nuppa Site'!H455&lt;&gt;0,'Boletins Nuppa Site'!H455,"NULL")</f>
        <v>80</v>
      </c>
      <c r="G455" t="str">
        <f>IF('Boletins Nuppa Site'!I455&lt;&gt;0,'Boletins Nuppa Site'!I455,"NULL")</f>
        <v>69.17</v>
      </c>
      <c r="H455" t="str">
        <f>IF('Boletins Nuppa Site'!J455&lt;&gt;0,'Boletins Nuppa Site'!J455,"NULL")</f>
        <v>72.5</v>
      </c>
      <c r="J455" t="str">
        <f t="shared" si="7"/>
        <v>INSERT INTO COTACAO (blt_id, pap_id, cot_prc_comum, cot_prc_min, cot_prc_max, cot_prc_med, cot_prc_mediana) VALUES (12, 22, 75, 45, 80, 69.17, 72.5);</v>
      </c>
    </row>
    <row r="456" spans="1:10" x14ac:dyDescent="0.3">
      <c r="A456">
        <v>455</v>
      </c>
      <c r="B456">
        <v>12</v>
      </c>
      <c r="C456">
        <v>23</v>
      </c>
      <c r="D456">
        <f>IF('Boletins Nuppa Site'!F456&lt;&gt;0,'Boletins Nuppa Site'!F456,"NULL")</f>
        <v>50</v>
      </c>
      <c r="E456">
        <f>IF('Boletins Nuppa Site'!G456&lt;&gt;0,'Boletins Nuppa Site'!G456,"NULL")</f>
        <v>35</v>
      </c>
      <c r="F456">
        <f>IF('Boletins Nuppa Site'!H456&lt;&gt;0,'Boletins Nuppa Site'!H456,"NULL")</f>
        <v>50</v>
      </c>
      <c r="G456" t="str">
        <f>IF('Boletins Nuppa Site'!I456&lt;&gt;0,'Boletins Nuppa Site'!I456,"NULL")</f>
        <v>43.33</v>
      </c>
      <c r="H456" t="str">
        <f>IF('Boletins Nuppa Site'!J456&lt;&gt;0,'Boletins Nuppa Site'!J456,"NULL")</f>
        <v>42.5</v>
      </c>
      <c r="J456" t="str">
        <f t="shared" si="7"/>
        <v>INSERT INTO COTACAO (blt_id, pap_id, cot_prc_comum, cot_prc_min, cot_prc_max, cot_prc_med, cot_prc_mediana) VALUES (12, 23, 50, 35, 50, 43.33, 42.5);</v>
      </c>
    </row>
    <row r="457" spans="1:10" x14ac:dyDescent="0.3">
      <c r="A457">
        <v>456</v>
      </c>
      <c r="B457">
        <v>12</v>
      </c>
      <c r="C457">
        <v>24</v>
      </c>
      <c r="D457" t="str">
        <f>IF('Boletins Nuppa Site'!F457&lt;&gt;0,'Boletins Nuppa Site'!F457,"NULL")</f>
        <v>NULL</v>
      </c>
      <c r="E457">
        <f>IF('Boletins Nuppa Site'!G457&lt;&gt;0,'Boletins Nuppa Site'!G457,"NULL")</f>
        <v>65</v>
      </c>
      <c r="F457">
        <f>IF('Boletins Nuppa Site'!H457&lt;&gt;0,'Boletins Nuppa Site'!H457,"NULL")</f>
        <v>65</v>
      </c>
      <c r="G457">
        <f>IF('Boletins Nuppa Site'!I457&lt;&gt;0,'Boletins Nuppa Site'!I457,"NULL")</f>
        <v>65</v>
      </c>
      <c r="H457">
        <f>IF('Boletins Nuppa Site'!J457&lt;&gt;0,'Boletins Nuppa Site'!J457,"NULL")</f>
        <v>65</v>
      </c>
      <c r="J457" t="str">
        <f t="shared" si="7"/>
        <v>INSERT INTO COTACAO (blt_id, pap_id, cot_prc_comum, cot_prc_min, cot_prc_max, cot_prc_med, cot_prc_mediana) VALUES (12, 24, NULL, 65, 65, 65, 65);</v>
      </c>
    </row>
    <row r="458" spans="1:10" x14ac:dyDescent="0.3">
      <c r="A458">
        <v>457</v>
      </c>
      <c r="B458">
        <v>12</v>
      </c>
      <c r="C458">
        <v>25</v>
      </c>
      <c r="D458">
        <f>IF('Boletins Nuppa Site'!F458&lt;&gt;0,'Boletins Nuppa Site'!F458,"NULL")</f>
        <v>130</v>
      </c>
      <c r="E458">
        <f>IF('Boletins Nuppa Site'!G458&lt;&gt;0,'Boletins Nuppa Site'!G458,"NULL")</f>
        <v>100</v>
      </c>
      <c r="F458">
        <f>IF('Boletins Nuppa Site'!H458&lt;&gt;0,'Boletins Nuppa Site'!H458,"NULL")</f>
        <v>130</v>
      </c>
      <c r="G458" t="str">
        <f>IF('Boletins Nuppa Site'!I458&lt;&gt;0,'Boletins Nuppa Site'!I458,"NULL")</f>
        <v>116.67</v>
      </c>
      <c r="H458">
        <f>IF('Boletins Nuppa Site'!J458&lt;&gt;0,'Boletins Nuppa Site'!J458,"NULL")</f>
        <v>115</v>
      </c>
      <c r="J458" t="str">
        <f t="shared" si="7"/>
        <v>INSERT INTO COTACAO (blt_id, pap_id, cot_prc_comum, cot_prc_min, cot_prc_max, cot_prc_med, cot_prc_mediana) VALUES (12, 25, 130, 100, 130, 116.67, 115);</v>
      </c>
    </row>
    <row r="459" spans="1:10" x14ac:dyDescent="0.3">
      <c r="A459">
        <v>458</v>
      </c>
      <c r="B459">
        <v>12</v>
      </c>
      <c r="C459">
        <v>26</v>
      </c>
      <c r="D459">
        <f>IF('Boletins Nuppa Site'!F459&lt;&gt;0,'Boletins Nuppa Site'!F459,"NULL")</f>
        <v>90</v>
      </c>
      <c r="E459">
        <f>IF('Boletins Nuppa Site'!G459&lt;&gt;0,'Boletins Nuppa Site'!G459,"NULL")</f>
        <v>90</v>
      </c>
      <c r="F459">
        <f>IF('Boletins Nuppa Site'!H459&lt;&gt;0,'Boletins Nuppa Site'!H459,"NULL")</f>
        <v>150</v>
      </c>
      <c r="G459">
        <f>IF('Boletins Nuppa Site'!I459&lt;&gt;0,'Boletins Nuppa Site'!I459,"NULL")</f>
        <v>122</v>
      </c>
      <c r="H459">
        <f>IF('Boletins Nuppa Site'!J459&lt;&gt;0,'Boletins Nuppa Site'!J459,"NULL")</f>
        <v>140</v>
      </c>
      <c r="J459" t="str">
        <f t="shared" si="7"/>
        <v>INSERT INTO COTACAO (blt_id, pap_id, cot_prc_comum, cot_prc_min, cot_prc_max, cot_prc_med, cot_prc_mediana) VALUES (12, 26, 90, 90, 150, 122, 140);</v>
      </c>
    </row>
    <row r="460" spans="1:10" x14ac:dyDescent="0.3">
      <c r="A460">
        <v>459</v>
      </c>
      <c r="B460">
        <v>12</v>
      </c>
      <c r="C460">
        <v>27</v>
      </c>
      <c r="D460">
        <f>IF('Boletins Nuppa Site'!F460&lt;&gt;0,'Boletins Nuppa Site'!F460,"NULL")</f>
        <v>60</v>
      </c>
      <c r="E460">
        <f>IF('Boletins Nuppa Site'!G460&lt;&gt;0,'Boletins Nuppa Site'!G460,"NULL")</f>
        <v>50</v>
      </c>
      <c r="F460">
        <f>IF('Boletins Nuppa Site'!H460&lt;&gt;0,'Boletins Nuppa Site'!H460,"NULL")</f>
        <v>60</v>
      </c>
      <c r="G460" t="str">
        <f>IF('Boletins Nuppa Site'!I460&lt;&gt;0,'Boletins Nuppa Site'!I460,"NULL")</f>
        <v>56.33</v>
      </c>
      <c r="H460">
        <f>IF('Boletins Nuppa Site'!J460&lt;&gt;0,'Boletins Nuppa Site'!J460,"NULL")</f>
        <v>59</v>
      </c>
      <c r="J460" t="str">
        <f t="shared" si="7"/>
        <v>INSERT INTO COTACAO (blt_id, pap_id, cot_prc_comum, cot_prc_min, cot_prc_max, cot_prc_med, cot_prc_mediana) VALUES (12, 27, 60, 50, 60, 56.33, 59);</v>
      </c>
    </row>
    <row r="461" spans="1:10" x14ac:dyDescent="0.3">
      <c r="A461">
        <v>460</v>
      </c>
      <c r="B461">
        <v>12</v>
      </c>
      <c r="C461">
        <v>28</v>
      </c>
      <c r="D461">
        <f>IF('Boletins Nuppa Site'!F461&lt;&gt;0,'Boletins Nuppa Site'!F461,"NULL")</f>
        <v>100</v>
      </c>
      <c r="E461">
        <f>IF('Boletins Nuppa Site'!G461&lt;&gt;0,'Boletins Nuppa Site'!G461,"NULL")</f>
        <v>100</v>
      </c>
      <c r="F461">
        <f>IF('Boletins Nuppa Site'!H461&lt;&gt;0,'Boletins Nuppa Site'!H461,"NULL")</f>
        <v>110</v>
      </c>
      <c r="G461" t="str">
        <f>IF('Boletins Nuppa Site'!I461&lt;&gt;0,'Boletins Nuppa Site'!I461,"NULL")</f>
        <v>103.33</v>
      </c>
      <c r="H461">
        <f>IF('Boletins Nuppa Site'!J461&lt;&gt;0,'Boletins Nuppa Site'!J461,"NULL")</f>
        <v>100</v>
      </c>
      <c r="J461" t="str">
        <f t="shared" si="7"/>
        <v>INSERT INTO COTACAO (blt_id, pap_id, cot_prc_comum, cot_prc_min, cot_prc_max, cot_prc_med, cot_prc_mediana) VALUES (12, 28, 100, 100, 110, 103.33, 100);</v>
      </c>
    </row>
    <row r="462" spans="1:10" x14ac:dyDescent="0.3">
      <c r="A462">
        <v>461</v>
      </c>
      <c r="B462">
        <v>12</v>
      </c>
      <c r="C462">
        <v>29</v>
      </c>
      <c r="D462" t="str">
        <f>IF('Boletins Nuppa Site'!F462&lt;&gt;0,'Boletins Nuppa Site'!F462,"NULL")</f>
        <v>NULL</v>
      </c>
      <c r="E462">
        <f>IF('Boletins Nuppa Site'!G462&lt;&gt;0,'Boletins Nuppa Site'!G462,"NULL")</f>
        <v>50</v>
      </c>
      <c r="F462">
        <f>IF('Boletins Nuppa Site'!H462&lt;&gt;0,'Boletins Nuppa Site'!H462,"NULL")</f>
        <v>78</v>
      </c>
      <c r="G462">
        <f>IF('Boletins Nuppa Site'!I462&lt;&gt;0,'Boletins Nuppa Site'!I462,"NULL")</f>
        <v>64</v>
      </c>
      <c r="H462">
        <f>IF('Boletins Nuppa Site'!J462&lt;&gt;0,'Boletins Nuppa Site'!J462,"NULL")</f>
        <v>64</v>
      </c>
      <c r="J462" t="str">
        <f t="shared" si="7"/>
        <v>INSERT INTO COTACAO (blt_id, pap_id, cot_prc_comum, cot_prc_min, cot_prc_max, cot_prc_med, cot_prc_mediana) VALUES (12, 29, NULL, 50, 78, 64, 64);</v>
      </c>
    </row>
    <row r="463" spans="1:10" x14ac:dyDescent="0.3">
      <c r="A463">
        <v>462</v>
      </c>
      <c r="B463">
        <v>12</v>
      </c>
      <c r="C463">
        <v>30</v>
      </c>
      <c r="D463">
        <f>IF('Boletins Nuppa Site'!F463&lt;&gt;0,'Boletins Nuppa Site'!F463,"NULL")</f>
        <v>70</v>
      </c>
      <c r="E463">
        <f>IF('Boletins Nuppa Site'!G463&lt;&gt;0,'Boletins Nuppa Site'!G463,"NULL")</f>
        <v>70</v>
      </c>
      <c r="F463">
        <f>IF('Boletins Nuppa Site'!H463&lt;&gt;0,'Boletins Nuppa Site'!H463,"NULL")</f>
        <v>85</v>
      </c>
      <c r="G463">
        <f>IF('Boletins Nuppa Site'!I463&lt;&gt;0,'Boletins Nuppa Site'!I463,"NULL")</f>
        <v>75</v>
      </c>
      <c r="H463" t="str">
        <f>IF('Boletins Nuppa Site'!J463&lt;&gt;0,'Boletins Nuppa Site'!J463,"NULL")</f>
        <v>72.5</v>
      </c>
      <c r="J463" t="str">
        <f t="shared" si="7"/>
        <v>INSERT INTO COTACAO (blt_id, pap_id, cot_prc_comum, cot_prc_min, cot_prc_max, cot_prc_med, cot_prc_mediana) VALUES (12, 30, 70, 70, 85, 75, 72.5);</v>
      </c>
    </row>
    <row r="464" spans="1:10" x14ac:dyDescent="0.3">
      <c r="A464">
        <v>463</v>
      </c>
      <c r="B464">
        <v>12</v>
      </c>
      <c r="C464">
        <v>31</v>
      </c>
      <c r="D464">
        <f>IF('Boletins Nuppa Site'!F464&lt;&gt;0,'Boletins Nuppa Site'!F464,"NULL")</f>
        <v>100</v>
      </c>
      <c r="E464">
        <f>IF('Boletins Nuppa Site'!G464&lt;&gt;0,'Boletins Nuppa Site'!G464,"NULL")</f>
        <v>90</v>
      </c>
      <c r="F464">
        <f>IF('Boletins Nuppa Site'!H464&lt;&gt;0,'Boletins Nuppa Site'!H464,"NULL")</f>
        <v>110</v>
      </c>
      <c r="G464" t="str">
        <f>IF('Boletins Nuppa Site'!I464&lt;&gt;0,'Boletins Nuppa Site'!I464,"NULL")</f>
        <v>101.67</v>
      </c>
      <c r="H464">
        <f>IF('Boletins Nuppa Site'!J464&lt;&gt;0,'Boletins Nuppa Site'!J464,"NULL")</f>
        <v>100</v>
      </c>
      <c r="J464" t="str">
        <f t="shared" si="7"/>
        <v>INSERT INTO COTACAO (blt_id, pap_id, cot_prc_comum, cot_prc_min, cot_prc_max, cot_prc_med, cot_prc_mediana) VALUES (12, 31, 100, 90, 110, 101.67, 100);</v>
      </c>
    </row>
    <row r="465" spans="1:10" x14ac:dyDescent="0.3">
      <c r="A465">
        <v>464</v>
      </c>
      <c r="B465">
        <v>12</v>
      </c>
      <c r="C465">
        <v>32</v>
      </c>
      <c r="D465">
        <f>IF('Boletins Nuppa Site'!F465&lt;&gt;0,'Boletins Nuppa Site'!F465,"NULL")</f>
        <v>70</v>
      </c>
      <c r="E465">
        <f>IF('Boletins Nuppa Site'!G465&lt;&gt;0,'Boletins Nuppa Site'!G465,"NULL")</f>
        <v>60</v>
      </c>
      <c r="F465">
        <f>IF('Boletins Nuppa Site'!H465&lt;&gt;0,'Boletins Nuppa Site'!H465,"NULL")</f>
        <v>90</v>
      </c>
      <c r="G465">
        <f>IF('Boletins Nuppa Site'!I465&lt;&gt;0,'Boletins Nuppa Site'!I465,"NULL")</f>
        <v>74</v>
      </c>
      <c r="H465">
        <f>IF('Boletins Nuppa Site'!J465&lt;&gt;0,'Boletins Nuppa Site'!J465,"NULL")</f>
        <v>70</v>
      </c>
      <c r="J465" t="str">
        <f t="shared" si="7"/>
        <v>INSERT INTO COTACAO (blt_id, pap_id, cot_prc_comum, cot_prc_min, cot_prc_max, cot_prc_med, cot_prc_mediana) VALUES (12, 32, 70, 60, 90, 74, 70);</v>
      </c>
    </row>
    <row r="466" spans="1:10" x14ac:dyDescent="0.3">
      <c r="A466">
        <v>465</v>
      </c>
      <c r="B466">
        <v>12</v>
      </c>
      <c r="C466">
        <v>33</v>
      </c>
      <c r="D466">
        <f>IF('Boletins Nuppa Site'!F466&lt;&gt;0,'Boletins Nuppa Site'!F466,"NULL")</f>
        <v>120</v>
      </c>
      <c r="E466">
        <f>IF('Boletins Nuppa Site'!G466&lt;&gt;0,'Boletins Nuppa Site'!G466,"NULL")</f>
        <v>100</v>
      </c>
      <c r="F466">
        <f>IF('Boletins Nuppa Site'!H466&lt;&gt;0,'Boletins Nuppa Site'!H466,"NULL")</f>
        <v>130</v>
      </c>
      <c r="G466" t="str">
        <f>IF('Boletins Nuppa Site'!I466&lt;&gt;0,'Boletins Nuppa Site'!I466,"NULL")</f>
        <v>117.5</v>
      </c>
      <c r="H466">
        <f>IF('Boletins Nuppa Site'!J466&lt;&gt;0,'Boletins Nuppa Site'!J466,"NULL")</f>
        <v>120</v>
      </c>
      <c r="J466" t="str">
        <f t="shared" si="7"/>
        <v>INSERT INTO COTACAO (blt_id, pap_id, cot_prc_comum, cot_prc_min, cot_prc_max, cot_prc_med, cot_prc_mediana) VALUES (12, 33, 120, 100, 130, 117.5, 120);</v>
      </c>
    </row>
    <row r="467" spans="1:10" x14ac:dyDescent="0.3">
      <c r="A467">
        <v>466</v>
      </c>
      <c r="B467">
        <v>12</v>
      </c>
      <c r="C467">
        <v>34</v>
      </c>
      <c r="D467">
        <f>IF('Boletins Nuppa Site'!F467&lt;&gt;0,'Boletins Nuppa Site'!F467,"NULL")</f>
        <v>150</v>
      </c>
      <c r="E467">
        <f>IF('Boletins Nuppa Site'!G467&lt;&gt;0,'Boletins Nuppa Site'!G467,"NULL")</f>
        <v>100</v>
      </c>
      <c r="F467">
        <f>IF('Boletins Nuppa Site'!H467&lt;&gt;0,'Boletins Nuppa Site'!H467,"NULL")</f>
        <v>190</v>
      </c>
      <c r="G467">
        <f>IF('Boletins Nuppa Site'!I467&lt;&gt;0,'Boletins Nuppa Site'!I467,"NULL")</f>
        <v>150</v>
      </c>
      <c r="H467">
        <f>IF('Boletins Nuppa Site'!J467&lt;&gt;0,'Boletins Nuppa Site'!J467,"NULL")</f>
        <v>150</v>
      </c>
      <c r="J467" t="str">
        <f t="shared" si="7"/>
        <v>INSERT INTO COTACAO (blt_id, pap_id, cot_prc_comum, cot_prc_min, cot_prc_max, cot_prc_med, cot_prc_mediana) VALUES (12, 34, 150, 100, 190, 150, 150);</v>
      </c>
    </row>
    <row r="468" spans="1:10" x14ac:dyDescent="0.3">
      <c r="A468">
        <v>467</v>
      </c>
      <c r="B468">
        <v>12</v>
      </c>
      <c r="C468">
        <v>35</v>
      </c>
      <c r="D468">
        <f>IF('Boletins Nuppa Site'!F468&lt;&gt;0,'Boletins Nuppa Site'!F468,"NULL")</f>
        <v>180</v>
      </c>
      <c r="E468">
        <f>IF('Boletins Nuppa Site'!G468&lt;&gt;0,'Boletins Nuppa Site'!G468,"NULL")</f>
        <v>160</v>
      </c>
      <c r="F468">
        <f>IF('Boletins Nuppa Site'!H468&lt;&gt;0,'Boletins Nuppa Site'!H468,"NULL")</f>
        <v>180</v>
      </c>
      <c r="G468" t="str">
        <f>IF('Boletins Nuppa Site'!I468&lt;&gt;0,'Boletins Nuppa Site'!I468,"NULL")</f>
        <v>172.5</v>
      </c>
      <c r="H468">
        <f>IF('Boletins Nuppa Site'!J468&lt;&gt;0,'Boletins Nuppa Site'!J468,"NULL")</f>
        <v>175</v>
      </c>
      <c r="J468" t="str">
        <f t="shared" si="7"/>
        <v>INSERT INTO COTACAO (blt_id, pap_id, cot_prc_comum, cot_prc_min, cot_prc_max, cot_prc_med, cot_prc_mediana) VALUES (12, 35, 180, 160, 180, 172.5, 175);</v>
      </c>
    </row>
    <row r="469" spans="1:10" x14ac:dyDescent="0.3">
      <c r="A469">
        <v>468</v>
      </c>
      <c r="B469">
        <v>12</v>
      </c>
      <c r="C469">
        <v>36</v>
      </c>
      <c r="D469" t="str">
        <f>IF('Boletins Nuppa Site'!F469&lt;&gt;0,'Boletins Nuppa Site'!F469,"NULL")</f>
        <v>NULL</v>
      </c>
      <c r="E469">
        <f>IF('Boletins Nuppa Site'!G469&lt;&gt;0,'Boletins Nuppa Site'!G469,"NULL")</f>
        <v>130</v>
      </c>
      <c r="F469">
        <f>IF('Boletins Nuppa Site'!H469&lt;&gt;0,'Boletins Nuppa Site'!H469,"NULL")</f>
        <v>130</v>
      </c>
      <c r="G469">
        <f>IF('Boletins Nuppa Site'!I469&lt;&gt;0,'Boletins Nuppa Site'!I469,"NULL")</f>
        <v>130</v>
      </c>
      <c r="H469">
        <f>IF('Boletins Nuppa Site'!J469&lt;&gt;0,'Boletins Nuppa Site'!J469,"NULL")</f>
        <v>130</v>
      </c>
      <c r="J469" t="str">
        <f t="shared" si="7"/>
        <v>INSERT INTO COTACAO (blt_id, pap_id, cot_prc_comum, cot_prc_min, cot_prc_max, cot_prc_med, cot_prc_mediana) VALUES (12, 36, NULL, 130, 130, 130, 130);</v>
      </c>
    </row>
    <row r="470" spans="1:10" x14ac:dyDescent="0.3">
      <c r="A470">
        <v>469</v>
      </c>
      <c r="B470">
        <v>12</v>
      </c>
      <c r="C470">
        <v>37</v>
      </c>
      <c r="D470" t="str">
        <f>IF('Boletins Nuppa Site'!F470&lt;&gt;0,'Boletins Nuppa Site'!F470,"NULL")</f>
        <v>NULL</v>
      </c>
      <c r="E470">
        <f>IF('Boletins Nuppa Site'!G470&lt;&gt;0,'Boletins Nuppa Site'!G470,"NULL")</f>
        <v>60</v>
      </c>
      <c r="F470">
        <f>IF('Boletins Nuppa Site'!H470&lt;&gt;0,'Boletins Nuppa Site'!H470,"NULL")</f>
        <v>75</v>
      </c>
      <c r="G470" t="str">
        <f>IF('Boletins Nuppa Site'!I470&lt;&gt;0,'Boletins Nuppa Site'!I470,"NULL")</f>
        <v>67.5</v>
      </c>
      <c r="H470" t="str">
        <f>IF('Boletins Nuppa Site'!J470&lt;&gt;0,'Boletins Nuppa Site'!J470,"NULL")</f>
        <v>67.5</v>
      </c>
      <c r="J470" t="str">
        <f t="shared" si="7"/>
        <v>INSERT INTO COTACAO (blt_id, pap_id, cot_prc_comum, cot_prc_min, cot_prc_max, cot_prc_med, cot_prc_mediana) VALUES (12, 37, NULL, 60, 75, 67.5, 67.5);</v>
      </c>
    </row>
    <row r="471" spans="1:10" x14ac:dyDescent="0.3">
      <c r="A471">
        <v>470</v>
      </c>
      <c r="B471">
        <v>12</v>
      </c>
      <c r="C471">
        <v>38</v>
      </c>
      <c r="D471" t="str">
        <f>IF('Boletins Nuppa Site'!F471&lt;&gt;0,'Boletins Nuppa Site'!F471,"NULL")</f>
        <v>NULL</v>
      </c>
      <c r="E471">
        <f>IF('Boletins Nuppa Site'!G471&lt;&gt;0,'Boletins Nuppa Site'!G471,"NULL")</f>
        <v>40</v>
      </c>
      <c r="F471">
        <f>IF('Boletins Nuppa Site'!H471&lt;&gt;0,'Boletins Nuppa Site'!H471,"NULL")</f>
        <v>45</v>
      </c>
      <c r="G471" t="str">
        <f>IF('Boletins Nuppa Site'!I471&lt;&gt;0,'Boletins Nuppa Site'!I471,"NULL")</f>
        <v>42.5</v>
      </c>
      <c r="H471" t="str">
        <f>IF('Boletins Nuppa Site'!J471&lt;&gt;0,'Boletins Nuppa Site'!J471,"NULL")</f>
        <v>42.5</v>
      </c>
      <c r="J471" t="str">
        <f t="shared" si="7"/>
        <v>INSERT INTO COTACAO (blt_id, pap_id, cot_prc_comum, cot_prc_min, cot_prc_max, cot_prc_med, cot_prc_mediana) VALUES (12, 38, NULL, 40, 45, 42.5, 42.5);</v>
      </c>
    </row>
    <row r="472" spans="1:10" x14ac:dyDescent="0.3">
      <c r="A472">
        <v>471</v>
      </c>
      <c r="B472">
        <v>12</v>
      </c>
      <c r="C472">
        <v>39</v>
      </c>
      <c r="D472" t="str">
        <f>IF('Boletins Nuppa Site'!F472&lt;&gt;0,'Boletins Nuppa Site'!F472,"NULL")</f>
        <v>NULL</v>
      </c>
      <c r="E472">
        <f>IF('Boletins Nuppa Site'!G472&lt;&gt;0,'Boletins Nuppa Site'!G472,"NULL")</f>
        <v>48</v>
      </c>
      <c r="F472">
        <f>IF('Boletins Nuppa Site'!H472&lt;&gt;0,'Boletins Nuppa Site'!H472,"NULL")</f>
        <v>48</v>
      </c>
      <c r="G472">
        <f>IF('Boletins Nuppa Site'!I472&lt;&gt;0,'Boletins Nuppa Site'!I472,"NULL")</f>
        <v>48</v>
      </c>
      <c r="H472">
        <f>IF('Boletins Nuppa Site'!J472&lt;&gt;0,'Boletins Nuppa Site'!J472,"NULL")</f>
        <v>48</v>
      </c>
      <c r="J472" t="str">
        <f t="shared" si="7"/>
        <v>INSERT INTO COTACAO (blt_id, pap_id, cot_prc_comum, cot_prc_min, cot_prc_max, cot_prc_med, cot_prc_mediana) VALUES (12, 39, NULL, 48, 48, 48, 48);</v>
      </c>
    </row>
    <row r="473" spans="1:10" x14ac:dyDescent="0.3">
      <c r="A473">
        <v>472</v>
      </c>
      <c r="B473">
        <v>12</v>
      </c>
      <c r="C473">
        <v>40</v>
      </c>
      <c r="D473" t="str">
        <f>IF('Boletins Nuppa Site'!F473&lt;&gt;0,'Boletins Nuppa Site'!F473,"NULL")</f>
        <v>NULL</v>
      </c>
      <c r="E473">
        <f>IF('Boletins Nuppa Site'!G473&lt;&gt;0,'Boletins Nuppa Site'!G473,"NULL")</f>
        <v>75</v>
      </c>
      <c r="F473">
        <f>IF('Boletins Nuppa Site'!H473&lt;&gt;0,'Boletins Nuppa Site'!H473,"NULL")</f>
        <v>75</v>
      </c>
      <c r="G473">
        <f>IF('Boletins Nuppa Site'!I473&lt;&gt;0,'Boletins Nuppa Site'!I473,"NULL")</f>
        <v>75</v>
      </c>
      <c r="H473">
        <f>IF('Boletins Nuppa Site'!J473&lt;&gt;0,'Boletins Nuppa Site'!J473,"NULL")</f>
        <v>75</v>
      </c>
      <c r="J473" t="str">
        <f t="shared" si="7"/>
        <v>INSERT INTO COTACAO (blt_id, pap_id, cot_prc_comum, cot_prc_min, cot_prc_max, cot_prc_med, cot_prc_mediana) VALUES (12, 40, NULL, 75, 75, 75, 75);</v>
      </c>
    </row>
    <row r="474" spans="1:10" x14ac:dyDescent="0.3">
      <c r="A474">
        <v>473</v>
      </c>
      <c r="B474">
        <v>13</v>
      </c>
      <c r="C474">
        <v>1</v>
      </c>
      <c r="D474">
        <f>IF('Boletins Nuppa Site'!F474&lt;&gt;0,'Boletins Nuppa Site'!F474,"NULL")</f>
        <v>60</v>
      </c>
      <c r="E474">
        <f>IF('Boletins Nuppa Site'!G474&lt;&gt;0,'Boletins Nuppa Site'!G474,"NULL")</f>
        <v>28</v>
      </c>
      <c r="F474">
        <f>IF('Boletins Nuppa Site'!H474&lt;&gt;0,'Boletins Nuppa Site'!H474,"NULL")</f>
        <v>60</v>
      </c>
      <c r="G474" t="str">
        <f>IF('Boletins Nuppa Site'!I474&lt;&gt;0,'Boletins Nuppa Site'!I474,"NULL")</f>
        <v>49.33</v>
      </c>
      <c r="H474">
        <f>IF('Boletins Nuppa Site'!J474&lt;&gt;0,'Boletins Nuppa Site'!J474,"NULL")</f>
        <v>60</v>
      </c>
      <c r="J474" t="str">
        <f t="shared" si="7"/>
        <v>INSERT INTO COTACAO (blt_id, pap_id, cot_prc_comum, cot_prc_min, cot_prc_max, cot_prc_med, cot_prc_mediana) VALUES (13, 1, 60, 28, 60, 49.33, 60);</v>
      </c>
    </row>
    <row r="475" spans="1:10" x14ac:dyDescent="0.3">
      <c r="A475">
        <v>474</v>
      </c>
      <c r="B475">
        <v>13</v>
      </c>
      <c r="C475">
        <v>2</v>
      </c>
      <c r="D475" t="str">
        <f>IF('Boletins Nuppa Site'!F475&lt;&gt;0,'Boletins Nuppa Site'!F475,"NULL")</f>
        <v>NULL</v>
      </c>
      <c r="E475">
        <f>IF('Boletins Nuppa Site'!G475&lt;&gt;0,'Boletins Nuppa Site'!G475,"NULL")</f>
        <v>72</v>
      </c>
      <c r="F475">
        <f>IF('Boletins Nuppa Site'!H475&lt;&gt;0,'Boletins Nuppa Site'!H475,"NULL")</f>
        <v>84</v>
      </c>
      <c r="G475" t="str">
        <f>IF('Boletins Nuppa Site'!I475&lt;&gt;0,'Boletins Nuppa Site'!I475,"NULL")</f>
        <v>78.67</v>
      </c>
      <c r="H475">
        <f>IF('Boletins Nuppa Site'!J475&lt;&gt;0,'Boletins Nuppa Site'!J475,"NULL")</f>
        <v>80</v>
      </c>
      <c r="J475" t="str">
        <f t="shared" si="7"/>
        <v>INSERT INTO COTACAO (blt_id, pap_id, cot_prc_comum, cot_prc_min, cot_prc_max, cot_prc_med, cot_prc_mediana) VALUES (13, 2, NULL, 72, 84, 78.67, 80);</v>
      </c>
    </row>
    <row r="476" spans="1:10" x14ac:dyDescent="0.3">
      <c r="A476">
        <v>475</v>
      </c>
      <c r="B476">
        <v>13</v>
      </c>
      <c r="C476">
        <v>3</v>
      </c>
      <c r="D476" t="str">
        <f>IF('Boletins Nuppa Site'!F476&lt;&gt;0,'Boletins Nuppa Site'!F476,"NULL")</f>
        <v>NULL</v>
      </c>
      <c r="E476">
        <f>IF('Boletins Nuppa Site'!G476&lt;&gt;0,'Boletins Nuppa Site'!G476,"NULL")</f>
        <v>42</v>
      </c>
      <c r="F476">
        <f>IF('Boletins Nuppa Site'!H476&lt;&gt;0,'Boletins Nuppa Site'!H476,"NULL")</f>
        <v>60</v>
      </c>
      <c r="G476">
        <f>IF('Boletins Nuppa Site'!I476&lt;&gt;0,'Boletins Nuppa Site'!I476,"NULL")</f>
        <v>50</v>
      </c>
      <c r="H476">
        <f>IF('Boletins Nuppa Site'!J476&lt;&gt;0,'Boletins Nuppa Site'!J476,"NULL")</f>
        <v>48</v>
      </c>
      <c r="J476" t="str">
        <f t="shared" si="7"/>
        <v>INSERT INTO COTACAO (blt_id, pap_id, cot_prc_comum, cot_prc_min, cot_prc_max, cot_prc_med, cot_prc_mediana) VALUES (13, 3, NULL, 42, 60, 50, 48);</v>
      </c>
    </row>
    <row r="477" spans="1:10" x14ac:dyDescent="0.3">
      <c r="A477">
        <v>476</v>
      </c>
      <c r="B477">
        <v>13</v>
      </c>
      <c r="C477">
        <v>4</v>
      </c>
      <c r="D477">
        <f>IF('Boletins Nuppa Site'!F477&lt;&gt;0,'Boletins Nuppa Site'!F477,"NULL")</f>
        <v>30</v>
      </c>
      <c r="E477">
        <f>IF('Boletins Nuppa Site'!G477&lt;&gt;0,'Boletins Nuppa Site'!G477,"NULL")</f>
        <v>30</v>
      </c>
      <c r="F477">
        <f>IF('Boletins Nuppa Site'!H477&lt;&gt;0,'Boletins Nuppa Site'!H477,"NULL")</f>
        <v>36</v>
      </c>
      <c r="G477" t="str">
        <f>IF('Boletins Nuppa Site'!I477&lt;&gt;0,'Boletins Nuppa Site'!I477,"NULL")</f>
        <v>32.75</v>
      </c>
      <c r="H477" t="str">
        <f>IF('Boletins Nuppa Site'!J477&lt;&gt;0,'Boletins Nuppa Site'!J477,"NULL")</f>
        <v>32.5</v>
      </c>
      <c r="J477" t="str">
        <f t="shared" si="7"/>
        <v>INSERT INTO COTACAO (blt_id, pap_id, cot_prc_comum, cot_prc_min, cot_prc_max, cot_prc_med, cot_prc_mediana) VALUES (13, 4, 30, 30, 36, 32.75, 32.5);</v>
      </c>
    </row>
    <row r="478" spans="1:10" x14ac:dyDescent="0.3">
      <c r="A478">
        <v>477</v>
      </c>
      <c r="B478">
        <v>13</v>
      </c>
      <c r="C478">
        <v>5</v>
      </c>
      <c r="D478" t="str">
        <f>IF('Boletins Nuppa Site'!F478&lt;&gt;0,'Boletins Nuppa Site'!F478,"NULL")</f>
        <v>NULL</v>
      </c>
      <c r="E478">
        <f>IF('Boletins Nuppa Site'!G478&lt;&gt;0,'Boletins Nuppa Site'!G478,"NULL")</f>
        <v>30</v>
      </c>
      <c r="F478">
        <f>IF('Boletins Nuppa Site'!H478&lt;&gt;0,'Boletins Nuppa Site'!H478,"NULL")</f>
        <v>36</v>
      </c>
      <c r="G478" t="str">
        <f>IF('Boletins Nuppa Site'!I478&lt;&gt;0,'Boletins Nuppa Site'!I478,"NULL")</f>
        <v>33.67</v>
      </c>
      <c r="H478">
        <f>IF('Boletins Nuppa Site'!J478&lt;&gt;0,'Boletins Nuppa Site'!J478,"NULL")</f>
        <v>35</v>
      </c>
      <c r="J478" t="str">
        <f t="shared" si="7"/>
        <v>INSERT INTO COTACAO (blt_id, pap_id, cot_prc_comum, cot_prc_min, cot_prc_max, cot_prc_med, cot_prc_mediana) VALUES (13, 5, NULL, 30, 36, 33.67, 35);</v>
      </c>
    </row>
    <row r="479" spans="1:10" x14ac:dyDescent="0.3">
      <c r="A479">
        <v>478</v>
      </c>
      <c r="B479">
        <v>13</v>
      </c>
      <c r="C479">
        <v>6</v>
      </c>
      <c r="D479">
        <f>IF('Boletins Nuppa Site'!F479&lt;&gt;0,'Boletins Nuppa Site'!F479,"NULL")</f>
        <v>60</v>
      </c>
      <c r="E479">
        <f>IF('Boletins Nuppa Site'!G479&lt;&gt;0,'Boletins Nuppa Site'!G479,"NULL")</f>
        <v>60</v>
      </c>
      <c r="F479">
        <f>IF('Boletins Nuppa Site'!H479&lt;&gt;0,'Boletins Nuppa Site'!H479,"NULL")</f>
        <v>60</v>
      </c>
      <c r="G479">
        <f>IF('Boletins Nuppa Site'!I479&lt;&gt;0,'Boletins Nuppa Site'!I479,"NULL")</f>
        <v>60</v>
      </c>
      <c r="H479">
        <f>IF('Boletins Nuppa Site'!J479&lt;&gt;0,'Boletins Nuppa Site'!J479,"NULL")</f>
        <v>60</v>
      </c>
      <c r="J479" t="str">
        <f t="shared" si="7"/>
        <v>INSERT INTO COTACAO (blt_id, pap_id, cot_prc_comum, cot_prc_min, cot_prc_max, cot_prc_med, cot_prc_mediana) VALUES (13, 6, 60, 60, 60, 60, 60);</v>
      </c>
    </row>
    <row r="480" spans="1:10" x14ac:dyDescent="0.3">
      <c r="A480">
        <v>479</v>
      </c>
      <c r="B480">
        <v>13</v>
      </c>
      <c r="C480">
        <v>7</v>
      </c>
      <c r="D480">
        <f>IF('Boletins Nuppa Site'!F480&lt;&gt;0,'Boletins Nuppa Site'!F480,"NULL")</f>
        <v>84</v>
      </c>
      <c r="E480">
        <f>IF('Boletins Nuppa Site'!G480&lt;&gt;0,'Boletins Nuppa Site'!G480,"NULL")</f>
        <v>84</v>
      </c>
      <c r="F480">
        <f>IF('Boletins Nuppa Site'!H480&lt;&gt;0,'Boletins Nuppa Site'!H480,"NULL")</f>
        <v>96</v>
      </c>
      <c r="G480">
        <f>IF('Boletins Nuppa Site'!I480&lt;&gt;0,'Boletins Nuppa Site'!I480,"NULL")</f>
        <v>88</v>
      </c>
      <c r="H480">
        <f>IF('Boletins Nuppa Site'!J480&lt;&gt;0,'Boletins Nuppa Site'!J480,"NULL")</f>
        <v>84</v>
      </c>
      <c r="J480" t="str">
        <f t="shared" si="7"/>
        <v>INSERT INTO COTACAO (blt_id, pap_id, cot_prc_comum, cot_prc_min, cot_prc_max, cot_prc_med, cot_prc_mediana) VALUES (13, 7, 84, 84, 96, 88, 84);</v>
      </c>
    </row>
    <row r="481" spans="1:10" x14ac:dyDescent="0.3">
      <c r="A481">
        <v>480</v>
      </c>
      <c r="B481">
        <v>13</v>
      </c>
      <c r="C481">
        <v>8</v>
      </c>
      <c r="D481">
        <f>IF('Boletins Nuppa Site'!F481&lt;&gt;0,'Boletins Nuppa Site'!F481,"NULL")</f>
        <v>96</v>
      </c>
      <c r="E481">
        <f>IF('Boletins Nuppa Site'!G481&lt;&gt;0,'Boletins Nuppa Site'!G481,"NULL")</f>
        <v>96</v>
      </c>
      <c r="F481">
        <f>IF('Boletins Nuppa Site'!H481&lt;&gt;0,'Boletins Nuppa Site'!H481,"NULL")</f>
        <v>96</v>
      </c>
      <c r="G481">
        <f>IF('Boletins Nuppa Site'!I481&lt;&gt;0,'Boletins Nuppa Site'!I481,"NULL")</f>
        <v>96</v>
      </c>
      <c r="H481">
        <f>IF('Boletins Nuppa Site'!J481&lt;&gt;0,'Boletins Nuppa Site'!J481,"NULL")</f>
        <v>96</v>
      </c>
      <c r="J481" t="str">
        <f t="shared" si="7"/>
        <v>INSERT INTO COTACAO (blt_id, pap_id, cot_prc_comum, cot_prc_min, cot_prc_max, cot_prc_med, cot_prc_mediana) VALUES (13, 8, 96, 96, 96, 96, 96);</v>
      </c>
    </row>
    <row r="482" spans="1:10" x14ac:dyDescent="0.3">
      <c r="A482">
        <v>481</v>
      </c>
      <c r="B482">
        <v>13</v>
      </c>
      <c r="C482">
        <v>9</v>
      </c>
      <c r="D482">
        <f>IF('Boletins Nuppa Site'!F482&lt;&gt;0,'Boletins Nuppa Site'!F482,"NULL")</f>
        <v>30</v>
      </c>
      <c r="E482">
        <f>IF('Boletins Nuppa Site'!G482&lt;&gt;0,'Boletins Nuppa Site'!G482,"NULL")</f>
        <v>30</v>
      </c>
      <c r="F482">
        <f>IF('Boletins Nuppa Site'!H482&lt;&gt;0,'Boletins Nuppa Site'!H482,"NULL")</f>
        <v>36</v>
      </c>
      <c r="G482" t="str">
        <f>IF('Boletins Nuppa Site'!I482&lt;&gt;0,'Boletins Nuppa Site'!I482,"NULL")</f>
        <v>31.5</v>
      </c>
      <c r="H482">
        <f>IF('Boletins Nuppa Site'!J482&lt;&gt;0,'Boletins Nuppa Site'!J482,"NULL")</f>
        <v>30</v>
      </c>
      <c r="J482" t="str">
        <f t="shared" si="7"/>
        <v>INSERT INTO COTACAO (blt_id, pap_id, cot_prc_comum, cot_prc_min, cot_prc_max, cot_prc_med, cot_prc_mediana) VALUES (13, 9, 30, 30, 36, 31.5, 30);</v>
      </c>
    </row>
    <row r="483" spans="1:10" x14ac:dyDescent="0.3">
      <c r="A483">
        <v>482</v>
      </c>
      <c r="B483">
        <v>13</v>
      </c>
      <c r="C483">
        <v>10</v>
      </c>
      <c r="D483" t="str">
        <f>IF('Boletins Nuppa Site'!F483&lt;&gt;0,'Boletins Nuppa Site'!F483,"NULL")</f>
        <v>NULL</v>
      </c>
      <c r="E483">
        <f>IF('Boletins Nuppa Site'!G483&lt;&gt;0,'Boletins Nuppa Site'!G483,"NULL")</f>
        <v>90</v>
      </c>
      <c r="F483">
        <f>IF('Boletins Nuppa Site'!H483&lt;&gt;0,'Boletins Nuppa Site'!H483,"NULL")</f>
        <v>108</v>
      </c>
      <c r="G483">
        <f>IF('Boletins Nuppa Site'!I483&lt;&gt;0,'Boletins Nuppa Site'!I483,"NULL")</f>
        <v>98</v>
      </c>
      <c r="H483">
        <f>IF('Boletins Nuppa Site'!J483&lt;&gt;0,'Boletins Nuppa Site'!J483,"NULL")</f>
        <v>96</v>
      </c>
      <c r="J483" t="str">
        <f t="shared" si="7"/>
        <v>INSERT INTO COTACAO (blt_id, pap_id, cot_prc_comum, cot_prc_min, cot_prc_max, cot_prc_med, cot_prc_mediana) VALUES (13, 10, NULL, 90, 108, 98, 96);</v>
      </c>
    </row>
    <row r="484" spans="1:10" x14ac:dyDescent="0.3">
      <c r="A484">
        <v>483</v>
      </c>
      <c r="B484">
        <v>13</v>
      </c>
      <c r="C484">
        <v>11</v>
      </c>
      <c r="D484" t="str">
        <f>IF('Boletins Nuppa Site'!F484&lt;&gt;0,'Boletins Nuppa Site'!F484,"NULL")</f>
        <v>NULL</v>
      </c>
      <c r="E484">
        <f>IF('Boletins Nuppa Site'!G484&lt;&gt;0,'Boletins Nuppa Site'!G484,"NULL")</f>
        <v>30</v>
      </c>
      <c r="F484">
        <f>IF('Boletins Nuppa Site'!H484&lt;&gt;0,'Boletins Nuppa Site'!H484,"NULL")</f>
        <v>36</v>
      </c>
      <c r="G484" t="str">
        <f>IF('Boletins Nuppa Site'!I484&lt;&gt;0,'Boletins Nuppa Site'!I484,"NULL")</f>
        <v>33.67</v>
      </c>
      <c r="H484">
        <f>IF('Boletins Nuppa Site'!J484&lt;&gt;0,'Boletins Nuppa Site'!J484,"NULL")</f>
        <v>35</v>
      </c>
      <c r="J484" t="str">
        <f t="shared" si="7"/>
        <v>INSERT INTO COTACAO (blt_id, pap_id, cot_prc_comum, cot_prc_min, cot_prc_max, cot_prc_med, cot_prc_mediana) VALUES (13, 11, NULL, 30, 36, 33.67, 35);</v>
      </c>
    </row>
    <row r="485" spans="1:10" x14ac:dyDescent="0.3">
      <c r="A485">
        <v>484</v>
      </c>
      <c r="B485">
        <v>13</v>
      </c>
      <c r="C485">
        <v>12</v>
      </c>
      <c r="D485">
        <f>IF('Boletins Nuppa Site'!F485&lt;&gt;0,'Boletins Nuppa Site'!F485,"NULL")</f>
        <v>84</v>
      </c>
      <c r="E485">
        <f>IF('Boletins Nuppa Site'!G485&lt;&gt;0,'Boletins Nuppa Site'!G485,"NULL")</f>
        <v>84</v>
      </c>
      <c r="F485">
        <f>IF('Boletins Nuppa Site'!H485&lt;&gt;0,'Boletins Nuppa Site'!H485,"NULL")</f>
        <v>84</v>
      </c>
      <c r="G485">
        <f>IF('Boletins Nuppa Site'!I485&lt;&gt;0,'Boletins Nuppa Site'!I485,"NULL")</f>
        <v>84</v>
      </c>
      <c r="H485">
        <f>IF('Boletins Nuppa Site'!J485&lt;&gt;0,'Boletins Nuppa Site'!J485,"NULL")</f>
        <v>84</v>
      </c>
      <c r="J485" t="str">
        <f t="shared" si="7"/>
        <v>INSERT INTO COTACAO (blt_id, pap_id, cot_prc_comum, cot_prc_min, cot_prc_max, cot_prc_med, cot_prc_mediana) VALUES (13, 12, 84, 84, 84, 84, 84);</v>
      </c>
    </row>
    <row r="486" spans="1:10" x14ac:dyDescent="0.3">
      <c r="A486">
        <v>485</v>
      </c>
      <c r="B486">
        <v>13</v>
      </c>
      <c r="C486">
        <v>13</v>
      </c>
      <c r="D486" t="str">
        <f>IF('Boletins Nuppa Site'!F486&lt;&gt;0,'Boletins Nuppa Site'!F486,"NULL")</f>
        <v>NULL</v>
      </c>
      <c r="E486">
        <f>IF('Boletins Nuppa Site'!G486&lt;&gt;0,'Boletins Nuppa Site'!G486,"NULL")</f>
        <v>60</v>
      </c>
      <c r="F486">
        <f>IF('Boletins Nuppa Site'!H486&lt;&gt;0,'Boletins Nuppa Site'!H486,"NULL")</f>
        <v>72</v>
      </c>
      <c r="G486" t="str">
        <f>IF('Boletins Nuppa Site'!I486&lt;&gt;0,'Boletins Nuppa Site'!I486,"NULL")</f>
        <v>64.67</v>
      </c>
      <c r="H486">
        <f>IF('Boletins Nuppa Site'!J486&lt;&gt;0,'Boletins Nuppa Site'!J486,"NULL")</f>
        <v>62</v>
      </c>
      <c r="J486" t="str">
        <f t="shared" si="7"/>
        <v>INSERT INTO COTACAO (blt_id, pap_id, cot_prc_comum, cot_prc_min, cot_prc_max, cot_prc_med, cot_prc_mediana) VALUES (13, 13, NULL, 60, 72, 64.67, 62);</v>
      </c>
    </row>
    <row r="487" spans="1:10" x14ac:dyDescent="0.3">
      <c r="A487">
        <v>486</v>
      </c>
      <c r="B487">
        <v>13</v>
      </c>
      <c r="C487">
        <v>14</v>
      </c>
      <c r="D487" t="str">
        <f>IF('Boletins Nuppa Site'!F487&lt;&gt;0,'Boletins Nuppa Site'!F487,"NULL")</f>
        <v>NULL</v>
      </c>
      <c r="E487">
        <f>IF('Boletins Nuppa Site'!G487&lt;&gt;0,'Boletins Nuppa Site'!G487,"NULL")</f>
        <v>60</v>
      </c>
      <c r="F487">
        <f>IF('Boletins Nuppa Site'!H487&lt;&gt;0,'Boletins Nuppa Site'!H487,"NULL")</f>
        <v>100</v>
      </c>
      <c r="G487" t="str">
        <f>IF('Boletins Nuppa Site'!I487&lt;&gt;0,'Boletins Nuppa Site'!I487,"NULL")</f>
        <v>76.67</v>
      </c>
      <c r="H487">
        <f>IF('Boletins Nuppa Site'!J487&lt;&gt;0,'Boletins Nuppa Site'!J487,"NULL")</f>
        <v>70</v>
      </c>
      <c r="J487" t="str">
        <f t="shared" si="7"/>
        <v>INSERT INTO COTACAO (blt_id, pap_id, cot_prc_comum, cot_prc_min, cot_prc_max, cot_prc_med, cot_prc_mediana) VALUES (13, 14, NULL, 60, 100, 76.67, 70);</v>
      </c>
    </row>
    <row r="488" spans="1:10" x14ac:dyDescent="0.3">
      <c r="A488">
        <v>487</v>
      </c>
      <c r="B488">
        <v>13</v>
      </c>
      <c r="C488">
        <v>15</v>
      </c>
      <c r="D488" t="str">
        <f>IF('Boletins Nuppa Site'!F488&lt;&gt;0,'Boletins Nuppa Site'!F488,"NULL")</f>
        <v>NULL</v>
      </c>
      <c r="E488">
        <f>IF('Boletins Nuppa Site'!G488&lt;&gt;0,'Boletins Nuppa Site'!G488,"NULL")</f>
        <v>48</v>
      </c>
      <c r="F488">
        <f>IF('Boletins Nuppa Site'!H488&lt;&gt;0,'Boletins Nuppa Site'!H488,"NULL")</f>
        <v>60</v>
      </c>
      <c r="G488" t="str">
        <f>IF('Boletins Nuppa Site'!I488&lt;&gt;0,'Boletins Nuppa Site'!I488,"NULL")</f>
        <v>54.33</v>
      </c>
      <c r="H488">
        <f>IF('Boletins Nuppa Site'!J488&lt;&gt;0,'Boletins Nuppa Site'!J488,"NULL")</f>
        <v>55</v>
      </c>
      <c r="J488" t="str">
        <f t="shared" si="7"/>
        <v>INSERT INTO COTACAO (blt_id, pap_id, cot_prc_comum, cot_prc_min, cot_prc_max, cot_prc_med, cot_prc_mediana) VALUES (13, 15, NULL, 48, 60, 54.33, 55);</v>
      </c>
    </row>
    <row r="489" spans="1:10" x14ac:dyDescent="0.3">
      <c r="A489">
        <v>488</v>
      </c>
      <c r="B489">
        <v>13</v>
      </c>
      <c r="C489">
        <v>16</v>
      </c>
      <c r="D489" t="str">
        <f>IF('Boletins Nuppa Site'!F489&lt;&gt;0,'Boletins Nuppa Site'!F489,"NULL")</f>
        <v>NULL</v>
      </c>
      <c r="E489">
        <f>IF('Boletins Nuppa Site'!G489&lt;&gt;0,'Boletins Nuppa Site'!G489,"NULL")</f>
        <v>42</v>
      </c>
      <c r="F489">
        <f>IF('Boletins Nuppa Site'!H489&lt;&gt;0,'Boletins Nuppa Site'!H489,"NULL")</f>
        <v>54</v>
      </c>
      <c r="G489">
        <f>IF('Boletins Nuppa Site'!I489&lt;&gt;0,'Boletins Nuppa Site'!I489,"NULL")</f>
        <v>48</v>
      </c>
      <c r="H489">
        <f>IF('Boletins Nuppa Site'!J489&lt;&gt;0,'Boletins Nuppa Site'!J489,"NULL")</f>
        <v>48</v>
      </c>
      <c r="J489" t="str">
        <f t="shared" si="7"/>
        <v>INSERT INTO COTACAO (blt_id, pap_id, cot_prc_comum, cot_prc_min, cot_prc_max, cot_prc_med, cot_prc_mediana) VALUES (13, 16, NULL, 42, 54, 48, 48);</v>
      </c>
    </row>
    <row r="490" spans="1:10" x14ac:dyDescent="0.3">
      <c r="A490">
        <v>489</v>
      </c>
      <c r="B490">
        <v>13</v>
      </c>
      <c r="C490">
        <v>17</v>
      </c>
      <c r="D490">
        <f>IF('Boletins Nuppa Site'!F490&lt;&gt;0,'Boletins Nuppa Site'!F490,"NULL")</f>
        <v>6</v>
      </c>
      <c r="E490" t="str">
        <f>IF('Boletins Nuppa Site'!G490&lt;&gt;0,'Boletins Nuppa Site'!G490,"NULL")</f>
        <v>4.5</v>
      </c>
      <c r="F490">
        <f>IF('Boletins Nuppa Site'!H490&lt;&gt;0,'Boletins Nuppa Site'!H490,"NULL")</f>
        <v>6</v>
      </c>
      <c r="G490" t="str">
        <f>IF('Boletins Nuppa Site'!I490&lt;&gt;0,'Boletins Nuppa Site'!I490,"NULL")</f>
        <v>5.38</v>
      </c>
      <c r="H490" t="str">
        <f>IF('Boletins Nuppa Site'!J490&lt;&gt;0,'Boletins Nuppa Site'!J490,"NULL")</f>
        <v>5.5</v>
      </c>
      <c r="J490" t="str">
        <f t="shared" si="7"/>
        <v>INSERT INTO COTACAO (blt_id, pap_id, cot_prc_comum, cot_prc_min, cot_prc_max, cot_prc_med, cot_prc_mediana) VALUES (13, 17, 6, 4.5, 6, 5.38, 5.5);</v>
      </c>
    </row>
    <row r="491" spans="1:10" x14ac:dyDescent="0.3">
      <c r="A491">
        <v>490</v>
      </c>
      <c r="B491">
        <v>13</v>
      </c>
      <c r="C491">
        <v>18</v>
      </c>
      <c r="D491">
        <f>IF('Boletins Nuppa Site'!F491&lt;&gt;0,'Boletins Nuppa Site'!F491,"NULL")</f>
        <v>30</v>
      </c>
      <c r="E491">
        <f>IF('Boletins Nuppa Site'!G491&lt;&gt;0,'Boletins Nuppa Site'!G491,"NULL")</f>
        <v>20</v>
      </c>
      <c r="F491">
        <f>IF('Boletins Nuppa Site'!H491&lt;&gt;0,'Boletins Nuppa Site'!H491,"NULL")</f>
        <v>30</v>
      </c>
      <c r="G491">
        <f>IF('Boletins Nuppa Site'!I491&lt;&gt;0,'Boletins Nuppa Site'!I491,"NULL")</f>
        <v>27</v>
      </c>
      <c r="H491">
        <f>IF('Boletins Nuppa Site'!J491&lt;&gt;0,'Boletins Nuppa Site'!J491,"NULL")</f>
        <v>29</v>
      </c>
      <c r="J491" t="str">
        <f t="shared" si="7"/>
        <v>INSERT INTO COTACAO (blt_id, pap_id, cot_prc_comum, cot_prc_min, cot_prc_max, cot_prc_med, cot_prc_mediana) VALUES (13, 18, 30, 20, 30, 27, 29);</v>
      </c>
    </row>
    <row r="492" spans="1:10" x14ac:dyDescent="0.3">
      <c r="A492">
        <v>491</v>
      </c>
      <c r="B492">
        <v>13</v>
      </c>
      <c r="C492">
        <v>19</v>
      </c>
      <c r="D492">
        <f>IF('Boletins Nuppa Site'!F492&lt;&gt;0,'Boletins Nuppa Site'!F492,"NULL")</f>
        <v>30</v>
      </c>
      <c r="E492">
        <f>IF('Boletins Nuppa Site'!G492&lt;&gt;0,'Boletins Nuppa Site'!G492,"NULL")</f>
        <v>30</v>
      </c>
      <c r="F492">
        <f>IF('Boletins Nuppa Site'!H492&lt;&gt;0,'Boletins Nuppa Site'!H492,"NULL")</f>
        <v>40</v>
      </c>
      <c r="G492" t="str">
        <f>IF('Boletins Nuppa Site'!I492&lt;&gt;0,'Boletins Nuppa Site'!I492,"NULL")</f>
        <v>33.75</v>
      </c>
      <c r="H492" t="str">
        <f>IF('Boletins Nuppa Site'!J492&lt;&gt;0,'Boletins Nuppa Site'!J492,"NULL")</f>
        <v>32.5</v>
      </c>
      <c r="J492" t="str">
        <f t="shared" si="7"/>
        <v>INSERT INTO COTACAO (blt_id, pap_id, cot_prc_comum, cot_prc_min, cot_prc_max, cot_prc_med, cot_prc_mediana) VALUES (13, 19, 30, 30, 40, 33.75, 32.5);</v>
      </c>
    </row>
    <row r="493" spans="1:10" x14ac:dyDescent="0.3">
      <c r="A493">
        <v>492</v>
      </c>
      <c r="B493">
        <v>13</v>
      </c>
      <c r="C493">
        <v>20</v>
      </c>
      <c r="D493">
        <f>IF('Boletins Nuppa Site'!F493&lt;&gt;0,'Boletins Nuppa Site'!F493,"NULL")</f>
        <v>110</v>
      </c>
      <c r="E493">
        <f>IF('Boletins Nuppa Site'!G493&lt;&gt;0,'Boletins Nuppa Site'!G493,"NULL")</f>
        <v>110</v>
      </c>
      <c r="F493">
        <f>IF('Boletins Nuppa Site'!H493&lt;&gt;0,'Boletins Nuppa Site'!H493,"NULL")</f>
        <v>120</v>
      </c>
      <c r="G493" t="str">
        <f>IF('Boletins Nuppa Site'!I493&lt;&gt;0,'Boletins Nuppa Site'!I493,"NULL")</f>
        <v>113.33</v>
      </c>
      <c r="H493">
        <f>IF('Boletins Nuppa Site'!J493&lt;&gt;0,'Boletins Nuppa Site'!J493,"NULL")</f>
        <v>110</v>
      </c>
      <c r="J493" t="str">
        <f t="shared" si="7"/>
        <v>INSERT INTO COTACAO (blt_id, pap_id, cot_prc_comum, cot_prc_min, cot_prc_max, cot_prc_med, cot_prc_mediana) VALUES (13, 20, 110, 110, 120, 113.33, 110);</v>
      </c>
    </row>
    <row r="494" spans="1:10" x14ac:dyDescent="0.3">
      <c r="A494">
        <v>493</v>
      </c>
      <c r="B494">
        <v>13</v>
      </c>
      <c r="C494">
        <v>21</v>
      </c>
      <c r="D494" t="str">
        <f>IF('Boletins Nuppa Site'!F494&lt;&gt;0,'Boletins Nuppa Site'!F494,"NULL")</f>
        <v>NULL</v>
      </c>
      <c r="E494">
        <f>IF('Boletins Nuppa Site'!G494&lt;&gt;0,'Boletins Nuppa Site'!G494,"NULL")</f>
        <v>60</v>
      </c>
      <c r="F494">
        <f>IF('Boletins Nuppa Site'!H494&lt;&gt;0,'Boletins Nuppa Site'!H494,"NULL")</f>
        <v>80</v>
      </c>
      <c r="G494" t="str">
        <f>IF('Boletins Nuppa Site'!I494&lt;&gt;0,'Boletins Nuppa Site'!I494,"NULL")</f>
        <v>68.75</v>
      </c>
      <c r="H494" t="str">
        <f>IF('Boletins Nuppa Site'!J494&lt;&gt;0,'Boletins Nuppa Site'!J494,"NULL")</f>
        <v>67.5</v>
      </c>
      <c r="J494" t="str">
        <f t="shared" si="7"/>
        <v>INSERT INTO COTACAO (blt_id, pap_id, cot_prc_comum, cot_prc_min, cot_prc_max, cot_prc_med, cot_prc_mediana) VALUES (13, 21, NULL, 60, 80, 68.75, 67.5);</v>
      </c>
    </row>
    <row r="495" spans="1:10" x14ac:dyDescent="0.3">
      <c r="A495">
        <v>494</v>
      </c>
      <c r="B495">
        <v>13</v>
      </c>
      <c r="C495">
        <v>22</v>
      </c>
      <c r="D495">
        <f>IF('Boletins Nuppa Site'!F495&lt;&gt;0,'Boletins Nuppa Site'!F495,"NULL")</f>
        <v>75</v>
      </c>
      <c r="E495">
        <f>IF('Boletins Nuppa Site'!G495&lt;&gt;0,'Boletins Nuppa Site'!G495,"NULL")</f>
        <v>50</v>
      </c>
      <c r="F495">
        <f>IF('Boletins Nuppa Site'!H495&lt;&gt;0,'Boletins Nuppa Site'!H495,"NULL")</f>
        <v>75</v>
      </c>
      <c r="G495">
        <f>IF('Boletins Nuppa Site'!I495&lt;&gt;0,'Boletins Nuppa Site'!I495,"NULL")</f>
        <v>69</v>
      </c>
      <c r="H495">
        <f>IF('Boletins Nuppa Site'!J495&lt;&gt;0,'Boletins Nuppa Site'!J495,"NULL")</f>
        <v>75</v>
      </c>
      <c r="J495" t="str">
        <f t="shared" si="7"/>
        <v>INSERT INTO COTACAO (blt_id, pap_id, cot_prc_comum, cot_prc_min, cot_prc_max, cot_prc_med, cot_prc_mediana) VALUES (13, 22, 75, 50, 75, 69, 75);</v>
      </c>
    </row>
    <row r="496" spans="1:10" x14ac:dyDescent="0.3">
      <c r="A496">
        <v>495</v>
      </c>
      <c r="B496">
        <v>13</v>
      </c>
      <c r="C496">
        <v>23</v>
      </c>
      <c r="D496">
        <f>IF('Boletins Nuppa Site'!F496&lt;&gt;0,'Boletins Nuppa Site'!F496,"NULL")</f>
        <v>45</v>
      </c>
      <c r="E496">
        <f>IF('Boletins Nuppa Site'!G496&lt;&gt;0,'Boletins Nuppa Site'!G496,"NULL")</f>
        <v>30</v>
      </c>
      <c r="F496">
        <f>IF('Boletins Nuppa Site'!H496&lt;&gt;0,'Boletins Nuppa Site'!H496,"NULL")</f>
        <v>50</v>
      </c>
      <c r="G496">
        <f>IF('Boletins Nuppa Site'!I496&lt;&gt;0,'Boletins Nuppa Site'!I496,"NULL")</f>
        <v>44</v>
      </c>
      <c r="H496">
        <f>IF('Boletins Nuppa Site'!J496&lt;&gt;0,'Boletins Nuppa Site'!J496,"NULL")</f>
        <v>45</v>
      </c>
      <c r="J496" t="str">
        <f t="shared" si="7"/>
        <v>INSERT INTO COTACAO (blt_id, pap_id, cot_prc_comum, cot_prc_min, cot_prc_max, cot_prc_med, cot_prc_mediana) VALUES (13, 23, 45, 30, 50, 44, 45);</v>
      </c>
    </row>
    <row r="497" spans="1:10" x14ac:dyDescent="0.3">
      <c r="A497">
        <v>496</v>
      </c>
      <c r="B497">
        <v>13</v>
      </c>
      <c r="C497">
        <v>24</v>
      </c>
      <c r="D497" t="str">
        <f>IF('Boletins Nuppa Site'!F497&lt;&gt;0,'Boletins Nuppa Site'!F497,"NULL")</f>
        <v>NULL</v>
      </c>
      <c r="E497">
        <f>IF('Boletins Nuppa Site'!G497&lt;&gt;0,'Boletins Nuppa Site'!G497,"NULL")</f>
        <v>110</v>
      </c>
      <c r="F497">
        <f>IF('Boletins Nuppa Site'!H497&lt;&gt;0,'Boletins Nuppa Site'!H497,"NULL")</f>
        <v>110</v>
      </c>
      <c r="G497">
        <f>IF('Boletins Nuppa Site'!I497&lt;&gt;0,'Boletins Nuppa Site'!I497,"NULL")</f>
        <v>110</v>
      </c>
      <c r="H497">
        <f>IF('Boletins Nuppa Site'!J497&lt;&gt;0,'Boletins Nuppa Site'!J497,"NULL")</f>
        <v>110</v>
      </c>
      <c r="J497" t="str">
        <f t="shared" si="7"/>
        <v>INSERT INTO COTACAO (blt_id, pap_id, cot_prc_comum, cot_prc_min, cot_prc_max, cot_prc_med, cot_prc_mediana) VALUES (13, 24, NULL, 110, 110, 110, 110);</v>
      </c>
    </row>
    <row r="498" spans="1:10" x14ac:dyDescent="0.3">
      <c r="A498">
        <v>497</v>
      </c>
      <c r="B498">
        <v>13</v>
      </c>
      <c r="C498">
        <v>25</v>
      </c>
      <c r="D498">
        <f>IF('Boletins Nuppa Site'!F498&lt;&gt;0,'Boletins Nuppa Site'!F498,"NULL")</f>
        <v>130</v>
      </c>
      <c r="E498">
        <f>IF('Boletins Nuppa Site'!G498&lt;&gt;0,'Boletins Nuppa Site'!G498,"NULL")</f>
        <v>80</v>
      </c>
      <c r="F498">
        <f>IF('Boletins Nuppa Site'!H498&lt;&gt;0,'Boletins Nuppa Site'!H498,"NULL")</f>
        <v>150</v>
      </c>
      <c r="G498" t="str">
        <f>IF('Boletins Nuppa Site'!I498&lt;&gt;0,'Boletins Nuppa Site'!I498,"NULL")</f>
        <v>122.5</v>
      </c>
      <c r="H498">
        <f>IF('Boletins Nuppa Site'!J498&lt;&gt;0,'Boletins Nuppa Site'!J498,"NULL")</f>
        <v>130</v>
      </c>
      <c r="J498" t="str">
        <f t="shared" si="7"/>
        <v>INSERT INTO COTACAO (blt_id, pap_id, cot_prc_comum, cot_prc_min, cot_prc_max, cot_prc_med, cot_prc_mediana) VALUES (13, 25, 130, 80, 150, 122.5, 130);</v>
      </c>
    </row>
    <row r="499" spans="1:10" x14ac:dyDescent="0.3">
      <c r="A499">
        <v>498</v>
      </c>
      <c r="B499">
        <v>13</v>
      </c>
      <c r="C499">
        <v>26</v>
      </c>
      <c r="D499">
        <f>IF('Boletins Nuppa Site'!F499&lt;&gt;0,'Boletins Nuppa Site'!F499,"NULL")</f>
        <v>140</v>
      </c>
      <c r="E499">
        <f>IF('Boletins Nuppa Site'!G499&lt;&gt;0,'Boletins Nuppa Site'!G499,"NULL")</f>
        <v>80</v>
      </c>
      <c r="F499">
        <f>IF('Boletins Nuppa Site'!H499&lt;&gt;0,'Boletins Nuppa Site'!H499,"NULL")</f>
        <v>170</v>
      </c>
      <c r="G499">
        <f>IF('Boletins Nuppa Site'!I499&lt;&gt;0,'Boletins Nuppa Site'!I499,"NULL")</f>
        <v>138</v>
      </c>
      <c r="H499">
        <f>IF('Boletins Nuppa Site'!J499&lt;&gt;0,'Boletins Nuppa Site'!J499,"NULL")</f>
        <v>140</v>
      </c>
      <c r="J499" t="str">
        <f t="shared" si="7"/>
        <v>INSERT INTO COTACAO (blt_id, pap_id, cot_prc_comum, cot_prc_min, cot_prc_max, cot_prc_med, cot_prc_mediana) VALUES (13, 26, 140, 80, 170, 138, 140);</v>
      </c>
    </row>
    <row r="500" spans="1:10" x14ac:dyDescent="0.3">
      <c r="A500">
        <v>499</v>
      </c>
      <c r="B500">
        <v>13</v>
      </c>
      <c r="C500">
        <v>27</v>
      </c>
      <c r="D500">
        <f>IF('Boletins Nuppa Site'!F500&lt;&gt;0,'Boletins Nuppa Site'!F500,"NULL")</f>
        <v>60</v>
      </c>
      <c r="E500">
        <f>IF('Boletins Nuppa Site'!G500&lt;&gt;0,'Boletins Nuppa Site'!G500,"NULL")</f>
        <v>50</v>
      </c>
      <c r="F500">
        <f>IF('Boletins Nuppa Site'!H500&lt;&gt;0,'Boletins Nuppa Site'!H500,"NULL")</f>
        <v>70</v>
      </c>
      <c r="G500">
        <f>IF('Boletins Nuppa Site'!I500&lt;&gt;0,'Boletins Nuppa Site'!I500,"NULL")</f>
        <v>59</v>
      </c>
      <c r="H500">
        <f>IF('Boletins Nuppa Site'!J500&lt;&gt;0,'Boletins Nuppa Site'!J500,"NULL")</f>
        <v>60</v>
      </c>
      <c r="J500" t="str">
        <f t="shared" si="7"/>
        <v>INSERT INTO COTACAO (blt_id, pap_id, cot_prc_comum, cot_prc_min, cot_prc_max, cot_prc_med, cot_prc_mediana) VALUES (13, 27, 60, 50, 70, 59, 60);</v>
      </c>
    </row>
    <row r="501" spans="1:10" x14ac:dyDescent="0.3">
      <c r="A501">
        <v>500</v>
      </c>
      <c r="B501">
        <v>13</v>
      </c>
      <c r="C501">
        <v>28</v>
      </c>
      <c r="D501" t="str">
        <f>IF('Boletins Nuppa Site'!F501&lt;&gt;0,'Boletins Nuppa Site'!F501,"NULL")</f>
        <v>NULL</v>
      </c>
      <c r="E501">
        <f>IF('Boletins Nuppa Site'!G501&lt;&gt;0,'Boletins Nuppa Site'!G501,"NULL")</f>
        <v>80</v>
      </c>
      <c r="F501">
        <f>IF('Boletins Nuppa Site'!H501&lt;&gt;0,'Boletins Nuppa Site'!H501,"NULL")</f>
        <v>120</v>
      </c>
      <c r="G501" t="str">
        <f>IF('Boletins Nuppa Site'!I501&lt;&gt;0,'Boletins Nuppa Site'!I501,"NULL")</f>
        <v>96.67</v>
      </c>
      <c r="H501">
        <f>IF('Boletins Nuppa Site'!J501&lt;&gt;0,'Boletins Nuppa Site'!J501,"NULL")</f>
        <v>90</v>
      </c>
      <c r="J501" t="str">
        <f t="shared" si="7"/>
        <v>INSERT INTO COTACAO (blt_id, pap_id, cot_prc_comum, cot_prc_min, cot_prc_max, cot_prc_med, cot_prc_mediana) VALUES (13, 28, NULL, 80, 120, 96.67, 90);</v>
      </c>
    </row>
    <row r="502" spans="1:10" x14ac:dyDescent="0.3">
      <c r="A502">
        <v>501</v>
      </c>
      <c r="B502">
        <v>13</v>
      </c>
      <c r="C502">
        <v>29</v>
      </c>
      <c r="D502" t="str">
        <f>IF('Boletins Nuppa Site'!F502&lt;&gt;0,'Boletins Nuppa Site'!F502,"NULL")</f>
        <v>NULL</v>
      </c>
      <c r="E502" t="str">
        <f>IF('Boletins Nuppa Site'!G502&lt;&gt;0,'Boletins Nuppa Site'!G502,"NULL")</f>
        <v>NULL</v>
      </c>
      <c r="F502" t="str">
        <f>IF('Boletins Nuppa Site'!H502&lt;&gt;0,'Boletins Nuppa Site'!H502,"NULL")</f>
        <v>NULL</v>
      </c>
      <c r="G502" t="str">
        <f>IF('Boletins Nuppa Site'!I502&lt;&gt;0,'Boletins Nuppa Site'!I502,"NULL")</f>
        <v>NULL</v>
      </c>
      <c r="H502" t="str">
        <f>IF('Boletins Nuppa Site'!J502&lt;&gt;0,'Boletins Nuppa Site'!J502,"NULL")</f>
        <v>NULL</v>
      </c>
      <c r="J502" t="str">
        <f t="shared" si="7"/>
        <v>INSERT INTO COTACAO (blt_id, pap_id, cot_prc_comum, cot_prc_min, cot_prc_max, cot_prc_med, cot_prc_mediana) VALUES (13, 29, NULL, NULL, NULL, NULL, NULL);</v>
      </c>
    </row>
    <row r="503" spans="1:10" x14ac:dyDescent="0.3">
      <c r="A503">
        <v>502</v>
      </c>
      <c r="B503">
        <v>13</v>
      </c>
      <c r="C503">
        <v>30</v>
      </c>
      <c r="D503">
        <f>IF('Boletins Nuppa Site'!F503&lt;&gt;0,'Boletins Nuppa Site'!F503,"NULL")</f>
        <v>70</v>
      </c>
      <c r="E503">
        <f>IF('Boletins Nuppa Site'!G503&lt;&gt;0,'Boletins Nuppa Site'!G503,"NULL")</f>
        <v>60</v>
      </c>
      <c r="F503">
        <f>IF('Boletins Nuppa Site'!H503&lt;&gt;0,'Boletins Nuppa Site'!H503,"NULL")</f>
        <v>80</v>
      </c>
      <c r="G503">
        <f>IF('Boletins Nuppa Site'!I503&lt;&gt;0,'Boletins Nuppa Site'!I503,"NULL")</f>
        <v>70</v>
      </c>
      <c r="H503">
        <f>IF('Boletins Nuppa Site'!J503&lt;&gt;0,'Boletins Nuppa Site'!J503,"NULL")</f>
        <v>70</v>
      </c>
      <c r="J503" t="str">
        <f t="shared" si="7"/>
        <v>INSERT INTO COTACAO (blt_id, pap_id, cot_prc_comum, cot_prc_min, cot_prc_max, cot_prc_med, cot_prc_mediana) VALUES (13, 30, 70, 60, 80, 70, 70);</v>
      </c>
    </row>
    <row r="504" spans="1:10" x14ac:dyDescent="0.3">
      <c r="A504">
        <v>503</v>
      </c>
      <c r="B504">
        <v>13</v>
      </c>
      <c r="C504">
        <v>31</v>
      </c>
      <c r="D504">
        <f>IF('Boletins Nuppa Site'!F504&lt;&gt;0,'Boletins Nuppa Site'!F504,"NULL")</f>
        <v>90</v>
      </c>
      <c r="E504">
        <f>IF('Boletins Nuppa Site'!G504&lt;&gt;0,'Boletins Nuppa Site'!G504,"NULL")</f>
        <v>80</v>
      </c>
      <c r="F504">
        <f>IF('Boletins Nuppa Site'!H504&lt;&gt;0,'Boletins Nuppa Site'!H504,"NULL")</f>
        <v>100</v>
      </c>
      <c r="G504">
        <f>IF('Boletins Nuppa Site'!I504&lt;&gt;0,'Boletins Nuppa Site'!I504,"NULL")</f>
        <v>89</v>
      </c>
      <c r="H504">
        <f>IF('Boletins Nuppa Site'!J504&lt;&gt;0,'Boletins Nuppa Site'!J504,"NULL")</f>
        <v>90</v>
      </c>
      <c r="J504" t="str">
        <f t="shared" si="7"/>
        <v>INSERT INTO COTACAO (blt_id, pap_id, cot_prc_comum, cot_prc_min, cot_prc_max, cot_prc_med, cot_prc_mediana) VALUES (13, 31, 90, 80, 100, 89, 90);</v>
      </c>
    </row>
    <row r="505" spans="1:10" x14ac:dyDescent="0.3">
      <c r="A505">
        <v>504</v>
      </c>
      <c r="B505">
        <v>13</v>
      </c>
      <c r="C505">
        <v>32</v>
      </c>
      <c r="D505">
        <f>IF('Boletins Nuppa Site'!F505&lt;&gt;0,'Boletins Nuppa Site'!F505,"NULL")</f>
        <v>70</v>
      </c>
      <c r="E505">
        <f>IF('Boletins Nuppa Site'!G505&lt;&gt;0,'Boletins Nuppa Site'!G505,"NULL")</f>
        <v>45</v>
      </c>
      <c r="F505">
        <f>IF('Boletins Nuppa Site'!H505&lt;&gt;0,'Boletins Nuppa Site'!H505,"NULL")</f>
        <v>100</v>
      </c>
      <c r="G505" t="str">
        <f>IF('Boletins Nuppa Site'!I505&lt;&gt;0,'Boletins Nuppa Site'!I505,"NULL")</f>
        <v>68.6</v>
      </c>
      <c r="H505">
        <f>IF('Boletins Nuppa Site'!J505&lt;&gt;0,'Boletins Nuppa Site'!J505,"NULL")</f>
        <v>70</v>
      </c>
      <c r="J505" t="str">
        <f t="shared" si="7"/>
        <v>INSERT INTO COTACAO (blt_id, pap_id, cot_prc_comum, cot_prc_min, cot_prc_max, cot_prc_med, cot_prc_mediana) VALUES (13, 32, 70, 45, 100, 68.6, 70);</v>
      </c>
    </row>
    <row r="506" spans="1:10" x14ac:dyDescent="0.3">
      <c r="A506">
        <v>505</v>
      </c>
      <c r="B506">
        <v>13</v>
      </c>
      <c r="C506">
        <v>33</v>
      </c>
      <c r="D506">
        <f>IF('Boletins Nuppa Site'!F506&lt;&gt;0,'Boletins Nuppa Site'!F506,"NULL")</f>
        <v>120</v>
      </c>
      <c r="E506">
        <f>IF('Boletins Nuppa Site'!G506&lt;&gt;0,'Boletins Nuppa Site'!G506,"NULL")</f>
        <v>100</v>
      </c>
      <c r="F506">
        <f>IF('Boletins Nuppa Site'!H506&lt;&gt;0,'Boletins Nuppa Site'!H506,"NULL")</f>
        <v>120</v>
      </c>
      <c r="G506">
        <f>IF('Boletins Nuppa Site'!I506&lt;&gt;0,'Boletins Nuppa Site'!I506,"NULL")</f>
        <v>112</v>
      </c>
      <c r="H506">
        <f>IF('Boletins Nuppa Site'!J506&lt;&gt;0,'Boletins Nuppa Site'!J506,"NULL")</f>
        <v>120</v>
      </c>
      <c r="J506" t="str">
        <f t="shared" si="7"/>
        <v>INSERT INTO COTACAO (blt_id, pap_id, cot_prc_comum, cot_prc_min, cot_prc_max, cot_prc_med, cot_prc_mediana) VALUES (13, 33, 120, 100, 120, 112, 120);</v>
      </c>
    </row>
    <row r="507" spans="1:10" x14ac:dyDescent="0.3">
      <c r="A507">
        <v>506</v>
      </c>
      <c r="B507">
        <v>13</v>
      </c>
      <c r="C507">
        <v>34</v>
      </c>
      <c r="D507" t="str">
        <f>IF('Boletins Nuppa Site'!F507&lt;&gt;0,'Boletins Nuppa Site'!F507,"NULL")</f>
        <v>NULL</v>
      </c>
      <c r="E507">
        <f>IF('Boletins Nuppa Site'!G507&lt;&gt;0,'Boletins Nuppa Site'!G507,"NULL")</f>
        <v>65</v>
      </c>
      <c r="F507">
        <f>IF('Boletins Nuppa Site'!H507&lt;&gt;0,'Boletins Nuppa Site'!H507,"NULL")</f>
        <v>130</v>
      </c>
      <c r="G507" t="str">
        <f>IF('Boletins Nuppa Site'!I507&lt;&gt;0,'Boletins Nuppa Site'!I507,"NULL")</f>
        <v>91.25</v>
      </c>
      <c r="H507">
        <f>IF('Boletins Nuppa Site'!J507&lt;&gt;0,'Boletins Nuppa Site'!J507,"NULL")</f>
        <v>85</v>
      </c>
      <c r="J507" t="str">
        <f t="shared" si="7"/>
        <v>INSERT INTO COTACAO (blt_id, pap_id, cot_prc_comum, cot_prc_min, cot_prc_max, cot_prc_med, cot_prc_mediana) VALUES (13, 34, NULL, 65, 130, 91.25, 85);</v>
      </c>
    </row>
    <row r="508" spans="1:10" x14ac:dyDescent="0.3">
      <c r="A508">
        <v>507</v>
      </c>
      <c r="B508">
        <v>13</v>
      </c>
      <c r="C508">
        <v>35</v>
      </c>
      <c r="D508">
        <f>IF('Boletins Nuppa Site'!F508&lt;&gt;0,'Boletins Nuppa Site'!F508,"NULL")</f>
        <v>130</v>
      </c>
      <c r="E508">
        <f>IF('Boletins Nuppa Site'!G508&lt;&gt;0,'Boletins Nuppa Site'!G508,"NULL")</f>
        <v>130</v>
      </c>
      <c r="F508">
        <f>IF('Boletins Nuppa Site'!H508&lt;&gt;0,'Boletins Nuppa Site'!H508,"NULL")</f>
        <v>150</v>
      </c>
      <c r="G508" t="str">
        <f>IF('Boletins Nuppa Site'!I508&lt;&gt;0,'Boletins Nuppa Site'!I508,"NULL")</f>
        <v>136.67</v>
      </c>
      <c r="H508">
        <f>IF('Boletins Nuppa Site'!J508&lt;&gt;0,'Boletins Nuppa Site'!J508,"NULL")</f>
        <v>130</v>
      </c>
      <c r="J508" t="str">
        <f t="shared" si="7"/>
        <v>INSERT INTO COTACAO (blt_id, pap_id, cot_prc_comum, cot_prc_min, cot_prc_max, cot_prc_med, cot_prc_mediana) VALUES (13, 35, 130, 130, 150, 136.67, 130);</v>
      </c>
    </row>
    <row r="509" spans="1:10" x14ac:dyDescent="0.3">
      <c r="A509">
        <v>508</v>
      </c>
      <c r="B509">
        <v>13</v>
      </c>
      <c r="C509">
        <v>36</v>
      </c>
      <c r="D509" t="str">
        <f>IF('Boletins Nuppa Site'!F509&lt;&gt;0,'Boletins Nuppa Site'!F509,"NULL")</f>
        <v>NULL</v>
      </c>
      <c r="E509">
        <f>IF('Boletins Nuppa Site'!G509&lt;&gt;0,'Boletins Nuppa Site'!G509,"NULL")</f>
        <v>65</v>
      </c>
      <c r="F509">
        <f>IF('Boletins Nuppa Site'!H509&lt;&gt;0,'Boletins Nuppa Site'!H509,"NULL")</f>
        <v>65</v>
      </c>
      <c r="G509">
        <f>IF('Boletins Nuppa Site'!I509&lt;&gt;0,'Boletins Nuppa Site'!I509,"NULL")</f>
        <v>65</v>
      </c>
      <c r="H509">
        <f>IF('Boletins Nuppa Site'!J509&lt;&gt;0,'Boletins Nuppa Site'!J509,"NULL")</f>
        <v>65</v>
      </c>
      <c r="J509" t="str">
        <f t="shared" si="7"/>
        <v>INSERT INTO COTACAO (blt_id, pap_id, cot_prc_comum, cot_prc_min, cot_prc_max, cot_prc_med, cot_prc_mediana) VALUES (13, 36, NULL, 65, 65, 65, 65);</v>
      </c>
    </row>
    <row r="510" spans="1:10" x14ac:dyDescent="0.3">
      <c r="A510">
        <v>509</v>
      </c>
      <c r="B510">
        <v>13</v>
      </c>
      <c r="C510">
        <v>37</v>
      </c>
      <c r="D510" t="str">
        <f>IF('Boletins Nuppa Site'!F510&lt;&gt;0,'Boletins Nuppa Site'!F510,"NULL")</f>
        <v>NULL</v>
      </c>
      <c r="E510">
        <f>IF('Boletins Nuppa Site'!G510&lt;&gt;0,'Boletins Nuppa Site'!G510,"NULL")</f>
        <v>75</v>
      </c>
      <c r="F510">
        <f>IF('Boletins Nuppa Site'!H510&lt;&gt;0,'Boletins Nuppa Site'!H510,"NULL")</f>
        <v>124</v>
      </c>
      <c r="G510" t="str">
        <f>IF('Boletins Nuppa Site'!I510&lt;&gt;0,'Boletins Nuppa Site'!I510,"NULL")</f>
        <v>99.5</v>
      </c>
      <c r="H510" t="str">
        <f>IF('Boletins Nuppa Site'!J510&lt;&gt;0,'Boletins Nuppa Site'!J510,"NULL")</f>
        <v>99.5</v>
      </c>
      <c r="J510" t="str">
        <f t="shared" si="7"/>
        <v>INSERT INTO COTACAO (blt_id, pap_id, cot_prc_comum, cot_prc_min, cot_prc_max, cot_prc_med, cot_prc_mediana) VALUES (13, 37, NULL, 75, 124, 99.5, 99.5);</v>
      </c>
    </row>
    <row r="511" spans="1:10" x14ac:dyDescent="0.3">
      <c r="A511">
        <v>510</v>
      </c>
      <c r="B511">
        <v>13</v>
      </c>
      <c r="C511">
        <v>38</v>
      </c>
      <c r="D511" t="str">
        <f>IF('Boletins Nuppa Site'!F511&lt;&gt;0,'Boletins Nuppa Site'!F511,"NULL")</f>
        <v>NULL</v>
      </c>
      <c r="E511">
        <f>IF('Boletins Nuppa Site'!G511&lt;&gt;0,'Boletins Nuppa Site'!G511,"NULL")</f>
        <v>45</v>
      </c>
      <c r="F511">
        <f>IF('Boletins Nuppa Site'!H511&lt;&gt;0,'Boletins Nuppa Site'!H511,"NULL")</f>
        <v>70</v>
      </c>
      <c r="G511" t="str">
        <f>IF('Boletins Nuppa Site'!I511&lt;&gt;0,'Boletins Nuppa Site'!I511,"NULL")</f>
        <v>57.5</v>
      </c>
      <c r="H511" t="str">
        <f>IF('Boletins Nuppa Site'!J511&lt;&gt;0,'Boletins Nuppa Site'!J511,"NULL")</f>
        <v>57.5</v>
      </c>
      <c r="J511" t="str">
        <f t="shared" si="7"/>
        <v>INSERT INTO COTACAO (blt_id, pap_id, cot_prc_comum, cot_prc_min, cot_prc_max, cot_prc_med, cot_prc_mediana) VALUES (13, 38, NULL, 45, 70, 57.5, 57.5);</v>
      </c>
    </row>
    <row r="512" spans="1:10" x14ac:dyDescent="0.3">
      <c r="A512">
        <v>511</v>
      </c>
      <c r="B512">
        <v>13</v>
      </c>
      <c r="C512">
        <v>39</v>
      </c>
      <c r="D512" t="str">
        <f>IF('Boletins Nuppa Site'!F512&lt;&gt;0,'Boletins Nuppa Site'!F512,"NULL")</f>
        <v>NULL</v>
      </c>
      <c r="E512">
        <f>IF('Boletins Nuppa Site'!G512&lt;&gt;0,'Boletins Nuppa Site'!G512,"NULL")</f>
        <v>50</v>
      </c>
      <c r="F512">
        <f>IF('Boletins Nuppa Site'!H512&lt;&gt;0,'Boletins Nuppa Site'!H512,"NULL")</f>
        <v>50</v>
      </c>
      <c r="G512">
        <f>IF('Boletins Nuppa Site'!I512&lt;&gt;0,'Boletins Nuppa Site'!I512,"NULL")</f>
        <v>50</v>
      </c>
      <c r="H512">
        <f>IF('Boletins Nuppa Site'!J512&lt;&gt;0,'Boletins Nuppa Site'!J512,"NULL")</f>
        <v>50</v>
      </c>
      <c r="J512" t="str">
        <f t="shared" si="7"/>
        <v>INSERT INTO COTACAO (blt_id, pap_id, cot_prc_comum, cot_prc_min, cot_prc_max, cot_prc_med, cot_prc_mediana) VALUES (13, 39, NULL, 50, 50, 50, 50);</v>
      </c>
    </row>
    <row r="513" spans="1:10" x14ac:dyDescent="0.3">
      <c r="A513">
        <v>512</v>
      </c>
      <c r="B513">
        <v>13</v>
      </c>
      <c r="C513">
        <v>40</v>
      </c>
      <c r="D513" t="str">
        <f>IF('Boletins Nuppa Site'!F513&lt;&gt;0,'Boletins Nuppa Site'!F513,"NULL")</f>
        <v>NULL</v>
      </c>
      <c r="E513">
        <f>IF('Boletins Nuppa Site'!G513&lt;&gt;0,'Boletins Nuppa Site'!G513,"NULL")</f>
        <v>75</v>
      </c>
      <c r="F513">
        <f>IF('Boletins Nuppa Site'!H513&lt;&gt;0,'Boletins Nuppa Site'!H513,"NULL")</f>
        <v>88</v>
      </c>
      <c r="G513" t="str">
        <f>IF('Boletins Nuppa Site'!I513&lt;&gt;0,'Boletins Nuppa Site'!I513,"NULL")</f>
        <v>81.5</v>
      </c>
      <c r="H513" t="str">
        <f>IF('Boletins Nuppa Site'!J513&lt;&gt;0,'Boletins Nuppa Site'!J513,"NULL")</f>
        <v>81.5</v>
      </c>
      <c r="J513" t="str">
        <f t="shared" si="7"/>
        <v>INSERT INTO COTACAO (blt_id, pap_id, cot_prc_comum, cot_prc_min, cot_prc_max, cot_prc_med, cot_prc_mediana) VALUES (13, 40, NULL, 75, 88, 81.5, 81.5);</v>
      </c>
    </row>
    <row r="514" spans="1:10" x14ac:dyDescent="0.3">
      <c r="A514">
        <v>513</v>
      </c>
      <c r="B514">
        <v>14</v>
      </c>
      <c r="C514">
        <v>1</v>
      </c>
      <c r="D514" t="str">
        <f>IF('Boletins Nuppa Site'!F514&lt;&gt;0,'Boletins Nuppa Site'!F514,"NULL")</f>
        <v>NULL</v>
      </c>
      <c r="E514">
        <f>IF('Boletins Nuppa Site'!G514&lt;&gt;0,'Boletins Nuppa Site'!G514,"NULL")</f>
        <v>48</v>
      </c>
      <c r="F514">
        <f>IF('Boletins Nuppa Site'!H514&lt;&gt;0,'Boletins Nuppa Site'!H514,"NULL")</f>
        <v>72</v>
      </c>
      <c r="G514">
        <f>IF('Boletins Nuppa Site'!I514&lt;&gt;0,'Boletins Nuppa Site'!I514,"NULL")</f>
        <v>60</v>
      </c>
      <c r="H514">
        <f>IF('Boletins Nuppa Site'!J514&lt;&gt;0,'Boletins Nuppa Site'!J514,"NULL")</f>
        <v>60</v>
      </c>
      <c r="J514" t="str">
        <f t="shared" si="7"/>
        <v>INSERT INTO COTACAO (blt_id, pap_id, cot_prc_comum, cot_prc_min, cot_prc_max, cot_prc_med, cot_prc_mediana) VALUES (14, 1, NULL, 48, 72, 60, 60);</v>
      </c>
    </row>
    <row r="515" spans="1:10" x14ac:dyDescent="0.3">
      <c r="A515">
        <v>514</v>
      </c>
      <c r="B515">
        <v>14</v>
      </c>
      <c r="C515">
        <v>2</v>
      </c>
      <c r="D515">
        <f>IF('Boletins Nuppa Site'!F515&lt;&gt;0,'Boletins Nuppa Site'!F515,"NULL")</f>
        <v>84</v>
      </c>
      <c r="E515">
        <f>IF('Boletins Nuppa Site'!G515&lt;&gt;0,'Boletins Nuppa Site'!G515,"NULL")</f>
        <v>72</v>
      </c>
      <c r="F515">
        <f>IF('Boletins Nuppa Site'!H515&lt;&gt;0,'Boletins Nuppa Site'!H515,"NULL")</f>
        <v>84</v>
      </c>
      <c r="G515">
        <f>IF('Boletins Nuppa Site'!I515&lt;&gt;0,'Boletins Nuppa Site'!I515,"NULL")</f>
        <v>80</v>
      </c>
      <c r="H515">
        <f>IF('Boletins Nuppa Site'!J515&lt;&gt;0,'Boletins Nuppa Site'!J515,"NULL")</f>
        <v>84</v>
      </c>
      <c r="J515" t="str">
        <f t="shared" ref="J515:J578" si="8">"INSERT INTO COTACAO (blt_id, pap_id, cot_prc_comum, cot_prc_min, cot_prc_max, cot_prc_med, cot_prc_mediana) VALUES ("&amp;B515&amp;", "&amp;C515&amp;", "&amp;D515&amp;", "&amp;E515&amp;", "&amp;F515&amp;", "&amp;G515&amp;", "&amp;H515&amp;");"</f>
        <v>INSERT INTO COTACAO (blt_id, pap_id, cot_prc_comum, cot_prc_min, cot_prc_max, cot_prc_med, cot_prc_mediana) VALUES (14, 2, 84, 72, 84, 80, 84);</v>
      </c>
    </row>
    <row r="516" spans="1:10" x14ac:dyDescent="0.3">
      <c r="A516">
        <v>515</v>
      </c>
      <c r="B516">
        <v>14</v>
      </c>
      <c r="C516">
        <v>3</v>
      </c>
      <c r="D516" t="str">
        <f>IF('Boletins Nuppa Site'!F516&lt;&gt;0,'Boletins Nuppa Site'!F516,"NULL")</f>
        <v>NULL</v>
      </c>
      <c r="E516">
        <f>IF('Boletins Nuppa Site'!G516&lt;&gt;0,'Boletins Nuppa Site'!G516,"NULL")</f>
        <v>42</v>
      </c>
      <c r="F516">
        <f>IF('Boletins Nuppa Site'!H516&lt;&gt;0,'Boletins Nuppa Site'!H516,"NULL")</f>
        <v>60</v>
      </c>
      <c r="G516">
        <f>IF('Boletins Nuppa Site'!I516&lt;&gt;0,'Boletins Nuppa Site'!I516,"NULL")</f>
        <v>50</v>
      </c>
      <c r="H516">
        <f>IF('Boletins Nuppa Site'!J516&lt;&gt;0,'Boletins Nuppa Site'!J516,"NULL")</f>
        <v>48</v>
      </c>
      <c r="J516" t="str">
        <f t="shared" si="8"/>
        <v>INSERT INTO COTACAO (blt_id, pap_id, cot_prc_comum, cot_prc_min, cot_prc_max, cot_prc_med, cot_prc_mediana) VALUES (14, 3, NULL, 42, 60, 50, 48);</v>
      </c>
    </row>
    <row r="517" spans="1:10" x14ac:dyDescent="0.3">
      <c r="A517">
        <v>516</v>
      </c>
      <c r="B517">
        <v>14</v>
      </c>
      <c r="C517">
        <v>4</v>
      </c>
      <c r="D517">
        <f>IF('Boletins Nuppa Site'!F517&lt;&gt;0,'Boletins Nuppa Site'!F517,"NULL")</f>
        <v>36</v>
      </c>
      <c r="E517">
        <f>IF('Boletins Nuppa Site'!G517&lt;&gt;0,'Boletins Nuppa Site'!G517,"NULL")</f>
        <v>30</v>
      </c>
      <c r="F517">
        <f>IF('Boletins Nuppa Site'!H517&lt;&gt;0,'Boletins Nuppa Site'!H517,"NULL")</f>
        <v>36</v>
      </c>
      <c r="G517">
        <f>IF('Boletins Nuppa Site'!I517&lt;&gt;0,'Boletins Nuppa Site'!I517,"NULL")</f>
        <v>34</v>
      </c>
      <c r="H517">
        <f>IF('Boletins Nuppa Site'!J517&lt;&gt;0,'Boletins Nuppa Site'!J517,"NULL")</f>
        <v>36</v>
      </c>
      <c r="J517" t="str">
        <f t="shared" si="8"/>
        <v>INSERT INTO COTACAO (blt_id, pap_id, cot_prc_comum, cot_prc_min, cot_prc_max, cot_prc_med, cot_prc_mediana) VALUES (14, 4, 36, 30, 36, 34, 36);</v>
      </c>
    </row>
    <row r="518" spans="1:10" x14ac:dyDescent="0.3">
      <c r="A518">
        <v>517</v>
      </c>
      <c r="B518">
        <v>14</v>
      </c>
      <c r="C518">
        <v>5</v>
      </c>
      <c r="D518">
        <f>IF('Boletins Nuppa Site'!F518&lt;&gt;0,'Boletins Nuppa Site'!F518,"NULL")</f>
        <v>36</v>
      </c>
      <c r="E518">
        <f>IF('Boletins Nuppa Site'!G518&lt;&gt;0,'Boletins Nuppa Site'!G518,"NULL")</f>
        <v>30</v>
      </c>
      <c r="F518">
        <f>IF('Boletins Nuppa Site'!H518&lt;&gt;0,'Boletins Nuppa Site'!H518,"NULL")</f>
        <v>36</v>
      </c>
      <c r="G518">
        <f>IF('Boletins Nuppa Site'!I518&lt;&gt;0,'Boletins Nuppa Site'!I518,"NULL")</f>
        <v>34</v>
      </c>
      <c r="H518">
        <f>IF('Boletins Nuppa Site'!J518&lt;&gt;0,'Boletins Nuppa Site'!J518,"NULL")</f>
        <v>36</v>
      </c>
      <c r="J518" t="str">
        <f t="shared" si="8"/>
        <v>INSERT INTO COTACAO (blt_id, pap_id, cot_prc_comum, cot_prc_min, cot_prc_max, cot_prc_med, cot_prc_mediana) VALUES (14, 5, 36, 30, 36, 34, 36);</v>
      </c>
    </row>
    <row r="519" spans="1:10" x14ac:dyDescent="0.3">
      <c r="A519">
        <v>518</v>
      </c>
      <c r="B519">
        <v>14</v>
      </c>
      <c r="C519">
        <v>6</v>
      </c>
      <c r="D519">
        <f>IF('Boletins Nuppa Site'!F519&lt;&gt;0,'Boletins Nuppa Site'!F519,"NULL")</f>
        <v>72</v>
      </c>
      <c r="E519">
        <f>IF('Boletins Nuppa Site'!G519&lt;&gt;0,'Boletins Nuppa Site'!G519,"NULL")</f>
        <v>48</v>
      </c>
      <c r="F519">
        <f>IF('Boletins Nuppa Site'!H519&lt;&gt;0,'Boletins Nuppa Site'!H519,"NULL")</f>
        <v>72</v>
      </c>
      <c r="G519">
        <f>IF('Boletins Nuppa Site'!I519&lt;&gt;0,'Boletins Nuppa Site'!I519,"NULL")</f>
        <v>64</v>
      </c>
      <c r="H519">
        <f>IF('Boletins Nuppa Site'!J519&lt;&gt;0,'Boletins Nuppa Site'!J519,"NULL")</f>
        <v>72</v>
      </c>
      <c r="J519" t="str">
        <f t="shared" si="8"/>
        <v>INSERT INTO COTACAO (blt_id, pap_id, cot_prc_comum, cot_prc_min, cot_prc_max, cot_prc_med, cot_prc_mediana) VALUES (14, 6, 72, 48, 72, 64, 72);</v>
      </c>
    </row>
    <row r="520" spans="1:10" x14ac:dyDescent="0.3">
      <c r="A520">
        <v>519</v>
      </c>
      <c r="B520">
        <v>14</v>
      </c>
      <c r="C520">
        <v>7</v>
      </c>
      <c r="D520" t="str">
        <f>IF('Boletins Nuppa Site'!F520&lt;&gt;0,'Boletins Nuppa Site'!F520,"NULL")</f>
        <v>NULL</v>
      </c>
      <c r="E520">
        <f>IF('Boletins Nuppa Site'!G520&lt;&gt;0,'Boletins Nuppa Site'!G520,"NULL")</f>
        <v>72</v>
      </c>
      <c r="F520">
        <f>IF('Boletins Nuppa Site'!H520&lt;&gt;0,'Boletins Nuppa Site'!H520,"NULL")</f>
        <v>96</v>
      </c>
      <c r="G520">
        <f>IF('Boletins Nuppa Site'!I520&lt;&gt;0,'Boletins Nuppa Site'!I520,"NULL")</f>
        <v>82</v>
      </c>
      <c r="H520">
        <f>IF('Boletins Nuppa Site'!J520&lt;&gt;0,'Boletins Nuppa Site'!J520,"NULL")</f>
        <v>78</v>
      </c>
      <c r="J520" t="str">
        <f t="shared" si="8"/>
        <v>INSERT INTO COTACAO (blt_id, pap_id, cot_prc_comum, cot_prc_min, cot_prc_max, cot_prc_med, cot_prc_mediana) VALUES (14, 7, NULL, 72, 96, 82, 78);</v>
      </c>
    </row>
    <row r="521" spans="1:10" x14ac:dyDescent="0.3">
      <c r="A521">
        <v>520</v>
      </c>
      <c r="B521">
        <v>14</v>
      </c>
      <c r="C521">
        <v>8</v>
      </c>
      <c r="D521">
        <f>IF('Boletins Nuppa Site'!F521&lt;&gt;0,'Boletins Nuppa Site'!F521,"NULL")</f>
        <v>96</v>
      </c>
      <c r="E521">
        <f>IF('Boletins Nuppa Site'!G521&lt;&gt;0,'Boletins Nuppa Site'!G521,"NULL")</f>
        <v>96</v>
      </c>
      <c r="F521">
        <f>IF('Boletins Nuppa Site'!H521&lt;&gt;0,'Boletins Nuppa Site'!H521,"NULL")</f>
        <v>96</v>
      </c>
      <c r="G521">
        <f>IF('Boletins Nuppa Site'!I521&lt;&gt;0,'Boletins Nuppa Site'!I521,"NULL")</f>
        <v>96</v>
      </c>
      <c r="H521">
        <f>IF('Boletins Nuppa Site'!J521&lt;&gt;0,'Boletins Nuppa Site'!J521,"NULL")</f>
        <v>96</v>
      </c>
      <c r="J521" t="str">
        <f t="shared" si="8"/>
        <v>INSERT INTO COTACAO (blt_id, pap_id, cot_prc_comum, cot_prc_min, cot_prc_max, cot_prc_med, cot_prc_mediana) VALUES (14, 8, 96, 96, 96, 96, 96);</v>
      </c>
    </row>
    <row r="522" spans="1:10" x14ac:dyDescent="0.3">
      <c r="A522">
        <v>521</v>
      </c>
      <c r="B522">
        <v>14</v>
      </c>
      <c r="C522">
        <v>9</v>
      </c>
      <c r="D522" t="str">
        <f>IF('Boletins Nuppa Site'!F522&lt;&gt;0,'Boletins Nuppa Site'!F522,"NULL")</f>
        <v>NULL</v>
      </c>
      <c r="E522">
        <f>IF('Boletins Nuppa Site'!G522&lt;&gt;0,'Boletins Nuppa Site'!G522,"NULL")</f>
        <v>24</v>
      </c>
      <c r="F522">
        <f>IF('Boletins Nuppa Site'!H522&lt;&gt;0,'Boletins Nuppa Site'!H522,"NULL")</f>
        <v>36</v>
      </c>
      <c r="G522">
        <f>IF('Boletins Nuppa Site'!I522&lt;&gt;0,'Boletins Nuppa Site'!I522,"NULL")</f>
        <v>30</v>
      </c>
      <c r="H522">
        <f>IF('Boletins Nuppa Site'!J522&lt;&gt;0,'Boletins Nuppa Site'!J522,"NULL")</f>
        <v>30</v>
      </c>
      <c r="J522" t="str">
        <f t="shared" si="8"/>
        <v>INSERT INTO COTACAO (blt_id, pap_id, cot_prc_comum, cot_prc_min, cot_prc_max, cot_prc_med, cot_prc_mediana) VALUES (14, 9, NULL, 24, 36, 30, 30);</v>
      </c>
    </row>
    <row r="523" spans="1:10" x14ac:dyDescent="0.3">
      <c r="A523">
        <v>522</v>
      </c>
      <c r="B523">
        <v>14</v>
      </c>
      <c r="C523">
        <v>10</v>
      </c>
      <c r="D523">
        <f>IF('Boletins Nuppa Site'!F523&lt;&gt;0,'Boletins Nuppa Site'!F523,"NULL")</f>
        <v>96</v>
      </c>
      <c r="E523">
        <f>IF('Boletins Nuppa Site'!G523&lt;&gt;0,'Boletins Nuppa Site'!G523,"NULL")</f>
        <v>96</v>
      </c>
      <c r="F523">
        <f>IF('Boletins Nuppa Site'!H523&lt;&gt;0,'Boletins Nuppa Site'!H523,"NULL")</f>
        <v>108</v>
      </c>
      <c r="G523">
        <f>IF('Boletins Nuppa Site'!I523&lt;&gt;0,'Boletins Nuppa Site'!I523,"NULL")</f>
        <v>100</v>
      </c>
      <c r="H523">
        <f>IF('Boletins Nuppa Site'!J523&lt;&gt;0,'Boletins Nuppa Site'!J523,"NULL")</f>
        <v>96</v>
      </c>
      <c r="J523" t="str">
        <f t="shared" si="8"/>
        <v>INSERT INTO COTACAO (blt_id, pap_id, cot_prc_comum, cot_prc_min, cot_prc_max, cot_prc_med, cot_prc_mediana) VALUES (14, 10, 96, 96, 108, 100, 96);</v>
      </c>
    </row>
    <row r="524" spans="1:10" x14ac:dyDescent="0.3">
      <c r="A524">
        <v>523</v>
      </c>
      <c r="B524">
        <v>14</v>
      </c>
      <c r="C524">
        <v>11</v>
      </c>
      <c r="D524">
        <f>IF('Boletins Nuppa Site'!F524&lt;&gt;0,'Boletins Nuppa Site'!F524,"NULL")</f>
        <v>36</v>
      </c>
      <c r="E524">
        <f>IF('Boletins Nuppa Site'!G524&lt;&gt;0,'Boletins Nuppa Site'!G524,"NULL")</f>
        <v>24</v>
      </c>
      <c r="F524">
        <f>IF('Boletins Nuppa Site'!H524&lt;&gt;0,'Boletins Nuppa Site'!H524,"NULL")</f>
        <v>36</v>
      </c>
      <c r="G524">
        <f>IF('Boletins Nuppa Site'!I524&lt;&gt;0,'Boletins Nuppa Site'!I524,"NULL")</f>
        <v>32</v>
      </c>
      <c r="H524">
        <f>IF('Boletins Nuppa Site'!J524&lt;&gt;0,'Boletins Nuppa Site'!J524,"NULL")</f>
        <v>36</v>
      </c>
      <c r="J524" t="str">
        <f t="shared" si="8"/>
        <v>INSERT INTO COTACAO (blt_id, pap_id, cot_prc_comum, cot_prc_min, cot_prc_max, cot_prc_med, cot_prc_mediana) VALUES (14, 11, 36, 24, 36, 32, 36);</v>
      </c>
    </row>
    <row r="525" spans="1:10" x14ac:dyDescent="0.3">
      <c r="A525">
        <v>524</v>
      </c>
      <c r="B525">
        <v>14</v>
      </c>
      <c r="C525">
        <v>12</v>
      </c>
      <c r="D525">
        <f>IF('Boletins Nuppa Site'!F525&lt;&gt;0,'Boletins Nuppa Site'!F525,"NULL")</f>
        <v>84</v>
      </c>
      <c r="E525">
        <f>IF('Boletins Nuppa Site'!G525&lt;&gt;0,'Boletins Nuppa Site'!G525,"NULL")</f>
        <v>84</v>
      </c>
      <c r="F525">
        <f>IF('Boletins Nuppa Site'!H525&lt;&gt;0,'Boletins Nuppa Site'!H525,"NULL")</f>
        <v>84</v>
      </c>
      <c r="G525">
        <f>IF('Boletins Nuppa Site'!I525&lt;&gt;0,'Boletins Nuppa Site'!I525,"NULL")</f>
        <v>84</v>
      </c>
      <c r="H525">
        <f>IF('Boletins Nuppa Site'!J525&lt;&gt;0,'Boletins Nuppa Site'!J525,"NULL")</f>
        <v>84</v>
      </c>
      <c r="J525" t="str">
        <f t="shared" si="8"/>
        <v>INSERT INTO COTACAO (blt_id, pap_id, cot_prc_comum, cot_prc_min, cot_prc_max, cot_prc_med, cot_prc_mediana) VALUES (14, 12, 84, 84, 84, 84, 84);</v>
      </c>
    </row>
    <row r="526" spans="1:10" x14ac:dyDescent="0.3">
      <c r="A526">
        <v>525</v>
      </c>
      <c r="B526">
        <v>14</v>
      </c>
      <c r="C526">
        <v>13</v>
      </c>
      <c r="D526">
        <f>IF('Boletins Nuppa Site'!F526&lt;&gt;0,'Boletins Nuppa Site'!F526,"NULL")</f>
        <v>72</v>
      </c>
      <c r="E526">
        <f>IF('Boletins Nuppa Site'!G526&lt;&gt;0,'Boletins Nuppa Site'!G526,"NULL")</f>
        <v>72</v>
      </c>
      <c r="F526">
        <f>IF('Boletins Nuppa Site'!H526&lt;&gt;0,'Boletins Nuppa Site'!H526,"NULL")</f>
        <v>84</v>
      </c>
      <c r="G526">
        <f>IF('Boletins Nuppa Site'!I526&lt;&gt;0,'Boletins Nuppa Site'!I526,"NULL")</f>
        <v>76</v>
      </c>
      <c r="H526">
        <f>IF('Boletins Nuppa Site'!J526&lt;&gt;0,'Boletins Nuppa Site'!J526,"NULL")</f>
        <v>72</v>
      </c>
      <c r="J526" t="str">
        <f t="shared" si="8"/>
        <v>INSERT INTO COTACAO (blt_id, pap_id, cot_prc_comum, cot_prc_min, cot_prc_max, cot_prc_med, cot_prc_mediana) VALUES (14, 13, 72, 72, 84, 76, 72);</v>
      </c>
    </row>
    <row r="527" spans="1:10" x14ac:dyDescent="0.3">
      <c r="A527">
        <v>526</v>
      </c>
      <c r="B527">
        <v>14</v>
      </c>
      <c r="C527">
        <v>14</v>
      </c>
      <c r="D527">
        <f>IF('Boletins Nuppa Site'!F527&lt;&gt;0,'Boletins Nuppa Site'!F527,"NULL")</f>
        <v>60</v>
      </c>
      <c r="E527">
        <f>IF('Boletins Nuppa Site'!G527&lt;&gt;0,'Boletins Nuppa Site'!G527,"NULL")</f>
        <v>60</v>
      </c>
      <c r="F527">
        <f>IF('Boletins Nuppa Site'!H527&lt;&gt;0,'Boletins Nuppa Site'!H527,"NULL")</f>
        <v>96</v>
      </c>
      <c r="G527">
        <f>IF('Boletins Nuppa Site'!I527&lt;&gt;0,'Boletins Nuppa Site'!I527,"NULL")</f>
        <v>72</v>
      </c>
      <c r="H527">
        <f>IF('Boletins Nuppa Site'!J527&lt;&gt;0,'Boletins Nuppa Site'!J527,"NULL")</f>
        <v>60</v>
      </c>
      <c r="J527" t="str">
        <f t="shared" si="8"/>
        <v>INSERT INTO COTACAO (blt_id, pap_id, cot_prc_comum, cot_prc_min, cot_prc_max, cot_prc_med, cot_prc_mediana) VALUES (14, 14, 60, 60, 96, 72, 60);</v>
      </c>
    </row>
    <row r="528" spans="1:10" x14ac:dyDescent="0.3">
      <c r="A528">
        <v>527</v>
      </c>
      <c r="B528">
        <v>14</v>
      </c>
      <c r="C528">
        <v>15</v>
      </c>
      <c r="D528" t="str">
        <f>IF('Boletins Nuppa Site'!F528&lt;&gt;0,'Boletins Nuppa Site'!F528,"NULL")</f>
        <v>NULL</v>
      </c>
      <c r="E528">
        <f>IF('Boletins Nuppa Site'!G528&lt;&gt;0,'Boletins Nuppa Site'!G528,"NULL")</f>
        <v>48</v>
      </c>
      <c r="F528">
        <f>IF('Boletins Nuppa Site'!H528&lt;&gt;0,'Boletins Nuppa Site'!H528,"NULL")</f>
        <v>70</v>
      </c>
      <c r="G528" t="str">
        <f>IF('Boletins Nuppa Site'!I528&lt;&gt;0,'Boletins Nuppa Site'!I528,"NULL")</f>
        <v>59.33</v>
      </c>
      <c r="H528">
        <f>IF('Boletins Nuppa Site'!J528&lt;&gt;0,'Boletins Nuppa Site'!J528,"NULL")</f>
        <v>60</v>
      </c>
      <c r="J528" t="str">
        <f t="shared" si="8"/>
        <v>INSERT INTO COTACAO (blt_id, pap_id, cot_prc_comum, cot_prc_min, cot_prc_max, cot_prc_med, cot_prc_mediana) VALUES (14, 15, NULL, 48, 70, 59.33, 60);</v>
      </c>
    </row>
    <row r="529" spans="1:10" x14ac:dyDescent="0.3">
      <c r="A529">
        <v>528</v>
      </c>
      <c r="B529">
        <v>14</v>
      </c>
      <c r="C529">
        <v>16</v>
      </c>
      <c r="D529">
        <f>IF('Boletins Nuppa Site'!F529&lt;&gt;0,'Boletins Nuppa Site'!F529,"NULL")</f>
        <v>54</v>
      </c>
      <c r="E529">
        <f>IF('Boletins Nuppa Site'!G529&lt;&gt;0,'Boletins Nuppa Site'!G529,"NULL")</f>
        <v>48</v>
      </c>
      <c r="F529">
        <f>IF('Boletins Nuppa Site'!H529&lt;&gt;0,'Boletins Nuppa Site'!H529,"NULL")</f>
        <v>54</v>
      </c>
      <c r="G529">
        <f>IF('Boletins Nuppa Site'!I529&lt;&gt;0,'Boletins Nuppa Site'!I529,"NULL")</f>
        <v>52</v>
      </c>
      <c r="H529">
        <f>IF('Boletins Nuppa Site'!J529&lt;&gt;0,'Boletins Nuppa Site'!J529,"NULL")</f>
        <v>54</v>
      </c>
      <c r="J529" t="str">
        <f t="shared" si="8"/>
        <v>INSERT INTO COTACAO (blt_id, pap_id, cot_prc_comum, cot_prc_min, cot_prc_max, cot_prc_med, cot_prc_mediana) VALUES (14, 16, 54, 48, 54, 52, 54);</v>
      </c>
    </row>
    <row r="530" spans="1:10" x14ac:dyDescent="0.3">
      <c r="A530">
        <v>529</v>
      </c>
      <c r="B530">
        <v>14</v>
      </c>
      <c r="C530">
        <v>17</v>
      </c>
      <c r="D530">
        <f>IF('Boletins Nuppa Site'!F530&lt;&gt;0,'Boletins Nuppa Site'!F530,"NULL")</f>
        <v>5</v>
      </c>
      <c r="E530">
        <f>IF('Boletins Nuppa Site'!G530&lt;&gt;0,'Boletins Nuppa Site'!G530,"NULL")</f>
        <v>5</v>
      </c>
      <c r="F530">
        <f>IF('Boletins Nuppa Site'!H530&lt;&gt;0,'Boletins Nuppa Site'!H530,"NULL")</f>
        <v>5</v>
      </c>
      <c r="G530">
        <f>IF('Boletins Nuppa Site'!I530&lt;&gt;0,'Boletins Nuppa Site'!I530,"NULL")</f>
        <v>5</v>
      </c>
      <c r="H530">
        <f>IF('Boletins Nuppa Site'!J530&lt;&gt;0,'Boletins Nuppa Site'!J530,"NULL")</f>
        <v>5</v>
      </c>
      <c r="J530" t="str">
        <f t="shared" si="8"/>
        <v>INSERT INTO COTACAO (blt_id, pap_id, cot_prc_comum, cot_prc_min, cot_prc_max, cot_prc_med, cot_prc_mediana) VALUES (14, 17, 5, 5, 5, 5, 5);</v>
      </c>
    </row>
    <row r="531" spans="1:10" x14ac:dyDescent="0.3">
      <c r="A531">
        <v>530</v>
      </c>
      <c r="B531">
        <v>14</v>
      </c>
      <c r="C531">
        <v>18</v>
      </c>
      <c r="D531" t="str">
        <f>IF('Boletins Nuppa Site'!F531&lt;&gt;0,'Boletins Nuppa Site'!F531,"NULL")</f>
        <v>NULL</v>
      </c>
      <c r="E531">
        <f>IF('Boletins Nuppa Site'!G531&lt;&gt;0,'Boletins Nuppa Site'!G531,"NULL")</f>
        <v>25</v>
      </c>
      <c r="F531">
        <f>IF('Boletins Nuppa Site'!H531&lt;&gt;0,'Boletins Nuppa Site'!H531,"NULL")</f>
        <v>30</v>
      </c>
      <c r="G531" t="str">
        <f>IF('Boletins Nuppa Site'!I531&lt;&gt;0,'Boletins Nuppa Site'!I531,"NULL")</f>
        <v>27.67</v>
      </c>
      <c r="H531">
        <f>IF('Boletins Nuppa Site'!J531&lt;&gt;0,'Boletins Nuppa Site'!J531,"NULL")</f>
        <v>28</v>
      </c>
      <c r="J531" t="str">
        <f t="shared" si="8"/>
        <v>INSERT INTO COTACAO (blt_id, pap_id, cot_prc_comum, cot_prc_min, cot_prc_max, cot_prc_med, cot_prc_mediana) VALUES (14, 18, NULL, 25, 30, 27.67, 28);</v>
      </c>
    </row>
    <row r="532" spans="1:10" x14ac:dyDescent="0.3">
      <c r="A532">
        <v>531</v>
      </c>
      <c r="B532">
        <v>14</v>
      </c>
      <c r="C532">
        <v>19</v>
      </c>
      <c r="D532">
        <f>IF('Boletins Nuppa Site'!F532&lt;&gt;0,'Boletins Nuppa Site'!F532,"NULL")</f>
        <v>35</v>
      </c>
      <c r="E532">
        <f>IF('Boletins Nuppa Site'!G532&lt;&gt;0,'Boletins Nuppa Site'!G532,"NULL")</f>
        <v>30</v>
      </c>
      <c r="F532">
        <f>IF('Boletins Nuppa Site'!H532&lt;&gt;0,'Boletins Nuppa Site'!H532,"NULL")</f>
        <v>35</v>
      </c>
      <c r="G532" t="str">
        <f>IF('Boletins Nuppa Site'!I532&lt;&gt;0,'Boletins Nuppa Site'!I532,"NULL")</f>
        <v>33.33</v>
      </c>
      <c r="H532">
        <f>IF('Boletins Nuppa Site'!J532&lt;&gt;0,'Boletins Nuppa Site'!J532,"NULL")</f>
        <v>35</v>
      </c>
      <c r="J532" t="str">
        <f t="shared" si="8"/>
        <v>INSERT INTO COTACAO (blt_id, pap_id, cot_prc_comum, cot_prc_min, cot_prc_max, cot_prc_med, cot_prc_mediana) VALUES (14, 19, 35, 30, 35, 33.33, 35);</v>
      </c>
    </row>
    <row r="533" spans="1:10" x14ac:dyDescent="0.3">
      <c r="A533">
        <v>532</v>
      </c>
      <c r="B533">
        <v>14</v>
      </c>
      <c r="C533">
        <v>20</v>
      </c>
      <c r="D533">
        <f>IF('Boletins Nuppa Site'!F533&lt;&gt;0,'Boletins Nuppa Site'!F533,"NULL")</f>
        <v>110</v>
      </c>
      <c r="E533">
        <f>IF('Boletins Nuppa Site'!G533&lt;&gt;0,'Boletins Nuppa Site'!G533,"NULL")</f>
        <v>80</v>
      </c>
      <c r="F533">
        <f>IF('Boletins Nuppa Site'!H533&lt;&gt;0,'Boletins Nuppa Site'!H533,"NULL")</f>
        <v>110</v>
      </c>
      <c r="G533">
        <f>IF('Boletins Nuppa Site'!I533&lt;&gt;0,'Boletins Nuppa Site'!I533,"NULL")</f>
        <v>98</v>
      </c>
      <c r="H533">
        <f>IF('Boletins Nuppa Site'!J533&lt;&gt;0,'Boletins Nuppa Site'!J533,"NULL")</f>
        <v>100</v>
      </c>
      <c r="J533" t="str">
        <f t="shared" si="8"/>
        <v>INSERT INTO COTACAO (blt_id, pap_id, cot_prc_comum, cot_prc_min, cot_prc_max, cot_prc_med, cot_prc_mediana) VALUES (14, 20, 110, 80, 110, 98, 100);</v>
      </c>
    </row>
    <row r="534" spans="1:10" x14ac:dyDescent="0.3">
      <c r="A534">
        <v>533</v>
      </c>
      <c r="B534">
        <v>14</v>
      </c>
      <c r="C534">
        <v>21</v>
      </c>
      <c r="D534">
        <f>IF('Boletins Nuppa Site'!F534&lt;&gt;0,'Boletins Nuppa Site'!F534,"NULL")</f>
        <v>80</v>
      </c>
      <c r="E534">
        <f>IF('Boletins Nuppa Site'!G534&lt;&gt;0,'Boletins Nuppa Site'!G534,"NULL")</f>
        <v>70</v>
      </c>
      <c r="F534">
        <f>IF('Boletins Nuppa Site'!H534&lt;&gt;0,'Boletins Nuppa Site'!H534,"NULL")</f>
        <v>90</v>
      </c>
      <c r="G534" t="str">
        <f>IF('Boletins Nuppa Site'!I534&lt;&gt;0,'Boletins Nuppa Site'!I534,"NULL")</f>
        <v>78.75</v>
      </c>
      <c r="H534">
        <f>IF('Boletins Nuppa Site'!J534&lt;&gt;0,'Boletins Nuppa Site'!J534,"NULL")</f>
        <v>80</v>
      </c>
      <c r="J534" t="str">
        <f t="shared" si="8"/>
        <v>INSERT INTO COTACAO (blt_id, pap_id, cot_prc_comum, cot_prc_min, cot_prc_max, cot_prc_med, cot_prc_mediana) VALUES (14, 21, 80, 70, 90, 78.75, 80);</v>
      </c>
    </row>
    <row r="535" spans="1:10" x14ac:dyDescent="0.3">
      <c r="A535">
        <v>534</v>
      </c>
      <c r="B535">
        <v>14</v>
      </c>
      <c r="C535">
        <v>22</v>
      </c>
      <c r="D535">
        <f>IF('Boletins Nuppa Site'!F535&lt;&gt;0,'Boletins Nuppa Site'!F535,"NULL")</f>
        <v>70</v>
      </c>
      <c r="E535">
        <f>IF('Boletins Nuppa Site'!G535&lt;&gt;0,'Boletins Nuppa Site'!G535,"NULL")</f>
        <v>40</v>
      </c>
      <c r="F535">
        <f>IF('Boletins Nuppa Site'!H535&lt;&gt;0,'Boletins Nuppa Site'!H535,"NULL")</f>
        <v>75</v>
      </c>
      <c r="G535" t="str">
        <f>IF('Boletins Nuppa Site'!I535&lt;&gt;0,'Boletins Nuppa Site'!I535,"NULL")</f>
        <v>62.78</v>
      </c>
      <c r="H535">
        <f>IF('Boletins Nuppa Site'!J535&lt;&gt;0,'Boletins Nuppa Site'!J535,"NULL")</f>
        <v>70</v>
      </c>
      <c r="J535" t="str">
        <f t="shared" si="8"/>
        <v>INSERT INTO COTACAO (blt_id, pap_id, cot_prc_comum, cot_prc_min, cot_prc_max, cot_prc_med, cot_prc_mediana) VALUES (14, 22, 70, 40, 75, 62.78, 70);</v>
      </c>
    </row>
    <row r="536" spans="1:10" x14ac:dyDescent="0.3">
      <c r="A536">
        <v>535</v>
      </c>
      <c r="B536">
        <v>14</v>
      </c>
      <c r="C536">
        <v>23</v>
      </c>
      <c r="D536">
        <f>IF('Boletins Nuppa Site'!F536&lt;&gt;0,'Boletins Nuppa Site'!F536,"NULL")</f>
        <v>50</v>
      </c>
      <c r="E536">
        <f>IF('Boletins Nuppa Site'!G536&lt;&gt;0,'Boletins Nuppa Site'!G536,"NULL")</f>
        <v>35</v>
      </c>
      <c r="F536">
        <f>IF('Boletins Nuppa Site'!H536&lt;&gt;0,'Boletins Nuppa Site'!H536,"NULL")</f>
        <v>55</v>
      </c>
      <c r="G536" t="str">
        <f>IF('Boletins Nuppa Site'!I536&lt;&gt;0,'Boletins Nuppa Site'!I536,"NULL")</f>
        <v>44.38</v>
      </c>
      <c r="H536">
        <f>IF('Boletins Nuppa Site'!J536&lt;&gt;0,'Boletins Nuppa Site'!J536,"NULL")</f>
        <v>45</v>
      </c>
      <c r="J536" t="str">
        <f t="shared" si="8"/>
        <v>INSERT INTO COTACAO (blt_id, pap_id, cot_prc_comum, cot_prc_min, cot_prc_max, cot_prc_med, cot_prc_mediana) VALUES (14, 23, 50, 35, 55, 44.38, 45);</v>
      </c>
    </row>
    <row r="537" spans="1:10" x14ac:dyDescent="0.3">
      <c r="A537">
        <v>536</v>
      </c>
      <c r="B537">
        <v>14</v>
      </c>
      <c r="C537">
        <v>24</v>
      </c>
      <c r="D537" t="str">
        <f>IF('Boletins Nuppa Site'!F537&lt;&gt;0,'Boletins Nuppa Site'!F537,"NULL")</f>
        <v>NULL</v>
      </c>
      <c r="E537">
        <f>IF('Boletins Nuppa Site'!G537&lt;&gt;0,'Boletins Nuppa Site'!G537,"NULL")</f>
        <v>90</v>
      </c>
      <c r="F537">
        <f>IF('Boletins Nuppa Site'!H537&lt;&gt;0,'Boletins Nuppa Site'!H537,"NULL")</f>
        <v>115</v>
      </c>
      <c r="G537">
        <f>IF('Boletins Nuppa Site'!I537&lt;&gt;0,'Boletins Nuppa Site'!I537,"NULL")</f>
        <v>105</v>
      </c>
      <c r="H537">
        <f>IF('Boletins Nuppa Site'!J537&lt;&gt;0,'Boletins Nuppa Site'!J537,"NULL")</f>
        <v>110</v>
      </c>
      <c r="J537" t="str">
        <f t="shared" si="8"/>
        <v>INSERT INTO COTACAO (blt_id, pap_id, cot_prc_comum, cot_prc_min, cot_prc_max, cot_prc_med, cot_prc_mediana) VALUES (14, 24, NULL, 90, 115, 105, 110);</v>
      </c>
    </row>
    <row r="538" spans="1:10" x14ac:dyDescent="0.3">
      <c r="A538">
        <v>537</v>
      </c>
      <c r="B538">
        <v>14</v>
      </c>
      <c r="C538">
        <v>25</v>
      </c>
      <c r="D538">
        <f>IF('Boletins Nuppa Site'!F538&lt;&gt;0,'Boletins Nuppa Site'!F538,"NULL")</f>
        <v>150</v>
      </c>
      <c r="E538">
        <f>IF('Boletins Nuppa Site'!G538&lt;&gt;0,'Boletins Nuppa Site'!G538,"NULL")</f>
        <v>100</v>
      </c>
      <c r="F538">
        <f>IF('Boletins Nuppa Site'!H538&lt;&gt;0,'Boletins Nuppa Site'!H538,"NULL")</f>
        <v>150</v>
      </c>
      <c r="G538" t="str">
        <f>IF('Boletins Nuppa Site'!I538&lt;&gt;0,'Boletins Nuppa Site'!I538,"NULL")</f>
        <v>125.71</v>
      </c>
      <c r="H538">
        <f>IF('Boletins Nuppa Site'!J538&lt;&gt;0,'Boletins Nuppa Site'!J538,"NULL")</f>
        <v>130</v>
      </c>
      <c r="J538" t="str">
        <f t="shared" si="8"/>
        <v>INSERT INTO COTACAO (blt_id, pap_id, cot_prc_comum, cot_prc_min, cot_prc_max, cot_prc_med, cot_prc_mediana) VALUES (14, 25, 150, 100, 150, 125.71, 130);</v>
      </c>
    </row>
    <row r="539" spans="1:10" x14ac:dyDescent="0.3">
      <c r="A539">
        <v>538</v>
      </c>
      <c r="B539">
        <v>14</v>
      </c>
      <c r="C539">
        <v>26</v>
      </c>
      <c r="D539">
        <f>IF('Boletins Nuppa Site'!F539&lt;&gt;0,'Boletins Nuppa Site'!F539,"NULL")</f>
        <v>140</v>
      </c>
      <c r="E539">
        <f>IF('Boletins Nuppa Site'!G539&lt;&gt;0,'Boletins Nuppa Site'!G539,"NULL")</f>
        <v>80</v>
      </c>
      <c r="F539">
        <f>IF('Boletins Nuppa Site'!H539&lt;&gt;0,'Boletins Nuppa Site'!H539,"NULL")</f>
        <v>170</v>
      </c>
      <c r="G539">
        <f>IF('Boletins Nuppa Site'!I539&lt;&gt;0,'Boletins Nuppa Site'!I539,"NULL")</f>
        <v>130</v>
      </c>
      <c r="H539">
        <f>IF('Boletins Nuppa Site'!J539&lt;&gt;0,'Boletins Nuppa Site'!J539,"NULL")</f>
        <v>130</v>
      </c>
      <c r="J539" t="str">
        <f t="shared" si="8"/>
        <v>INSERT INTO COTACAO (blt_id, pap_id, cot_prc_comum, cot_prc_min, cot_prc_max, cot_prc_med, cot_prc_mediana) VALUES (14, 26, 140, 80, 170, 130, 130);</v>
      </c>
    </row>
    <row r="540" spans="1:10" x14ac:dyDescent="0.3">
      <c r="A540">
        <v>539</v>
      </c>
      <c r="B540">
        <v>14</v>
      </c>
      <c r="C540">
        <v>27</v>
      </c>
      <c r="D540">
        <f>IF('Boletins Nuppa Site'!F540&lt;&gt;0,'Boletins Nuppa Site'!F540,"NULL")</f>
        <v>60</v>
      </c>
      <c r="E540">
        <f>IF('Boletins Nuppa Site'!G540&lt;&gt;0,'Boletins Nuppa Site'!G540,"NULL")</f>
        <v>40</v>
      </c>
      <c r="F540">
        <f>IF('Boletins Nuppa Site'!H540&lt;&gt;0,'Boletins Nuppa Site'!H540,"NULL")</f>
        <v>80</v>
      </c>
      <c r="G540" t="str">
        <f>IF('Boletins Nuppa Site'!I540&lt;&gt;0,'Boletins Nuppa Site'!I540,"NULL")</f>
        <v>61.25</v>
      </c>
      <c r="H540">
        <f>IF('Boletins Nuppa Site'!J540&lt;&gt;0,'Boletins Nuppa Site'!J540,"NULL")</f>
        <v>60</v>
      </c>
      <c r="J540" t="str">
        <f t="shared" si="8"/>
        <v>INSERT INTO COTACAO (blt_id, pap_id, cot_prc_comum, cot_prc_min, cot_prc_max, cot_prc_med, cot_prc_mediana) VALUES (14, 27, 60, 40, 80, 61.25, 60);</v>
      </c>
    </row>
    <row r="541" spans="1:10" x14ac:dyDescent="0.3">
      <c r="A541">
        <v>540</v>
      </c>
      <c r="B541">
        <v>14</v>
      </c>
      <c r="C541">
        <v>28</v>
      </c>
      <c r="D541">
        <f>IF('Boletins Nuppa Site'!F541&lt;&gt;0,'Boletins Nuppa Site'!F541,"NULL")</f>
        <v>100</v>
      </c>
      <c r="E541">
        <f>IF('Boletins Nuppa Site'!G541&lt;&gt;0,'Boletins Nuppa Site'!G541,"NULL")</f>
        <v>60</v>
      </c>
      <c r="F541">
        <f>IF('Boletins Nuppa Site'!H541&lt;&gt;0,'Boletins Nuppa Site'!H541,"NULL")</f>
        <v>120</v>
      </c>
      <c r="G541" t="str">
        <f>IF('Boletins Nuppa Site'!I541&lt;&gt;0,'Boletins Nuppa Site'!I541,"NULL")</f>
        <v>98.57</v>
      </c>
      <c r="H541">
        <f>IF('Boletins Nuppa Site'!J541&lt;&gt;0,'Boletins Nuppa Site'!J541,"NULL")</f>
        <v>100</v>
      </c>
      <c r="J541" t="str">
        <f t="shared" si="8"/>
        <v>INSERT INTO COTACAO (blt_id, pap_id, cot_prc_comum, cot_prc_min, cot_prc_max, cot_prc_med, cot_prc_mediana) VALUES (14, 28, 100, 60, 120, 98.57, 100);</v>
      </c>
    </row>
    <row r="542" spans="1:10" x14ac:dyDescent="0.3">
      <c r="A542">
        <v>541</v>
      </c>
      <c r="B542">
        <v>14</v>
      </c>
      <c r="C542">
        <v>29</v>
      </c>
      <c r="D542" t="str">
        <f>IF('Boletins Nuppa Site'!F542&lt;&gt;0,'Boletins Nuppa Site'!F542,"NULL")</f>
        <v>NULL</v>
      </c>
      <c r="E542">
        <f>IF('Boletins Nuppa Site'!G542&lt;&gt;0,'Boletins Nuppa Site'!G542,"NULL")</f>
        <v>50</v>
      </c>
      <c r="F542">
        <f>IF('Boletins Nuppa Site'!H542&lt;&gt;0,'Boletins Nuppa Site'!H542,"NULL")</f>
        <v>78</v>
      </c>
      <c r="G542" t="str">
        <f>IF('Boletins Nuppa Site'!I542&lt;&gt;0,'Boletins Nuppa Site'!I542,"NULL")</f>
        <v>62.67</v>
      </c>
      <c r="H542">
        <f>IF('Boletins Nuppa Site'!J542&lt;&gt;0,'Boletins Nuppa Site'!J542,"NULL")</f>
        <v>60</v>
      </c>
      <c r="J542" t="str">
        <f t="shared" si="8"/>
        <v>INSERT INTO COTACAO (blt_id, pap_id, cot_prc_comum, cot_prc_min, cot_prc_max, cot_prc_med, cot_prc_mediana) VALUES (14, 29, NULL, 50, 78, 62.67, 60);</v>
      </c>
    </row>
    <row r="543" spans="1:10" x14ac:dyDescent="0.3">
      <c r="A543">
        <v>542</v>
      </c>
      <c r="B543">
        <v>14</v>
      </c>
      <c r="C543">
        <v>30</v>
      </c>
      <c r="D543">
        <f>IF('Boletins Nuppa Site'!F543&lt;&gt;0,'Boletins Nuppa Site'!F543,"NULL")</f>
        <v>70</v>
      </c>
      <c r="E543">
        <f>IF('Boletins Nuppa Site'!G543&lt;&gt;0,'Boletins Nuppa Site'!G543,"NULL")</f>
        <v>50</v>
      </c>
      <c r="F543">
        <f>IF('Boletins Nuppa Site'!H543&lt;&gt;0,'Boletins Nuppa Site'!H543,"NULL")</f>
        <v>75</v>
      </c>
      <c r="G543" t="str">
        <f>IF('Boletins Nuppa Site'!I543&lt;&gt;0,'Boletins Nuppa Site'!I543,"NULL")</f>
        <v>66.67</v>
      </c>
      <c r="H543">
        <f>IF('Boletins Nuppa Site'!J543&lt;&gt;0,'Boletins Nuppa Site'!J543,"NULL")</f>
        <v>70</v>
      </c>
      <c r="J543" t="str">
        <f t="shared" si="8"/>
        <v>INSERT INTO COTACAO (blt_id, pap_id, cot_prc_comum, cot_prc_min, cot_prc_max, cot_prc_med, cot_prc_mediana) VALUES (14, 30, 70, 50, 75, 66.67, 70);</v>
      </c>
    </row>
    <row r="544" spans="1:10" x14ac:dyDescent="0.3">
      <c r="A544">
        <v>543</v>
      </c>
      <c r="B544">
        <v>14</v>
      </c>
      <c r="C544">
        <v>31</v>
      </c>
      <c r="D544">
        <f>IF('Boletins Nuppa Site'!F544&lt;&gt;0,'Boletins Nuppa Site'!F544,"NULL")</f>
        <v>100</v>
      </c>
      <c r="E544">
        <f>IF('Boletins Nuppa Site'!G544&lt;&gt;0,'Boletins Nuppa Site'!G544,"NULL")</f>
        <v>70</v>
      </c>
      <c r="F544">
        <f>IF('Boletins Nuppa Site'!H544&lt;&gt;0,'Boletins Nuppa Site'!H544,"NULL")</f>
        <v>110</v>
      </c>
      <c r="G544" t="str">
        <f>IF('Boletins Nuppa Site'!I544&lt;&gt;0,'Boletins Nuppa Site'!I544,"NULL")</f>
        <v>93.13</v>
      </c>
      <c r="H544">
        <f>IF('Boletins Nuppa Site'!J544&lt;&gt;0,'Boletins Nuppa Site'!J544,"NULL")</f>
        <v>100</v>
      </c>
      <c r="J544" t="str">
        <f t="shared" si="8"/>
        <v>INSERT INTO COTACAO (blt_id, pap_id, cot_prc_comum, cot_prc_min, cot_prc_max, cot_prc_med, cot_prc_mediana) VALUES (14, 31, 100, 70, 110, 93.13, 100);</v>
      </c>
    </row>
    <row r="545" spans="1:10" x14ac:dyDescent="0.3">
      <c r="A545">
        <v>544</v>
      </c>
      <c r="B545">
        <v>14</v>
      </c>
      <c r="C545">
        <v>32</v>
      </c>
      <c r="D545">
        <f>IF('Boletins Nuppa Site'!F545&lt;&gt;0,'Boletins Nuppa Site'!F545,"NULL")</f>
        <v>70</v>
      </c>
      <c r="E545">
        <f>IF('Boletins Nuppa Site'!G545&lt;&gt;0,'Boletins Nuppa Site'!G545,"NULL")</f>
        <v>70</v>
      </c>
      <c r="F545">
        <f>IF('Boletins Nuppa Site'!H545&lt;&gt;0,'Boletins Nuppa Site'!H545,"NULL")</f>
        <v>80</v>
      </c>
      <c r="G545" t="str">
        <f>IF('Boletins Nuppa Site'!I545&lt;&gt;0,'Boletins Nuppa Site'!I545,"NULL")</f>
        <v>74.29</v>
      </c>
      <c r="H545">
        <f>IF('Boletins Nuppa Site'!J545&lt;&gt;0,'Boletins Nuppa Site'!J545,"NULL")</f>
        <v>75</v>
      </c>
      <c r="J545" t="str">
        <f t="shared" si="8"/>
        <v>INSERT INTO COTACAO (blt_id, pap_id, cot_prc_comum, cot_prc_min, cot_prc_max, cot_prc_med, cot_prc_mediana) VALUES (14, 32, 70, 70, 80, 74.29, 75);</v>
      </c>
    </row>
    <row r="546" spans="1:10" x14ac:dyDescent="0.3">
      <c r="A546">
        <v>545</v>
      </c>
      <c r="B546">
        <v>14</v>
      </c>
      <c r="C546">
        <v>33</v>
      </c>
      <c r="D546">
        <f>IF('Boletins Nuppa Site'!F546&lt;&gt;0,'Boletins Nuppa Site'!F546,"NULL")</f>
        <v>120</v>
      </c>
      <c r="E546">
        <f>IF('Boletins Nuppa Site'!G546&lt;&gt;0,'Boletins Nuppa Site'!G546,"NULL")</f>
        <v>100</v>
      </c>
      <c r="F546">
        <f>IF('Boletins Nuppa Site'!H546&lt;&gt;0,'Boletins Nuppa Site'!H546,"NULL")</f>
        <v>140</v>
      </c>
      <c r="G546" t="str">
        <f>IF('Boletins Nuppa Site'!I546&lt;&gt;0,'Boletins Nuppa Site'!I546,"NULL")</f>
        <v>117.14</v>
      </c>
      <c r="H546">
        <f>IF('Boletins Nuppa Site'!J546&lt;&gt;0,'Boletins Nuppa Site'!J546,"NULL")</f>
        <v>120</v>
      </c>
      <c r="J546" t="str">
        <f t="shared" si="8"/>
        <v>INSERT INTO COTACAO (blt_id, pap_id, cot_prc_comum, cot_prc_min, cot_prc_max, cot_prc_med, cot_prc_mediana) VALUES (14, 33, 120, 100, 140, 117.14, 120);</v>
      </c>
    </row>
    <row r="547" spans="1:10" x14ac:dyDescent="0.3">
      <c r="A547">
        <v>546</v>
      </c>
      <c r="B547">
        <v>14</v>
      </c>
      <c r="C547">
        <v>34</v>
      </c>
      <c r="D547">
        <f>IF('Boletins Nuppa Site'!F547&lt;&gt;0,'Boletins Nuppa Site'!F547,"NULL")</f>
        <v>90</v>
      </c>
      <c r="E547">
        <f>IF('Boletins Nuppa Site'!G547&lt;&gt;0,'Boletins Nuppa Site'!G547,"NULL")</f>
        <v>90</v>
      </c>
      <c r="F547">
        <f>IF('Boletins Nuppa Site'!H547&lt;&gt;0,'Boletins Nuppa Site'!H547,"NULL")</f>
        <v>120</v>
      </c>
      <c r="G547" t="str">
        <f>IF('Boletins Nuppa Site'!I547&lt;&gt;0,'Boletins Nuppa Site'!I547,"NULL")</f>
        <v>102.86</v>
      </c>
      <c r="H547">
        <f>IF('Boletins Nuppa Site'!J547&lt;&gt;0,'Boletins Nuppa Site'!J547,"NULL")</f>
        <v>100</v>
      </c>
      <c r="J547" t="str">
        <f t="shared" si="8"/>
        <v>INSERT INTO COTACAO (blt_id, pap_id, cot_prc_comum, cot_prc_min, cot_prc_max, cot_prc_med, cot_prc_mediana) VALUES (14, 34, 90, 90, 120, 102.86, 100);</v>
      </c>
    </row>
    <row r="548" spans="1:10" x14ac:dyDescent="0.3">
      <c r="A548">
        <v>547</v>
      </c>
      <c r="B548">
        <v>14</v>
      </c>
      <c r="C548">
        <v>35</v>
      </c>
      <c r="D548">
        <f>IF('Boletins Nuppa Site'!F548&lt;&gt;0,'Boletins Nuppa Site'!F548,"NULL")</f>
        <v>80</v>
      </c>
      <c r="E548">
        <f>IF('Boletins Nuppa Site'!G548&lt;&gt;0,'Boletins Nuppa Site'!G548,"NULL")</f>
        <v>70</v>
      </c>
      <c r="F548">
        <f>IF('Boletins Nuppa Site'!H548&lt;&gt;0,'Boletins Nuppa Site'!H548,"NULL")</f>
        <v>120</v>
      </c>
      <c r="G548" t="str">
        <f>IF('Boletins Nuppa Site'!I548&lt;&gt;0,'Boletins Nuppa Site'!I548,"NULL")</f>
        <v>92.14</v>
      </c>
      <c r="H548">
        <f>IF('Boletins Nuppa Site'!J548&lt;&gt;0,'Boletins Nuppa Site'!J548,"NULL")</f>
        <v>95</v>
      </c>
      <c r="J548" t="str">
        <f t="shared" si="8"/>
        <v>INSERT INTO COTACAO (blt_id, pap_id, cot_prc_comum, cot_prc_min, cot_prc_max, cot_prc_med, cot_prc_mediana) VALUES (14, 35, 80, 70, 120, 92.14, 95);</v>
      </c>
    </row>
    <row r="549" spans="1:10" x14ac:dyDescent="0.3">
      <c r="A549">
        <v>548</v>
      </c>
      <c r="B549">
        <v>14</v>
      </c>
      <c r="C549">
        <v>36</v>
      </c>
      <c r="D549" t="str">
        <f>IF('Boletins Nuppa Site'!F549&lt;&gt;0,'Boletins Nuppa Site'!F549,"NULL")</f>
        <v>NULL</v>
      </c>
      <c r="E549">
        <f>IF('Boletins Nuppa Site'!G549&lt;&gt;0,'Boletins Nuppa Site'!G549,"NULL")</f>
        <v>85</v>
      </c>
      <c r="F549">
        <f>IF('Boletins Nuppa Site'!H549&lt;&gt;0,'Boletins Nuppa Site'!H549,"NULL")</f>
        <v>85</v>
      </c>
      <c r="G549">
        <f>IF('Boletins Nuppa Site'!I549&lt;&gt;0,'Boletins Nuppa Site'!I549,"NULL")</f>
        <v>85</v>
      </c>
      <c r="H549">
        <f>IF('Boletins Nuppa Site'!J549&lt;&gt;0,'Boletins Nuppa Site'!J549,"NULL")</f>
        <v>85</v>
      </c>
      <c r="J549" t="str">
        <f t="shared" si="8"/>
        <v>INSERT INTO COTACAO (blt_id, pap_id, cot_prc_comum, cot_prc_min, cot_prc_max, cot_prc_med, cot_prc_mediana) VALUES (14, 36, NULL, 85, 85, 85, 85);</v>
      </c>
    </row>
    <row r="550" spans="1:10" x14ac:dyDescent="0.3">
      <c r="A550">
        <v>549</v>
      </c>
      <c r="B550">
        <v>14</v>
      </c>
      <c r="C550">
        <v>37</v>
      </c>
      <c r="D550" t="str">
        <f>IF('Boletins Nuppa Site'!F550&lt;&gt;0,'Boletins Nuppa Site'!F550,"NULL")</f>
        <v>NULL</v>
      </c>
      <c r="E550">
        <f>IF('Boletins Nuppa Site'!G550&lt;&gt;0,'Boletins Nuppa Site'!G550,"NULL")</f>
        <v>70</v>
      </c>
      <c r="F550">
        <f>IF('Boletins Nuppa Site'!H550&lt;&gt;0,'Boletins Nuppa Site'!H550,"NULL")</f>
        <v>80</v>
      </c>
      <c r="G550">
        <f>IF('Boletins Nuppa Site'!I550&lt;&gt;0,'Boletins Nuppa Site'!I550,"NULL")</f>
        <v>75</v>
      </c>
      <c r="H550">
        <f>IF('Boletins Nuppa Site'!J550&lt;&gt;0,'Boletins Nuppa Site'!J550,"NULL")</f>
        <v>75</v>
      </c>
      <c r="J550" t="str">
        <f t="shared" si="8"/>
        <v>INSERT INTO COTACAO (blt_id, pap_id, cot_prc_comum, cot_prc_min, cot_prc_max, cot_prc_med, cot_prc_mediana) VALUES (14, 37, NULL, 70, 80, 75, 75);</v>
      </c>
    </row>
    <row r="551" spans="1:10" x14ac:dyDescent="0.3">
      <c r="A551">
        <v>550</v>
      </c>
      <c r="B551">
        <v>14</v>
      </c>
      <c r="C551">
        <v>38</v>
      </c>
      <c r="D551">
        <f>IF('Boletins Nuppa Site'!F551&lt;&gt;0,'Boletins Nuppa Site'!F551,"NULL")</f>
        <v>45</v>
      </c>
      <c r="E551">
        <f>IF('Boletins Nuppa Site'!G551&lt;&gt;0,'Boletins Nuppa Site'!G551,"NULL")</f>
        <v>45</v>
      </c>
      <c r="F551">
        <f>IF('Boletins Nuppa Site'!H551&lt;&gt;0,'Boletins Nuppa Site'!H551,"NULL")</f>
        <v>45</v>
      </c>
      <c r="G551">
        <f>IF('Boletins Nuppa Site'!I551&lt;&gt;0,'Boletins Nuppa Site'!I551,"NULL")</f>
        <v>45</v>
      </c>
      <c r="H551">
        <f>IF('Boletins Nuppa Site'!J551&lt;&gt;0,'Boletins Nuppa Site'!J551,"NULL")</f>
        <v>45</v>
      </c>
      <c r="J551" t="str">
        <f t="shared" si="8"/>
        <v>INSERT INTO COTACAO (blt_id, pap_id, cot_prc_comum, cot_prc_min, cot_prc_max, cot_prc_med, cot_prc_mediana) VALUES (14, 38, 45, 45, 45, 45, 45);</v>
      </c>
    </row>
    <row r="552" spans="1:10" x14ac:dyDescent="0.3">
      <c r="A552">
        <v>551</v>
      </c>
      <c r="B552">
        <v>14</v>
      </c>
      <c r="C552">
        <v>39</v>
      </c>
      <c r="D552" t="str">
        <f>IF('Boletins Nuppa Site'!F552&lt;&gt;0,'Boletins Nuppa Site'!F552,"NULL")</f>
        <v>NULL</v>
      </c>
      <c r="E552">
        <f>IF('Boletins Nuppa Site'!G552&lt;&gt;0,'Boletins Nuppa Site'!G552,"NULL")</f>
        <v>60</v>
      </c>
      <c r="F552">
        <f>IF('Boletins Nuppa Site'!H552&lt;&gt;0,'Boletins Nuppa Site'!H552,"NULL")</f>
        <v>60</v>
      </c>
      <c r="G552">
        <f>IF('Boletins Nuppa Site'!I552&lt;&gt;0,'Boletins Nuppa Site'!I552,"NULL")</f>
        <v>60</v>
      </c>
      <c r="H552">
        <f>IF('Boletins Nuppa Site'!J552&lt;&gt;0,'Boletins Nuppa Site'!J552,"NULL")</f>
        <v>60</v>
      </c>
      <c r="J552" t="str">
        <f t="shared" si="8"/>
        <v>INSERT INTO COTACAO (blt_id, pap_id, cot_prc_comum, cot_prc_min, cot_prc_max, cot_prc_med, cot_prc_mediana) VALUES (14, 39, NULL, 60, 60, 60, 60);</v>
      </c>
    </row>
    <row r="553" spans="1:10" x14ac:dyDescent="0.3">
      <c r="A553">
        <v>552</v>
      </c>
      <c r="B553">
        <v>14</v>
      </c>
      <c r="C553">
        <v>40</v>
      </c>
      <c r="D553" t="str">
        <f>IF('Boletins Nuppa Site'!F553&lt;&gt;0,'Boletins Nuppa Site'!F553,"NULL")</f>
        <v>NULL</v>
      </c>
      <c r="E553">
        <f>IF('Boletins Nuppa Site'!G553&lt;&gt;0,'Boletins Nuppa Site'!G553,"NULL")</f>
        <v>60</v>
      </c>
      <c r="F553">
        <f>IF('Boletins Nuppa Site'!H553&lt;&gt;0,'Boletins Nuppa Site'!H553,"NULL")</f>
        <v>60</v>
      </c>
      <c r="G553">
        <f>IF('Boletins Nuppa Site'!I553&lt;&gt;0,'Boletins Nuppa Site'!I553,"NULL")</f>
        <v>60</v>
      </c>
      <c r="H553">
        <f>IF('Boletins Nuppa Site'!J553&lt;&gt;0,'Boletins Nuppa Site'!J553,"NULL")</f>
        <v>60</v>
      </c>
      <c r="J553" t="str">
        <f t="shared" si="8"/>
        <v>INSERT INTO COTACAO (blt_id, pap_id, cot_prc_comum, cot_prc_min, cot_prc_max, cot_prc_med, cot_prc_mediana) VALUES (14, 40, NULL, 60, 60, 60, 60);</v>
      </c>
    </row>
    <row r="554" spans="1:10" x14ac:dyDescent="0.3">
      <c r="A554">
        <v>553</v>
      </c>
      <c r="B554">
        <v>15</v>
      </c>
      <c r="C554">
        <v>1</v>
      </c>
      <c r="D554" t="str">
        <f>IF('Boletins Nuppa Site'!F554&lt;&gt;0,'Boletins Nuppa Site'!F554,"NULL")</f>
        <v>NULL</v>
      </c>
      <c r="E554">
        <f>IF('Boletins Nuppa Site'!G554&lt;&gt;0,'Boletins Nuppa Site'!G554,"NULL")</f>
        <v>48</v>
      </c>
      <c r="F554">
        <f>IF('Boletins Nuppa Site'!H554&lt;&gt;0,'Boletins Nuppa Site'!H554,"NULL")</f>
        <v>78</v>
      </c>
      <c r="G554">
        <f>IF('Boletins Nuppa Site'!I554&lt;&gt;0,'Boletins Nuppa Site'!I554,"NULL")</f>
        <v>60</v>
      </c>
      <c r="H554">
        <f>IF('Boletins Nuppa Site'!J554&lt;&gt;0,'Boletins Nuppa Site'!J554,"NULL")</f>
        <v>54</v>
      </c>
      <c r="J554" t="str">
        <f t="shared" si="8"/>
        <v>INSERT INTO COTACAO (blt_id, pap_id, cot_prc_comum, cot_prc_min, cot_prc_max, cot_prc_med, cot_prc_mediana) VALUES (15, 1, NULL, 48, 78, 60, 54);</v>
      </c>
    </row>
    <row r="555" spans="1:10" x14ac:dyDescent="0.3">
      <c r="A555">
        <v>554</v>
      </c>
      <c r="B555">
        <v>15</v>
      </c>
      <c r="C555">
        <v>2</v>
      </c>
      <c r="D555">
        <f>IF('Boletins Nuppa Site'!F555&lt;&gt;0,'Boletins Nuppa Site'!F555,"NULL")</f>
        <v>72</v>
      </c>
      <c r="E555">
        <f>IF('Boletins Nuppa Site'!G555&lt;&gt;0,'Boletins Nuppa Site'!G555,"NULL")</f>
        <v>72</v>
      </c>
      <c r="F555">
        <f>IF('Boletins Nuppa Site'!H555&lt;&gt;0,'Boletins Nuppa Site'!H555,"NULL")</f>
        <v>84</v>
      </c>
      <c r="G555">
        <f>IF('Boletins Nuppa Site'!I555&lt;&gt;0,'Boletins Nuppa Site'!I555,"NULL")</f>
        <v>76</v>
      </c>
      <c r="H555">
        <f>IF('Boletins Nuppa Site'!J555&lt;&gt;0,'Boletins Nuppa Site'!J555,"NULL")</f>
        <v>72</v>
      </c>
      <c r="J555" t="str">
        <f t="shared" si="8"/>
        <v>INSERT INTO COTACAO (blt_id, pap_id, cot_prc_comum, cot_prc_min, cot_prc_max, cot_prc_med, cot_prc_mediana) VALUES (15, 2, 72, 72, 84, 76, 72);</v>
      </c>
    </row>
    <row r="556" spans="1:10" x14ac:dyDescent="0.3">
      <c r="A556">
        <v>555</v>
      </c>
      <c r="B556">
        <v>15</v>
      </c>
      <c r="C556">
        <v>3</v>
      </c>
      <c r="D556" t="str">
        <f>IF('Boletins Nuppa Site'!F556&lt;&gt;0,'Boletins Nuppa Site'!F556,"NULL")</f>
        <v>NULL</v>
      </c>
      <c r="E556">
        <f>IF('Boletins Nuppa Site'!G556&lt;&gt;0,'Boletins Nuppa Site'!G556,"NULL")</f>
        <v>48</v>
      </c>
      <c r="F556">
        <f>IF('Boletins Nuppa Site'!H556&lt;&gt;0,'Boletins Nuppa Site'!H556,"NULL")</f>
        <v>84</v>
      </c>
      <c r="G556">
        <f>IF('Boletins Nuppa Site'!I556&lt;&gt;0,'Boletins Nuppa Site'!I556,"NULL")</f>
        <v>68</v>
      </c>
      <c r="H556">
        <f>IF('Boletins Nuppa Site'!J556&lt;&gt;0,'Boletins Nuppa Site'!J556,"NULL")</f>
        <v>72</v>
      </c>
      <c r="J556" t="str">
        <f t="shared" si="8"/>
        <v>INSERT INTO COTACAO (blt_id, pap_id, cot_prc_comum, cot_prc_min, cot_prc_max, cot_prc_med, cot_prc_mediana) VALUES (15, 3, NULL, 48, 84, 68, 72);</v>
      </c>
    </row>
    <row r="557" spans="1:10" x14ac:dyDescent="0.3">
      <c r="A557">
        <v>556</v>
      </c>
      <c r="B557">
        <v>15</v>
      </c>
      <c r="C557">
        <v>4</v>
      </c>
      <c r="D557">
        <f>IF('Boletins Nuppa Site'!F557&lt;&gt;0,'Boletins Nuppa Site'!F557,"NULL")</f>
        <v>30</v>
      </c>
      <c r="E557">
        <f>IF('Boletins Nuppa Site'!G557&lt;&gt;0,'Boletins Nuppa Site'!G557,"NULL")</f>
        <v>25</v>
      </c>
      <c r="F557">
        <f>IF('Boletins Nuppa Site'!H557&lt;&gt;0,'Boletins Nuppa Site'!H557,"NULL")</f>
        <v>30</v>
      </c>
      <c r="G557" t="str">
        <f>IF('Boletins Nuppa Site'!I557&lt;&gt;0,'Boletins Nuppa Site'!I557,"NULL")</f>
        <v>28.33</v>
      </c>
      <c r="H557">
        <f>IF('Boletins Nuppa Site'!J557&lt;&gt;0,'Boletins Nuppa Site'!J557,"NULL")</f>
        <v>30</v>
      </c>
      <c r="J557" t="str">
        <f t="shared" si="8"/>
        <v>INSERT INTO COTACAO (blt_id, pap_id, cot_prc_comum, cot_prc_min, cot_prc_max, cot_prc_med, cot_prc_mediana) VALUES (15, 4, 30, 25, 30, 28.33, 30);</v>
      </c>
    </row>
    <row r="558" spans="1:10" x14ac:dyDescent="0.3">
      <c r="A558">
        <v>557</v>
      </c>
      <c r="B558">
        <v>15</v>
      </c>
      <c r="C558">
        <v>5</v>
      </c>
      <c r="D558">
        <f>IF('Boletins Nuppa Site'!F558&lt;&gt;0,'Boletins Nuppa Site'!F558,"NULL")</f>
        <v>30</v>
      </c>
      <c r="E558">
        <f>IF('Boletins Nuppa Site'!G558&lt;&gt;0,'Boletins Nuppa Site'!G558,"NULL")</f>
        <v>25</v>
      </c>
      <c r="F558">
        <f>IF('Boletins Nuppa Site'!H558&lt;&gt;0,'Boletins Nuppa Site'!H558,"NULL")</f>
        <v>30</v>
      </c>
      <c r="G558" t="str">
        <f>IF('Boletins Nuppa Site'!I558&lt;&gt;0,'Boletins Nuppa Site'!I558,"NULL")</f>
        <v>28.33</v>
      </c>
      <c r="H558">
        <f>IF('Boletins Nuppa Site'!J558&lt;&gt;0,'Boletins Nuppa Site'!J558,"NULL")</f>
        <v>30</v>
      </c>
      <c r="J558" t="str">
        <f t="shared" si="8"/>
        <v>INSERT INTO COTACAO (blt_id, pap_id, cot_prc_comum, cot_prc_min, cot_prc_max, cot_prc_med, cot_prc_mediana) VALUES (15, 5, 30, 25, 30, 28.33, 30);</v>
      </c>
    </row>
    <row r="559" spans="1:10" x14ac:dyDescent="0.3">
      <c r="A559">
        <v>558</v>
      </c>
      <c r="B559">
        <v>15</v>
      </c>
      <c r="C559">
        <v>6</v>
      </c>
      <c r="D559">
        <f>IF('Boletins Nuppa Site'!F559&lt;&gt;0,'Boletins Nuppa Site'!F559,"NULL")</f>
        <v>60</v>
      </c>
      <c r="E559">
        <f>IF('Boletins Nuppa Site'!G559&lt;&gt;0,'Boletins Nuppa Site'!G559,"NULL")</f>
        <v>54</v>
      </c>
      <c r="F559">
        <f>IF('Boletins Nuppa Site'!H559&lt;&gt;0,'Boletins Nuppa Site'!H559,"NULL")</f>
        <v>60</v>
      </c>
      <c r="G559">
        <f>IF('Boletins Nuppa Site'!I559&lt;&gt;0,'Boletins Nuppa Site'!I559,"NULL")</f>
        <v>58</v>
      </c>
      <c r="H559">
        <f>IF('Boletins Nuppa Site'!J559&lt;&gt;0,'Boletins Nuppa Site'!J559,"NULL")</f>
        <v>60</v>
      </c>
      <c r="J559" t="str">
        <f t="shared" si="8"/>
        <v>INSERT INTO COTACAO (blt_id, pap_id, cot_prc_comum, cot_prc_min, cot_prc_max, cot_prc_med, cot_prc_mediana) VALUES (15, 6, 60, 54, 60, 58, 60);</v>
      </c>
    </row>
    <row r="560" spans="1:10" x14ac:dyDescent="0.3">
      <c r="A560">
        <v>559</v>
      </c>
      <c r="B560">
        <v>15</v>
      </c>
      <c r="C560">
        <v>7</v>
      </c>
      <c r="D560">
        <f>IF('Boletins Nuppa Site'!F560&lt;&gt;0,'Boletins Nuppa Site'!F560,"NULL")</f>
        <v>72</v>
      </c>
      <c r="E560">
        <f>IF('Boletins Nuppa Site'!G560&lt;&gt;0,'Boletins Nuppa Site'!G560,"NULL")</f>
        <v>72</v>
      </c>
      <c r="F560">
        <f>IF('Boletins Nuppa Site'!H560&lt;&gt;0,'Boletins Nuppa Site'!H560,"NULL")</f>
        <v>84</v>
      </c>
      <c r="G560">
        <f>IF('Boletins Nuppa Site'!I560&lt;&gt;0,'Boletins Nuppa Site'!I560,"NULL")</f>
        <v>76</v>
      </c>
      <c r="H560">
        <f>IF('Boletins Nuppa Site'!J560&lt;&gt;0,'Boletins Nuppa Site'!J560,"NULL")</f>
        <v>72</v>
      </c>
      <c r="J560" t="str">
        <f t="shared" si="8"/>
        <v>INSERT INTO COTACAO (blt_id, pap_id, cot_prc_comum, cot_prc_min, cot_prc_max, cot_prc_med, cot_prc_mediana) VALUES (15, 7, 72, 72, 84, 76, 72);</v>
      </c>
    </row>
    <row r="561" spans="1:10" x14ac:dyDescent="0.3">
      <c r="A561">
        <v>560</v>
      </c>
      <c r="B561">
        <v>15</v>
      </c>
      <c r="C561">
        <v>8</v>
      </c>
      <c r="D561" t="str">
        <f>IF('Boletins Nuppa Site'!F561&lt;&gt;0,'Boletins Nuppa Site'!F561,"NULL")</f>
        <v>NULL</v>
      </c>
      <c r="E561">
        <f>IF('Boletins Nuppa Site'!G561&lt;&gt;0,'Boletins Nuppa Site'!G561,"NULL")</f>
        <v>84</v>
      </c>
      <c r="F561">
        <f>IF('Boletins Nuppa Site'!H561&lt;&gt;0,'Boletins Nuppa Site'!H561,"NULL")</f>
        <v>96</v>
      </c>
      <c r="G561" t="str">
        <f>IF('Boletins Nuppa Site'!I561&lt;&gt;0,'Boletins Nuppa Site'!I561,"NULL")</f>
        <v>91.67</v>
      </c>
      <c r="H561">
        <f>IF('Boletins Nuppa Site'!J561&lt;&gt;0,'Boletins Nuppa Site'!J561,"NULL")</f>
        <v>95</v>
      </c>
      <c r="J561" t="str">
        <f t="shared" si="8"/>
        <v>INSERT INTO COTACAO (blt_id, pap_id, cot_prc_comum, cot_prc_min, cot_prc_max, cot_prc_med, cot_prc_mediana) VALUES (15, 8, NULL, 84, 96, 91.67, 95);</v>
      </c>
    </row>
    <row r="562" spans="1:10" x14ac:dyDescent="0.3">
      <c r="A562">
        <v>561</v>
      </c>
      <c r="B562">
        <v>15</v>
      </c>
      <c r="C562">
        <v>9</v>
      </c>
      <c r="D562">
        <f>IF('Boletins Nuppa Site'!F562&lt;&gt;0,'Boletins Nuppa Site'!F562,"NULL")</f>
        <v>30</v>
      </c>
      <c r="E562">
        <f>IF('Boletins Nuppa Site'!G562&lt;&gt;0,'Boletins Nuppa Site'!G562,"NULL")</f>
        <v>24</v>
      </c>
      <c r="F562">
        <f>IF('Boletins Nuppa Site'!H562&lt;&gt;0,'Boletins Nuppa Site'!H562,"NULL")</f>
        <v>30</v>
      </c>
      <c r="G562">
        <f>IF('Boletins Nuppa Site'!I562&lt;&gt;0,'Boletins Nuppa Site'!I562,"NULL")</f>
        <v>28</v>
      </c>
      <c r="H562">
        <f>IF('Boletins Nuppa Site'!J562&lt;&gt;0,'Boletins Nuppa Site'!J562,"NULL")</f>
        <v>30</v>
      </c>
      <c r="J562" t="str">
        <f t="shared" si="8"/>
        <v>INSERT INTO COTACAO (blt_id, pap_id, cot_prc_comum, cot_prc_min, cot_prc_max, cot_prc_med, cot_prc_mediana) VALUES (15, 9, 30, 24, 30, 28, 30);</v>
      </c>
    </row>
    <row r="563" spans="1:10" x14ac:dyDescent="0.3">
      <c r="A563">
        <v>562</v>
      </c>
      <c r="B563">
        <v>15</v>
      </c>
      <c r="C563">
        <v>10</v>
      </c>
      <c r="D563" t="str">
        <f>IF('Boletins Nuppa Site'!F563&lt;&gt;0,'Boletins Nuppa Site'!F563,"NULL")</f>
        <v>NULL</v>
      </c>
      <c r="E563">
        <f>IF('Boletins Nuppa Site'!G563&lt;&gt;0,'Boletins Nuppa Site'!G563,"NULL")</f>
        <v>95</v>
      </c>
      <c r="F563">
        <f>IF('Boletins Nuppa Site'!H563&lt;&gt;0,'Boletins Nuppa Site'!H563,"NULL")</f>
        <v>108</v>
      </c>
      <c r="G563" t="str">
        <f>IF('Boletins Nuppa Site'!I563&lt;&gt;0,'Boletins Nuppa Site'!I563,"NULL")</f>
        <v>99.67</v>
      </c>
      <c r="H563">
        <f>IF('Boletins Nuppa Site'!J563&lt;&gt;0,'Boletins Nuppa Site'!J563,"NULL")</f>
        <v>96</v>
      </c>
      <c r="J563" t="str">
        <f t="shared" si="8"/>
        <v>INSERT INTO COTACAO (blt_id, pap_id, cot_prc_comum, cot_prc_min, cot_prc_max, cot_prc_med, cot_prc_mediana) VALUES (15, 10, NULL, 95, 108, 99.67, 96);</v>
      </c>
    </row>
    <row r="564" spans="1:10" x14ac:dyDescent="0.3">
      <c r="A564">
        <v>563</v>
      </c>
      <c r="B564">
        <v>15</v>
      </c>
      <c r="C564">
        <v>11</v>
      </c>
      <c r="D564">
        <f>IF('Boletins Nuppa Site'!F564&lt;&gt;0,'Boletins Nuppa Site'!F564,"NULL")</f>
        <v>30</v>
      </c>
      <c r="E564">
        <f>IF('Boletins Nuppa Site'!G564&lt;&gt;0,'Boletins Nuppa Site'!G564,"NULL")</f>
        <v>25</v>
      </c>
      <c r="F564">
        <f>IF('Boletins Nuppa Site'!H564&lt;&gt;0,'Boletins Nuppa Site'!H564,"NULL")</f>
        <v>30</v>
      </c>
      <c r="G564" t="str">
        <f>IF('Boletins Nuppa Site'!I564&lt;&gt;0,'Boletins Nuppa Site'!I564,"NULL")</f>
        <v>28.33</v>
      </c>
      <c r="H564">
        <f>IF('Boletins Nuppa Site'!J564&lt;&gt;0,'Boletins Nuppa Site'!J564,"NULL")</f>
        <v>30</v>
      </c>
      <c r="J564" t="str">
        <f t="shared" si="8"/>
        <v>INSERT INTO COTACAO (blt_id, pap_id, cot_prc_comum, cot_prc_min, cot_prc_max, cot_prc_med, cot_prc_mediana) VALUES (15, 11, 30, 25, 30, 28.33, 30);</v>
      </c>
    </row>
    <row r="565" spans="1:10" x14ac:dyDescent="0.3">
      <c r="A565">
        <v>564</v>
      </c>
      <c r="B565">
        <v>15</v>
      </c>
      <c r="C565">
        <v>12</v>
      </c>
      <c r="D565">
        <f>IF('Boletins Nuppa Site'!F565&lt;&gt;0,'Boletins Nuppa Site'!F565,"NULL")</f>
        <v>84</v>
      </c>
      <c r="E565">
        <f>IF('Boletins Nuppa Site'!G565&lt;&gt;0,'Boletins Nuppa Site'!G565,"NULL")</f>
        <v>78</v>
      </c>
      <c r="F565">
        <f>IF('Boletins Nuppa Site'!H565&lt;&gt;0,'Boletins Nuppa Site'!H565,"NULL")</f>
        <v>84</v>
      </c>
      <c r="G565">
        <f>IF('Boletins Nuppa Site'!I565&lt;&gt;0,'Boletins Nuppa Site'!I565,"NULL")</f>
        <v>82</v>
      </c>
      <c r="H565">
        <f>IF('Boletins Nuppa Site'!J565&lt;&gt;0,'Boletins Nuppa Site'!J565,"NULL")</f>
        <v>84</v>
      </c>
      <c r="J565" t="str">
        <f t="shared" si="8"/>
        <v>INSERT INTO COTACAO (blt_id, pap_id, cot_prc_comum, cot_prc_min, cot_prc_max, cot_prc_med, cot_prc_mediana) VALUES (15, 12, 84, 78, 84, 82, 84);</v>
      </c>
    </row>
    <row r="566" spans="1:10" x14ac:dyDescent="0.3">
      <c r="A566">
        <v>565</v>
      </c>
      <c r="B566">
        <v>15</v>
      </c>
      <c r="C566">
        <v>13</v>
      </c>
      <c r="D566">
        <f>IF('Boletins Nuppa Site'!F566&lt;&gt;0,'Boletins Nuppa Site'!F566,"NULL")</f>
        <v>60</v>
      </c>
      <c r="E566">
        <f>IF('Boletins Nuppa Site'!G566&lt;&gt;0,'Boletins Nuppa Site'!G566,"NULL")</f>
        <v>60</v>
      </c>
      <c r="F566">
        <f>IF('Boletins Nuppa Site'!H566&lt;&gt;0,'Boletins Nuppa Site'!H566,"NULL")</f>
        <v>84</v>
      </c>
      <c r="G566">
        <f>IF('Boletins Nuppa Site'!I566&lt;&gt;0,'Boletins Nuppa Site'!I566,"NULL")</f>
        <v>68</v>
      </c>
      <c r="H566">
        <f>IF('Boletins Nuppa Site'!J566&lt;&gt;0,'Boletins Nuppa Site'!J566,"NULL")</f>
        <v>60</v>
      </c>
      <c r="J566" t="str">
        <f t="shared" si="8"/>
        <v>INSERT INTO COTACAO (blt_id, pap_id, cot_prc_comum, cot_prc_min, cot_prc_max, cot_prc_med, cot_prc_mediana) VALUES (15, 13, 60, 60, 84, 68, 60);</v>
      </c>
    </row>
    <row r="567" spans="1:10" x14ac:dyDescent="0.3">
      <c r="A567">
        <v>566</v>
      </c>
      <c r="B567">
        <v>15</v>
      </c>
      <c r="C567">
        <v>14</v>
      </c>
      <c r="D567" t="str">
        <f>IF('Boletins Nuppa Site'!F567&lt;&gt;0,'Boletins Nuppa Site'!F567,"NULL")</f>
        <v>NULL</v>
      </c>
      <c r="E567">
        <f>IF('Boletins Nuppa Site'!G567&lt;&gt;0,'Boletins Nuppa Site'!G567,"NULL")</f>
        <v>55</v>
      </c>
      <c r="F567">
        <f>IF('Boletins Nuppa Site'!H567&lt;&gt;0,'Boletins Nuppa Site'!H567,"NULL")</f>
        <v>84</v>
      </c>
      <c r="G567" t="str">
        <f>IF('Boletins Nuppa Site'!I567&lt;&gt;0,'Boletins Nuppa Site'!I567,"NULL")</f>
        <v>70.33</v>
      </c>
      <c r="H567">
        <f>IF('Boletins Nuppa Site'!J567&lt;&gt;0,'Boletins Nuppa Site'!J567,"NULL")</f>
        <v>72</v>
      </c>
      <c r="J567" t="str">
        <f t="shared" si="8"/>
        <v>INSERT INTO COTACAO (blt_id, pap_id, cot_prc_comum, cot_prc_min, cot_prc_max, cot_prc_med, cot_prc_mediana) VALUES (15, 14, NULL, 55, 84, 70.33, 72);</v>
      </c>
    </row>
    <row r="568" spans="1:10" x14ac:dyDescent="0.3">
      <c r="A568">
        <v>567</v>
      </c>
      <c r="B568">
        <v>15</v>
      </c>
      <c r="C568">
        <v>15</v>
      </c>
      <c r="D568" t="str">
        <f>IF('Boletins Nuppa Site'!F568&lt;&gt;0,'Boletins Nuppa Site'!F568,"NULL")</f>
        <v>NULL</v>
      </c>
      <c r="E568">
        <f>IF('Boletins Nuppa Site'!G568&lt;&gt;0,'Boletins Nuppa Site'!G568,"NULL")</f>
        <v>48</v>
      </c>
      <c r="F568">
        <f>IF('Boletins Nuppa Site'!H568&lt;&gt;0,'Boletins Nuppa Site'!H568,"NULL")</f>
        <v>70</v>
      </c>
      <c r="G568">
        <f>IF('Boletins Nuppa Site'!I568&lt;&gt;0,'Boletins Nuppa Site'!I568,"NULL")</f>
        <v>56</v>
      </c>
      <c r="H568">
        <f>IF('Boletins Nuppa Site'!J568&lt;&gt;0,'Boletins Nuppa Site'!J568,"NULL")</f>
        <v>50</v>
      </c>
      <c r="J568" t="str">
        <f t="shared" si="8"/>
        <v>INSERT INTO COTACAO (blt_id, pap_id, cot_prc_comum, cot_prc_min, cot_prc_max, cot_prc_med, cot_prc_mediana) VALUES (15, 15, NULL, 48, 70, 56, 50);</v>
      </c>
    </row>
    <row r="569" spans="1:10" x14ac:dyDescent="0.3">
      <c r="A569">
        <v>568</v>
      </c>
      <c r="B569">
        <v>15</v>
      </c>
      <c r="C569">
        <v>16</v>
      </c>
      <c r="D569">
        <f>IF('Boletins Nuppa Site'!F569&lt;&gt;0,'Boletins Nuppa Site'!F569,"NULL")</f>
        <v>54</v>
      </c>
      <c r="E569">
        <f>IF('Boletins Nuppa Site'!G569&lt;&gt;0,'Boletins Nuppa Site'!G569,"NULL")</f>
        <v>48</v>
      </c>
      <c r="F569">
        <f>IF('Boletins Nuppa Site'!H569&lt;&gt;0,'Boletins Nuppa Site'!H569,"NULL")</f>
        <v>54</v>
      </c>
      <c r="G569">
        <f>IF('Boletins Nuppa Site'!I569&lt;&gt;0,'Boletins Nuppa Site'!I569,"NULL")</f>
        <v>52</v>
      </c>
      <c r="H569">
        <f>IF('Boletins Nuppa Site'!J569&lt;&gt;0,'Boletins Nuppa Site'!J569,"NULL")</f>
        <v>54</v>
      </c>
      <c r="J569" t="str">
        <f t="shared" si="8"/>
        <v>INSERT INTO COTACAO (blt_id, pap_id, cot_prc_comum, cot_prc_min, cot_prc_max, cot_prc_med, cot_prc_mediana) VALUES (15, 16, 54, 48, 54, 52, 54);</v>
      </c>
    </row>
    <row r="570" spans="1:10" x14ac:dyDescent="0.3">
      <c r="A570">
        <v>569</v>
      </c>
      <c r="B570">
        <v>15</v>
      </c>
      <c r="C570">
        <v>17</v>
      </c>
      <c r="D570">
        <f>IF('Boletins Nuppa Site'!F570&lt;&gt;0,'Boletins Nuppa Site'!F570,"NULL")</f>
        <v>60</v>
      </c>
      <c r="E570">
        <f>IF('Boletins Nuppa Site'!G570&lt;&gt;0,'Boletins Nuppa Site'!G570,"NULL")</f>
        <v>60</v>
      </c>
      <c r="F570">
        <f>IF('Boletins Nuppa Site'!H570&lt;&gt;0,'Boletins Nuppa Site'!H570,"NULL")</f>
        <v>72</v>
      </c>
      <c r="G570">
        <f>IF('Boletins Nuppa Site'!I570&lt;&gt;0,'Boletins Nuppa Site'!I570,"NULL")</f>
        <v>64</v>
      </c>
      <c r="H570">
        <f>IF('Boletins Nuppa Site'!J570&lt;&gt;0,'Boletins Nuppa Site'!J570,"NULL")</f>
        <v>60</v>
      </c>
      <c r="J570" t="str">
        <f t="shared" si="8"/>
        <v>INSERT INTO COTACAO (blt_id, pap_id, cot_prc_comum, cot_prc_min, cot_prc_max, cot_prc_med, cot_prc_mediana) VALUES (15, 17, 60, 60, 72, 64, 60);</v>
      </c>
    </row>
    <row r="571" spans="1:10" x14ac:dyDescent="0.3">
      <c r="A571">
        <v>570</v>
      </c>
      <c r="B571">
        <v>15</v>
      </c>
      <c r="C571">
        <v>18</v>
      </c>
      <c r="D571" t="str">
        <f>IF('Boletins Nuppa Site'!F571&lt;&gt;0,'Boletins Nuppa Site'!F571,"NULL")</f>
        <v>NULL</v>
      </c>
      <c r="E571">
        <f>IF('Boletins Nuppa Site'!G571&lt;&gt;0,'Boletins Nuppa Site'!G571,"NULL")</f>
        <v>20</v>
      </c>
      <c r="F571">
        <f>IF('Boletins Nuppa Site'!H571&lt;&gt;0,'Boletins Nuppa Site'!H571,"NULL")</f>
        <v>30</v>
      </c>
      <c r="G571">
        <f>IF('Boletins Nuppa Site'!I571&lt;&gt;0,'Boletins Nuppa Site'!I571,"NULL")</f>
        <v>25</v>
      </c>
      <c r="H571">
        <f>IF('Boletins Nuppa Site'!J571&lt;&gt;0,'Boletins Nuppa Site'!J571,"NULL")</f>
        <v>25</v>
      </c>
      <c r="J571" t="str">
        <f t="shared" si="8"/>
        <v>INSERT INTO COTACAO (blt_id, pap_id, cot_prc_comum, cot_prc_min, cot_prc_max, cot_prc_med, cot_prc_mediana) VALUES (15, 18, NULL, 20, 30, 25, 25);</v>
      </c>
    </row>
    <row r="572" spans="1:10" x14ac:dyDescent="0.3">
      <c r="A572">
        <v>571</v>
      </c>
      <c r="B572">
        <v>15</v>
      </c>
      <c r="C572">
        <v>19</v>
      </c>
      <c r="D572">
        <f>IF('Boletins Nuppa Site'!F572&lt;&gt;0,'Boletins Nuppa Site'!F572,"NULL")</f>
        <v>30</v>
      </c>
      <c r="E572">
        <f>IF('Boletins Nuppa Site'!G572&lt;&gt;0,'Boletins Nuppa Site'!G572,"NULL")</f>
        <v>30</v>
      </c>
      <c r="F572">
        <f>IF('Boletins Nuppa Site'!H572&lt;&gt;0,'Boletins Nuppa Site'!H572,"NULL")</f>
        <v>35</v>
      </c>
      <c r="G572" t="str">
        <f>IF('Boletins Nuppa Site'!I572&lt;&gt;0,'Boletins Nuppa Site'!I572,"NULL")</f>
        <v>31.67</v>
      </c>
      <c r="H572">
        <f>IF('Boletins Nuppa Site'!J572&lt;&gt;0,'Boletins Nuppa Site'!J572,"NULL")</f>
        <v>30</v>
      </c>
      <c r="J572" t="str">
        <f t="shared" si="8"/>
        <v>INSERT INTO COTACAO (blt_id, pap_id, cot_prc_comum, cot_prc_min, cot_prc_max, cot_prc_med, cot_prc_mediana) VALUES (15, 19, 30, 30, 35, 31.67, 30);</v>
      </c>
    </row>
    <row r="573" spans="1:10" x14ac:dyDescent="0.3">
      <c r="A573">
        <v>572</v>
      </c>
      <c r="B573">
        <v>15</v>
      </c>
      <c r="C573">
        <v>20</v>
      </c>
      <c r="D573" t="str">
        <f>IF('Boletins Nuppa Site'!F573&lt;&gt;0,'Boletins Nuppa Site'!F573,"NULL")</f>
        <v>NULL</v>
      </c>
      <c r="E573">
        <f>IF('Boletins Nuppa Site'!G573&lt;&gt;0,'Boletins Nuppa Site'!G573,"NULL")</f>
        <v>90</v>
      </c>
      <c r="F573">
        <f>IF('Boletins Nuppa Site'!H573&lt;&gt;0,'Boletins Nuppa Site'!H573,"NULL")</f>
        <v>90</v>
      </c>
      <c r="G573">
        <f>IF('Boletins Nuppa Site'!I573&lt;&gt;0,'Boletins Nuppa Site'!I573,"NULL")</f>
        <v>90</v>
      </c>
      <c r="H573">
        <f>IF('Boletins Nuppa Site'!J573&lt;&gt;0,'Boletins Nuppa Site'!J573,"NULL")</f>
        <v>90</v>
      </c>
      <c r="J573" t="str">
        <f t="shared" si="8"/>
        <v>INSERT INTO COTACAO (blt_id, pap_id, cot_prc_comum, cot_prc_min, cot_prc_max, cot_prc_med, cot_prc_mediana) VALUES (15, 20, NULL, 90, 90, 90, 90);</v>
      </c>
    </row>
    <row r="574" spans="1:10" x14ac:dyDescent="0.3">
      <c r="A574">
        <v>573</v>
      </c>
      <c r="B574">
        <v>15</v>
      </c>
      <c r="C574">
        <v>21</v>
      </c>
      <c r="D574">
        <f>IF('Boletins Nuppa Site'!F574&lt;&gt;0,'Boletins Nuppa Site'!F574,"NULL")</f>
        <v>70</v>
      </c>
      <c r="E574">
        <f>IF('Boletins Nuppa Site'!G574&lt;&gt;0,'Boletins Nuppa Site'!G574,"NULL")</f>
        <v>60</v>
      </c>
      <c r="F574">
        <f>IF('Boletins Nuppa Site'!H574&lt;&gt;0,'Boletins Nuppa Site'!H574,"NULL")</f>
        <v>70</v>
      </c>
      <c r="G574">
        <f>IF('Boletins Nuppa Site'!I574&lt;&gt;0,'Boletins Nuppa Site'!I574,"NULL")</f>
        <v>65</v>
      </c>
      <c r="H574">
        <f>IF('Boletins Nuppa Site'!J574&lt;&gt;0,'Boletins Nuppa Site'!J574,"NULL")</f>
        <v>65</v>
      </c>
      <c r="J574" t="str">
        <f t="shared" si="8"/>
        <v>INSERT INTO COTACAO (blt_id, pap_id, cot_prc_comum, cot_prc_min, cot_prc_max, cot_prc_med, cot_prc_mediana) VALUES (15, 21, 70, 60, 70, 65, 65);</v>
      </c>
    </row>
    <row r="575" spans="1:10" x14ac:dyDescent="0.3">
      <c r="A575">
        <v>574</v>
      </c>
      <c r="B575">
        <v>15</v>
      </c>
      <c r="C575">
        <v>22</v>
      </c>
      <c r="D575" t="str">
        <f>IF('Boletins Nuppa Site'!F575&lt;&gt;0,'Boletins Nuppa Site'!F575,"NULL")</f>
        <v>NULL</v>
      </c>
      <c r="E575">
        <f>IF('Boletins Nuppa Site'!G575&lt;&gt;0,'Boletins Nuppa Site'!G575,"NULL")</f>
        <v>45</v>
      </c>
      <c r="F575">
        <f>IF('Boletins Nuppa Site'!H575&lt;&gt;0,'Boletins Nuppa Site'!H575,"NULL")</f>
        <v>70</v>
      </c>
      <c r="G575">
        <f>IF('Boletins Nuppa Site'!I575&lt;&gt;0,'Boletins Nuppa Site'!I575,"NULL")</f>
        <v>60</v>
      </c>
      <c r="H575" t="str">
        <f>IF('Boletins Nuppa Site'!J575&lt;&gt;0,'Boletins Nuppa Site'!J575,"NULL")</f>
        <v>62.5</v>
      </c>
      <c r="J575" t="str">
        <f t="shared" si="8"/>
        <v>INSERT INTO COTACAO (blt_id, pap_id, cot_prc_comum, cot_prc_min, cot_prc_max, cot_prc_med, cot_prc_mediana) VALUES (15, 22, NULL, 45, 70, 60, 62.5);</v>
      </c>
    </row>
    <row r="576" spans="1:10" x14ac:dyDescent="0.3">
      <c r="A576">
        <v>575</v>
      </c>
      <c r="B576">
        <v>15</v>
      </c>
      <c r="C576">
        <v>23</v>
      </c>
      <c r="D576">
        <f>IF('Boletins Nuppa Site'!F576&lt;&gt;0,'Boletins Nuppa Site'!F576,"NULL")</f>
        <v>40</v>
      </c>
      <c r="E576">
        <f>IF('Boletins Nuppa Site'!G576&lt;&gt;0,'Boletins Nuppa Site'!G576,"NULL")</f>
        <v>40</v>
      </c>
      <c r="F576">
        <f>IF('Boletins Nuppa Site'!H576&lt;&gt;0,'Boletins Nuppa Site'!H576,"NULL")</f>
        <v>50</v>
      </c>
      <c r="G576" t="str">
        <f>IF('Boletins Nuppa Site'!I576&lt;&gt;0,'Boletins Nuppa Site'!I576,"NULL")</f>
        <v>43.75</v>
      </c>
      <c r="H576" t="str">
        <f>IF('Boletins Nuppa Site'!J576&lt;&gt;0,'Boletins Nuppa Site'!J576,"NULL")</f>
        <v>42.5</v>
      </c>
      <c r="J576" t="str">
        <f t="shared" si="8"/>
        <v>INSERT INTO COTACAO (blt_id, pap_id, cot_prc_comum, cot_prc_min, cot_prc_max, cot_prc_med, cot_prc_mediana) VALUES (15, 23, 40, 40, 50, 43.75, 42.5);</v>
      </c>
    </row>
    <row r="577" spans="1:10" x14ac:dyDescent="0.3">
      <c r="A577">
        <v>576</v>
      </c>
      <c r="B577">
        <v>15</v>
      </c>
      <c r="C577">
        <v>24</v>
      </c>
      <c r="D577" t="str">
        <f>IF('Boletins Nuppa Site'!F577&lt;&gt;0,'Boletins Nuppa Site'!F577,"NULL")</f>
        <v>NULL</v>
      </c>
      <c r="E577">
        <f>IF('Boletins Nuppa Site'!G577&lt;&gt;0,'Boletins Nuppa Site'!G577,"NULL")</f>
        <v>90</v>
      </c>
      <c r="F577">
        <f>IF('Boletins Nuppa Site'!H577&lt;&gt;0,'Boletins Nuppa Site'!H577,"NULL")</f>
        <v>110</v>
      </c>
      <c r="G577">
        <f>IF('Boletins Nuppa Site'!I577&lt;&gt;0,'Boletins Nuppa Site'!I577,"NULL")</f>
        <v>100</v>
      </c>
      <c r="H577">
        <f>IF('Boletins Nuppa Site'!J577&lt;&gt;0,'Boletins Nuppa Site'!J577,"NULL")</f>
        <v>100</v>
      </c>
      <c r="J577" t="str">
        <f t="shared" si="8"/>
        <v>INSERT INTO COTACAO (blt_id, pap_id, cot_prc_comum, cot_prc_min, cot_prc_max, cot_prc_med, cot_prc_mediana) VALUES (15, 24, NULL, 90, 110, 100, 100);</v>
      </c>
    </row>
    <row r="578" spans="1:10" x14ac:dyDescent="0.3">
      <c r="A578">
        <v>577</v>
      </c>
      <c r="B578">
        <v>15</v>
      </c>
      <c r="C578">
        <v>25</v>
      </c>
      <c r="D578" t="str">
        <f>IF('Boletins Nuppa Site'!F578&lt;&gt;0,'Boletins Nuppa Site'!F578,"NULL")</f>
        <v>NULL</v>
      </c>
      <c r="E578">
        <f>IF('Boletins Nuppa Site'!G578&lt;&gt;0,'Boletins Nuppa Site'!G578,"NULL")</f>
        <v>100</v>
      </c>
      <c r="F578">
        <f>IF('Boletins Nuppa Site'!H578&lt;&gt;0,'Boletins Nuppa Site'!H578,"NULL")</f>
        <v>160</v>
      </c>
      <c r="G578" t="str">
        <f>IF('Boletins Nuppa Site'!I578&lt;&gt;0,'Boletins Nuppa Site'!I578,"NULL")</f>
        <v>132.5</v>
      </c>
      <c r="H578">
        <f>IF('Boletins Nuppa Site'!J578&lt;&gt;0,'Boletins Nuppa Site'!J578,"NULL")</f>
        <v>135</v>
      </c>
      <c r="J578" t="str">
        <f t="shared" si="8"/>
        <v>INSERT INTO COTACAO (blt_id, pap_id, cot_prc_comum, cot_prc_min, cot_prc_max, cot_prc_med, cot_prc_mediana) VALUES (15, 25, NULL, 100, 160, 132.5, 135);</v>
      </c>
    </row>
    <row r="579" spans="1:10" x14ac:dyDescent="0.3">
      <c r="A579">
        <v>578</v>
      </c>
      <c r="B579">
        <v>15</v>
      </c>
      <c r="C579">
        <v>26</v>
      </c>
      <c r="D579">
        <f>IF('Boletins Nuppa Site'!F579&lt;&gt;0,'Boletins Nuppa Site'!F579,"NULL")</f>
        <v>160</v>
      </c>
      <c r="E579">
        <f>IF('Boletins Nuppa Site'!G579&lt;&gt;0,'Boletins Nuppa Site'!G579,"NULL")</f>
        <v>80</v>
      </c>
      <c r="F579">
        <f>IF('Boletins Nuppa Site'!H579&lt;&gt;0,'Boletins Nuppa Site'!H579,"NULL")</f>
        <v>170</v>
      </c>
      <c r="G579">
        <f>IF('Boletins Nuppa Site'!I579&lt;&gt;0,'Boletins Nuppa Site'!I579,"NULL")</f>
        <v>142</v>
      </c>
      <c r="H579">
        <f>IF('Boletins Nuppa Site'!J579&lt;&gt;0,'Boletins Nuppa Site'!J579,"NULL")</f>
        <v>160</v>
      </c>
      <c r="J579" t="str">
        <f t="shared" ref="J579:J642" si="9">"INSERT INTO COTACAO (blt_id, pap_id, cot_prc_comum, cot_prc_min, cot_prc_max, cot_prc_med, cot_prc_mediana) VALUES ("&amp;B579&amp;", "&amp;C579&amp;", "&amp;D579&amp;", "&amp;E579&amp;", "&amp;F579&amp;", "&amp;G579&amp;", "&amp;H579&amp;");"</f>
        <v>INSERT INTO COTACAO (blt_id, pap_id, cot_prc_comum, cot_prc_min, cot_prc_max, cot_prc_med, cot_prc_mediana) VALUES (15, 26, 160, 80, 170, 142, 160);</v>
      </c>
    </row>
    <row r="580" spans="1:10" x14ac:dyDescent="0.3">
      <c r="A580">
        <v>579</v>
      </c>
      <c r="B580">
        <v>15</v>
      </c>
      <c r="C580">
        <v>27</v>
      </c>
      <c r="D580">
        <f>IF('Boletins Nuppa Site'!F580&lt;&gt;0,'Boletins Nuppa Site'!F580,"NULL")</f>
        <v>60</v>
      </c>
      <c r="E580">
        <f>IF('Boletins Nuppa Site'!G580&lt;&gt;0,'Boletins Nuppa Site'!G580,"NULL")</f>
        <v>45</v>
      </c>
      <c r="F580">
        <f>IF('Boletins Nuppa Site'!H580&lt;&gt;0,'Boletins Nuppa Site'!H580,"NULL")</f>
        <v>60</v>
      </c>
      <c r="G580" t="str">
        <f>IF('Boletins Nuppa Site'!I580&lt;&gt;0,'Boletins Nuppa Site'!I580,"NULL")</f>
        <v>56.25</v>
      </c>
      <c r="H580">
        <f>IF('Boletins Nuppa Site'!J580&lt;&gt;0,'Boletins Nuppa Site'!J580,"NULL")</f>
        <v>60</v>
      </c>
      <c r="J580" t="str">
        <f t="shared" si="9"/>
        <v>INSERT INTO COTACAO (blt_id, pap_id, cot_prc_comum, cot_prc_min, cot_prc_max, cot_prc_med, cot_prc_mediana) VALUES (15, 27, 60, 45, 60, 56.25, 60);</v>
      </c>
    </row>
    <row r="581" spans="1:10" x14ac:dyDescent="0.3">
      <c r="A581">
        <v>580</v>
      </c>
      <c r="B581">
        <v>15</v>
      </c>
      <c r="C581">
        <v>28</v>
      </c>
      <c r="D581" t="str">
        <f>IF('Boletins Nuppa Site'!F581&lt;&gt;0,'Boletins Nuppa Site'!F581,"NULL")</f>
        <v>NULL</v>
      </c>
      <c r="E581">
        <f>IF('Boletins Nuppa Site'!G581&lt;&gt;0,'Boletins Nuppa Site'!G581,"NULL")</f>
        <v>120</v>
      </c>
      <c r="F581">
        <f>IF('Boletins Nuppa Site'!H581&lt;&gt;0,'Boletins Nuppa Site'!H581,"NULL")</f>
        <v>120</v>
      </c>
      <c r="G581">
        <f>IF('Boletins Nuppa Site'!I581&lt;&gt;0,'Boletins Nuppa Site'!I581,"NULL")</f>
        <v>120</v>
      </c>
      <c r="H581">
        <f>IF('Boletins Nuppa Site'!J581&lt;&gt;0,'Boletins Nuppa Site'!J581,"NULL")</f>
        <v>120</v>
      </c>
      <c r="J581" t="str">
        <f t="shared" si="9"/>
        <v>INSERT INTO COTACAO (blt_id, pap_id, cot_prc_comum, cot_prc_min, cot_prc_max, cot_prc_med, cot_prc_mediana) VALUES (15, 28, NULL, 120, 120, 120, 120);</v>
      </c>
    </row>
    <row r="582" spans="1:10" x14ac:dyDescent="0.3">
      <c r="A582">
        <v>581</v>
      </c>
      <c r="B582">
        <v>15</v>
      </c>
      <c r="C582">
        <v>29</v>
      </c>
      <c r="D582" t="str">
        <f>IF('Boletins Nuppa Site'!F582&lt;&gt;0,'Boletins Nuppa Site'!F582,"NULL")</f>
        <v>NULL</v>
      </c>
      <c r="E582" t="str">
        <f>IF('Boletins Nuppa Site'!G582&lt;&gt;0,'Boletins Nuppa Site'!G582,"NULL")</f>
        <v>NULL</v>
      </c>
      <c r="F582" t="str">
        <f>IF('Boletins Nuppa Site'!H582&lt;&gt;0,'Boletins Nuppa Site'!H582,"NULL")</f>
        <v>NULL</v>
      </c>
      <c r="G582" t="str">
        <f>IF('Boletins Nuppa Site'!I582&lt;&gt;0,'Boletins Nuppa Site'!I582,"NULL")</f>
        <v>NULL</v>
      </c>
      <c r="H582" t="str">
        <f>IF('Boletins Nuppa Site'!J582&lt;&gt;0,'Boletins Nuppa Site'!J582,"NULL")</f>
        <v>NULL</v>
      </c>
      <c r="J582" t="str">
        <f t="shared" si="9"/>
        <v>INSERT INTO COTACAO (blt_id, pap_id, cot_prc_comum, cot_prc_min, cot_prc_max, cot_prc_med, cot_prc_mediana) VALUES (15, 29, NULL, NULL, NULL, NULL, NULL);</v>
      </c>
    </row>
    <row r="583" spans="1:10" x14ac:dyDescent="0.3">
      <c r="A583">
        <v>582</v>
      </c>
      <c r="B583">
        <v>15</v>
      </c>
      <c r="C583">
        <v>30</v>
      </c>
      <c r="D583" t="str">
        <f>IF('Boletins Nuppa Site'!F583&lt;&gt;0,'Boletins Nuppa Site'!F583,"NULL")</f>
        <v>NULL</v>
      </c>
      <c r="E583">
        <f>IF('Boletins Nuppa Site'!G583&lt;&gt;0,'Boletins Nuppa Site'!G583,"NULL")</f>
        <v>75</v>
      </c>
      <c r="F583">
        <f>IF('Boletins Nuppa Site'!H583&lt;&gt;0,'Boletins Nuppa Site'!H583,"NULL")</f>
        <v>75</v>
      </c>
      <c r="G583">
        <f>IF('Boletins Nuppa Site'!I583&lt;&gt;0,'Boletins Nuppa Site'!I583,"NULL")</f>
        <v>75</v>
      </c>
      <c r="H583">
        <f>IF('Boletins Nuppa Site'!J583&lt;&gt;0,'Boletins Nuppa Site'!J583,"NULL")</f>
        <v>75</v>
      </c>
      <c r="J583" t="str">
        <f t="shared" si="9"/>
        <v>INSERT INTO COTACAO (blt_id, pap_id, cot_prc_comum, cot_prc_min, cot_prc_max, cot_prc_med, cot_prc_mediana) VALUES (15, 30, NULL, 75, 75, 75, 75);</v>
      </c>
    </row>
    <row r="584" spans="1:10" x14ac:dyDescent="0.3">
      <c r="A584">
        <v>583</v>
      </c>
      <c r="B584">
        <v>15</v>
      </c>
      <c r="C584">
        <v>31</v>
      </c>
      <c r="D584" t="str">
        <f>IF('Boletins Nuppa Site'!F584&lt;&gt;0,'Boletins Nuppa Site'!F584,"NULL")</f>
        <v>NULL</v>
      </c>
      <c r="E584">
        <f>IF('Boletins Nuppa Site'!G584&lt;&gt;0,'Boletins Nuppa Site'!G584,"NULL")</f>
        <v>60</v>
      </c>
      <c r="F584">
        <f>IF('Boletins Nuppa Site'!H584&lt;&gt;0,'Boletins Nuppa Site'!H584,"NULL")</f>
        <v>90</v>
      </c>
      <c r="G584" t="str">
        <f>IF('Boletins Nuppa Site'!I584&lt;&gt;0,'Boletins Nuppa Site'!I584,"NULL")</f>
        <v>78.75</v>
      </c>
      <c r="H584" t="str">
        <f>IF('Boletins Nuppa Site'!J584&lt;&gt;0,'Boletins Nuppa Site'!J584,"NULL")</f>
        <v>82.5</v>
      </c>
      <c r="J584" t="str">
        <f t="shared" si="9"/>
        <v>INSERT INTO COTACAO (blt_id, pap_id, cot_prc_comum, cot_prc_min, cot_prc_max, cot_prc_med, cot_prc_mediana) VALUES (15, 31, NULL, 60, 90, 78.75, 82.5);</v>
      </c>
    </row>
    <row r="585" spans="1:10" x14ac:dyDescent="0.3">
      <c r="A585">
        <v>584</v>
      </c>
      <c r="B585">
        <v>15</v>
      </c>
      <c r="C585">
        <v>32</v>
      </c>
      <c r="D585" t="str">
        <f>IF('Boletins Nuppa Site'!F585&lt;&gt;0,'Boletins Nuppa Site'!F585,"NULL")</f>
        <v>NULL</v>
      </c>
      <c r="E585">
        <f>IF('Boletins Nuppa Site'!G585&lt;&gt;0,'Boletins Nuppa Site'!G585,"NULL")</f>
        <v>55</v>
      </c>
      <c r="F585">
        <f>IF('Boletins Nuppa Site'!H585&lt;&gt;0,'Boletins Nuppa Site'!H585,"NULL")</f>
        <v>75</v>
      </c>
      <c r="G585">
        <f>IF('Boletins Nuppa Site'!I585&lt;&gt;0,'Boletins Nuppa Site'!I585,"NULL")</f>
        <v>65</v>
      </c>
      <c r="H585">
        <f>IF('Boletins Nuppa Site'!J585&lt;&gt;0,'Boletins Nuppa Site'!J585,"NULL")</f>
        <v>65</v>
      </c>
      <c r="J585" t="str">
        <f t="shared" si="9"/>
        <v>INSERT INTO COTACAO (blt_id, pap_id, cot_prc_comum, cot_prc_min, cot_prc_max, cot_prc_med, cot_prc_mediana) VALUES (15, 32, NULL, 55, 75, 65, 65);</v>
      </c>
    </row>
    <row r="586" spans="1:10" x14ac:dyDescent="0.3">
      <c r="A586">
        <v>585</v>
      </c>
      <c r="B586">
        <v>15</v>
      </c>
      <c r="C586">
        <v>33</v>
      </c>
      <c r="D586">
        <f>IF('Boletins Nuppa Site'!F586&lt;&gt;0,'Boletins Nuppa Site'!F586,"NULL")</f>
        <v>120</v>
      </c>
      <c r="E586">
        <f>IF('Boletins Nuppa Site'!G586&lt;&gt;0,'Boletins Nuppa Site'!G586,"NULL")</f>
        <v>120</v>
      </c>
      <c r="F586">
        <f>IF('Boletins Nuppa Site'!H586&lt;&gt;0,'Boletins Nuppa Site'!H586,"NULL")</f>
        <v>120</v>
      </c>
      <c r="G586">
        <f>IF('Boletins Nuppa Site'!I586&lt;&gt;0,'Boletins Nuppa Site'!I586,"NULL")</f>
        <v>120</v>
      </c>
      <c r="H586">
        <f>IF('Boletins Nuppa Site'!J586&lt;&gt;0,'Boletins Nuppa Site'!J586,"NULL")</f>
        <v>120</v>
      </c>
      <c r="J586" t="str">
        <f t="shared" si="9"/>
        <v>INSERT INTO COTACAO (blt_id, pap_id, cot_prc_comum, cot_prc_min, cot_prc_max, cot_prc_med, cot_prc_mediana) VALUES (15, 33, 120, 120, 120, 120, 120);</v>
      </c>
    </row>
    <row r="587" spans="1:10" x14ac:dyDescent="0.3">
      <c r="A587">
        <v>586</v>
      </c>
      <c r="B587">
        <v>15</v>
      </c>
      <c r="C587">
        <v>34</v>
      </c>
      <c r="D587" t="str">
        <f>IF('Boletins Nuppa Site'!F587&lt;&gt;0,'Boletins Nuppa Site'!F587,"NULL")</f>
        <v>NULL</v>
      </c>
      <c r="E587">
        <f>IF('Boletins Nuppa Site'!G587&lt;&gt;0,'Boletins Nuppa Site'!G587,"NULL")</f>
        <v>110</v>
      </c>
      <c r="F587">
        <f>IF('Boletins Nuppa Site'!H587&lt;&gt;0,'Boletins Nuppa Site'!H587,"NULL")</f>
        <v>160</v>
      </c>
      <c r="G587">
        <f>IF('Boletins Nuppa Site'!I587&lt;&gt;0,'Boletins Nuppa Site'!I587,"NULL")</f>
        <v>140</v>
      </c>
      <c r="H587">
        <f>IF('Boletins Nuppa Site'!J587&lt;&gt;0,'Boletins Nuppa Site'!J587,"NULL")</f>
        <v>145</v>
      </c>
      <c r="J587" t="str">
        <f t="shared" si="9"/>
        <v>INSERT INTO COTACAO (blt_id, pap_id, cot_prc_comum, cot_prc_min, cot_prc_max, cot_prc_med, cot_prc_mediana) VALUES (15, 34, NULL, 110, 160, 140, 145);</v>
      </c>
    </row>
    <row r="588" spans="1:10" x14ac:dyDescent="0.3">
      <c r="A588">
        <v>587</v>
      </c>
      <c r="B588">
        <v>15</v>
      </c>
      <c r="C588">
        <v>35</v>
      </c>
      <c r="D588" t="str">
        <f>IF('Boletins Nuppa Site'!F588&lt;&gt;0,'Boletins Nuppa Site'!F588,"NULL")</f>
        <v>NULL</v>
      </c>
      <c r="E588">
        <f>IF('Boletins Nuppa Site'!G588&lt;&gt;0,'Boletins Nuppa Site'!G588,"NULL")</f>
        <v>110</v>
      </c>
      <c r="F588">
        <f>IF('Boletins Nuppa Site'!H588&lt;&gt;0,'Boletins Nuppa Site'!H588,"NULL")</f>
        <v>180</v>
      </c>
      <c r="G588">
        <f>IF('Boletins Nuppa Site'!I588&lt;&gt;0,'Boletins Nuppa Site'!I588,"NULL")</f>
        <v>145</v>
      </c>
      <c r="H588">
        <f>IF('Boletins Nuppa Site'!J588&lt;&gt;0,'Boletins Nuppa Site'!J588,"NULL")</f>
        <v>145</v>
      </c>
      <c r="J588" t="str">
        <f t="shared" si="9"/>
        <v>INSERT INTO COTACAO (blt_id, pap_id, cot_prc_comum, cot_prc_min, cot_prc_max, cot_prc_med, cot_prc_mediana) VALUES (15, 35, NULL, 110, 180, 145, 145);</v>
      </c>
    </row>
    <row r="589" spans="1:10" x14ac:dyDescent="0.3">
      <c r="A589">
        <v>588</v>
      </c>
      <c r="B589">
        <v>15</v>
      </c>
      <c r="C589">
        <v>36</v>
      </c>
      <c r="D589" t="str">
        <f>IF('Boletins Nuppa Site'!F589&lt;&gt;0,'Boletins Nuppa Site'!F589,"NULL")</f>
        <v>NULL</v>
      </c>
      <c r="E589">
        <f>IF('Boletins Nuppa Site'!G589&lt;&gt;0,'Boletins Nuppa Site'!G589,"NULL")</f>
        <v>110</v>
      </c>
      <c r="F589">
        <f>IF('Boletins Nuppa Site'!H589&lt;&gt;0,'Boletins Nuppa Site'!H589,"NULL")</f>
        <v>110</v>
      </c>
      <c r="G589">
        <f>IF('Boletins Nuppa Site'!I589&lt;&gt;0,'Boletins Nuppa Site'!I589,"NULL")</f>
        <v>110</v>
      </c>
      <c r="H589">
        <f>IF('Boletins Nuppa Site'!J589&lt;&gt;0,'Boletins Nuppa Site'!J589,"NULL")</f>
        <v>110</v>
      </c>
      <c r="J589" t="str">
        <f t="shared" si="9"/>
        <v>INSERT INTO COTACAO (blt_id, pap_id, cot_prc_comum, cot_prc_min, cot_prc_max, cot_prc_med, cot_prc_mediana) VALUES (15, 36, NULL, 110, 110, 110, 110);</v>
      </c>
    </row>
    <row r="590" spans="1:10" x14ac:dyDescent="0.3">
      <c r="A590">
        <v>589</v>
      </c>
      <c r="B590">
        <v>15</v>
      </c>
      <c r="C590">
        <v>37</v>
      </c>
      <c r="D590">
        <f>IF('Boletins Nuppa Site'!F590&lt;&gt;0,'Boletins Nuppa Site'!F590,"NULL")</f>
        <v>70</v>
      </c>
      <c r="E590">
        <f>IF('Boletins Nuppa Site'!G590&lt;&gt;0,'Boletins Nuppa Site'!G590,"NULL")</f>
        <v>70</v>
      </c>
      <c r="F590">
        <f>IF('Boletins Nuppa Site'!H590&lt;&gt;0,'Boletins Nuppa Site'!H590,"NULL")</f>
        <v>70</v>
      </c>
      <c r="G590">
        <f>IF('Boletins Nuppa Site'!I590&lt;&gt;0,'Boletins Nuppa Site'!I590,"NULL")</f>
        <v>70</v>
      </c>
      <c r="H590">
        <f>IF('Boletins Nuppa Site'!J590&lt;&gt;0,'Boletins Nuppa Site'!J590,"NULL")</f>
        <v>70</v>
      </c>
      <c r="J590" t="str">
        <f t="shared" si="9"/>
        <v>INSERT INTO COTACAO (blt_id, pap_id, cot_prc_comum, cot_prc_min, cot_prc_max, cot_prc_med, cot_prc_mediana) VALUES (15, 37, 70, 70, 70, 70, 70);</v>
      </c>
    </row>
    <row r="591" spans="1:10" x14ac:dyDescent="0.3">
      <c r="A591">
        <v>590</v>
      </c>
      <c r="B591">
        <v>15</v>
      </c>
      <c r="C591">
        <v>38</v>
      </c>
      <c r="D591" t="str">
        <f>IF('Boletins Nuppa Site'!F591&lt;&gt;0,'Boletins Nuppa Site'!F591,"NULL")</f>
        <v>NULL</v>
      </c>
      <c r="E591">
        <f>IF('Boletins Nuppa Site'!G591&lt;&gt;0,'Boletins Nuppa Site'!G591,"NULL")</f>
        <v>50</v>
      </c>
      <c r="F591">
        <f>IF('Boletins Nuppa Site'!H591&lt;&gt;0,'Boletins Nuppa Site'!H591,"NULL")</f>
        <v>60</v>
      </c>
      <c r="G591">
        <f>IF('Boletins Nuppa Site'!I591&lt;&gt;0,'Boletins Nuppa Site'!I591,"NULL")</f>
        <v>55</v>
      </c>
      <c r="H591">
        <f>IF('Boletins Nuppa Site'!J591&lt;&gt;0,'Boletins Nuppa Site'!J591,"NULL")</f>
        <v>55</v>
      </c>
      <c r="J591" t="str">
        <f t="shared" si="9"/>
        <v>INSERT INTO COTACAO (blt_id, pap_id, cot_prc_comum, cot_prc_min, cot_prc_max, cot_prc_med, cot_prc_mediana) VALUES (15, 38, NULL, 50, 60, 55, 55);</v>
      </c>
    </row>
    <row r="592" spans="1:10" x14ac:dyDescent="0.3">
      <c r="A592">
        <v>591</v>
      </c>
      <c r="B592">
        <v>15</v>
      </c>
      <c r="C592">
        <v>39</v>
      </c>
      <c r="D592" t="str">
        <f>IF('Boletins Nuppa Site'!F592&lt;&gt;0,'Boletins Nuppa Site'!F592,"NULL")</f>
        <v>NULL</v>
      </c>
      <c r="E592">
        <f>IF('Boletins Nuppa Site'!G592&lt;&gt;0,'Boletins Nuppa Site'!G592,"NULL")</f>
        <v>55</v>
      </c>
      <c r="F592">
        <f>IF('Boletins Nuppa Site'!H592&lt;&gt;0,'Boletins Nuppa Site'!H592,"NULL")</f>
        <v>55</v>
      </c>
      <c r="G592">
        <f>IF('Boletins Nuppa Site'!I592&lt;&gt;0,'Boletins Nuppa Site'!I592,"NULL")</f>
        <v>55</v>
      </c>
      <c r="H592">
        <f>IF('Boletins Nuppa Site'!J592&lt;&gt;0,'Boletins Nuppa Site'!J592,"NULL")</f>
        <v>55</v>
      </c>
      <c r="J592" t="str">
        <f t="shared" si="9"/>
        <v>INSERT INTO COTACAO (blt_id, pap_id, cot_prc_comum, cot_prc_min, cot_prc_max, cot_prc_med, cot_prc_mediana) VALUES (15, 39, NULL, 55, 55, 55, 55);</v>
      </c>
    </row>
    <row r="593" spans="1:10" x14ac:dyDescent="0.3">
      <c r="A593">
        <v>592</v>
      </c>
      <c r="B593">
        <v>15</v>
      </c>
      <c r="C593">
        <v>40</v>
      </c>
      <c r="D593" t="str">
        <f>IF('Boletins Nuppa Site'!F593&lt;&gt;0,'Boletins Nuppa Site'!F593,"NULL")</f>
        <v>NULL</v>
      </c>
      <c r="E593">
        <f>IF('Boletins Nuppa Site'!G593&lt;&gt;0,'Boletins Nuppa Site'!G593,"NULL")</f>
        <v>40</v>
      </c>
      <c r="F593">
        <f>IF('Boletins Nuppa Site'!H593&lt;&gt;0,'Boletins Nuppa Site'!H593,"NULL")</f>
        <v>55</v>
      </c>
      <c r="G593" t="str">
        <f>IF('Boletins Nuppa Site'!I593&lt;&gt;0,'Boletins Nuppa Site'!I593,"NULL")</f>
        <v>47.5</v>
      </c>
      <c r="H593" t="str">
        <f>IF('Boletins Nuppa Site'!J593&lt;&gt;0,'Boletins Nuppa Site'!J593,"NULL")</f>
        <v>47.5</v>
      </c>
      <c r="J593" t="str">
        <f t="shared" si="9"/>
        <v>INSERT INTO COTACAO (blt_id, pap_id, cot_prc_comum, cot_prc_min, cot_prc_max, cot_prc_med, cot_prc_mediana) VALUES (15, 40, NULL, 40, 55, 47.5, 47.5);</v>
      </c>
    </row>
    <row r="594" spans="1:10" x14ac:dyDescent="0.3">
      <c r="A594">
        <v>593</v>
      </c>
      <c r="B594">
        <v>16</v>
      </c>
      <c r="C594">
        <v>1</v>
      </c>
      <c r="D594" t="str">
        <f>IF('Boletins Nuppa Site'!F594&lt;&gt;0,'Boletins Nuppa Site'!F594,"NULL")</f>
        <v>NULL</v>
      </c>
      <c r="E594">
        <f>IF('Boletins Nuppa Site'!G594&lt;&gt;0,'Boletins Nuppa Site'!G594,"NULL")</f>
        <v>60</v>
      </c>
      <c r="F594">
        <f>IF('Boletins Nuppa Site'!H594&lt;&gt;0,'Boletins Nuppa Site'!H594,"NULL")</f>
        <v>72</v>
      </c>
      <c r="G594">
        <f>IF('Boletins Nuppa Site'!I594&lt;&gt;0,'Boletins Nuppa Site'!I594,"NULL")</f>
        <v>66</v>
      </c>
      <c r="H594">
        <f>IF('Boletins Nuppa Site'!J594&lt;&gt;0,'Boletins Nuppa Site'!J594,"NULL")</f>
        <v>66</v>
      </c>
      <c r="J594" t="str">
        <f t="shared" si="9"/>
        <v>INSERT INTO COTACAO (blt_id, pap_id, cot_prc_comum, cot_prc_min, cot_prc_max, cot_prc_med, cot_prc_mediana) VALUES (16, 1, NULL, 60, 72, 66, 66);</v>
      </c>
    </row>
    <row r="595" spans="1:10" x14ac:dyDescent="0.3">
      <c r="A595">
        <v>594</v>
      </c>
      <c r="B595">
        <v>16</v>
      </c>
      <c r="C595">
        <v>2</v>
      </c>
      <c r="D595">
        <f>IF('Boletins Nuppa Site'!F595&lt;&gt;0,'Boletins Nuppa Site'!F595,"NULL")</f>
        <v>84</v>
      </c>
      <c r="E595">
        <f>IF('Boletins Nuppa Site'!G595&lt;&gt;0,'Boletins Nuppa Site'!G595,"NULL")</f>
        <v>72</v>
      </c>
      <c r="F595">
        <f>IF('Boletins Nuppa Site'!H595&lt;&gt;0,'Boletins Nuppa Site'!H595,"NULL")</f>
        <v>84</v>
      </c>
      <c r="G595">
        <f>IF('Boletins Nuppa Site'!I595&lt;&gt;0,'Boletins Nuppa Site'!I595,"NULL")</f>
        <v>80</v>
      </c>
      <c r="H595">
        <f>IF('Boletins Nuppa Site'!J595&lt;&gt;0,'Boletins Nuppa Site'!J595,"NULL")</f>
        <v>84</v>
      </c>
      <c r="J595" t="str">
        <f t="shared" si="9"/>
        <v>INSERT INTO COTACAO (blt_id, pap_id, cot_prc_comum, cot_prc_min, cot_prc_max, cot_prc_med, cot_prc_mediana) VALUES (16, 2, 84, 72, 84, 80, 84);</v>
      </c>
    </row>
    <row r="596" spans="1:10" x14ac:dyDescent="0.3">
      <c r="A596">
        <v>595</v>
      </c>
      <c r="B596">
        <v>16</v>
      </c>
      <c r="C596">
        <v>3</v>
      </c>
      <c r="D596" t="str">
        <f>IF('Boletins Nuppa Site'!F596&lt;&gt;0,'Boletins Nuppa Site'!F596,"NULL")</f>
        <v>NULL</v>
      </c>
      <c r="E596">
        <f>IF('Boletins Nuppa Site'!G596&lt;&gt;0,'Boletins Nuppa Site'!G596,"NULL")</f>
        <v>42</v>
      </c>
      <c r="F596">
        <f>IF('Boletins Nuppa Site'!H596&lt;&gt;0,'Boletins Nuppa Site'!H596,"NULL")</f>
        <v>54</v>
      </c>
      <c r="G596">
        <f>IF('Boletins Nuppa Site'!I596&lt;&gt;0,'Boletins Nuppa Site'!I596,"NULL")</f>
        <v>47</v>
      </c>
      <c r="H596">
        <f>IF('Boletins Nuppa Site'!J596&lt;&gt;0,'Boletins Nuppa Site'!J596,"NULL")</f>
        <v>45</v>
      </c>
      <c r="J596" t="str">
        <f t="shared" si="9"/>
        <v>INSERT INTO COTACAO (blt_id, pap_id, cot_prc_comum, cot_prc_min, cot_prc_max, cot_prc_med, cot_prc_mediana) VALUES (16, 3, NULL, 42, 54, 47, 45);</v>
      </c>
    </row>
    <row r="597" spans="1:10" x14ac:dyDescent="0.3">
      <c r="A597">
        <v>596</v>
      </c>
      <c r="B597">
        <v>16</v>
      </c>
      <c r="C597">
        <v>4</v>
      </c>
      <c r="D597">
        <f>IF('Boletins Nuppa Site'!F597&lt;&gt;0,'Boletins Nuppa Site'!F597,"NULL")</f>
        <v>24</v>
      </c>
      <c r="E597">
        <f>IF('Boletins Nuppa Site'!G597&lt;&gt;0,'Boletins Nuppa Site'!G597,"NULL")</f>
        <v>20</v>
      </c>
      <c r="F597">
        <f>IF('Boletins Nuppa Site'!H597&lt;&gt;0,'Boletins Nuppa Site'!H597,"NULL")</f>
        <v>33</v>
      </c>
      <c r="G597" t="str">
        <f>IF('Boletins Nuppa Site'!I597&lt;&gt;0,'Boletins Nuppa Site'!I597,"NULL")</f>
        <v>25.25</v>
      </c>
      <c r="H597">
        <f>IF('Boletins Nuppa Site'!J597&lt;&gt;0,'Boletins Nuppa Site'!J597,"NULL")</f>
        <v>24</v>
      </c>
      <c r="J597" t="str">
        <f t="shared" si="9"/>
        <v>INSERT INTO COTACAO (blt_id, pap_id, cot_prc_comum, cot_prc_min, cot_prc_max, cot_prc_med, cot_prc_mediana) VALUES (16, 4, 24, 20, 33, 25.25, 24);</v>
      </c>
    </row>
    <row r="598" spans="1:10" x14ac:dyDescent="0.3">
      <c r="A598">
        <v>597</v>
      </c>
      <c r="B598">
        <v>16</v>
      </c>
      <c r="C598">
        <v>5</v>
      </c>
      <c r="D598" t="str">
        <f>IF('Boletins Nuppa Site'!F598&lt;&gt;0,'Boletins Nuppa Site'!F598,"NULL")</f>
        <v>NULL</v>
      </c>
      <c r="E598">
        <f>IF('Boletins Nuppa Site'!G598&lt;&gt;0,'Boletins Nuppa Site'!G598,"NULL")</f>
        <v>20</v>
      </c>
      <c r="F598">
        <f>IF('Boletins Nuppa Site'!H598&lt;&gt;0,'Boletins Nuppa Site'!H598,"NULL")</f>
        <v>33</v>
      </c>
      <c r="G598" t="str">
        <f>IF('Boletins Nuppa Site'!I598&lt;&gt;0,'Boletins Nuppa Site'!I598,"NULL")</f>
        <v>25.67</v>
      </c>
      <c r="H598">
        <f>IF('Boletins Nuppa Site'!J598&lt;&gt;0,'Boletins Nuppa Site'!J598,"NULL")</f>
        <v>24</v>
      </c>
      <c r="J598" t="str">
        <f t="shared" si="9"/>
        <v>INSERT INTO COTACAO (blt_id, pap_id, cot_prc_comum, cot_prc_min, cot_prc_max, cot_prc_med, cot_prc_mediana) VALUES (16, 5, NULL, 20, 33, 25.67, 24);</v>
      </c>
    </row>
    <row r="599" spans="1:10" x14ac:dyDescent="0.3">
      <c r="A599">
        <v>598</v>
      </c>
      <c r="B599">
        <v>16</v>
      </c>
      <c r="C599">
        <v>6</v>
      </c>
      <c r="D599">
        <f>IF('Boletins Nuppa Site'!F599&lt;&gt;0,'Boletins Nuppa Site'!F599,"NULL")</f>
        <v>60</v>
      </c>
      <c r="E599">
        <f>IF('Boletins Nuppa Site'!G599&lt;&gt;0,'Boletins Nuppa Site'!G599,"NULL")</f>
        <v>60</v>
      </c>
      <c r="F599">
        <f>IF('Boletins Nuppa Site'!H599&lt;&gt;0,'Boletins Nuppa Site'!H599,"NULL")</f>
        <v>60</v>
      </c>
      <c r="G599">
        <f>IF('Boletins Nuppa Site'!I599&lt;&gt;0,'Boletins Nuppa Site'!I599,"NULL")</f>
        <v>60</v>
      </c>
      <c r="H599">
        <f>IF('Boletins Nuppa Site'!J599&lt;&gt;0,'Boletins Nuppa Site'!J599,"NULL")</f>
        <v>60</v>
      </c>
      <c r="J599" t="str">
        <f t="shared" si="9"/>
        <v>INSERT INTO COTACAO (blt_id, pap_id, cot_prc_comum, cot_prc_min, cot_prc_max, cot_prc_med, cot_prc_mediana) VALUES (16, 6, 60, 60, 60, 60, 60);</v>
      </c>
    </row>
    <row r="600" spans="1:10" x14ac:dyDescent="0.3">
      <c r="A600">
        <v>599</v>
      </c>
      <c r="B600">
        <v>16</v>
      </c>
      <c r="C600">
        <v>7</v>
      </c>
      <c r="D600">
        <f>IF('Boletins Nuppa Site'!F600&lt;&gt;0,'Boletins Nuppa Site'!F600,"NULL")</f>
        <v>72</v>
      </c>
      <c r="E600">
        <f>IF('Boletins Nuppa Site'!G600&lt;&gt;0,'Boletins Nuppa Site'!G600,"NULL")</f>
        <v>72</v>
      </c>
      <c r="F600">
        <f>IF('Boletins Nuppa Site'!H600&lt;&gt;0,'Boletins Nuppa Site'!H600,"NULL")</f>
        <v>84</v>
      </c>
      <c r="G600">
        <f>IF('Boletins Nuppa Site'!I600&lt;&gt;0,'Boletins Nuppa Site'!I600,"NULL")</f>
        <v>76</v>
      </c>
      <c r="H600">
        <f>IF('Boletins Nuppa Site'!J600&lt;&gt;0,'Boletins Nuppa Site'!J600,"NULL")</f>
        <v>72</v>
      </c>
      <c r="J600" t="str">
        <f t="shared" si="9"/>
        <v>INSERT INTO COTACAO (blt_id, pap_id, cot_prc_comum, cot_prc_min, cot_prc_max, cot_prc_med, cot_prc_mediana) VALUES (16, 7, 72, 72, 84, 76, 72);</v>
      </c>
    </row>
    <row r="601" spans="1:10" x14ac:dyDescent="0.3">
      <c r="A601">
        <v>600</v>
      </c>
      <c r="B601">
        <v>16</v>
      </c>
      <c r="C601">
        <v>8</v>
      </c>
      <c r="D601" t="str">
        <f>IF('Boletins Nuppa Site'!F601&lt;&gt;0,'Boletins Nuppa Site'!F601,"NULL")</f>
        <v>NULL</v>
      </c>
      <c r="E601">
        <f>IF('Boletins Nuppa Site'!G601&lt;&gt;0,'Boletins Nuppa Site'!G601,"NULL")</f>
        <v>84</v>
      </c>
      <c r="F601">
        <f>IF('Boletins Nuppa Site'!H601&lt;&gt;0,'Boletins Nuppa Site'!H601,"NULL")</f>
        <v>96</v>
      </c>
      <c r="G601" t="str">
        <f>IF('Boletins Nuppa Site'!I601&lt;&gt;0,'Boletins Nuppa Site'!I601,"NULL")</f>
        <v>91.67</v>
      </c>
      <c r="H601">
        <f>IF('Boletins Nuppa Site'!J601&lt;&gt;0,'Boletins Nuppa Site'!J601,"NULL")</f>
        <v>95</v>
      </c>
      <c r="J601" t="str">
        <f t="shared" si="9"/>
        <v>INSERT INTO COTACAO (blt_id, pap_id, cot_prc_comum, cot_prc_min, cot_prc_max, cot_prc_med, cot_prc_mediana) VALUES (16, 8, NULL, 84, 96, 91.67, 95);</v>
      </c>
    </row>
    <row r="602" spans="1:10" x14ac:dyDescent="0.3">
      <c r="A602">
        <v>601</v>
      </c>
      <c r="B602">
        <v>16</v>
      </c>
      <c r="C602">
        <v>9</v>
      </c>
      <c r="D602">
        <f>IF('Boletins Nuppa Site'!F602&lt;&gt;0,'Boletins Nuppa Site'!F602,"NULL")</f>
        <v>24</v>
      </c>
      <c r="E602">
        <f>IF('Boletins Nuppa Site'!G602&lt;&gt;0,'Boletins Nuppa Site'!G602,"NULL")</f>
        <v>6</v>
      </c>
      <c r="F602">
        <f>IF('Boletins Nuppa Site'!H602&lt;&gt;0,'Boletins Nuppa Site'!H602,"NULL")</f>
        <v>30</v>
      </c>
      <c r="G602">
        <f>IF('Boletins Nuppa Site'!I602&lt;&gt;0,'Boletins Nuppa Site'!I602,"NULL")</f>
        <v>21</v>
      </c>
      <c r="H602">
        <f>IF('Boletins Nuppa Site'!J602&lt;&gt;0,'Boletins Nuppa Site'!J602,"NULL")</f>
        <v>24</v>
      </c>
      <c r="J602" t="str">
        <f t="shared" si="9"/>
        <v>INSERT INTO COTACAO (blt_id, pap_id, cot_prc_comum, cot_prc_min, cot_prc_max, cot_prc_med, cot_prc_mediana) VALUES (16, 9, 24, 6, 30, 21, 24);</v>
      </c>
    </row>
    <row r="603" spans="1:10" x14ac:dyDescent="0.3">
      <c r="A603">
        <v>602</v>
      </c>
      <c r="B603">
        <v>16</v>
      </c>
      <c r="C603">
        <v>10</v>
      </c>
      <c r="D603">
        <f>IF('Boletins Nuppa Site'!F603&lt;&gt;0,'Boletins Nuppa Site'!F603,"NULL")</f>
        <v>96</v>
      </c>
      <c r="E603">
        <f>IF('Boletins Nuppa Site'!G603&lt;&gt;0,'Boletins Nuppa Site'!G603,"NULL")</f>
        <v>90</v>
      </c>
      <c r="F603">
        <f>IF('Boletins Nuppa Site'!H603&lt;&gt;0,'Boletins Nuppa Site'!H603,"NULL")</f>
        <v>96</v>
      </c>
      <c r="G603">
        <f>IF('Boletins Nuppa Site'!I603&lt;&gt;0,'Boletins Nuppa Site'!I603,"NULL")</f>
        <v>94</v>
      </c>
      <c r="H603">
        <f>IF('Boletins Nuppa Site'!J603&lt;&gt;0,'Boletins Nuppa Site'!J603,"NULL")</f>
        <v>96</v>
      </c>
      <c r="J603" t="str">
        <f t="shared" si="9"/>
        <v>INSERT INTO COTACAO (blt_id, pap_id, cot_prc_comum, cot_prc_min, cot_prc_max, cot_prc_med, cot_prc_mediana) VALUES (16, 10, 96, 90, 96, 94, 96);</v>
      </c>
    </row>
    <row r="604" spans="1:10" x14ac:dyDescent="0.3">
      <c r="A604">
        <v>603</v>
      </c>
      <c r="B604">
        <v>16</v>
      </c>
      <c r="C604">
        <v>11</v>
      </c>
      <c r="D604" t="str">
        <f>IF('Boletins Nuppa Site'!F604&lt;&gt;0,'Boletins Nuppa Site'!F604,"NULL")</f>
        <v>NULL</v>
      </c>
      <c r="E604">
        <f>IF('Boletins Nuppa Site'!G604&lt;&gt;0,'Boletins Nuppa Site'!G604,"NULL")</f>
        <v>20</v>
      </c>
      <c r="F604">
        <f>IF('Boletins Nuppa Site'!H604&lt;&gt;0,'Boletins Nuppa Site'!H604,"NULL")</f>
        <v>33</v>
      </c>
      <c r="G604" t="str">
        <f>IF('Boletins Nuppa Site'!I604&lt;&gt;0,'Boletins Nuppa Site'!I604,"NULL")</f>
        <v>27.67</v>
      </c>
      <c r="H604">
        <f>IF('Boletins Nuppa Site'!J604&lt;&gt;0,'Boletins Nuppa Site'!J604,"NULL")</f>
        <v>30</v>
      </c>
      <c r="J604" t="str">
        <f t="shared" si="9"/>
        <v>INSERT INTO COTACAO (blt_id, pap_id, cot_prc_comum, cot_prc_min, cot_prc_max, cot_prc_med, cot_prc_mediana) VALUES (16, 11, NULL, 20, 33, 27.67, 30);</v>
      </c>
    </row>
    <row r="605" spans="1:10" x14ac:dyDescent="0.3">
      <c r="A605">
        <v>604</v>
      </c>
      <c r="B605">
        <v>16</v>
      </c>
      <c r="C605">
        <v>12</v>
      </c>
      <c r="D605">
        <f>IF('Boletins Nuppa Site'!F605&lt;&gt;0,'Boletins Nuppa Site'!F605,"NULL")</f>
        <v>78</v>
      </c>
      <c r="E605">
        <f>IF('Boletins Nuppa Site'!G605&lt;&gt;0,'Boletins Nuppa Site'!G605,"NULL")</f>
        <v>78</v>
      </c>
      <c r="F605">
        <f>IF('Boletins Nuppa Site'!H605&lt;&gt;0,'Boletins Nuppa Site'!H605,"NULL")</f>
        <v>84</v>
      </c>
      <c r="G605">
        <f>IF('Boletins Nuppa Site'!I605&lt;&gt;0,'Boletins Nuppa Site'!I605,"NULL")</f>
        <v>80</v>
      </c>
      <c r="H605">
        <f>IF('Boletins Nuppa Site'!J605&lt;&gt;0,'Boletins Nuppa Site'!J605,"NULL")</f>
        <v>78</v>
      </c>
      <c r="J605" t="str">
        <f t="shared" si="9"/>
        <v>INSERT INTO COTACAO (blt_id, pap_id, cot_prc_comum, cot_prc_min, cot_prc_max, cot_prc_med, cot_prc_mediana) VALUES (16, 12, 78, 78, 84, 80, 78);</v>
      </c>
    </row>
    <row r="606" spans="1:10" x14ac:dyDescent="0.3">
      <c r="A606">
        <v>605</v>
      </c>
      <c r="B606">
        <v>16</v>
      </c>
      <c r="C606">
        <v>13</v>
      </c>
      <c r="D606">
        <f>IF('Boletins Nuppa Site'!F606&lt;&gt;0,'Boletins Nuppa Site'!F606,"NULL")</f>
        <v>72</v>
      </c>
      <c r="E606">
        <f>IF('Boletins Nuppa Site'!G606&lt;&gt;0,'Boletins Nuppa Site'!G606,"NULL")</f>
        <v>72</v>
      </c>
      <c r="F606">
        <f>IF('Boletins Nuppa Site'!H606&lt;&gt;0,'Boletins Nuppa Site'!H606,"NULL")</f>
        <v>78</v>
      </c>
      <c r="G606">
        <f>IF('Boletins Nuppa Site'!I606&lt;&gt;0,'Boletins Nuppa Site'!I606,"NULL")</f>
        <v>74</v>
      </c>
      <c r="H606">
        <f>IF('Boletins Nuppa Site'!J606&lt;&gt;0,'Boletins Nuppa Site'!J606,"NULL")</f>
        <v>72</v>
      </c>
      <c r="J606" t="str">
        <f t="shared" si="9"/>
        <v>INSERT INTO COTACAO (blt_id, pap_id, cot_prc_comum, cot_prc_min, cot_prc_max, cot_prc_med, cot_prc_mediana) VALUES (16, 13, 72, 72, 78, 74, 72);</v>
      </c>
    </row>
    <row r="607" spans="1:10" x14ac:dyDescent="0.3">
      <c r="A607">
        <v>606</v>
      </c>
      <c r="B607">
        <v>16</v>
      </c>
      <c r="C607">
        <v>14</v>
      </c>
      <c r="D607" t="str">
        <f>IF('Boletins Nuppa Site'!F607&lt;&gt;0,'Boletins Nuppa Site'!F607,"NULL")</f>
        <v>NULL</v>
      </c>
      <c r="E607">
        <f>IF('Boletins Nuppa Site'!G607&lt;&gt;0,'Boletins Nuppa Site'!G607,"NULL")</f>
        <v>55</v>
      </c>
      <c r="F607">
        <f>IF('Boletins Nuppa Site'!H607&lt;&gt;0,'Boletins Nuppa Site'!H607,"NULL")</f>
        <v>86</v>
      </c>
      <c r="G607">
        <f>IF('Boletins Nuppa Site'!I607&lt;&gt;0,'Boletins Nuppa Site'!I607,"NULL")</f>
        <v>75</v>
      </c>
      <c r="H607">
        <f>IF('Boletins Nuppa Site'!J607&lt;&gt;0,'Boletins Nuppa Site'!J607,"NULL")</f>
        <v>84</v>
      </c>
      <c r="J607" t="str">
        <f t="shared" si="9"/>
        <v>INSERT INTO COTACAO (blt_id, pap_id, cot_prc_comum, cot_prc_min, cot_prc_max, cot_prc_med, cot_prc_mediana) VALUES (16, 14, NULL, 55, 86, 75, 84);</v>
      </c>
    </row>
    <row r="608" spans="1:10" x14ac:dyDescent="0.3">
      <c r="A608">
        <v>607</v>
      </c>
      <c r="B608">
        <v>16</v>
      </c>
      <c r="C608">
        <v>15</v>
      </c>
      <c r="D608">
        <f>IF('Boletins Nuppa Site'!F608&lt;&gt;0,'Boletins Nuppa Site'!F608,"NULL")</f>
        <v>60</v>
      </c>
      <c r="E608">
        <f>IF('Boletins Nuppa Site'!G608&lt;&gt;0,'Boletins Nuppa Site'!G608,"NULL")</f>
        <v>50</v>
      </c>
      <c r="F608">
        <f>IF('Boletins Nuppa Site'!H608&lt;&gt;0,'Boletins Nuppa Site'!H608,"NULL")</f>
        <v>72</v>
      </c>
      <c r="G608" t="str">
        <f>IF('Boletins Nuppa Site'!I608&lt;&gt;0,'Boletins Nuppa Site'!I608,"NULL")</f>
        <v>60.5</v>
      </c>
      <c r="H608">
        <f>IF('Boletins Nuppa Site'!J608&lt;&gt;0,'Boletins Nuppa Site'!J608,"NULL")</f>
        <v>60</v>
      </c>
      <c r="J608" t="str">
        <f t="shared" si="9"/>
        <v>INSERT INTO COTACAO (blt_id, pap_id, cot_prc_comum, cot_prc_min, cot_prc_max, cot_prc_med, cot_prc_mediana) VALUES (16, 15, 60, 50, 72, 60.5, 60);</v>
      </c>
    </row>
    <row r="609" spans="1:10" x14ac:dyDescent="0.3">
      <c r="A609">
        <v>608</v>
      </c>
      <c r="B609">
        <v>16</v>
      </c>
      <c r="C609">
        <v>16</v>
      </c>
      <c r="D609">
        <f>IF('Boletins Nuppa Site'!F609&lt;&gt;0,'Boletins Nuppa Site'!F609,"NULL")</f>
        <v>54</v>
      </c>
      <c r="E609">
        <f>IF('Boletins Nuppa Site'!G609&lt;&gt;0,'Boletins Nuppa Site'!G609,"NULL")</f>
        <v>48</v>
      </c>
      <c r="F609">
        <f>IF('Boletins Nuppa Site'!H609&lt;&gt;0,'Boletins Nuppa Site'!H609,"NULL")</f>
        <v>54</v>
      </c>
      <c r="G609">
        <f>IF('Boletins Nuppa Site'!I609&lt;&gt;0,'Boletins Nuppa Site'!I609,"NULL")</f>
        <v>52</v>
      </c>
      <c r="H609">
        <f>IF('Boletins Nuppa Site'!J609&lt;&gt;0,'Boletins Nuppa Site'!J609,"NULL")</f>
        <v>54</v>
      </c>
      <c r="J609" t="str">
        <f t="shared" si="9"/>
        <v>INSERT INTO COTACAO (blt_id, pap_id, cot_prc_comum, cot_prc_min, cot_prc_max, cot_prc_med, cot_prc_mediana) VALUES (16, 16, 54, 48, 54, 52, 54);</v>
      </c>
    </row>
    <row r="610" spans="1:10" x14ac:dyDescent="0.3">
      <c r="A610">
        <v>609</v>
      </c>
      <c r="B610">
        <v>16</v>
      </c>
      <c r="C610">
        <v>17</v>
      </c>
      <c r="D610">
        <f>IF('Boletins Nuppa Site'!F610&lt;&gt;0,'Boletins Nuppa Site'!F610,"NULL")</f>
        <v>5</v>
      </c>
      <c r="E610">
        <f>IF('Boletins Nuppa Site'!G610&lt;&gt;0,'Boletins Nuppa Site'!G610,"NULL")</f>
        <v>5</v>
      </c>
      <c r="F610">
        <f>IF('Boletins Nuppa Site'!H610&lt;&gt;0,'Boletins Nuppa Site'!H610,"NULL")</f>
        <v>5</v>
      </c>
      <c r="G610">
        <f>IF('Boletins Nuppa Site'!I610&lt;&gt;0,'Boletins Nuppa Site'!I610,"NULL")</f>
        <v>5</v>
      </c>
      <c r="H610">
        <f>IF('Boletins Nuppa Site'!J610&lt;&gt;0,'Boletins Nuppa Site'!J610,"NULL")</f>
        <v>5</v>
      </c>
      <c r="J610" t="str">
        <f t="shared" si="9"/>
        <v>INSERT INTO COTACAO (blt_id, pap_id, cot_prc_comum, cot_prc_min, cot_prc_max, cot_prc_med, cot_prc_mediana) VALUES (16, 17, 5, 5, 5, 5, 5);</v>
      </c>
    </row>
    <row r="611" spans="1:10" x14ac:dyDescent="0.3">
      <c r="A611">
        <v>610</v>
      </c>
      <c r="B611">
        <v>16</v>
      </c>
      <c r="C611">
        <v>18</v>
      </c>
      <c r="D611">
        <f>IF('Boletins Nuppa Site'!F611&lt;&gt;0,'Boletins Nuppa Site'!F611,"NULL")</f>
        <v>25</v>
      </c>
      <c r="E611">
        <f>IF('Boletins Nuppa Site'!G611&lt;&gt;0,'Boletins Nuppa Site'!G611,"NULL")</f>
        <v>25</v>
      </c>
      <c r="F611">
        <f>IF('Boletins Nuppa Site'!H611&lt;&gt;0,'Boletins Nuppa Site'!H611,"NULL")</f>
        <v>28</v>
      </c>
      <c r="G611">
        <f>IF('Boletins Nuppa Site'!I611&lt;&gt;0,'Boletins Nuppa Site'!I611,"NULL")</f>
        <v>26</v>
      </c>
      <c r="H611">
        <f>IF('Boletins Nuppa Site'!J611&lt;&gt;0,'Boletins Nuppa Site'!J611,"NULL")</f>
        <v>25</v>
      </c>
      <c r="J611" t="str">
        <f t="shared" si="9"/>
        <v>INSERT INTO COTACAO (blt_id, pap_id, cot_prc_comum, cot_prc_min, cot_prc_max, cot_prc_med, cot_prc_mediana) VALUES (16, 18, 25, 25, 28, 26, 25);</v>
      </c>
    </row>
    <row r="612" spans="1:10" x14ac:dyDescent="0.3">
      <c r="A612">
        <v>611</v>
      </c>
      <c r="B612">
        <v>16</v>
      </c>
      <c r="C612">
        <v>19</v>
      </c>
      <c r="D612">
        <f>IF('Boletins Nuppa Site'!F612&lt;&gt;0,'Boletins Nuppa Site'!F612,"NULL")</f>
        <v>30</v>
      </c>
      <c r="E612">
        <f>IF('Boletins Nuppa Site'!G612&lt;&gt;0,'Boletins Nuppa Site'!G612,"NULL")</f>
        <v>30</v>
      </c>
      <c r="F612">
        <f>IF('Boletins Nuppa Site'!H612&lt;&gt;0,'Boletins Nuppa Site'!H612,"NULL")</f>
        <v>35</v>
      </c>
      <c r="G612" t="str">
        <f>IF('Boletins Nuppa Site'!I612&lt;&gt;0,'Boletins Nuppa Site'!I612,"NULL")</f>
        <v>31.67</v>
      </c>
      <c r="H612">
        <f>IF('Boletins Nuppa Site'!J612&lt;&gt;0,'Boletins Nuppa Site'!J612,"NULL")</f>
        <v>30</v>
      </c>
      <c r="J612" t="str">
        <f t="shared" si="9"/>
        <v>INSERT INTO COTACAO (blt_id, pap_id, cot_prc_comum, cot_prc_min, cot_prc_max, cot_prc_med, cot_prc_mediana) VALUES (16, 19, 30, 30, 35, 31.67, 30);</v>
      </c>
    </row>
    <row r="613" spans="1:10" x14ac:dyDescent="0.3">
      <c r="A613">
        <v>612</v>
      </c>
      <c r="B613">
        <v>16</v>
      </c>
      <c r="C613">
        <v>20</v>
      </c>
      <c r="D613" t="str">
        <f>IF('Boletins Nuppa Site'!F613&lt;&gt;0,'Boletins Nuppa Site'!F613,"NULL")</f>
        <v>NULL</v>
      </c>
      <c r="E613">
        <f>IF('Boletins Nuppa Site'!G613&lt;&gt;0,'Boletins Nuppa Site'!G613,"NULL")</f>
        <v>85</v>
      </c>
      <c r="F613">
        <f>IF('Boletins Nuppa Site'!H613&lt;&gt;0,'Boletins Nuppa Site'!H613,"NULL")</f>
        <v>90</v>
      </c>
      <c r="G613" t="str">
        <f>IF('Boletins Nuppa Site'!I613&lt;&gt;0,'Boletins Nuppa Site'!I613,"NULL")</f>
        <v>87.5</v>
      </c>
      <c r="H613" t="str">
        <f>IF('Boletins Nuppa Site'!J613&lt;&gt;0,'Boletins Nuppa Site'!J613,"NULL")</f>
        <v>87.5</v>
      </c>
      <c r="J613" t="str">
        <f t="shared" si="9"/>
        <v>INSERT INTO COTACAO (blt_id, pap_id, cot_prc_comum, cot_prc_min, cot_prc_max, cot_prc_med, cot_prc_mediana) VALUES (16, 20, NULL, 85, 90, 87.5, 87.5);</v>
      </c>
    </row>
    <row r="614" spans="1:10" x14ac:dyDescent="0.3">
      <c r="A614">
        <v>613</v>
      </c>
      <c r="B614">
        <v>16</v>
      </c>
      <c r="C614">
        <v>21</v>
      </c>
      <c r="D614">
        <f>IF('Boletins Nuppa Site'!F614&lt;&gt;0,'Boletins Nuppa Site'!F614,"NULL")</f>
        <v>50</v>
      </c>
      <c r="E614">
        <f>IF('Boletins Nuppa Site'!G614&lt;&gt;0,'Boletins Nuppa Site'!G614,"NULL")</f>
        <v>50</v>
      </c>
      <c r="F614">
        <f>IF('Boletins Nuppa Site'!H614&lt;&gt;0,'Boletins Nuppa Site'!H614,"NULL")</f>
        <v>80</v>
      </c>
      <c r="G614">
        <f>IF('Boletins Nuppa Site'!I614&lt;&gt;0,'Boletins Nuppa Site'!I614,"NULL")</f>
        <v>60</v>
      </c>
      <c r="H614">
        <f>IF('Boletins Nuppa Site'!J614&lt;&gt;0,'Boletins Nuppa Site'!J614,"NULL")</f>
        <v>55</v>
      </c>
      <c r="J614" t="str">
        <f t="shared" si="9"/>
        <v>INSERT INTO COTACAO (blt_id, pap_id, cot_prc_comum, cot_prc_min, cot_prc_max, cot_prc_med, cot_prc_mediana) VALUES (16, 21, 50, 50, 80, 60, 55);</v>
      </c>
    </row>
    <row r="615" spans="1:10" x14ac:dyDescent="0.3">
      <c r="A615">
        <v>614</v>
      </c>
      <c r="B615">
        <v>16</v>
      </c>
      <c r="C615">
        <v>22</v>
      </c>
      <c r="D615">
        <f>IF('Boletins Nuppa Site'!F615&lt;&gt;0,'Boletins Nuppa Site'!F615,"NULL")</f>
        <v>70</v>
      </c>
      <c r="E615">
        <f>IF('Boletins Nuppa Site'!G615&lt;&gt;0,'Boletins Nuppa Site'!G615,"NULL")</f>
        <v>45</v>
      </c>
      <c r="F615">
        <f>IF('Boletins Nuppa Site'!H615&lt;&gt;0,'Boletins Nuppa Site'!H615,"NULL")</f>
        <v>70</v>
      </c>
      <c r="G615" t="str">
        <f>IF('Boletins Nuppa Site'!I615&lt;&gt;0,'Boletins Nuppa Site'!I615,"NULL")</f>
        <v>58.75</v>
      </c>
      <c r="H615">
        <f>IF('Boletins Nuppa Site'!J615&lt;&gt;0,'Boletins Nuppa Site'!J615,"NULL")</f>
        <v>60</v>
      </c>
      <c r="J615" t="str">
        <f t="shared" si="9"/>
        <v>INSERT INTO COTACAO (blt_id, pap_id, cot_prc_comum, cot_prc_min, cot_prc_max, cot_prc_med, cot_prc_mediana) VALUES (16, 22, 70, 45, 70, 58.75, 60);</v>
      </c>
    </row>
    <row r="616" spans="1:10" x14ac:dyDescent="0.3">
      <c r="A616">
        <v>615</v>
      </c>
      <c r="B616">
        <v>16</v>
      </c>
      <c r="C616">
        <v>23</v>
      </c>
      <c r="D616" t="str">
        <f>IF('Boletins Nuppa Site'!F616&lt;&gt;0,'Boletins Nuppa Site'!F616,"NULL")</f>
        <v>NULL</v>
      </c>
      <c r="E616">
        <f>IF('Boletins Nuppa Site'!G616&lt;&gt;0,'Boletins Nuppa Site'!G616,"NULL")</f>
        <v>35</v>
      </c>
      <c r="F616">
        <f>IF('Boletins Nuppa Site'!H616&lt;&gt;0,'Boletins Nuppa Site'!H616,"NULL")</f>
        <v>60</v>
      </c>
      <c r="G616" t="str">
        <f>IF('Boletins Nuppa Site'!I616&lt;&gt;0,'Boletins Nuppa Site'!I616,"NULL")</f>
        <v>47.5</v>
      </c>
      <c r="H616" t="str">
        <f>IF('Boletins Nuppa Site'!J616&lt;&gt;0,'Boletins Nuppa Site'!J616,"NULL")</f>
        <v>47.5</v>
      </c>
      <c r="J616" t="str">
        <f t="shared" si="9"/>
        <v>INSERT INTO COTACAO (blt_id, pap_id, cot_prc_comum, cot_prc_min, cot_prc_max, cot_prc_med, cot_prc_mediana) VALUES (16, 23, NULL, 35, 60, 47.5, 47.5);</v>
      </c>
    </row>
    <row r="617" spans="1:10" x14ac:dyDescent="0.3">
      <c r="A617">
        <v>616</v>
      </c>
      <c r="B617">
        <v>16</v>
      </c>
      <c r="C617">
        <v>24</v>
      </c>
      <c r="D617">
        <f>IF('Boletins Nuppa Site'!F617&lt;&gt;0,'Boletins Nuppa Site'!F617,"NULL")</f>
        <v>110</v>
      </c>
      <c r="E617">
        <f>IF('Boletins Nuppa Site'!G617&lt;&gt;0,'Boletins Nuppa Site'!G617,"NULL")</f>
        <v>110</v>
      </c>
      <c r="F617">
        <f>IF('Boletins Nuppa Site'!H617&lt;&gt;0,'Boletins Nuppa Site'!H617,"NULL")</f>
        <v>110</v>
      </c>
      <c r="G617">
        <f>IF('Boletins Nuppa Site'!I617&lt;&gt;0,'Boletins Nuppa Site'!I617,"NULL")</f>
        <v>110</v>
      </c>
      <c r="H617">
        <f>IF('Boletins Nuppa Site'!J617&lt;&gt;0,'Boletins Nuppa Site'!J617,"NULL")</f>
        <v>110</v>
      </c>
      <c r="J617" t="str">
        <f t="shared" si="9"/>
        <v>INSERT INTO COTACAO (blt_id, pap_id, cot_prc_comum, cot_prc_min, cot_prc_max, cot_prc_med, cot_prc_mediana) VALUES (16, 24, 110, 110, 110, 110, 110);</v>
      </c>
    </row>
    <row r="618" spans="1:10" x14ac:dyDescent="0.3">
      <c r="A618">
        <v>617</v>
      </c>
      <c r="B618">
        <v>16</v>
      </c>
      <c r="C618">
        <v>25</v>
      </c>
      <c r="D618" t="str">
        <f>IF('Boletins Nuppa Site'!F618&lt;&gt;0,'Boletins Nuppa Site'!F618,"NULL")</f>
        <v>NULL</v>
      </c>
      <c r="E618">
        <f>IF('Boletins Nuppa Site'!G618&lt;&gt;0,'Boletins Nuppa Site'!G618,"NULL")</f>
        <v>90</v>
      </c>
      <c r="F618">
        <f>IF('Boletins Nuppa Site'!H618&lt;&gt;0,'Boletins Nuppa Site'!H618,"NULL")</f>
        <v>160</v>
      </c>
      <c r="G618" t="str">
        <f>IF('Boletins Nuppa Site'!I618&lt;&gt;0,'Boletins Nuppa Site'!I618,"NULL")</f>
        <v>127.5</v>
      </c>
      <c r="H618">
        <f>IF('Boletins Nuppa Site'!J618&lt;&gt;0,'Boletins Nuppa Site'!J618,"NULL")</f>
        <v>130</v>
      </c>
      <c r="J618" t="str">
        <f t="shared" si="9"/>
        <v>INSERT INTO COTACAO (blt_id, pap_id, cot_prc_comum, cot_prc_min, cot_prc_max, cot_prc_med, cot_prc_mediana) VALUES (16, 25, NULL, 90, 160, 127.5, 130);</v>
      </c>
    </row>
    <row r="619" spans="1:10" x14ac:dyDescent="0.3">
      <c r="A619">
        <v>618</v>
      </c>
      <c r="B619">
        <v>16</v>
      </c>
      <c r="C619">
        <v>26</v>
      </c>
      <c r="D619" t="str">
        <f>IF('Boletins Nuppa Site'!F619&lt;&gt;0,'Boletins Nuppa Site'!F619,"NULL")</f>
        <v>NULL</v>
      </c>
      <c r="E619">
        <f>IF('Boletins Nuppa Site'!G619&lt;&gt;0,'Boletins Nuppa Site'!G619,"NULL")</f>
        <v>100</v>
      </c>
      <c r="F619">
        <f>IF('Boletins Nuppa Site'!H619&lt;&gt;0,'Boletins Nuppa Site'!H619,"NULL")</f>
        <v>170</v>
      </c>
      <c r="G619" t="str">
        <f>IF('Boletins Nuppa Site'!I619&lt;&gt;0,'Boletins Nuppa Site'!I619,"NULL")</f>
        <v>137.5</v>
      </c>
      <c r="H619">
        <f>IF('Boletins Nuppa Site'!J619&lt;&gt;0,'Boletins Nuppa Site'!J619,"NULL")</f>
        <v>140</v>
      </c>
      <c r="J619" t="str">
        <f t="shared" si="9"/>
        <v>INSERT INTO COTACAO (blt_id, pap_id, cot_prc_comum, cot_prc_min, cot_prc_max, cot_prc_med, cot_prc_mediana) VALUES (16, 26, NULL, 100, 170, 137.5, 140);</v>
      </c>
    </row>
    <row r="620" spans="1:10" x14ac:dyDescent="0.3">
      <c r="A620">
        <v>619</v>
      </c>
      <c r="B620">
        <v>16</v>
      </c>
      <c r="C620">
        <v>27</v>
      </c>
      <c r="D620">
        <f>IF('Boletins Nuppa Site'!F620&lt;&gt;0,'Boletins Nuppa Site'!F620,"NULL")</f>
        <v>60</v>
      </c>
      <c r="E620">
        <f>IF('Boletins Nuppa Site'!G620&lt;&gt;0,'Boletins Nuppa Site'!G620,"NULL")</f>
        <v>50</v>
      </c>
      <c r="F620">
        <f>IF('Boletins Nuppa Site'!H620&lt;&gt;0,'Boletins Nuppa Site'!H620,"NULL")</f>
        <v>60</v>
      </c>
      <c r="G620" t="str">
        <f>IF('Boletins Nuppa Site'!I620&lt;&gt;0,'Boletins Nuppa Site'!I620,"NULL")</f>
        <v>57.5</v>
      </c>
      <c r="H620">
        <f>IF('Boletins Nuppa Site'!J620&lt;&gt;0,'Boletins Nuppa Site'!J620,"NULL")</f>
        <v>60</v>
      </c>
      <c r="J620" t="str">
        <f t="shared" si="9"/>
        <v>INSERT INTO COTACAO (blt_id, pap_id, cot_prc_comum, cot_prc_min, cot_prc_max, cot_prc_med, cot_prc_mediana) VALUES (16, 27, 60, 50, 60, 57.5, 60);</v>
      </c>
    </row>
    <row r="621" spans="1:10" x14ac:dyDescent="0.3">
      <c r="A621">
        <v>620</v>
      </c>
      <c r="B621">
        <v>16</v>
      </c>
      <c r="C621">
        <v>28</v>
      </c>
      <c r="D621" t="str">
        <f>IF('Boletins Nuppa Site'!F621&lt;&gt;0,'Boletins Nuppa Site'!F621,"NULL")</f>
        <v>NULL</v>
      </c>
      <c r="E621">
        <f>IF('Boletins Nuppa Site'!G621&lt;&gt;0,'Boletins Nuppa Site'!G621,"NULL")</f>
        <v>60</v>
      </c>
      <c r="F621">
        <f>IF('Boletins Nuppa Site'!H621&lt;&gt;0,'Boletins Nuppa Site'!H621,"NULL")</f>
        <v>110</v>
      </c>
      <c r="G621">
        <f>IF('Boletins Nuppa Site'!I621&lt;&gt;0,'Boletins Nuppa Site'!I621,"NULL")</f>
        <v>90</v>
      </c>
      <c r="H621">
        <f>IF('Boletins Nuppa Site'!J621&lt;&gt;0,'Boletins Nuppa Site'!J621,"NULL")</f>
        <v>95</v>
      </c>
      <c r="J621" t="str">
        <f t="shared" si="9"/>
        <v>INSERT INTO COTACAO (blt_id, pap_id, cot_prc_comum, cot_prc_min, cot_prc_max, cot_prc_med, cot_prc_mediana) VALUES (16, 28, NULL, 60, 110, 90, 95);</v>
      </c>
    </row>
    <row r="622" spans="1:10" x14ac:dyDescent="0.3">
      <c r="A622">
        <v>621</v>
      </c>
      <c r="B622">
        <v>16</v>
      </c>
      <c r="C622">
        <v>29</v>
      </c>
      <c r="D622" t="str">
        <f>IF('Boletins Nuppa Site'!F622&lt;&gt;0,'Boletins Nuppa Site'!F622,"NULL")</f>
        <v>NULL</v>
      </c>
      <c r="E622">
        <f>IF('Boletins Nuppa Site'!G622&lt;&gt;0,'Boletins Nuppa Site'!G622,"NULL")</f>
        <v>80</v>
      </c>
      <c r="F622">
        <f>IF('Boletins Nuppa Site'!H622&lt;&gt;0,'Boletins Nuppa Site'!H622,"NULL")</f>
        <v>80</v>
      </c>
      <c r="G622">
        <f>IF('Boletins Nuppa Site'!I622&lt;&gt;0,'Boletins Nuppa Site'!I622,"NULL")</f>
        <v>80</v>
      </c>
      <c r="H622">
        <f>IF('Boletins Nuppa Site'!J622&lt;&gt;0,'Boletins Nuppa Site'!J622,"NULL")</f>
        <v>80</v>
      </c>
      <c r="J622" t="str">
        <f t="shared" si="9"/>
        <v>INSERT INTO COTACAO (blt_id, pap_id, cot_prc_comum, cot_prc_min, cot_prc_max, cot_prc_med, cot_prc_mediana) VALUES (16, 29, NULL, 80, 80, 80, 80);</v>
      </c>
    </row>
    <row r="623" spans="1:10" x14ac:dyDescent="0.3">
      <c r="A623">
        <v>622</v>
      </c>
      <c r="B623">
        <v>16</v>
      </c>
      <c r="C623">
        <v>30</v>
      </c>
      <c r="D623">
        <f>IF('Boletins Nuppa Site'!F623&lt;&gt;0,'Boletins Nuppa Site'!F623,"NULL")</f>
        <v>60</v>
      </c>
      <c r="E623">
        <f>IF('Boletins Nuppa Site'!G623&lt;&gt;0,'Boletins Nuppa Site'!G623,"NULL")</f>
        <v>60</v>
      </c>
      <c r="F623">
        <f>IF('Boletins Nuppa Site'!H623&lt;&gt;0,'Boletins Nuppa Site'!H623,"NULL")</f>
        <v>60</v>
      </c>
      <c r="G623">
        <f>IF('Boletins Nuppa Site'!I623&lt;&gt;0,'Boletins Nuppa Site'!I623,"NULL")</f>
        <v>60</v>
      </c>
      <c r="H623">
        <f>IF('Boletins Nuppa Site'!J623&lt;&gt;0,'Boletins Nuppa Site'!J623,"NULL")</f>
        <v>60</v>
      </c>
      <c r="J623" t="str">
        <f t="shared" si="9"/>
        <v>INSERT INTO COTACAO (blt_id, pap_id, cot_prc_comum, cot_prc_min, cot_prc_max, cot_prc_med, cot_prc_mediana) VALUES (16, 30, 60, 60, 60, 60, 60);</v>
      </c>
    </row>
    <row r="624" spans="1:10" x14ac:dyDescent="0.3">
      <c r="A624">
        <v>623</v>
      </c>
      <c r="B624">
        <v>16</v>
      </c>
      <c r="C624">
        <v>31</v>
      </c>
      <c r="D624">
        <f>IF('Boletins Nuppa Site'!F624&lt;&gt;0,'Boletins Nuppa Site'!F624,"NULL")</f>
        <v>90</v>
      </c>
      <c r="E624">
        <f>IF('Boletins Nuppa Site'!G624&lt;&gt;0,'Boletins Nuppa Site'!G624,"NULL")</f>
        <v>80</v>
      </c>
      <c r="F624">
        <f>IF('Boletins Nuppa Site'!H624&lt;&gt;0,'Boletins Nuppa Site'!H624,"NULL")</f>
        <v>90</v>
      </c>
      <c r="G624" t="str">
        <f>IF('Boletins Nuppa Site'!I624&lt;&gt;0,'Boletins Nuppa Site'!I624,"NULL")</f>
        <v>87.5</v>
      </c>
      <c r="H624">
        <f>IF('Boletins Nuppa Site'!J624&lt;&gt;0,'Boletins Nuppa Site'!J624,"NULL")</f>
        <v>90</v>
      </c>
      <c r="J624" t="str">
        <f t="shared" si="9"/>
        <v>INSERT INTO COTACAO (blt_id, pap_id, cot_prc_comum, cot_prc_min, cot_prc_max, cot_prc_med, cot_prc_mediana) VALUES (16, 31, 90, 80, 90, 87.5, 90);</v>
      </c>
    </row>
    <row r="625" spans="1:10" x14ac:dyDescent="0.3">
      <c r="A625">
        <v>624</v>
      </c>
      <c r="B625">
        <v>16</v>
      </c>
      <c r="C625">
        <v>32</v>
      </c>
      <c r="D625">
        <f>IF('Boletins Nuppa Site'!F625&lt;&gt;0,'Boletins Nuppa Site'!F625,"NULL")</f>
        <v>60</v>
      </c>
      <c r="E625">
        <f>IF('Boletins Nuppa Site'!G625&lt;&gt;0,'Boletins Nuppa Site'!G625,"NULL")</f>
        <v>50</v>
      </c>
      <c r="F625">
        <f>IF('Boletins Nuppa Site'!H625&lt;&gt;0,'Boletins Nuppa Site'!H625,"NULL")</f>
        <v>60</v>
      </c>
      <c r="G625">
        <f>IF('Boletins Nuppa Site'!I625&lt;&gt;0,'Boletins Nuppa Site'!I625,"NULL")</f>
        <v>55</v>
      </c>
      <c r="H625">
        <f>IF('Boletins Nuppa Site'!J625&lt;&gt;0,'Boletins Nuppa Site'!J625,"NULL")</f>
        <v>55</v>
      </c>
      <c r="J625" t="str">
        <f t="shared" si="9"/>
        <v>INSERT INTO COTACAO (blt_id, pap_id, cot_prc_comum, cot_prc_min, cot_prc_max, cot_prc_med, cot_prc_mediana) VALUES (16, 32, 60, 50, 60, 55, 55);</v>
      </c>
    </row>
    <row r="626" spans="1:10" x14ac:dyDescent="0.3">
      <c r="A626">
        <v>625</v>
      </c>
      <c r="B626">
        <v>16</v>
      </c>
      <c r="C626">
        <v>33</v>
      </c>
      <c r="D626">
        <f>IF('Boletins Nuppa Site'!F626&lt;&gt;0,'Boletins Nuppa Site'!F626,"NULL")</f>
        <v>110</v>
      </c>
      <c r="E626">
        <f>IF('Boletins Nuppa Site'!G626&lt;&gt;0,'Boletins Nuppa Site'!G626,"NULL")</f>
        <v>90</v>
      </c>
      <c r="F626">
        <f>IF('Boletins Nuppa Site'!H626&lt;&gt;0,'Boletins Nuppa Site'!H626,"NULL")</f>
        <v>120</v>
      </c>
      <c r="G626" t="str">
        <f>IF('Boletins Nuppa Site'!I626&lt;&gt;0,'Boletins Nuppa Site'!I626,"NULL")</f>
        <v>107.5</v>
      </c>
      <c r="H626">
        <f>IF('Boletins Nuppa Site'!J626&lt;&gt;0,'Boletins Nuppa Site'!J626,"NULL")</f>
        <v>110</v>
      </c>
      <c r="J626" t="str">
        <f t="shared" si="9"/>
        <v>INSERT INTO COTACAO (blt_id, pap_id, cot_prc_comum, cot_prc_min, cot_prc_max, cot_prc_med, cot_prc_mediana) VALUES (16, 33, 110, 90, 120, 107.5, 110);</v>
      </c>
    </row>
    <row r="627" spans="1:10" x14ac:dyDescent="0.3">
      <c r="A627">
        <v>626</v>
      </c>
      <c r="B627">
        <v>16</v>
      </c>
      <c r="C627">
        <v>34</v>
      </c>
      <c r="D627" t="str">
        <f>IF('Boletins Nuppa Site'!F627&lt;&gt;0,'Boletins Nuppa Site'!F627,"NULL")</f>
        <v>NULL</v>
      </c>
      <c r="E627">
        <f>IF('Boletins Nuppa Site'!G627&lt;&gt;0,'Boletins Nuppa Site'!G627,"NULL")</f>
        <v>100</v>
      </c>
      <c r="F627">
        <f>IF('Boletins Nuppa Site'!H627&lt;&gt;0,'Boletins Nuppa Site'!H627,"NULL")</f>
        <v>150</v>
      </c>
      <c r="G627">
        <f>IF('Boletins Nuppa Site'!I627&lt;&gt;0,'Boletins Nuppa Site'!I627,"NULL")</f>
        <v>125</v>
      </c>
      <c r="H627">
        <f>IF('Boletins Nuppa Site'!J627&lt;&gt;0,'Boletins Nuppa Site'!J627,"NULL")</f>
        <v>125</v>
      </c>
      <c r="J627" t="str">
        <f t="shared" si="9"/>
        <v>INSERT INTO COTACAO (blt_id, pap_id, cot_prc_comum, cot_prc_min, cot_prc_max, cot_prc_med, cot_prc_mediana) VALUES (16, 34, NULL, 100, 150, 125, 125);</v>
      </c>
    </row>
    <row r="628" spans="1:10" x14ac:dyDescent="0.3">
      <c r="A628">
        <v>627</v>
      </c>
      <c r="B628">
        <v>16</v>
      </c>
      <c r="C628">
        <v>35</v>
      </c>
      <c r="D628" t="str">
        <f>IF('Boletins Nuppa Site'!F628&lt;&gt;0,'Boletins Nuppa Site'!F628,"NULL")</f>
        <v>NULL</v>
      </c>
      <c r="E628">
        <f>IF('Boletins Nuppa Site'!G628&lt;&gt;0,'Boletins Nuppa Site'!G628,"NULL")</f>
        <v>180</v>
      </c>
      <c r="F628">
        <f>IF('Boletins Nuppa Site'!H628&lt;&gt;0,'Boletins Nuppa Site'!H628,"NULL")</f>
        <v>200</v>
      </c>
      <c r="G628">
        <f>IF('Boletins Nuppa Site'!I628&lt;&gt;0,'Boletins Nuppa Site'!I628,"NULL")</f>
        <v>190</v>
      </c>
      <c r="H628">
        <f>IF('Boletins Nuppa Site'!J628&lt;&gt;0,'Boletins Nuppa Site'!J628,"NULL")</f>
        <v>190</v>
      </c>
      <c r="J628" t="str">
        <f t="shared" si="9"/>
        <v>INSERT INTO COTACAO (blt_id, pap_id, cot_prc_comum, cot_prc_min, cot_prc_max, cot_prc_med, cot_prc_mediana) VALUES (16, 35, NULL, 180, 200, 190, 190);</v>
      </c>
    </row>
    <row r="629" spans="1:10" x14ac:dyDescent="0.3">
      <c r="A629">
        <v>628</v>
      </c>
      <c r="B629">
        <v>16</v>
      </c>
      <c r="C629">
        <v>36</v>
      </c>
      <c r="D629" t="str">
        <f>IF('Boletins Nuppa Site'!F629&lt;&gt;0,'Boletins Nuppa Site'!F629,"NULL")</f>
        <v>NULL</v>
      </c>
      <c r="E629">
        <f>IF('Boletins Nuppa Site'!G629&lt;&gt;0,'Boletins Nuppa Site'!G629,"NULL")</f>
        <v>90</v>
      </c>
      <c r="F629">
        <f>IF('Boletins Nuppa Site'!H629&lt;&gt;0,'Boletins Nuppa Site'!H629,"NULL")</f>
        <v>90</v>
      </c>
      <c r="G629">
        <f>IF('Boletins Nuppa Site'!I629&lt;&gt;0,'Boletins Nuppa Site'!I629,"NULL")</f>
        <v>90</v>
      </c>
      <c r="H629">
        <f>IF('Boletins Nuppa Site'!J629&lt;&gt;0,'Boletins Nuppa Site'!J629,"NULL")</f>
        <v>90</v>
      </c>
      <c r="J629" t="str">
        <f t="shared" si="9"/>
        <v>INSERT INTO COTACAO (blt_id, pap_id, cot_prc_comum, cot_prc_min, cot_prc_max, cot_prc_med, cot_prc_mediana) VALUES (16, 36, NULL, 90, 90, 90, 90);</v>
      </c>
    </row>
    <row r="630" spans="1:10" x14ac:dyDescent="0.3">
      <c r="A630">
        <v>629</v>
      </c>
      <c r="B630">
        <v>16</v>
      </c>
      <c r="C630">
        <v>37</v>
      </c>
      <c r="D630" t="str">
        <f>IF('Boletins Nuppa Site'!F630&lt;&gt;0,'Boletins Nuppa Site'!F630,"NULL")</f>
        <v>NULL</v>
      </c>
      <c r="E630">
        <f>IF('Boletins Nuppa Site'!G630&lt;&gt;0,'Boletins Nuppa Site'!G630,"NULL")</f>
        <v>70</v>
      </c>
      <c r="F630">
        <f>IF('Boletins Nuppa Site'!H630&lt;&gt;0,'Boletins Nuppa Site'!H630,"NULL")</f>
        <v>80</v>
      </c>
      <c r="G630">
        <f>IF('Boletins Nuppa Site'!I630&lt;&gt;0,'Boletins Nuppa Site'!I630,"NULL")</f>
        <v>75</v>
      </c>
      <c r="H630">
        <f>IF('Boletins Nuppa Site'!J630&lt;&gt;0,'Boletins Nuppa Site'!J630,"NULL")</f>
        <v>75</v>
      </c>
      <c r="J630" t="str">
        <f t="shared" si="9"/>
        <v>INSERT INTO COTACAO (blt_id, pap_id, cot_prc_comum, cot_prc_min, cot_prc_max, cot_prc_med, cot_prc_mediana) VALUES (16, 37, NULL, 70, 80, 75, 75);</v>
      </c>
    </row>
    <row r="631" spans="1:10" x14ac:dyDescent="0.3">
      <c r="A631">
        <v>630</v>
      </c>
      <c r="B631">
        <v>16</v>
      </c>
      <c r="C631">
        <v>38</v>
      </c>
      <c r="D631" t="str">
        <f>IF('Boletins Nuppa Site'!F631&lt;&gt;0,'Boletins Nuppa Site'!F631,"NULL")</f>
        <v>NULL</v>
      </c>
      <c r="E631">
        <f>IF('Boletins Nuppa Site'!G631&lt;&gt;0,'Boletins Nuppa Site'!G631,"NULL")</f>
        <v>50</v>
      </c>
      <c r="F631">
        <f>IF('Boletins Nuppa Site'!H631&lt;&gt;0,'Boletins Nuppa Site'!H631,"NULL")</f>
        <v>70</v>
      </c>
      <c r="G631">
        <f>IF('Boletins Nuppa Site'!I631&lt;&gt;0,'Boletins Nuppa Site'!I631,"NULL")</f>
        <v>60</v>
      </c>
      <c r="H631">
        <f>IF('Boletins Nuppa Site'!J631&lt;&gt;0,'Boletins Nuppa Site'!J631,"NULL")</f>
        <v>60</v>
      </c>
      <c r="J631" t="str">
        <f t="shared" si="9"/>
        <v>INSERT INTO COTACAO (blt_id, pap_id, cot_prc_comum, cot_prc_min, cot_prc_max, cot_prc_med, cot_prc_mediana) VALUES (16, 38, NULL, 50, 70, 60, 60);</v>
      </c>
    </row>
    <row r="632" spans="1:10" x14ac:dyDescent="0.3">
      <c r="A632">
        <v>631</v>
      </c>
      <c r="B632">
        <v>16</v>
      </c>
      <c r="C632">
        <v>39</v>
      </c>
      <c r="D632" t="str">
        <f>IF('Boletins Nuppa Site'!F632&lt;&gt;0,'Boletins Nuppa Site'!F632,"NULL")</f>
        <v>NULL</v>
      </c>
      <c r="E632">
        <f>IF('Boletins Nuppa Site'!G632&lt;&gt;0,'Boletins Nuppa Site'!G632,"NULL")</f>
        <v>55</v>
      </c>
      <c r="F632">
        <f>IF('Boletins Nuppa Site'!H632&lt;&gt;0,'Boletins Nuppa Site'!H632,"NULL")</f>
        <v>55</v>
      </c>
      <c r="G632">
        <f>IF('Boletins Nuppa Site'!I632&lt;&gt;0,'Boletins Nuppa Site'!I632,"NULL")</f>
        <v>55</v>
      </c>
      <c r="H632">
        <f>IF('Boletins Nuppa Site'!J632&lt;&gt;0,'Boletins Nuppa Site'!J632,"NULL")</f>
        <v>55</v>
      </c>
      <c r="J632" t="str">
        <f t="shared" si="9"/>
        <v>INSERT INTO COTACAO (blt_id, pap_id, cot_prc_comum, cot_prc_min, cot_prc_max, cot_prc_med, cot_prc_mediana) VALUES (16, 39, NULL, 55, 55, 55, 55);</v>
      </c>
    </row>
    <row r="633" spans="1:10" x14ac:dyDescent="0.3">
      <c r="A633">
        <v>632</v>
      </c>
      <c r="B633">
        <v>16</v>
      </c>
      <c r="C633">
        <v>40</v>
      </c>
      <c r="D633" t="str">
        <f>IF('Boletins Nuppa Site'!F633&lt;&gt;0,'Boletins Nuppa Site'!F633,"NULL")</f>
        <v>NULL</v>
      </c>
      <c r="E633">
        <f>IF('Boletins Nuppa Site'!G633&lt;&gt;0,'Boletins Nuppa Site'!G633,"NULL")</f>
        <v>55</v>
      </c>
      <c r="F633">
        <f>IF('Boletins Nuppa Site'!H633&lt;&gt;0,'Boletins Nuppa Site'!H633,"NULL")</f>
        <v>60</v>
      </c>
      <c r="G633" t="str">
        <f>IF('Boletins Nuppa Site'!I633&lt;&gt;0,'Boletins Nuppa Site'!I633,"NULL")</f>
        <v>57.5</v>
      </c>
      <c r="H633" t="str">
        <f>IF('Boletins Nuppa Site'!J633&lt;&gt;0,'Boletins Nuppa Site'!J633,"NULL")</f>
        <v>57.5</v>
      </c>
      <c r="J633" t="str">
        <f t="shared" si="9"/>
        <v>INSERT INTO COTACAO (blt_id, pap_id, cot_prc_comum, cot_prc_min, cot_prc_max, cot_prc_med, cot_prc_mediana) VALUES (16, 40, NULL, 55, 60, 57.5, 57.5);</v>
      </c>
    </row>
    <row r="634" spans="1:10" x14ac:dyDescent="0.3">
      <c r="A634">
        <v>633</v>
      </c>
      <c r="B634">
        <v>17</v>
      </c>
      <c r="C634">
        <v>1</v>
      </c>
      <c r="D634">
        <f>IF('Boletins Nuppa Site'!F634&lt;&gt;0,'Boletins Nuppa Site'!F634,"NULL")</f>
        <v>60</v>
      </c>
      <c r="E634">
        <f>IF('Boletins Nuppa Site'!G634&lt;&gt;0,'Boletins Nuppa Site'!G634,"NULL")</f>
        <v>60</v>
      </c>
      <c r="F634">
        <f>IF('Boletins Nuppa Site'!H634&lt;&gt;0,'Boletins Nuppa Site'!H634,"NULL")</f>
        <v>80</v>
      </c>
      <c r="G634" t="str">
        <f>IF('Boletins Nuppa Site'!I634&lt;&gt;0,'Boletins Nuppa Site'!I634,"NULL")</f>
        <v>66.67</v>
      </c>
      <c r="H634">
        <f>IF('Boletins Nuppa Site'!J634&lt;&gt;0,'Boletins Nuppa Site'!J634,"NULL")</f>
        <v>60</v>
      </c>
      <c r="J634" t="str">
        <f t="shared" si="9"/>
        <v>INSERT INTO COTACAO (blt_id, pap_id, cot_prc_comum, cot_prc_min, cot_prc_max, cot_prc_med, cot_prc_mediana) VALUES (17, 1, 60, 60, 80, 66.67, 60);</v>
      </c>
    </row>
    <row r="635" spans="1:10" x14ac:dyDescent="0.3">
      <c r="A635">
        <v>634</v>
      </c>
      <c r="B635">
        <v>17</v>
      </c>
      <c r="C635">
        <v>2</v>
      </c>
      <c r="D635">
        <f>IF('Boletins Nuppa Site'!F635&lt;&gt;0,'Boletins Nuppa Site'!F635,"NULL")</f>
        <v>84</v>
      </c>
      <c r="E635">
        <f>IF('Boletins Nuppa Site'!G635&lt;&gt;0,'Boletins Nuppa Site'!G635,"NULL")</f>
        <v>72</v>
      </c>
      <c r="F635">
        <f>IF('Boletins Nuppa Site'!H635&lt;&gt;0,'Boletins Nuppa Site'!H635,"NULL")</f>
        <v>84</v>
      </c>
      <c r="G635">
        <f>IF('Boletins Nuppa Site'!I635&lt;&gt;0,'Boletins Nuppa Site'!I635,"NULL")</f>
        <v>80</v>
      </c>
      <c r="H635">
        <f>IF('Boletins Nuppa Site'!J635&lt;&gt;0,'Boletins Nuppa Site'!J635,"NULL")</f>
        <v>84</v>
      </c>
      <c r="J635" t="str">
        <f t="shared" si="9"/>
        <v>INSERT INTO COTACAO (blt_id, pap_id, cot_prc_comum, cot_prc_min, cot_prc_max, cot_prc_med, cot_prc_mediana) VALUES (17, 2, 84, 72, 84, 80, 84);</v>
      </c>
    </row>
    <row r="636" spans="1:10" x14ac:dyDescent="0.3">
      <c r="A636">
        <v>635</v>
      </c>
      <c r="B636">
        <v>17</v>
      </c>
      <c r="C636">
        <v>3</v>
      </c>
      <c r="D636" t="str">
        <f>IF('Boletins Nuppa Site'!F636&lt;&gt;0,'Boletins Nuppa Site'!F636,"NULL")</f>
        <v>NULL</v>
      </c>
      <c r="E636">
        <f>IF('Boletins Nuppa Site'!G636&lt;&gt;0,'Boletins Nuppa Site'!G636,"NULL")</f>
        <v>36</v>
      </c>
      <c r="F636">
        <f>IF('Boletins Nuppa Site'!H636&lt;&gt;0,'Boletins Nuppa Site'!H636,"NULL")</f>
        <v>48</v>
      </c>
      <c r="G636">
        <f>IF('Boletins Nuppa Site'!I636&lt;&gt;0,'Boletins Nuppa Site'!I636,"NULL")</f>
        <v>42</v>
      </c>
      <c r="H636">
        <f>IF('Boletins Nuppa Site'!J636&lt;&gt;0,'Boletins Nuppa Site'!J636,"NULL")</f>
        <v>42</v>
      </c>
      <c r="J636" t="str">
        <f t="shared" si="9"/>
        <v>INSERT INTO COTACAO (blt_id, pap_id, cot_prc_comum, cot_prc_min, cot_prc_max, cot_prc_med, cot_prc_mediana) VALUES (17, 3, NULL, 36, 48, 42, 42);</v>
      </c>
    </row>
    <row r="637" spans="1:10" x14ac:dyDescent="0.3">
      <c r="A637">
        <v>636</v>
      </c>
      <c r="B637">
        <v>17</v>
      </c>
      <c r="C637">
        <v>4</v>
      </c>
      <c r="D637">
        <f>IF('Boletins Nuppa Site'!F637&lt;&gt;0,'Boletins Nuppa Site'!F637,"NULL")</f>
        <v>30</v>
      </c>
      <c r="E637">
        <f>IF('Boletins Nuppa Site'!G637&lt;&gt;0,'Boletins Nuppa Site'!G637,"NULL")</f>
        <v>30</v>
      </c>
      <c r="F637">
        <f>IF('Boletins Nuppa Site'!H637&lt;&gt;0,'Boletins Nuppa Site'!H637,"NULL")</f>
        <v>30</v>
      </c>
      <c r="G637">
        <f>IF('Boletins Nuppa Site'!I637&lt;&gt;0,'Boletins Nuppa Site'!I637,"NULL")</f>
        <v>30</v>
      </c>
      <c r="H637">
        <f>IF('Boletins Nuppa Site'!J637&lt;&gt;0,'Boletins Nuppa Site'!J637,"NULL")</f>
        <v>30</v>
      </c>
      <c r="J637" t="str">
        <f t="shared" si="9"/>
        <v>INSERT INTO COTACAO (blt_id, pap_id, cot_prc_comum, cot_prc_min, cot_prc_max, cot_prc_med, cot_prc_mediana) VALUES (17, 4, 30, 30, 30, 30, 30);</v>
      </c>
    </row>
    <row r="638" spans="1:10" x14ac:dyDescent="0.3">
      <c r="A638">
        <v>637</v>
      </c>
      <c r="B638">
        <v>17</v>
      </c>
      <c r="C638">
        <v>5</v>
      </c>
      <c r="D638">
        <f>IF('Boletins Nuppa Site'!F638&lt;&gt;0,'Boletins Nuppa Site'!F638,"NULL")</f>
        <v>30</v>
      </c>
      <c r="E638">
        <f>IF('Boletins Nuppa Site'!G638&lt;&gt;0,'Boletins Nuppa Site'!G638,"NULL")</f>
        <v>24</v>
      </c>
      <c r="F638">
        <f>IF('Boletins Nuppa Site'!H638&lt;&gt;0,'Boletins Nuppa Site'!H638,"NULL")</f>
        <v>30</v>
      </c>
      <c r="G638">
        <f>IF('Boletins Nuppa Site'!I638&lt;&gt;0,'Boletins Nuppa Site'!I638,"NULL")</f>
        <v>28</v>
      </c>
      <c r="H638">
        <f>IF('Boletins Nuppa Site'!J638&lt;&gt;0,'Boletins Nuppa Site'!J638,"NULL")</f>
        <v>30</v>
      </c>
      <c r="J638" t="str">
        <f t="shared" si="9"/>
        <v>INSERT INTO COTACAO (blt_id, pap_id, cot_prc_comum, cot_prc_min, cot_prc_max, cot_prc_med, cot_prc_mediana) VALUES (17, 5, 30, 24, 30, 28, 30);</v>
      </c>
    </row>
    <row r="639" spans="1:10" x14ac:dyDescent="0.3">
      <c r="A639">
        <v>638</v>
      </c>
      <c r="B639">
        <v>17</v>
      </c>
      <c r="C639">
        <v>6</v>
      </c>
      <c r="D639">
        <f>IF('Boletins Nuppa Site'!F639&lt;&gt;0,'Boletins Nuppa Site'!F639,"NULL")</f>
        <v>60</v>
      </c>
      <c r="E639">
        <f>IF('Boletins Nuppa Site'!G639&lt;&gt;0,'Boletins Nuppa Site'!G639,"NULL")</f>
        <v>60</v>
      </c>
      <c r="F639">
        <f>IF('Boletins Nuppa Site'!H639&lt;&gt;0,'Boletins Nuppa Site'!H639,"NULL")</f>
        <v>60</v>
      </c>
      <c r="G639">
        <f>IF('Boletins Nuppa Site'!I639&lt;&gt;0,'Boletins Nuppa Site'!I639,"NULL")</f>
        <v>60</v>
      </c>
      <c r="H639">
        <f>IF('Boletins Nuppa Site'!J639&lt;&gt;0,'Boletins Nuppa Site'!J639,"NULL")</f>
        <v>60</v>
      </c>
      <c r="J639" t="str">
        <f t="shared" si="9"/>
        <v>INSERT INTO COTACAO (blt_id, pap_id, cot_prc_comum, cot_prc_min, cot_prc_max, cot_prc_med, cot_prc_mediana) VALUES (17, 6, 60, 60, 60, 60, 60);</v>
      </c>
    </row>
    <row r="640" spans="1:10" x14ac:dyDescent="0.3">
      <c r="A640">
        <v>639</v>
      </c>
      <c r="B640">
        <v>17</v>
      </c>
      <c r="C640">
        <v>7</v>
      </c>
      <c r="D640">
        <f>IF('Boletins Nuppa Site'!F640&lt;&gt;0,'Boletins Nuppa Site'!F640,"NULL")</f>
        <v>72</v>
      </c>
      <c r="E640">
        <f>IF('Boletins Nuppa Site'!G640&lt;&gt;0,'Boletins Nuppa Site'!G640,"NULL")</f>
        <v>72</v>
      </c>
      <c r="F640">
        <f>IF('Boletins Nuppa Site'!H640&lt;&gt;0,'Boletins Nuppa Site'!H640,"NULL")</f>
        <v>78</v>
      </c>
      <c r="G640">
        <f>IF('Boletins Nuppa Site'!I640&lt;&gt;0,'Boletins Nuppa Site'!I640,"NULL")</f>
        <v>74</v>
      </c>
      <c r="H640">
        <f>IF('Boletins Nuppa Site'!J640&lt;&gt;0,'Boletins Nuppa Site'!J640,"NULL")</f>
        <v>72</v>
      </c>
      <c r="J640" t="str">
        <f t="shared" si="9"/>
        <v>INSERT INTO COTACAO (blt_id, pap_id, cot_prc_comum, cot_prc_min, cot_prc_max, cot_prc_med, cot_prc_mediana) VALUES (17, 7, 72, 72, 78, 74, 72);</v>
      </c>
    </row>
    <row r="641" spans="1:10" x14ac:dyDescent="0.3">
      <c r="A641">
        <v>640</v>
      </c>
      <c r="B641">
        <v>17</v>
      </c>
      <c r="C641">
        <v>8</v>
      </c>
      <c r="D641">
        <f>IF('Boletins Nuppa Site'!F641&lt;&gt;0,'Boletins Nuppa Site'!F641,"NULL")</f>
        <v>96</v>
      </c>
      <c r="E641">
        <f>IF('Boletins Nuppa Site'!G641&lt;&gt;0,'Boletins Nuppa Site'!G641,"NULL")</f>
        <v>72</v>
      </c>
      <c r="F641">
        <f>IF('Boletins Nuppa Site'!H641&lt;&gt;0,'Boletins Nuppa Site'!H641,"NULL")</f>
        <v>96</v>
      </c>
      <c r="G641">
        <f>IF('Boletins Nuppa Site'!I641&lt;&gt;0,'Boletins Nuppa Site'!I641,"NULL")</f>
        <v>88</v>
      </c>
      <c r="H641">
        <f>IF('Boletins Nuppa Site'!J641&lt;&gt;0,'Boletins Nuppa Site'!J641,"NULL")</f>
        <v>96</v>
      </c>
      <c r="J641" t="str">
        <f t="shared" si="9"/>
        <v>INSERT INTO COTACAO (blt_id, pap_id, cot_prc_comum, cot_prc_min, cot_prc_max, cot_prc_med, cot_prc_mediana) VALUES (17, 8, 96, 72, 96, 88, 96);</v>
      </c>
    </row>
    <row r="642" spans="1:10" x14ac:dyDescent="0.3">
      <c r="A642">
        <v>641</v>
      </c>
      <c r="B642">
        <v>17</v>
      </c>
      <c r="C642">
        <v>9</v>
      </c>
      <c r="D642">
        <f>IF('Boletins Nuppa Site'!F642&lt;&gt;0,'Boletins Nuppa Site'!F642,"NULL")</f>
        <v>24</v>
      </c>
      <c r="E642">
        <f>IF('Boletins Nuppa Site'!G642&lt;&gt;0,'Boletins Nuppa Site'!G642,"NULL")</f>
        <v>24</v>
      </c>
      <c r="F642">
        <f>IF('Boletins Nuppa Site'!H642&lt;&gt;0,'Boletins Nuppa Site'!H642,"NULL")</f>
        <v>30</v>
      </c>
      <c r="G642">
        <f>IF('Boletins Nuppa Site'!I642&lt;&gt;0,'Boletins Nuppa Site'!I642,"NULL")</f>
        <v>26</v>
      </c>
      <c r="H642">
        <f>IF('Boletins Nuppa Site'!J642&lt;&gt;0,'Boletins Nuppa Site'!J642,"NULL")</f>
        <v>24</v>
      </c>
      <c r="J642" t="str">
        <f t="shared" si="9"/>
        <v>INSERT INTO COTACAO (blt_id, pap_id, cot_prc_comum, cot_prc_min, cot_prc_max, cot_prc_med, cot_prc_mediana) VALUES (17, 9, 24, 24, 30, 26, 24);</v>
      </c>
    </row>
    <row r="643" spans="1:10" x14ac:dyDescent="0.3">
      <c r="A643">
        <v>642</v>
      </c>
      <c r="B643">
        <v>17</v>
      </c>
      <c r="C643">
        <v>10</v>
      </c>
      <c r="D643">
        <f>IF('Boletins Nuppa Site'!F643&lt;&gt;0,'Boletins Nuppa Site'!F643,"NULL")</f>
        <v>72</v>
      </c>
      <c r="E643">
        <f>IF('Boletins Nuppa Site'!G643&lt;&gt;0,'Boletins Nuppa Site'!G643,"NULL")</f>
        <v>72</v>
      </c>
      <c r="F643">
        <f>IF('Boletins Nuppa Site'!H643&lt;&gt;0,'Boletins Nuppa Site'!H643,"NULL")</f>
        <v>84</v>
      </c>
      <c r="G643">
        <f>IF('Boletins Nuppa Site'!I643&lt;&gt;0,'Boletins Nuppa Site'!I643,"NULL")</f>
        <v>76</v>
      </c>
      <c r="H643">
        <f>IF('Boletins Nuppa Site'!J643&lt;&gt;0,'Boletins Nuppa Site'!J643,"NULL")</f>
        <v>72</v>
      </c>
      <c r="J643" t="str">
        <f t="shared" ref="J643:J706" si="10">"INSERT INTO COTACAO (blt_id, pap_id, cot_prc_comum, cot_prc_min, cot_prc_max, cot_prc_med, cot_prc_mediana) VALUES ("&amp;B643&amp;", "&amp;C643&amp;", "&amp;D643&amp;", "&amp;E643&amp;", "&amp;F643&amp;", "&amp;G643&amp;", "&amp;H643&amp;");"</f>
        <v>INSERT INTO COTACAO (blt_id, pap_id, cot_prc_comum, cot_prc_min, cot_prc_max, cot_prc_med, cot_prc_mediana) VALUES (17, 10, 72, 72, 84, 76, 72);</v>
      </c>
    </row>
    <row r="644" spans="1:10" x14ac:dyDescent="0.3">
      <c r="A644">
        <v>643</v>
      </c>
      <c r="B644">
        <v>17</v>
      </c>
      <c r="C644">
        <v>11</v>
      </c>
      <c r="D644">
        <f>IF('Boletins Nuppa Site'!F644&lt;&gt;0,'Boletins Nuppa Site'!F644,"NULL")</f>
        <v>30</v>
      </c>
      <c r="E644">
        <f>IF('Boletins Nuppa Site'!G644&lt;&gt;0,'Boletins Nuppa Site'!G644,"NULL")</f>
        <v>30</v>
      </c>
      <c r="F644">
        <f>IF('Boletins Nuppa Site'!H644&lt;&gt;0,'Boletins Nuppa Site'!H644,"NULL")</f>
        <v>30</v>
      </c>
      <c r="G644">
        <f>IF('Boletins Nuppa Site'!I644&lt;&gt;0,'Boletins Nuppa Site'!I644,"NULL")</f>
        <v>30</v>
      </c>
      <c r="H644">
        <f>IF('Boletins Nuppa Site'!J644&lt;&gt;0,'Boletins Nuppa Site'!J644,"NULL")</f>
        <v>30</v>
      </c>
      <c r="J644" t="str">
        <f t="shared" si="10"/>
        <v>INSERT INTO COTACAO (blt_id, pap_id, cot_prc_comum, cot_prc_min, cot_prc_max, cot_prc_med, cot_prc_mediana) VALUES (17, 11, 30, 30, 30, 30, 30);</v>
      </c>
    </row>
    <row r="645" spans="1:10" x14ac:dyDescent="0.3">
      <c r="A645">
        <v>644</v>
      </c>
      <c r="B645">
        <v>17</v>
      </c>
      <c r="C645">
        <v>12</v>
      </c>
      <c r="D645" t="str">
        <f>IF('Boletins Nuppa Site'!F645&lt;&gt;0,'Boletins Nuppa Site'!F645,"NULL")</f>
        <v>NULL</v>
      </c>
      <c r="E645">
        <f>IF('Boletins Nuppa Site'!G645&lt;&gt;0,'Boletins Nuppa Site'!G645,"NULL")</f>
        <v>78</v>
      </c>
      <c r="F645">
        <f>IF('Boletins Nuppa Site'!H645&lt;&gt;0,'Boletins Nuppa Site'!H645,"NULL")</f>
        <v>96</v>
      </c>
      <c r="G645">
        <f>IF('Boletins Nuppa Site'!I645&lt;&gt;0,'Boletins Nuppa Site'!I645,"NULL")</f>
        <v>86</v>
      </c>
      <c r="H645">
        <f>IF('Boletins Nuppa Site'!J645&lt;&gt;0,'Boletins Nuppa Site'!J645,"NULL")</f>
        <v>84</v>
      </c>
      <c r="J645" t="str">
        <f t="shared" si="10"/>
        <v>INSERT INTO COTACAO (blt_id, pap_id, cot_prc_comum, cot_prc_min, cot_prc_max, cot_prc_med, cot_prc_mediana) VALUES (17, 12, NULL, 78, 96, 86, 84);</v>
      </c>
    </row>
    <row r="646" spans="1:10" x14ac:dyDescent="0.3">
      <c r="A646">
        <v>645</v>
      </c>
      <c r="B646">
        <v>17</v>
      </c>
      <c r="C646">
        <v>13</v>
      </c>
      <c r="D646">
        <f>IF('Boletins Nuppa Site'!F646&lt;&gt;0,'Boletins Nuppa Site'!F646,"NULL")</f>
        <v>60</v>
      </c>
      <c r="E646">
        <f>IF('Boletins Nuppa Site'!G646&lt;&gt;0,'Boletins Nuppa Site'!G646,"NULL")</f>
        <v>60</v>
      </c>
      <c r="F646">
        <f>IF('Boletins Nuppa Site'!H646&lt;&gt;0,'Boletins Nuppa Site'!H646,"NULL")</f>
        <v>78</v>
      </c>
      <c r="G646">
        <f>IF('Boletins Nuppa Site'!I646&lt;&gt;0,'Boletins Nuppa Site'!I646,"NULL")</f>
        <v>66</v>
      </c>
      <c r="H646">
        <f>IF('Boletins Nuppa Site'!J646&lt;&gt;0,'Boletins Nuppa Site'!J646,"NULL")</f>
        <v>60</v>
      </c>
      <c r="J646" t="str">
        <f t="shared" si="10"/>
        <v>INSERT INTO COTACAO (blt_id, pap_id, cot_prc_comum, cot_prc_min, cot_prc_max, cot_prc_med, cot_prc_mediana) VALUES (17, 13, 60, 60, 78, 66, 60);</v>
      </c>
    </row>
    <row r="647" spans="1:10" x14ac:dyDescent="0.3">
      <c r="A647">
        <v>646</v>
      </c>
      <c r="B647">
        <v>17</v>
      </c>
      <c r="C647">
        <v>14</v>
      </c>
      <c r="D647">
        <f>IF('Boletins Nuppa Site'!F647&lt;&gt;0,'Boletins Nuppa Site'!F647,"NULL")</f>
        <v>84</v>
      </c>
      <c r="E647">
        <f>IF('Boletins Nuppa Site'!G647&lt;&gt;0,'Boletins Nuppa Site'!G647,"NULL")</f>
        <v>84</v>
      </c>
      <c r="F647">
        <f>IF('Boletins Nuppa Site'!H647&lt;&gt;0,'Boletins Nuppa Site'!H647,"NULL")</f>
        <v>96</v>
      </c>
      <c r="G647">
        <f>IF('Boletins Nuppa Site'!I647&lt;&gt;0,'Boletins Nuppa Site'!I647,"NULL")</f>
        <v>88</v>
      </c>
      <c r="H647">
        <f>IF('Boletins Nuppa Site'!J647&lt;&gt;0,'Boletins Nuppa Site'!J647,"NULL")</f>
        <v>84</v>
      </c>
      <c r="J647" t="str">
        <f t="shared" si="10"/>
        <v>INSERT INTO COTACAO (blt_id, pap_id, cot_prc_comum, cot_prc_min, cot_prc_max, cot_prc_med, cot_prc_mediana) VALUES (17, 14, 84, 84, 96, 88, 84);</v>
      </c>
    </row>
    <row r="648" spans="1:10" x14ac:dyDescent="0.3">
      <c r="A648">
        <v>647</v>
      </c>
      <c r="B648">
        <v>17</v>
      </c>
      <c r="C648">
        <v>15</v>
      </c>
      <c r="D648">
        <f>IF('Boletins Nuppa Site'!F648&lt;&gt;0,'Boletins Nuppa Site'!F648,"NULL")</f>
        <v>60</v>
      </c>
      <c r="E648">
        <f>IF('Boletins Nuppa Site'!G648&lt;&gt;0,'Boletins Nuppa Site'!G648,"NULL")</f>
        <v>60</v>
      </c>
      <c r="F648">
        <f>IF('Boletins Nuppa Site'!H648&lt;&gt;0,'Boletins Nuppa Site'!H648,"NULL")</f>
        <v>70</v>
      </c>
      <c r="G648" t="str">
        <f>IF('Boletins Nuppa Site'!I648&lt;&gt;0,'Boletins Nuppa Site'!I648,"NULL")</f>
        <v>63.33</v>
      </c>
      <c r="H648">
        <f>IF('Boletins Nuppa Site'!J648&lt;&gt;0,'Boletins Nuppa Site'!J648,"NULL")</f>
        <v>60</v>
      </c>
      <c r="J648" t="str">
        <f t="shared" si="10"/>
        <v>INSERT INTO COTACAO (blt_id, pap_id, cot_prc_comum, cot_prc_min, cot_prc_max, cot_prc_med, cot_prc_mediana) VALUES (17, 15, 60, 60, 70, 63.33, 60);</v>
      </c>
    </row>
    <row r="649" spans="1:10" x14ac:dyDescent="0.3">
      <c r="A649">
        <v>648</v>
      </c>
      <c r="B649">
        <v>17</v>
      </c>
      <c r="C649">
        <v>16</v>
      </c>
      <c r="D649">
        <f>IF('Boletins Nuppa Site'!F649&lt;&gt;0,'Boletins Nuppa Site'!F649,"NULL")</f>
        <v>54</v>
      </c>
      <c r="E649">
        <f>IF('Boletins Nuppa Site'!G649&lt;&gt;0,'Boletins Nuppa Site'!G649,"NULL")</f>
        <v>48</v>
      </c>
      <c r="F649">
        <f>IF('Boletins Nuppa Site'!H649&lt;&gt;0,'Boletins Nuppa Site'!H649,"NULL")</f>
        <v>54</v>
      </c>
      <c r="G649">
        <f>IF('Boletins Nuppa Site'!I649&lt;&gt;0,'Boletins Nuppa Site'!I649,"NULL")</f>
        <v>52</v>
      </c>
      <c r="H649">
        <f>IF('Boletins Nuppa Site'!J649&lt;&gt;0,'Boletins Nuppa Site'!J649,"NULL")</f>
        <v>54</v>
      </c>
      <c r="J649" t="str">
        <f t="shared" si="10"/>
        <v>INSERT INTO COTACAO (blt_id, pap_id, cot_prc_comum, cot_prc_min, cot_prc_max, cot_prc_med, cot_prc_mediana) VALUES (17, 16, 54, 48, 54, 52, 54);</v>
      </c>
    </row>
    <row r="650" spans="1:10" x14ac:dyDescent="0.3">
      <c r="A650">
        <v>649</v>
      </c>
      <c r="B650">
        <v>17</v>
      </c>
      <c r="C650">
        <v>17</v>
      </c>
      <c r="D650">
        <f>IF('Boletins Nuppa Site'!F650&lt;&gt;0,'Boletins Nuppa Site'!F650,"NULL")</f>
        <v>5</v>
      </c>
      <c r="E650">
        <f>IF('Boletins Nuppa Site'!G650&lt;&gt;0,'Boletins Nuppa Site'!G650,"NULL")</f>
        <v>5</v>
      </c>
      <c r="F650">
        <f>IF('Boletins Nuppa Site'!H650&lt;&gt;0,'Boletins Nuppa Site'!H650,"NULL")</f>
        <v>6</v>
      </c>
      <c r="G650" t="str">
        <f>IF('Boletins Nuppa Site'!I650&lt;&gt;0,'Boletins Nuppa Site'!I650,"NULL")</f>
        <v>53.33</v>
      </c>
      <c r="H650">
        <f>IF('Boletins Nuppa Site'!J650&lt;&gt;0,'Boletins Nuppa Site'!J650,"NULL")</f>
        <v>5</v>
      </c>
      <c r="J650" t="str">
        <f t="shared" si="10"/>
        <v>INSERT INTO COTACAO (blt_id, pap_id, cot_prc_comum, cot_prc_min, cot_prc_max, cot_prc_med, cot_prc_mediana) VALUES (17, 17, 5, 5, 6, 53.33, 5);</v>
      </c>
    </row>
    <row r="651" spans="1:10" x14ac:dyDescent="0.3">
      <c r="A651">
        <v>650</v>
      </c>
      <c r="B651">
        <v>17</v>
      </c>
      <c r="C651">
        <v>18</v>
      </c>
      <c r="D651">
        <f>IF('Boletins Nuppa Site'!F651&lt;&gt;0,'Boletins Nuppa Site'!F651,"NULL")</f>
        <v>25</v>
      </c>
      <c r="E651">
        <f>IF('Boletins Nuppa Site'!G651&lt;&gt;0,'Boletins Nuppa Site'!G651,"NULL")</f>
        <v>20</v>
      </c>
      <c r="F651">
        <f>IF('Boletins Nuppa Site'!H651&lt;&gt;0,'Boletins Nuppa Site'!H651,"NULL")</f>
        <v>25</v>
      </c>
      <c r="G651" t="str">
        <f>IF('Boletins Nuppa Site'!I651&lt;&gt;0,'Boletins Nuppa Site'!I651,"NULL")</f>
        <v>23.33</v>
      </c>
      <c r="H651">
        <f>IF('Boletins Nuppa Site'!J651&lt;&gt;0,'Boletins Nuppa Site'!J651,"NULL")</f>
        <v>25</v>
      </c>
      <c r="J651" t="str">
        <f t="shared" si="10"/>
        <v>INSERT INTO COTACAO (blt_id, pap_id, cot_prc_comum, cot_prc_min, cot_prc_max, cot_prc_med, cot_prc_mediana) VALUES (17, 18, 25, 20, 25, 23.33, 25);</v>
      </c>
    </row>
    <row r="652" spans="1:10" x14ac:dyDescent="0.3">
      <c r="A652">
        <v>651</v>
      </c>
      <c r="B652">
        <v>17</v>
      </c>
      <c r="C652">
        <v>19</v>
      </c>
      <c r="D652" t="str">
        <f>IF('Boletins Nuppa Site'!F652&lt;&gt;0,'Boletins Nuppa Site'!F652,"NULL")</f>
        <v>NULL</v>
      </c>
      <c r="E652">
        <f>IF('Boletins Nuppa Site'!G652&lt;&gt;0,'Boletins Nuppa Site'!G652,"NULL")</f>
        <v>25</v>
      </c>
      <c r="F652">
        <f>IF('Boletins Nuppa Site'!H652&lt;&gt;0,'Boletins Nuppa Site'!H652,"NULL")</f>
        <v>32</v>
      </c>
      <c r="G652">
        <f>IF('Boletins Nuppa Site'!I652&lt;&gt;0,'Boletins Nuppa Site'!I652,"NULL")</f>
        <v>29</v>
      </c>
      <c r="H652">
        <f>IF('Boletins Nuppa Site'!J652&lt;&gt;0,'Boletins Nuppa Site'!J652,"NULL")</f>
        <v>30</v>
      </c>
      <c r="J652" t="str">
        <f t="shared" si="10"/>
        <v>INSERT INTO COTACAO (blt_id, pap_id, cot_prc_comum, cot_prc_min, cot_prc_max, cot_prc_med, cot_prc_mediana) VALUES (17, 19, NULL, 25, 32, 29, 30);</v>
      </c>
    </row>
    <row r="653" spans="1:10" x14ac:dyDescent="0.3">
      <c r="A653">
        <v>652</v>
      </c>
      <c r="B653">
        <v>17</v>
      </c>
      <c r="C653">
        <v>20</v>
      </c>
      <c r="D653" t="str">
        <f>IF('Boletins Nuppa Site'!F653&lt;&gt;0,'Boletins Nuppa Site'!F653,"NULL")</f>
        <v>NULL</v>
      </c>
      <c r="E653">
        <f>IF('Boletins Nuppa Site'!G653&lt;&gt;0,'Boletins Nuppa Site'!G653,"NULL")</f>
        <v>85</v>
      </c>
      <c r="F653">
        <f>IF('Boletins Nuppa Site'!H653&lt;&gt;0,'Boletins Nuppa Site'!H653,"NULL")</f>
        <v>90</v>
      </c>
      <c r="G653" t="str">
        <f>IF('Boletins Nuppa Site'!I653&lt;&gt;0,'Boletins Nuppa Site'!I653,"NULL")</f>
        <v>87.5</v>
      </c>
      <c r="H653" t="str">
        <f>IF('Boletins Nuppa Site'!J653&lt;&gt;0,'Boletins Nuppa Site'!J653,"NULL")</f>
        <v>87.5</v>
      </c>
      <c r="J653" t="str">
        <f t="shared" si="10"/>
        <v>INSERT INTO COTACAO (blt_id, pap_id, cot_prc_comum, cot_prc_min, cot_prc_max, cot_prc_med, cot_prc_mediana) VALUES (17, 20, NULL, 85, 90, 87.5, 87.5);</v>
      </c>
    </row>
    <row r="654" spans="1:10" x14ac:dyDescent="0.3">
      <c r="A654">
        <v>653</v>
      </c>
      <c r="B654">
        <v>17</v>
      </c>
      <c r="C654">
        <v>21</v>
      </c>
      <c r="D654">
        <f>IF('Boletins Nuppa Site'!F654&lt;&gt;0,'Boletins Nuppa Site'!F654,"NULL")</f>
        <v>70</v>
      </c>
      <c r="E654">
        <f>IF('Boletins Nuppa Site'!G654&lt;&gt;0,'Boletins Nuppa Site'!G654,"NULL")</f>
        <v>60</v>
      </c>
      <c r="F654">
        <f>IF('Boletins Nuppa Site'!H654&lt;&gt;0,'Boletins Nuppa Site'!H654,"NULL")</f>
        <v>70</v>
      </c>
      <c r="G654" t="str">
        <f>IF('Boletins Nuppa Site'!I654&lt;&gt;0,'Boletins Nuppa Site'!I654,"NULL")</f>
        <v>67.5</v>
      </c>
      <c r="H654">
        <f>IF('Boletins Nuppa Site'!J654&lt;&gt;0,'Boletins Nuppa Site'!J654,"NULL")</f>
        <v>70</v>
      </c>
      <c r="J654" t="str">
        <f t="shared" si="10"/>
        <v>INSERT INTO COTACAO (blt_id, pap_id, cot_prc_comum, cot_prc_min, cot_prc_max, cot_prc_med, cot_prc_mediana) VALUES (17, 21, 70, 60, 70, 67.5, 70);</v>
      </c>
    </row>
    <row r="655" spans="1:10" x14ac:dyDescent="0.3">
      <c r="A655">
        <v>654</v>
      </c>
      <c r="B655">
        <v>17</v>
      </c>
      <c r="C655">
        <v>22</v>
      </c>
      <c r="D655">
        <f>IF('Boletins Nuppa Site'!F655&lt;&gt;0,'Boletins Nuppa Site'!F655,"NULL")</f>
        <v>65</v>
      </c>
      <c r="E655">
        <f>IF('Boletins Nuppa Site'!G655&lt;&gt;0,'Boletins Nuppa Site'!G655,"NULL")</f>
        <v>45</v>
      </c>
      <c r="F655">
        <f>IF('Boletins Nuppa Site'!H655&lt;&gt;0,'Boletins Nuppa Site'!H655,"NULL")</f>
        <v>65</v>
      </c>
      <c r="G655" t="str">
        <f>IF('Boletins Nuppa Site'!I655&lt;&gt;0,'Boletins Nuppa Site'!I655,"NULL")</f>
        <v>56.25</v>
      </c>
      <c r="H655" t="str">
        <f>IF('Boletins Nuppa Site'!J655&lt;&gt;0,'Boletins Nuppa Site'!J655,"NULL")</f>
        <v>57.5</v>
      </c>
      <c r="J655" t="str">
        <f t="shared" si="10"/>
        <v>INSERT INTO COTACAO (blt_id, pap_id, cot_prc_comum, cot_prc_min, cot_prc_max, cot_prc_med, cot_prc_mediana) VALUES (17, 22, 65, 45, 65, 56.25, 57.5);</v>
      </c>
    </row>
    <row r="656" spans="1:10" x14ac:dyDescent="0.3">
      <c r="A656">
        <v>655</v>
      </c>
      <c r="B656">
        <v>17</v>
      </c>
      <c r="C656">
        <v>23</v>
      </c>
      <c r="D656">
        <f>IF('Boletins Nuppa Site'!F656&lt;&gt;0,'Boletins Nuppa Site'!F656,"NULL")</f>
        <v>50</v>
      </c>
      <c r="E656">
        <f>IF('Boletins Nuppa Site'!G656&lt;&gt;0,'Boletins Nuppa Site'!G656,"NULL")</f>
        <v>40</v>
      </c>
      <c r="F656">
        <f>IF('Boletins Nuppa Site'!H656&lt;&gt;0,'Boletins Nuppa Site'!H656,"NULL")</f>
        <v>50</v>
      </c>
      <c r="G656" t="str">
        <f>IF('Boletins Nuppa Site'!I656&lt;&gt;0,'Boletins Nuppa Site'!I656,"NULL")</f>
        <v>47.5</v>
      </c>
      <c r="H656">
        <f>IF('Boletins Nuppa Site'!J656&lt;&gt;0,'Boletins Nuppa Site'!J656,"NULL")</f>
        <v>50</v>
      </c>
      <c r="J656" t="str">
        <f t="shared" si="10"/>
        <v>INSERT INTO COTACAO (blt_id, pap_id, cot_prc_comum, cot_prc_min, cot_prc_max, cot_prc_med, cot_prc_mediana) VALUES (17, 23, 50, 40, 50, 47.5, 50);</v>
      </c>
    </row>
    <row r="657" spans="1:10" x14ac:dyDescent="0.3">
      <c r="A657">
        <v>656</v>
      </c>
      <c r="B657">
        <v>17</v>
      </c>
      <c r="C657">
        <v>24</v>
      </c>
      <c r="D657">
        <f>IF('Boletins Nuppa Site'!F657&lt;&gt;0,'Boletins Nuppa Site'!F657,"NULL")</f>
        <v>100</v>
      </c>
      <c r="E657">
        <f>IF('Boletins Nuppa Site'!G657&lt;&gt;0,'Boletins Nuppa Site'!G657,"NULL")</f>
        <v>90</v>
      </c>
      <c r="F657">
        <f>IF('Boletins Nuppa Site'!H657&lt;&gt;0,'Boletins Nuppa Site'!H657,"NULL")</f>
        <v>100</v>
      </c>
      <c r="G657" t="str">
        <f>IF('Boletins Nuppa Site'!I657&lt;&gt;0,'Boletins Nuppa Site'!I657,"NULL")</f>
        <v>96.67</v>
      </c>
      <c r="H657">
        <f>IF('Boletins Nuppa Site'!J657&lt;&gt;0,'Boletins Nuppa Site'!J657,"NULL")</f>
        <v>100</v>
      </c>
      <c r="J657" t="str">
        <f t="shared" si="10"/>
        <v>INSERT INTO COTACAO (blt_id, pap_id, cot_prc_comum, cot_prc_min, cot_prc_max, cot_prc_med, cot_prc_mediana) VALUES (17, 24, 100, 90, 100, 96.67, 100);</v>
      </c>
    </row>
    <row r="658" spans="1:10" x14ac:dyDescent="0.3">
      <c r="A658">
        <v>657</v>
      </c>
      <c r="B658">
        <v>17</v>
      </c>
      <c r="C658">
        <v>25</v>
      </c>
      <c r="D658">
        <f>IF('Boletins Nuppa Site'!F658&lt;&gt;0,'Boletins Nuppa Site'!F658,"NULL")</f>
        <v>110</v>
      </c>
      <c r="E658">
        <f>IF('Boletins Nuppa Site'!G658&lt;&gt;0,'Boletins Nuppa Site'!G658,"NULL")</f>
        <v>110</v>
      </c>
      <c r="F658">
        <f>IF('Boletins Nuppa Site'!H658&lt;&gt;0,'Boletins Nuppa Site'!H658,"NULL")</f>
        <v>150</v>
      </c>
      <c r="G658" t="str">
        <f>IF('Boletins Nuppa Site'!I658&lt;&gt;0,'Boletins Nuppa Site'!I658,"NULL")</f>
        <v>128.75</v>
      </c>
      <c r="H658" t="str">
        <f>IF('Boletins Nuppa Site'!J658&lt;&gt;0,'Boletins Nuppa Site'!J658,"NULL")</f>
        <v>127.5</v>
      </c>
      <c r="J658" t="str">
        <f t="shared" si="10"/>
        <v>INSERT INTO COTACAO (blt_id, pap_id, cot_prc_comum, cot_prc_min, cot_prc_max, cot_prc_med, cot_prc_mediana) VALUES (17, 25, 110, 110, 150, 128.75, 127.5);</v>
      </c>
    </row>
    <row r="659" spans="1:10" x14ac:dyDescent="0.3">
      <c r="A659">
        <v>658</v>
      </c>
      <c r="B659">
        <v>17</v>
      </c>
      <c r="C659">
        <v>26</v>
      </c>
      <c r="D659">
        <f>IF('Boletins Nuppa Site'!F659&lt;&gt;0,'Boletins Nuppa Site'!F659,"NULL")</f>
        <v>170</v>
      </c>
      <c r="E659">
        <f>IF('Boletins Nuppa Site'!G659&lt;&gt;0,'Boletins Nuppa Site'!G659,"NULL")</f>
        <v>100</v>
      </c>
      <c r="F659">
        <f>IF('Boletins Nuppa Site'!H659&lt;&gt;0,'Boletins Nuppa Site'!H659,"NULL")</f>
        <v>170</v>
      </c>
      <c r="G659">
        <f>IF('Boletins Nuppa Site'!I659&lt;&gt;0,'Boletins Nuppa Site'!I659,"NULL")</f>
        <v>135</v>
      </c>
      <c r="H659">
        <f>IF('Boletins Nuppa Site'!J659&lt;&gt;0,'Boletins Nuppa Site'!J659,"NULL")</f>
        <v>135</v>
      </c>
      <c r="J659" t="str">
        <f t="shared" si="10"/>
        <v>INSERT INTO COTACAO (blt_id, pap_id, cot_prc_comum, cot_prc_min, cot_prc_max, cot_prc_med, cot_prc_mediana) VALUES (17, 26, 170, 100, 170, 135, 135);</v>
      </c>
    </row>
    <row r="660" spans="1:10" x14ac:dyDescent="0.3">
      <c r="A660">
        <v>659</v>
      </c>
      <c r="B660">
        <v>17</v>
      </c>
      <c r="C660">
        <v>27</v>
      </c>
      <c r="D660">
        <f>IF('Boletins Nuppa Site'!F660&lt;&gt;0,'Boletins Nuppa Site'!F660,"NULL")</f>
        <v>50</v>
      </c>
      <c r="E660">
        <f>IF('Boletins Nuppa Site'!G660&lt;&gt;0,'Boletins Nuppa Site'!G660,"NULL")</f>
        <v>50</v>
      </c>
      <c r="F660">
        <f>IF('Boletins Nuppa Site'!H660&lt;&gt;0,'Boletins Nuppa Site'!H660,"NULL")</f>
        <v>60</v>
      </c>
      <c r="G660">
        <f>IF('Boletins Nuppa Site'!I660&lt;&gt;0,'Boletins Nuppa Site'!I660,"NULL")</f>
        <v>55</v>
      </c>
      <c r="H660">
        <f>IF('Boletins Nuppa Site'!J660&lt;&gt;0,'Boletins Nuppa Site'!J660,"NULL")</f>
        <v>55</v>
      </c>
      <c r="J660" t="str">
        <f t="shared" si="10"/>
        <v>INSERT INTO COTACAO (blt_id, pap_id, cot_prc_comum, cot_prc_min, cot_prc_max, cot_prc_med, cot_prc_mediana) VALUES (17, 27, 50, 50, 60, 55, 55);</v>
      </c>
    </row>
    <row r="661" spans="1:10" x14ac:dyDescent="0.3">
      <c r="A661">
        <v>660</v>
      </c>
      <c r="B661">
        <v>17</v>
      </c>
      <c r="C661">
        <v>28</v>
      </c>
      <c r="D661">
        <f>IF('Boletins Nuppa Site'!F661&lt;&gt;0,'Boletins Nuppa Site'!F661,"NULL")</f>
        <v>90</v>
      </c>
      <c r="E661">
        <f>IF('Boletins Nuppa Site'!G661&lt;&gt;0,'Boletins Nuppa Site'!G661,"NULL")</f>
        <v>80</v>
      </c>
      <c r="F661">
        <f>IF('Boletins Nuppa Site'!H661&lt;&gt;0,'Boletins Nuppa Site'!H661,"NULL")</f>
        <v>90</v>
      </c>
      <c r="G661" t="str">
        <f>IF('Boletins Nuppa Site'!I661&lt;&gt;0,'Boletins Nuppa Site'!I661,"NULL")</f>
        <v>86.67</v>
      </c>
      <c r="H661">
        <f>IF('Boletins Nuppa Site'!J661&lt;&gt;0,'Boletins Nuppa Site'!J661,"NULL")</f>
        <v>90</v>
      </c>
      <c r="J661" t="str">
        <f t="shared" si="10"/>
        <v>INSERT INTO COTACAO (blt_id, pap_id, cot_prc_comum, cot_prc_min, cot_prc_max, cot_prc_med, cot_prc_mediana) VALUES (17, 28, 90, 80, 90, 86.67, 90);</v>
      </c>
    </row>
    <row r="662" spans="1:10" x14ac:dyDescent="0.3">
      <c r="A662">
        <v>661</v>
      </c>
      <c r="B662">
        <v>17</v>
      </c>
      <c r="C662">
        <v>29</v>
      </c>
      <c r="D662">
        <f>IF('Boletins Nuppa Site'!F662&lt;&gt;0,'Boletins Nuppa Site'!F662,"NULL")</f>
        <v>75</v>
      </c>
      <c r="E662">
        <f>IF('Boletins Nuppa Site'!G662&lt;&gt;0,'Boletins Nuppa Site'!G662,"NULL")</f>
        <v>75</v>
      </c>
      <c r="F662">
        <f>IF('Boletins Nuppa Site'!H662&lt;&gt;0,'Boletins Nuppa Site'!H662,"NULL")</f>
        <v>75</v>
      </c>
      <c r="G662">
        <f>IF('Boletins Nuppa Site'!I662&lt;&gt;0,'Boletins Nuppa Site'!I662,"NULL")</f>
        <v>75</v>
      </c>
      <c r="H662">
        <f>IF('Boletins Nuppa Site'!J662&lt;&gt;0,'Boletins Nuppa Site'!J662,"NULL")</f>
        <v>75</v>
      </c>
      <c r="J662" t="str">
        <f t="shared" si="10"/>
        <v>INSERT INTO COTACAO (blt_id, pap_id, cot_prc_comum, cot_prc_min, cot_prc_max, cot_prc_med, cot_prc_mediana) VALUES (17, 29, 75, 75, 75, 75, 75);</v>
      </c>
    </row>
    <row r="663" spans="1:10" x14ac:dyDescent="0.3">
      <c r="A663">
        <v>662</v>
      </c>
      <c r="B663">
        <v>17</v>
      </c>
      <c r="C663">
        <v>30</v>
      </c>
      <c r="D663" t="str">
        <f>IF('Boletins Nuppa Site'!F663&lt;&gt;0,'Boletins Nuppa Site'!F663,"NULL")</f>
        <v>NULL</v>
      </c>
      <c r="E663">
        <f>IF('Boletins Nuppa Site'!G663&lt;&gt;0,'Boletins Nuppa Site'!G663,"NULL")</f>
        <v>50</v>
      </c>
      <c r="F663">
        <f>IF('Boletins Nuppa Site'!H663&lt;&gt;0,'Boletins Nuppa Site'!H663,"NULL")</f>
        <v>85</v>
      </c>
      <c r="G663" t="str">
        <f>IF('Boletins Nuppa Site'!I663&lt;&gt;0,'Boletins Nuppa Site'!I663,"NULL")</f>
        <v>68.33</v>
      </c>
      <c r="H663">
        <f>IF('Boletins Nuppa Site'!J663&lt;&gt;0,'Boletins Nuppa Site'!J663,"NULL")</f>
        <v>70</v>
      </c>
      <c r="J663" t="str">
        <f t="shared" si="10"/>
        <v>INSERT INTO COTACAO (blt_id, pap_id, cot_prc_comum, cot_prc_min, cot_prc_max, cot_prc_med, cot_prc_mediana) VALUES (17, 30, NULL, 50, 85, 68.33, 70);</v>
      </c>
    </row>
    <row r="664" spans="1:10" x14ac:dyDescent="0.3">
      <c r="A664">
        <v>663</v>
      </c>
      <c r="B664">
        <v>17</v>
      </c>
      <c r="C664">
        <v>31</v>
      </c>
      <c r="D664">
        <f>IF('Boletins Nuppa Site'!F664&lt;&gt;0,'Boletins Nuppa Site'!F664,"NULL")</f>
        <v>80</v>
      </c>
      <c r="E664">
        <f>IF('Boletins Nuppa Site'!G664&lt;&gt;0,'Boletins Nuppa Site'!G664,"NULL")</f>
        <v>80</v>
      </c>
      <c r="F664">
        <f>IF('Boletins Nuppa Site'!H664&lt;&gt;0,'Boletins Nuppa Site'!H664,"NULL")</f>
        <v>150</v>
      </c>
      <c r="G664">
        <f>IF('Boletins Nuppa Site'!I664&lt;&gt;0,'Boletins Nuppa Site'!I664,"NULL")</f>
        <v>100</v>
      </c>
      <c r="H664">
        <f>IF('Boletins Nuppa Site'!J664&lt;&gt;0,'Boletins Nuppa Site'!J664,"NULL")</f>
        <v>85</v>
      </c>
      <c r="J664" t="str">
        <f t="shared" si="10"/>
        <v>INSERT INTO COTACAO (blt_id, pap_id, cot_prc_comum, cot_prc_min, cot_prc_max, cot_prc_med, cot_prc_mediana) VALUES (17, 31, 80, 80, 150, 100, 85);</v>
      </c>
    </row>
    <row r="665" spans="1:10" x14ac:dyDescent="0.3">
      <c r="A665">
        <v>664</v>
      </c>
      <c r="B665">
        <v>17</v>
      </c>
      <c r="C665">
        <v>32</v>
      </c>
      <c r="D665">
        <f>IF('Boletins Nuppa Site'!F665&lt;&gt;0,'Boletins Nuppa Site'!F665,"NULL")</f>
        <v>50</v>
      </c>
      <c r="E665">
        <f>IF('Boletins Nuppa Site'!G665&lt;&gt;0,'Boletins Nuppa Site'!G665,"NULL")</f>
        <v>50</v>
      </c>
      <c r="F665">
        <f>IF('Boletins Nuppa Site'!H665&lt;&gt;0,'Boletins Nuppa Site'!H665,"NULL")</f>
        <v>65</v>
      </c>
      <c r="G665">
        <f>IF('Boletins Nuppa Site'!I665&lt;&gt;0,'Boletins Nuppa Site'!I665,"NULL")</f>
        <v>56</v>
      </c>
      <c r="H665">
        <f>IF('Boletins Nuppa Site'!J665&lt;&gt;0,'Boletins Nuppa Site'!J665,"NULL")</f>
        <v>55</v>
      </c>
      <c r="J665" t="str">
        <f t="shared" si="10"/>
        <v>INSERT INTO COTACAO (blt_id, pap_id, cot_prc_comum, cot_prc_min, cot_prc_max, cot_prc_med, cot_prc_mediana) VALUES (17, 32, 50, 50, 65, 56, 55);</v>
      </c>
    </row>
    <row r="666" spans="1:10" x14ac:dyDescent="0.3">
      <c r="A666">
        <v>665</v>
      </c>
      <c r="B666">
        <v>17</v>
      </c>
      <c r="C666">
        <v>33</v>
      </c>
      <c r="D666">
        <f>IF('Boletins Nuppa Site'!F666&lt;&gt;0,'Boletins Nuppa Site'!F666,"NULL")</f>
        <v>120</v>
      </c>
      <c r="E666">
        <f>IF('Boletins Nuppa Site'!G666&lt;&gt;0,'Boletins Nuppa Site'!G666,"NULL")</f>
        <v>100</v>
      </c>
      <c r="F666">
        <f>IF('Boletins Nuppa Site'!H666&lt;&gt;0,'Boletins Nuppa Site'!H666,"NULL")</f>
        <v>120</v>
      </c>
      <c r="G666" t="str">
        <f>IF('Boletins Nuppa Site'!I666&lt;&gt;0,'Boletins Nuppa Site'!I666,"NULL")</f>
        <v>112.5</v>
      </c>
      <c r="H666">
        <f>IF('Boletins Nuppa Site'!J666&lt;&gt;0,'Boletins Nuppa Site'!J666,"NULL")</f>
        <v>115</v>
      </c>
      <c r="J666" t="str">
        <f t="shared" si="10"/>
        <v>INSERT INTO COTACAO (blt_id, pap_id, cot_prc_comum, cot_prc_min, cot_prc_max, cot_prc_med, cot_prc_mediana) VALUES (17, 33, 120, 100, 120, 112.5, 115);</v>
      </c>
    </row>
    <row r="667" spans="1:10" x14ac:dyDescent="0.3">
      <c r="A667">
        <v>666</v>
      </c>
      <c r="B667">
        <v>17</v>
      </c>
      <c r="C667">
        <v>34</v>
      </c>
      <c r="D667">
        <f>IF('Boletins Nuppa Site'!F667&lt;&gt;0,'Boletins Nuppa Site'!F667,"NULL")</f>
        <v>140</v>
      </c>
      <c r="E667">
        <f>IF('Boletins Nuppa Site'!G667&lt;&gt;0,'Boletins Nuppa Site'!G667,"NULL")</f>
        <v>80</v>
      </c>
      <c r="F667">
        <f>IF('Boletins Nuppa Site'!H667&lt;&gt;0,'Boletins Nuppa Site'!H667,"NULL")</f>
        <v>140</v>
      </c>
      <c r="G667" t="str">
        <f>IF('Boletins Nuppa Site'!I667&lt;&gt;0,'Boletins Nuppa Site'!I667,"NULL")</f>
        <v>111.67</v>
      </c>
      <c r="H667">
        <f>IF('Boletins Nuppa Site'!J667&lt;&gt;0,'Boletins Nuppa Site'!J667,"NULL")</f>
        <v>105</v>
      </c>
      <c r="J667" t="str">
        <f t="shared" si="10"/>
        <v>INSERT INTO COTACAO (blt_id, pap_id, cot_prc_comum, cot_prc_min, cot_prc_max, cot_prc_med, cot_prc_mediana) VALUES (17, 34, 140, 80, 140, 111.67, 105);</v>
      </c>
    </row>
    <row r="668" spans="1:10" x14ac:dyDescent="0.3">
      <c r="A668">
        <v>667</v>
      </c>
      <c r="B668">
        <v>17</v>
      </c>
      <c r="C668">
        <v>35</v>
      </c>
      <c r="D668">
        <f>IF('Boletins Nuppa Site'!F668&lt;&gt;0,'Boletins Nuppa Site'!F668,"NULL")</f>
        <v>200</v>
      </c>
      <c r="E668">
        <f>IF('Boletins Nuppa Site'!G668&lt;&gt;0,'Boletins Nuppa Site'!G668,"NULL")</f>
        <v>170</v>
      </c>
      <c r="F668">
        <f>IF('Boletins Nuppa Site'!H668&lt;&gt;0,'Boletins Nuppa Site'!H668,"NULL")</f>
        <v>200</v>
      </c>
      <c r="G668">
        <f>IF('Boletins Nuppa Site'!I668&lt;&gt;0,'Boletins Nuppa Site'!I668,"NULL")</f>
        <v>190</v>
      </c>
      <c r="H668">
        <f>IF('Boletins Nuppa Site'!J668&lt;&gt;0,'Boletins Nuppa Site'!J668,"NULL")</f>
        <v>200</v>
      </c>
      <c r="J668" t="str">
        <f t="shared" si="10"/>
        <v>INSERT INTO COTACAO (blt_id, pap_id, cot_prc_comum, cot_prc_min, cot_prc_max, cot_prc_med, cot_prc_mediana) VALUES (17, 35, 200, 170, 200, 190, 200);</v>
      </c>
    </row>
    <row r="669" spans="1:10" x14ac:dyDescent="0.3">
      <c r="A669">
        <v>668</v>
      </c>
      <c r="B669">
        <v>17</v>
      </c>
      <c r="C669">
        <v>36</v>
      </c>
      <c r="D669" t="str">
        <f>IF('Boletins Nuppa Site'!F669&lt;&gt;0,'Boletins Nuppa Site'!F669,"NULL")</f>
        <v>NULL</v>
      </c>
      <c r="E669">
        <f>IF('Boletins Nuppa Site'!G669&lt;&gt;0,'Boletins Nuppa Site'!G669,"NULL")</f>
        <v>170</v>
      </c>
      <c r="F669">
        <f>IF('Boletins Nuppa Site'!H669&lt;&gt;0,'Boletins Nuppa Site'!H669,"NULL")</f>
        <v>170</v>
      </c>
      <c r="G669">
        <f>IF('Boletins Nuppa Site'!I669&lt;&gt;0,'Boletins Nuppa Site'!I669,"NULL")</f>
        <v>170</v>
      </c>
      <c r="H669">
        <f>IF('Boletins Nuppa Site'!J669&lt;&gt;0,'Boletins Nuppa Site'!J669,"NULL")</f>
        <v>170</v>
      </c>
      <c r="J669" t="str">
        <f t="shared" si="10"/>
        <v>INSERT INTO COTACAO (blt_id, pap_id, cot_prc_comum, cot_prc_min, cot_prc_max, cot_prc_med, cot_prc_mediana) VALUES (17, 36, NULL, 170, 170, 170, 170);</v>
      </c>
    </row>
    <row r="670" spans="1:10" x14ac:dyDescent="0.3">
      <c r="A670">
        <v>669</v>
      </c>
      <c r="B670">
        <v>17</v>
      </c>
      <c r="C670">
        <v>37</v>
      </c>
      <c r="D670" t="str">
        <f>IF('Boletins Nuppa Site'!F670&lt;&gt;0,'Boletins Nuppa Site'!F670,"NULL")</f>
        <v>NULL</v>
      </c>
      <c r="E670">
        <f>IF('Boletins Nuppa Site'!G670&lt;&gt;0,'Boletins Nuppa Site'!G670,"NULL")</f>
        <v>75</v>
      </c>
      <c r="F670">
        <f>IF('Boletins Nuppa Site'!H670&lt;&gt;0,'Boletins Nuppa Site'!H670,"NULL")</f>
        <v>75</v>
      </c>
      <c r="G670">
        <f>IF('Boletins Nuppa Site'!I670&lt;&gt;0,'Boletins Nuppa Site'!I670,"NULL")</f>
        <v>75</v>
      </c>
      <c r="H670">
        <f>IF('Boletins Nuppa Site'!J670&lt;&gt;0,'Boletins Nuppa Site'!J670,"NULL")</f>
        <v>75</v>
      </c>
      <c r="J670" t="str">
        <f t="shared" si="10"/>
        <v>INSERT INTO COTACAO (blt_id, pap_id, cot_prc_comum, cot_prc_min, cot_prc_max, cot_prc_med, cot_prc_mediana) VALUES (17, 37, NULL, 75, 75, 75, 75);</v>
      </c>
    </row>
    <row r="671" spans="1:10" x14ac:dyDescent="0.3">
      <c r="A671">
        <v>670</v>
      </c>
      <c r="B671">
        <v>17</v>
      </c>
      <c r="C671">
        <v>38</v>
      </c>
      <c r="D671" t="str">
        <f>IF('Boletins Nuppa Site'!F671&lt;&gt;0,'Boletins Nuppa Site'!F671,"NULL")</f>
        <v>NULL</v>
      </c>
      <c r="E671" t="str">
        <f>IF('Boletins Nuppa Site'!G671&lt;&gt;0,'Boletins Nuppa Site'!G671,"NULL")</f>
        <v>NULL</v>
      </c>
      <c r="F671" t="str">
        <f>IF('Boletins Nuppa Site'!H671&lt;&gt;0,'Boletins Nuppa Site'!H671,"NULL")</f>
        <v>NULL</v>
      </c>
      <c r="G671" t="str">
        <f>IF('Boletins Nuppa Site'!I671&lt;&gt;0,'Boletins Nuppa Site'!I671,"NULL")</f>
        <v>NULL</v>
      </c>
      <c r="H671" t="str">
        <f>IF('Boletins Nuppa Site'!J671&lt;&gt;0,'Boletins Nuppa Site'!J671,"NULL")</f>
        <v>NULL</v>
      </c>
      <c r="J671" t="str">
        <f t="shared" si="10"/>
        <v>INSERT INTO COTACAO (blt_id, pap_id, cot_prc_comum, cot_prc_min, cot_prc_max, cot_prc_med, cot_prc_mediana) VALUES (17, 38, NULL, NULL, NULL, NULL, NULL);</v>
      </c>
    </row>
    <row r="672" spans="1:10" x14ac:dyDescent="0.3">
      <c r="A672">
        <v>671</v>
      </c>
      <c r="B672">
        <v>17</v>
      </c>
      <c r="C672">
        <v>39</v>
      </c>
      <c r="D672" t="str">
        <f>IF('Boletins Nuppa Site'!F672&lt;&gt;0,'Boletins Nuppa Site'!F672,"NULL")</f>
        <v>NULL</v>
      </c>
      <c r="E672">
        <f>IF('Boletins Nuppa Site'!G672&lt;&gt;0,'Boletins Nuppa Site'!G672,"NULL")</f>
        <v>50</v>
      </c>
      <c r="F672">
        <f>IF('Boletins Nuppa Site'!H672&lt;&gt;0,'Boletins Nuppa Site'!H672,"NULL")</f>
        <v>50</v>
      </c>
      <c r="G672">
        <f>IF('Boletins Nuppa Site'!I672&lt;&gt;0,'Boletins Nuppa Site'!I672,"NULL")</f>
        <v>50</v>
      </c>
      <c r="H672">
        <f>IF('Boletins Nuppa Site'!J672&lt;&gt;0,'Boletins Nuppa Site'!J672,"NULL")</f>
        <v>50</v>
      </c>
      <c r="J672" t="str">
        <f t="shared" si="10"/>
        <v>INSERT INTO COTACAO (blt_id, pap_id, cot_prc_comum, cot_prc_min, cot_prc_max, cot_prc_med, cot_prc_mediana) VALUES (17, 39, NULL, 50, 50, 50, 50);</v>
      </c>
    </row>
    <row r="673" spans="1:10" x14ac:dyDescent="0.3">
      <c r="A673">
        <v>672</v>
      </c>
      <c r="B673">
        <v>17</v>
      </c>
      <c r="C673">
        <v>40</v>
      </c>
      <c r="D673" t="str">
        <f>IF('Boletins Nuppa Site'!F673&lt;&gt;0,'Boletins Nuppa Site'!F673,"NULL")</f>
        <v>NULL</v>
      </c>
      <c r="E673">
        <f>IF('Boletins Nuppa Site'!G673&lt;&gt;0,'Boletins Nuppa Site'!G673,"NULL")</f>
        <v>50</v>
      </c>
      <c r="F673">
        <f>IF('Boletins Nuppa Site'!H673&lt;&gt;0,'Boletins Nuppa Site'!H673,"NULL")</f>
        <v>60</v>
      </c>
      <c r="G673">
        <f>IF('Boletins Nuppa Site'!I673&lt;&gt;0,'Boletins Nuppa Site'!I673,"NULL")</f>
        <v>55</v>
      </c>
      <c r="H673">
        <f>IF('Boletins Nuppa Site'!J673&lt;&gt;0,'Boletins Nuppa Site'!J673,"NULL")</f>
        <v>55</v>
      </c>
      <c r="J673" t="str">
        <f t="shared" si="10"/>
        <v>INSERT INTO COTACAO (blt_id, pap_id, cot_prc_comum, cot_prc_min, cot_prc_max, cot_prc_med, cot_prc_mediana) VALUES (17, 40, NULL, 50, 60, 55, 55);</v>
      </c>
    </row>
    <row r="674" spans="1:10" x14ac:dyDescent="0.3">
      <c r="A674">
        <v>673</v>
      </c>
      <c r="B674">
        <v>18</v>
      </c>
      <c r="C674">
        <v>1</v>
      </c>
      <c r="D674">
        <f>IF('Boletins Nuppa Site'!F674&lt;&gt;0,'Boletins Nuppa Site'!F674,"NULL")</f>
        <v>60</v>
      </c>
      <c r="E674">
        <f>IF('Boletins Nuppa Site'!G674&lt;&gt;0,'Boletins Nuppa Site'!G674,"NULL")</f>
        <v>48</v>
      </c>
      <c r="F674">
        <f>IF('Boletins Nuppa Site'!H674&lt;&gt;0,'Boletins Nuppa Site'!H674,"NULL")</f>
        <v>66</v>
      </c>
      <c r="G674" t="str">
        <f>IF('Boletins Nuppa Site'!I674&lt;&gt;0,'Boletins Nuppa Site'!I674,"NULL")</f>
        <v>58.5</v>
      </c>
      <c r="H674">
        <f>IF('Boletins Nuppa Site'!J674&lt;&gt;0,'Boletins Nuppa Site'!J674,"NULL")</f>
        <v>60</v>
      </c>
      <c r="J674" t="str">
        <f t="shared" si="10"/>
        <v>INSERT INTO COTACAO (blt_id, pap_id, cot_prc_comum, cot_prc_min, cot_prc_max, cot_prc_med, cot_prc_mediana) VALUES (18, 1, 60, 48, 66, 58.5, 60);</v>
      </c>
    </row>
    <row r="675" spans="1:10" x14ac:dyDescent="0.3">
      <c r="A675">
        <v>674</v>
      </c>
      <c r="B675">
        <v>18</v>
      </c>
      <c r="C675">
        <v>2</v>
      </c>
      <c r="D675">
        <f>IF('Boletins Nuppa Site'!F675&lt;&gt;0,'Boletins Nuppa Site'!F675,"NULL")</f>
        <v>84</v>
      </c>
      <c r="E675">
        <f>IF('Boletins Nuppa Site'!G675&lt;&gt;0,'Boletins Nuppa Site'!G675,"NULL")</f>
        <v>60</v>
      </c>
      <c r="F675">
        <f>IF('Boletins Nuppa Site'!H675&lt;&gt;0,'Boletins Nuppa Site'!H675,"NULL")</f>
        <v>84</v>
      </c>
      <c r="G675">
        <f>IF('Boletins Nuppa Site'!I675&lt;&gt;0,'Boletins Nuppa Site'!I675,"NULL")</f>
        <v>78</v>
      </c>
      <c r="H675">
        <f>IF('Boletins Nuppa Site'!J675&lt;&gt;0,'Boletins Nuppa Site'!J675,"NULL")</f>
        <v>84</v>
      </c>
      <c r="J675" t="str">
        <f t="shared" si="10"/>
        <v>INSERT INTO COTACAO (blt_id, pap_id, cot_prc_comum, cot_prc_min, cot_prc_max, cot_prc_med, cot_prc_mediana) VALUES (18, 2, 84, 60, 84, 78, 84);</v>
      </c>
    </row>
    <row r="676" spans="1:10" x14ac:dyDescent="0.3">
      <c r="A676">
        <v>675</v>
      </c>
      <c r="B676">
        <v>18</v>
      </c>
      <c r="C676">
        <v>3</v>
      </c>
      <c r="D676" t="str">
        <f>IF('Boletins Nuppa Site'!F676&lt;&gt;0,'Boletins Nuppa Site'!F676,"NULL")</f>
        <v>NULL</v>
      </c>
      <c r="E676">
        <f>IF('Boletins Nuppa Site'!G676&lt;&gt;0,'Boletins Nuppa Site'!G676,"NULL")</f>
        <v>36</v>
      </c>
      <c r="F676">
        <f>IF('Boletins Nuppa Site'!H676&lt;&gt;0,'Boletins Nuppa Site'!H676,"NULL")</f>
        <v>54</v>
      </c>
      <c r="G676" t="str">
        <f>IF('Boletins Nuppa Site'!I676&lt;&gt;0,'Boletins Nuppa Site'!I676,"NULL")</f>
        <v>44.5</v>
      </c>
      <c r="H676">
        <f>IF('Boletins Nuppa Site'!J676&lt;&gt;0,'Boletins Nuppa Site'!J676,"NULL")</f>
        <v>44</v>
      </c>
      <c r="J676" t="str">
        <f t="shared" si="10"/>
        <v>INSERT INTO COTACAO (blt_id, pap_id, cot_prc_comum, cot_prc_min, cot_prc_max, cot_prc_med, cot_prc_mediana) VALUES (18, 3, NULL, 36, 54, 44.5, 44);</v>
      </c>
    </row>
    <row r="677" spans="1:10" x14ac:dyDescent="0.3">
      <c r="A677">
        <v>676</v>
      </c>
      <c r="B677">
        <v>18</v>
      </c>
      <c r="C677">
        <v>4</v>
      </c>
      <c r="D677">
        <f>IF('Boletins Nuppa Site'!F677&lt;&gt;0,'Boletins Nuppa Site'!F677,"NULL")</f>
        <v>24</v>
      </c>
      <c r="E677">
        <f>IF('Boletins Nuppa Site'!G677&lt;&gt;0,'Boletins Nuppa Site'!G677,"NULL")</f>
        <v>24</v>
      </c>
      <c r="F677">
        <f>IF('Boletins Nuppa Site'!H677&lt;&gt;0,'Boletins Nuppa Site'!H677,"NULL")</f>
        <v>30</v>
      </c>
      <c r="G677">
        <f>IF('Boletins Nuppa Site'!I677&lt;&gt;0,'Boletins Nuppa Site'!I677,"NULL")</f>
        <v>27</v>
      </c>
      <c r="H677">
        <f>IF('Boletins Nuppa Site'!J677&lt;&gt;0,'Boletins Nuppa Site'!J677,"NULL")</f>
        <v>27</v>
      </c>
      <c r="J677" t="str">
        <f t="shared" si="10"/>
        <v>INSERT INTO COTACAO (blt_id, pap_id, cot_prc_comum, cot_prc_min, cot_prc_max, cot_prc_med, cot_prc_mediana) VALUES (18, 4, 24, 24, 30, 27, 27);</v>
      </c>
    </row>
    <row r="678" spans="1:10" x14ac:dyDescent="0.3">
      <c r="A678">
        <v>677</v>
      </c>
      <c r="B678">
        <v>18</v>
      </c>
      <c r="C678">
        <v>5</v>
      </c>
      <c r="D678">
        <f>IF('Boletins Nuppa Site'!F678&lt;&gt;0,'Boletins Nuppa Site'!F678,"NULL")</f>
        <v>24</v>
      </c>
      <c r="E678">
        <f>IF('Boletins Nuppa Site'!G678&lt;&gt;0,'Boletins Nuppa Site'!G678,"NULL")</f>
        <v>24</v>
      </c>
      <c r="F678">
        <f>IF('Boletins Nuppa Site'!H678&lt;&gt;0,'Boletins Nuppa Site'!H678,"NULL")</f>
        <v>30</v>
      </c>
      <c r="G678">
        <f>IF('Boletins Nuppa Site'!I678&lt;&gt;0,'Boletins Nuppa Site'!I678,"NULL")</f>
        <v>27</v>
      </c>
      <c r="H678">
        <f>IF('Boletins Nuppa Site'!J678&lt;&gt;0,'Boletins Nuppa Site'!J678,"NULL")</f>
        <v>27</v>
      </c>
      <c r="J678" t="str">
        <f t="shared" si="10"/>
        <v>INSERT INTO COTACAO (blt_id, pap_id, cot_prc_comum, cot_prc_min, cot_prc_max, cot_prc_med, cot_prc_mediana) VALUES (18, 5, 24, 24, 30, 27, 27);</v>
      </c>
    </row>
    <row r="679" spans="1:10" x14ac:dyDescent="0.3">
      <c r="A679">
        <v>678</v>
      </c>
      <c r="B679">
        <v>18</v>
      </c>
      <c r="C679">
        <v>6</v>
      </c>
      <c r="D679">
        <f>IF('Boletins Nuppa Site'!F679&lt;&gt;0,'Boletins Nuppa Site'!F679,"NULL")</f>
        <v>50</v>
      </c>
      <c r="E679">
        <f>IF('Boletins Nuppa Site'!G679&lt;&gt;0,'Boletins Nuppa Site'!G679,"NULL")</f>
        <v>48</v>
      </c>
      <c r="F679">
        <f>IF('Boletins Nuppa Site'!H679&lt;&gt;0,'Boletins Nuppa Site'!H679,"NULL")</f>
        <v>60</v>
      </c>
      <c r="G679">
        <f>IF('Boletins Nuppa Site'!I679&lt;&gt;0,'Boletins Nuppa Site'!I679,"NULL")</f>
        <v>52</v>
      </c>
      <c r="H679">
        <f>IF('Boletins Nuppa Site'!J679&lt;&gt;0,'Boletins Nuppa Site'!J679,"NULL")</f>
        <v>50</v>
      </c>
      <c r="J679" t="str">
        <f t="shared" si="10"/>
        <v>INSERT INTO COTACAO (blt_id, pap_id, cot_prc_comum, cot_prc_min, cot_prc_max, cot_prc_med, cot_prc_mediana) VALUES (18, 6, 50, 48, 60, 52, 50);</v>
      </c>
    </row>
    <row r="680" spans="1:10" x14ac:dyDescent="0.3">
      <c r="A680">
        <v>679</v>
      </c>
      <c r="B680">
        <v>18</v>
      </c>
      <c r="C680">
        <v>7</v>
      </c>
      <c r="D680">
        <f>IF('Boletins Nuppa Site'!F680&lt;&gt;0,'Boletins Nuppa Site'!F680,"NULL")</f>
        <v>84</v>
      </c>
      <c r="E680">
        <f>IF('Boletins Nuppa Site'!G680&lt;&gt;0,'Boletins Nuppa Site'!G680,"NULL")</f>
        <v>84</v>
      </c>
      <c r="F680">
        <f>IF('Boletins Nuppa Site'!H680&lt;&gt;0,'Boletins Nuppa Site'!H680,"NULL")</f>
        <v>96</v>
      </c>
      <c r="G680">
        <f>IF('Boletins Nuppa Site'!I680&lt;&gt;0,'Boletins Nuppa Site'!I680,"NULL")</f>
        <v>90</v>
      </c>
      <c r="H680">
        <f>IF('Boletins Nuppa Site'!J680&lt;&gt;0,'Boletins Nuppa Site'!J680,"NULL")</f>
        <v>90</v>
      </c>
      <c r="J680" t="str">
        <f t="shared" si="10"/>
        <v>INSERT INTO COTACAO (blt_id, pap_id, cot_prc_comum, cot_prc_min, cot_prc_max, cot_prc_med, cot_prc_mediana) VALUES (18, 7, 84, 84, 96, 90, 90);</v>
      </c>
    </row>
    <row r="681" spans="1:10" x14ac:dyDescent="0.3">
      <c r="A681">
        <v>680</v>
      </c>
      <c r="B681">
        <v>18</v>
      </c>
      <c r="C681">
        <v>8</v>
      </c>
      <c r="D681">
        <f>IF('Boletins Nuppa Site'!F681&lt;&gt;0,'Boletins Nuppa Site'!F681,"NULL")</f>
        <v>96</v>
      </c>
      <c r="E681">
        <f>IF('Boletins Nuppa Site'!G681&lt;&gt;0,'Boletins Nuppa Site'!G681,"NULL")</f>
        <v>84</v>
      </c>
      <c r="F681">
        <f>IF('Boletins Nuppa Site'!H681&lt;&gt;0,'Boletins Nuppa Site'!H681,"NULL")</f>
        <v>96</v>
      </c>
      <c r="G681">
        <f>IF('Boletins Nuppa Site'!I681&lt;&gt;0,'Boletins Nuppa Site'!I681,"NULL")</f>
        <v>93</v>
      </c>
      <c r="H681">
        <f>IF('Boletins Nuppa Site'!J681&lt;&gt;0,'Boletins Nuppa Site'!J681,"NULL")</f>
        <v>96</v>
      </c>
      <c r="J681" t="str">
        <f t="shared" si="10"/>
        <v>INSERT INTO COTACAO (blt_id, pap_id, cot_prc_comum, cot_prc_min, cot_prc_max, cot_prc_med, cot_prc_mediana) VALUES (18, 8, 96, 84, 96, 93, 96);</v>
      </c>
    </row>
    <row r="682" spans="1:10" x14ac:dyDescent="0.3">
      <c r="A682">
        <v>681</v>
      </c>
      <c r="B682">
        <v>18</v>
      </c>
      <c r="C682">
        <v>9</v>
      </c>
      <c r="D682">
        <f>IF('Boletins Nuppa Site'!F682&lt;&gt;0,'Boletins Nuppa Site'!F682,"NULL")</f>
        <v>24</v>
      </c>
      <c r="E682">
        <f>IF('Boletins Nuppa Site'!G682&lt;&gt;0,'Boletins Nuppa Site'!G682,"NULL")</f>
        <v>24</v>
      </c>
      <c r="F682">
        <f>IF('Boletins Nuppa Site'!H682&lt;&gt;0,'Boletins Nuppa Site'!H682,"NULL")</f>
        <v>30</v>
      </c>
      <c r="G682">
        <f>IF('Boletins Nuppa Site'!I682&lt;&gt;0,'Boletins Nuppa Site'!I682,"NULL")</f>
        <v>27</v>
      </c>
      <c r="H682">
        <f>IF('Boletins Nuppa Site'!J682&lt;&gt;0,'Boletins Nuppa Site'!J682,"NULL")</f>
        <v>27</v>
      </c>
      <c r="J682" t="str">
        <f t="shared" si="10"/>
        <v>INSERT INTO COTACAO (blt_id, pap_id, cot_prc_comum, cot_prc_min, cot_prc_max, cot_prc_med, cot_prc_mediana) VALUES (18, 9, 24, 24, 30, 27, 27);</v>
      </c>
    </row>
    <row r="683" spans="1:10" x14ac:dyDescent="0.3">
      <c r="A683">
        <v>682</v>
      </c>
      <c r="B683">
        <v>18</v>
      </c>
      <c r="C683">
        <v>10</v>
      </c>
      <c r="D683">
        <f>IF('Boletins Nuppa Site'!F683&lt;&gt;0,'Boletins Nuppa Site'!F683,"NULL")</f>
        <v>96</v>
      </c>
      <c r="E683">
        <f>IF('Boletins Nuppa Site'!G683&lt;&gt;0,'Boletins Nuppa Site'!G683,"NULL")</f>
        <v>96</v>
      </c>
      <c r="F683">
        <f>IF('Boletins Nuppa Site'!H683&lt;&gt;0,'Boletins Nuppa Site'!H683,"NULL")</f>
        <v>120</v>
      </c>
      <c r="G683">
        <f>IF('Boletins Nuppa Site'!I683&lt;&gt;0,'Boletins Nuppa Site'!I683,"NULL")</f>
        <v>102</v>
      </c>
      <c r="H683">
        <f>IF('Boletins Nuppa Site'!J683&lt;&gt;0,'Boletins Nuppa Site'!J683,"NULL")</f>
        <v>96</v>
      </c>
      <c r="J683" t="str">
        <f t="shared" si="10"/>
        <v>INSERT INTO COTACAO (blt_id, pap_id, cot_prc_comum, cot_prc_min, cot_prc_max, cot_prc_med, cot_prc_mediana) VALUES (18, 10, 96, 96, 120, 102, 96);</v>
      </c>
    </row>
    <row r="684" spans="1:10" x14ac:dyDescent="0.3">
      <c r="A684">
        <v>683</v>
      </c>
      <c r="B684">
        <v>18</v>
      </c>
      <c r="C684">
        <v>11</v>
      </c>
      <c r="D684">
        <f>IF('Boletins Nuppa Site'!F684&lt;&gt;0,'Boletins Nuppa Site'!F684,"NULL")</f>
        <v>24</v>
      </c>
      <c r="E684">
        <f>IF('Boletins Nuppa Site'!G684&lt;&gt;0,'Boletins Nuppa Site'!G684,"NULL")</f>
        <v>24</v>
      </c>
      <c r="F684">
        <f>IF('Boletins Nuppa Site'!H684&lt;&gt;0,'Boletins Nuppa Site'!H684,"NULL")</f>
        <v>30</v>
      </c>
      <c r="G684">
        <f>IF('Boletins Nuppa Site'!I684&lt;&gt;0,'Boletins Nuppa Site'!I684,"NULL")</f>
        <v>27</v>
      </c>
      <c r="H684">
        <f>IF('Boletins Nuppa Site'!J684&lt;&gt;0,'Boletins Nuppa Site'!J684,"NULL")</f>
        <v>27</v>
      </c>
      <c r="J684" t="str">
        <f t="shared" si="10"/>
        <v>INSERT INTO COTACAO (blt_id, pap_id, cot_prc_comum, cot_prc_min, cot_prc_max, cot_prc_med, cot_prc_mediana) VALUES (18, 11, 24, 24, 30, 27, 27);</v>
      </c>
    </row>
    <row r="685" spans="1:10" x14ac:dyDescent="0.3">
      <c r="A685">
        <v>684</v>
      </c>
      <c r="B685">
        <v>18</v>
      </c>
      <c r="C685">
        <v>12</v>
      </c>
      <c r="D685" t="str">
        <f>IF('Boletins Nuppa Site'!F685&lt;&gt;0,'Boletins Nuppa Site'!F685,"NULL")</f>
        <v>NULL</v>
      </c>
      <c r="E685">
        <f>IF('Boletins Nuppa Site'!G685&lt;&gt;0,'Boletins Nuppa Site'!G685,"NULL")</f>
        <v>66</v>
      </c>
      <c r="F685">
        <f>IF('Boletins Nuppa Site'!H685&lt;&gt;0,'Boletins Nuppa Site'!H685,"NULL")</f>
        <v>86</v>
      </c>
      <c r="G685" t="str">
        <f>IF('Boletins Nuppa Site'!I685&lt;&gt;0,'Boletins Nuppa Site'!I685,"NULL")</f>
        <v>75.5</v>
      </c>
      <c r="H685">
        <f>IF('Boletins Nuppa Site'!J685&lt;&gt;0,'Boletins Nuppa Site'!J685,"NULL")</f>
        <v>75</v>
      </c>
      <c r="J685" t="str">
        <f t="shared" si="10"/>
        <v>INSERT INTO COTACAO (blt_id, pap_id, cot_prc_comum, cot_prc_min, cot_prc_max, cot_prc_med, cot_prc_mediana) VALUES (18, 12, NULL, 66, 86, 75.5, 75);</v>
      </c>
    </row>
    <row r="686" spans="1:10" x14ac:dyDescent="0.3">
      <c r="A686">
        <v>685</v>
      </c>
      <c r="B686">
        <v>18</v>
      </c>
      <c r="C686">
        <v>13</v>
      </c>
      <c r="D686">
        <f>IF('Boletins Nuppa Site'!F686&lt;&gt;0,'Boletins Nuppa Site'!F686,"NULL")</f>
        <v>48</v>
      </c>
      <c r="E686">
        <f>IF('Boletins Nuppa Site'!G686&lt;&gt;0,'Boletins Nuppa Site'!G686,"NULL")</f>
        <v>48</v>
      </c>
      <c r="F686">
        <f>IF('Boletins Nuppa Site'!H686&lt;&gt;0,'Boletins Nuppa Site'!H686,"NULL")</f>
        <v>72</v>
      </c>
      <c r="G686">
        <f>IF('Boletins Nuppa Site'!I686&lt;&gt;0,'Boletins Nuppa Site'!I686,"NULL")</f>
        <v>57</v>
      </c>
      <c r="H686">
        <f>IF('Boletins Nuppa Site'!J686&lt;&gt;0,'Boletins Nuppa Site'!J686,"NULL")</f>
        <v>54</v>
      </c>
      <c r="J686" t="str">
        <f t="shared" si="10"/>
        <v>INSERT INTO COTACAO (blt_id, pap_id, cot_prc_comum, cot_prc_min, cot_prc_max, cot_prc_med, cot_prc_mediana) VALUES (18, 13, 48, 48, 72, 57, 54);</v>
      </c>
    </row>
    <row r="687" spans="1:10" x14ac:dyDescent="0.3">
      <c r="A687">
        <v>686</v>
      </c>
      <c r="B687">
        <v>18</v>
      </c>
      <c r="C687">
        <v>14</v>
      </c>
      <c r="D687" t="str">
        <f>IF('Boletins Nuppa Site'!F687&lt;&gt;0,'Boletins Nuppa Site'!F687,"NULL")</f>
        <v>NULL</v>
      </c>
      <c r="E687">
        <f>IF('Boletins Nuppa Site'!G687&lt;&gt;0,'Boletins Nuppa Site'!G687,"NULL")</f>
        <v>60</v>
      </c>
      <c r="F687">
        <f>IF('Boletins Nuppa Site'!H687&lt;&gt;0,'Boletins Nuppa Site'!H687,"NULL")</f>
        <v>96</v>
      </c>
      <c r="G687">
        <f>IF('Boletins Nuppa Site'!I687&lt;&gt;0,'Boletins Nuppa Site'!I687,"NULL")</f>
        <v>78</v>
      </c>
      <c r="H687">
        <f>IF('Boletins Nuppa Site'!J687&lt;&gt;0,'Boletins Nuppa Site'!J687,"NULL")</f>
        <v>78</v>
      </c>
      <c r="J687" t="str">
        <f t="shared" si="10"/>
        <v>INSERT INTO COTACAO (blt_id, pap_id, cot_prc_comum, cot_prc_min, cot_prc_max, cot_prc_med, cot_prc_mediana) VALUES (18, 14, NULL, 60, 96, 78, 78);</v>
      </c>
    </row>
    <row r="688" spans="1:10" x14ac:dyDescent="0.3">
      <c r="A688">
        <v>687</v>
      </c>
      <c r="B688">
        <v>18</v>
      </c>
      <c r="C688">
        <v>15</v>
      </c>
      <c r="D688">
        <f>IF('Boletins Nuppa Site'!F688&lt;&gt;0,'Boletins Nuppa Site'!F688,"NULL")</f>
        <v>48</v>
      </c>
      <c r="E688">
        <f>IF('Boletins Nuppa Site'!G688&lt;&gt;0,'Boletins Nuppa Site'!G688,"NULL")</f>
        <v>48</v>
      </c>
      <c r="F688">
        <f>IF('Boletins Nuppa Site'!H688&lt;&gt;0,'Boletins Nuppa Site'!H688,"NULL")</f>
        <v>72</v>
      </c>
      <c r="G688" t="str">
        <f>IF('Boletins Nuppa Site'!I688&lt;&gt;0,'Boletins Nuppa Site'!I688,"NULL")</f>
        <v>55.6</v>
      </c>
      <c r="H688">
        <f>IF('Boletins Nuppa Site'!J688&lt;&gt;0,'Boletins Nuppa Site'!J688,"NULL")</f>
        <v>50</v>
      </c>
      <c r="J688" t="str">
        <f t="shared" si="10"/>
        <v>INSERT INTO COTACAO (blt_id, pap_id, cot_prc_comum, cot_prc_min, cot_prc_max, cot_prc_med, cot_prc_mediana) VALUES (18, 15, 48, 48, 72, 55.6, 50);</v>
      </c>
    </row>
    <row r="689" spans="1:10" x14ac:dyDescent="0.3">
      <c r="A689">
        <v>688</v>
      </c>
      <c r="B689">
        <v>18</v>
      </c>
      <c r="C689">
        <v>16</v>
      </c>
      <c r="D689">
        <f>IF('Boletins Nuppa Site'!F689&lt;&gt;0,'Boletins Nuppa Site'!F689,"NULL")</f>
        <v>54</v>
      </c>
      <c r="E689">
        <f>IF('Boletins Nuppa Site'!G689&lt;&gt;0,'Boletins Nuppa Site'!G689,"NULL")</f>
        <v>48</v>
      </c>
      <c r="F689">
        <f>IF('Boletins Nuppa Site'!H689&lt;&gt;0,'Boletins Nuppa Site'!H689,"NULL")</f>
        <v>60</v>
      </c>
      <c r="G689">
        <f>IF('Boletins Nuppa Site'!I689&lt;&gt;0,'Boletins Nuppa Site'!I689,"NULL")</f>
        <v>54</v>
      </c>
      <c r="H689">
        <f>IF('Boletins Nuppa Site'!J689&lt;&gt;0,'Boletins Nuppa Site'!J689,"NULL")</f>
        <v>54</v>
      </c>
      <c r="J689" t="str">
        <f t="shared" si="10"/>
        <v>INSERT INTO COTACAO (blt_id, pap_id, cot_prc_comum, cot_prc_min, cot_prc_max, cot_prc_med, cot_prc_mediana) VALUES (18, 16, 54, 48, 60, 54, 54);</v>
      </c>
    </row>
    <row r="690" spans="1:10" x14ac:dyDescent="0.3">
      <c r="A690">
        <v>689</v>
      </c>
      <c r="B690">
        <v>18</v>
      </c>
      <c r="C690">
        <v>17</v>
      </c>
      <c r="D690">
        <f>IF('Boletins Nuppa Site'!F690&lt;&gt;0,'Boletins Nuppa Site'!F690,"NULL")</f>
        <v>5</v>
      </c>
      <c r="E690">
        <f>IF('Boletins Nuppa Site'!G690&lt;&gt;0,'Boletins Nuppa Site'!G690,"NULL")</f>
        <v>5</v>
      </c>
      <c r="F690">
        <f>IF('Boletins Nuppa Site'!H690&lt;&gt;0,'Boletins Nuppa Site'!H690,"NULL")</f>
        <v>6</v>
      </c>
      <c r="G690" t="str">
        <f>IF('Boletins Nuppa Site'!I690&lt;&gt;0,'Boletins Nuppa Site'!I690,"NULL")</f>
        <v>5.25</v>
      </c>
      <c r="H690">
        <f>IF('Boletins Nuppa Site'!J690&lt;&gt;0,'Boletins Nuppa Site'!J690,"NULL")</f>
        <v>5</v>
      </c>
      <c r="J690" t="str">
        <f t="shared" si="10"/>
        <v>INSERT INTO COTACAO (blt_id, pap_id, cot_prc_comum, cot_prc_min, cot_prc_max, cot_prc_med, cot_prc_mediana) VALUES (18, 17, 5, 5, 6, 5.25, 5);</v>
      </c>
    </row>
    <row r="691" spans="1:10" x14ac:dyDescent="0.3">
      <c r="A691">
        <v>690</v>
      </c>
      <c r="B691">
        <v>18</v>
      </c>
      <c r="C691">
        <v>18</v>
      </c>
      <c r="D691">
        <f>IF('Boletins Nuppa Site'!F691&lt;&gt;0,'Boletins Nuppa Site'!F691,"NULL")</f>
        <v>20</v>
      </c>
      <c r="E691">
        <f>IF('Boletins Nuppa Site'!G691&lt;&gt;0,'Boletins Nuppa Site'!G691,"NULL")</f>
        <v>15</v>
      </c>
      <c r="F691">
        <f>IF('Boletins Nuppa Site'!H691&lt;&gt;0,'Boletins Nuppa Site'!H691,"NULL")</f>
        <v>25</v>
      </c>
      <c r="G691">
        <f>IF('Boletins Nuppa Site'!I691&lt;&gt;0,'Boletins Nuppa Site'!I691,"NULL")</f>
        <v>20</v>
      </c>
      <c r="H691">
        <f>IF('Boletins Nuppa Site'!J691&lt;&gt;0,'Boletins Nuppa Site'!J691,"NULL")</f>
        <v>20</v>
      </c>
      <c r="J691" t="str">
        <f t="shared" si="10"/>
        <v>INSERT INTO COTACAO (blt_id, pap_id, cot_prc_comum, cot_prc_min, cot_prc_max, cot_prc_med, cot_prc_mediana) VALUES (18, 18, 20, 15, 25, 20, 20);</v>
      </c>
    </row>
    <row r="692" spans="1:10" x14ac:dyDescent="0.3">
      <c r="A692">
        <v>691</v>
      </c>
      <c r="B692">
        <v>18</v>
      </c>
      <c r="C692">
        <v>19</v>
      </c>
      <c r="D692">
        <f>IF('Boletins Nuppa Site'!F692&lt;&gt;0,'Boletins Nuppa Site'!F692,"NULL")</f>
        <v>25</v>
      </c>
      <c r="E692">
        <f>IF('Boletins Nuppa Site'!G692&lt;&gt;0,'Boletins Nuppa Site'!G692,"NULL")</f>
        <v>25</v>
      </c>
      <c r="F692">
        <f>IF('Boletins Nuppa Site'!H692&lt;&gt;0,'Boletins Nuppa Site'!H692,"NULL")</f>
        <v>35</v>
      </c>
      <c r="G692">
        <f>IF('Boletins Nuppa Site'!I692&lt;&gt;0,'Boletins Nuppa Site'!I692,"NULL")</f>
        <v>30</v>
      </c>
      <c r="H692">
        <f>IF('Boletins Nuppa Site'!J692&lt;&gt;0,'Boletins Nuppa Site'!J692,"NULL")</f>
        <v>30</v>
      </c>
      <c r="J692" t="str">
        <f t="shared" si="10"/>
        <v>INSERT INTO COTACAO (blt_id, pap_id, cot_prc_comum, cot_prc_min, cot_prc_max, cot_prc_med, cot_prc_mediana) VALUES (18, 19, 25, 25, 35, 30, 30);</v>
      </c>
    </row>
    <row r="693" spans="1:10" x14ac:dyDescent="0.3">
      <c r="A693">
        <v>692</v>
      </c>
      <c r="B693">
        <v>18</v>
      </c>
      <c r="C693">
        <v>20</v>
      </c>
      <c r="D693" t="str">
        <f>IF('Boletins Nuppa Site'!F693&lt;&gt;0,'Boletins Nuppa Site'!F693,"NULL")</f>
        <v>NULL</v>
      </c>
      <c r="E693">
        <f>IF('Boletins Nuppa Site'!G693&lt;&gt;0,'Boletins Nuppa Site'!G693,"NULL")</f>
        <v>85</v>
      </c>
      <c r="F693">
        <f>IF('Boletins Nuppa Site'!H693&lt;&gt;0,'Boletins Nuppa Site'!H693,"NULL")</f>
        <v>85</v>
      </c>
      <c r="G693">
        <f>IF('Boletins Nuppa Site'!I693&lt;&gt;0,'Boletins Nuppa Site'!I693,"NULL")</f>
        <v>85</v>
      </c>
      <c r="H693">
        <f>IF('Boletins Nuppa Site'!J693&lt;&gt;0,'Boletins Nuppa Site'!J693,"NULL")</f>
        <v>85</v>
      </c>
      <c r="J693" t="str">
        <f t="shared" si="10"/>
        <v>INSERT INTO COTACAO (blt_id, pap_id, cot_prc_comum, cot_prc_min, cot_prc_max, cot_prc_med, cot_prc_mediana) VALUES (18, 20, NULL, 85, 85, 85, 85);</v>
      </c>
    </row>
    <row r="694" spans="1:10" x14ac:dyDescent="0.3">
      <c r="A694">
        <v>693</v>
      </c>
      <c r="B694">
        <v>18</v>
      </c>
      <c r="C694">
        <v>21</v>
      </c>
      <c r="D694">
        <f>IF('Boletins Nuppa Site'!F694&lt;&gt;0,'Boletins Nuppa Site'!F694,"NULL")</f>
        <v>100</v>
      </c>
      <c r="E694">
        <f>IF('Boletins Nuppa Site'!G694&lt;&gt;0,'Boletins Nuppa Site'!G694,"NULL")</f>
        <v>80</v>
      </c>
      <c r="F694">
        <f>IF('Boletins Nuppa Site'!H694&lt;&gt;0,'Boletins Nuppa Site'!H694,"NULL")</f>
        <v>100</v>
      </c>
      <c r="G694" t="str">
        <f>IF('Boletins Nuppa Site'!I694&lt;&gt;0,'Boletins Nuppa Site'!I694,"NULL")</f>
        <v>93.33</v>
      </c>
      <c r="H694">
        <f>IF('Boletins Nuppa Site'!J694&lt;&gt;0,'Boletins Nuppa Site'!J694,"NULL")</f>
        <v>100</v>
      </c>
      <c r="J694" t="str">
        <f t="shared" si="10"/>
        <v>INSERT INTO COTACAO (blt_id, pap_id, cot_prc_comum, cot_prc_min, cot_prc_max, cot_prc_med, cot_prc_mediana) VALUES (18, 21, 100, 80, 100, 93.33, 100);</v>
      </c>
    </row>
    <row r="695" spans="1:10" x14ac:dyDescent="0.3">
      <c r="A695">
        <v>694</v>
      </c>
      <c r="B695">
        <v>18</v>
      </c>
      <c r="C695">
        <v>22</v>
      </c>
      <c r="D695">
        <f>IF('Boletins Nuppa Site'!F695&lt;&gt;0,'Boletins Nuppa Site'!F695,"NULL")</f>
        <v>50</v>
      </c>
      <c r="E695">
        <f>IF('Boletins Nuppa Site'!G695&lt;&gt;0,'Boletins Nuppa Site'!G695,"NULL")</f>
        <v>50</v>
      </c>
      <c r="F695">
        <f>IF('Boletins Nuppa Site'!H695&lt;&gt;0,'Boletins Nuppa Site'!H695,"NULL")</f>
        <v>70</v>
      </c>
      <c r="G695">
        <f>IF('Boletins Nuppa Site'!I695&lt;&gt;0,'Boletins Nuppa Site'!I695,"NULL")</f>
        <v>60</v>
      </c>
      <c r="H695">
        <f>IF('Boletins Nuppa Site'!J695&lt;&gt;0,'Boletins Nuppa Site'!J695,"NULL")</f>
        <v>60</v>
      </c>
      <c r="J695" t="str">
        <f t="shared" si="10"/>
        <v>INSERT INTO COTACAO (blt_id, pap_id, cot_prc_comum, cot_prc_min, cot_prc_max, cot_prc_med, cot_prc_mediana) VALUES (18, 22, 50, 50, 70, 60, 60);</v>
      </c>
    </row>
    <row r="696" spans="1:10" x14ac:dyDescent="0.3">
      <c r="A696">
        <v>695</v>
      </c>
      <c r="B696">
        <v>18</v>
      </c>
      <c r="C696">
        <v>23</v>
      </c>
      <c r="D696" t="str">
        <f>IF('Boletins Nuppa Site'!F696&lt;&gt;0,'Boletins Nuppa Site'!F696,"NULL")</f>
        <v>NULL</v>
      </c>
      <c r="E696">
        <f>IF('Boletins Nuppa Site'!G696&lt;&gt;0,'Boletins Nuppa Site'!G696,"NULL")</f>
        <v>40</v>
      </c>
      <c r="F696">
        <f>IF('Boletins Nuppa Site'!H696&lt;&gt;0,'Boletins Nuppa Site'!H696,"NULL")</f>
        <v>50</v>
      </c>
      <c r="G696">
        <f>IF('Boletins Nuppa Site'!I696&lt;&gt;0,'Boletins Nuppa Site'!I696,"NULL")</f>
        <v>45</v>
      </c>
      <c r="H696">
        <f>IF('Boletins Nuppa Site'!J696&lt;&gt;0,'Boletins Nuppa Site'!J696,"NULL")</f>
        <v>45</v>
      </c>
      <c r="J696" t="str">
        <f t="shared" si="10"/>
        <v>INSERT INTO COTACAO (blt_id, pap_id, cot_prc_comum, cot_prc_min, cot_prc_max, cot_prc_med, cot_prc_mediana) VALUES (18, 23, NULL, 40, 50, 45, 45);</v>
      </c>
    </row>
    <row r="697" spans="1:10" x14ac:dyDescent="0.3">
      <c r="A697">
        <v>696</v>
      </c>
      <c r="B697">
        <v>18</v>
      </c>
      <c r="C697">
        <v>24</v>
      </c>
      <c r="D697" t="str">
        <f>IF('Boletins Nuppa Site'!F697&lt;&gt;0,'Boletins Nuppa Site'!F697,"NULL")</f>
        <v>NULL</v>
      </c>
      <c r="E697">
        <f>IF('Boletins Nuppa Site'!G697&lt;&gt;0,'Boletins Nuppa Site'!G697,"NULL")</f>
        <v>100</v>
      </c>
      <c r="F697">
        <f>IF('Boletins Nuppa Site'!H697&lt;&gt;0,'Boletins Nuppa Site'!H697,"NULL")</f>
        <v>100</v>
      </c>
      <c r="G697">
        <f>IF('Boletins Nuppa Site'!I697&lt;&gt;0,'Boletins Nuppa Site'!I697,"NULL")</f>
        <v>100</v>
      </c>
      <c r="H697">
        <f>IF('Boletins Nuppa Site'!J697&lt;&gt;0,'Boletins Nuppa Site'!J697,"NULL")</f>
        <v>100</v>
      </c>
      <c r="J697" t="str">
        <f t="shared" si="10"/>
        <v>INSERT INTO COTACAO (blt_id, pap_id, cot_prc_comum, cot_prc_min, cot_prc_max, cot_prc_med, cot_prc_mediana) VALUES (18, 24, NULL, 100, 100, 100, 100);</v>
      </c>
    </row>
    <row r="698" spans="1:10" x14ac:dyDescent="0.3">
      <c r="A698">
        <v>697</v>
      </c>
      <c r="B698">
        <v>18</v>
      </c>
      <c r="C698">
        <v>25</v>
      </c>
      <c r="D698">
        <f>IF('Boletins Nuppa Site'!F698&lt;&gt;0,'Boletins Nuppa Site'!F698,"NULL")</f>
        <v>110</v>
      </c>
      <c r="E698">
        <f>IF('Boletins Nuppa Site'!G698&lt;&gt;0,'Boletins Nuppa Site'!G698,"NULL")</f>
        <v>110</v>
      </c>
      <c r="F698">
        <f>IF('Boletins Nuppa Site'!H698&lt;&gt;0,'Boletins Nuppa Site'!H698,"NULL")</f>
        <v>140</v>
      </c>
      <c r="G698">
        <f>IF('Boletins Nuppa Site'!I698&lt;&gt;0,'Boletins Nuppa Site'!I698,"NULL")</f>
        <v>120</v>
      </c>
      <c r="H698">
        <f>IF('Boletins Nuppa Site'!J698&lt;&gt;0,'Boletins Nuppa Site'!J698,"NULL")</f>
        <v>110</v>
      </c>
      <c r="J698" t="str">
        <f t="shared" si="10"/>
        <v>INSERT INTO COTACAO (blt_id, pap_id, cot_prc_comum, cot_prc_min, cot_prc_max, cot_prc_med, cot_prc_mediana) VALUES (18, 25, 110, 110, 140, 120, 110);</v>
      </c>
    </row>
    <row r="699" spans="1:10" x14ac:dyDescent="0.3">
      <c r="A699">
        <v>698</v>
      </c>
      <c r="B699">
        <v>18</v>
      </c>
      <c r="C699">
        <v>26</v>
      </c>
      <c r="D699" t="str">
        <f>IF('Boletins Nuppa Site'!F699&lt;&gt;0,'Boletins Nuppa Site'!F699,"NULL")</f>
        <v>NULL</v>
      </c>
      <c r="E699">
        <f>IF('Boletins Nuppa Site'!G699&lt;&gt;0,'Boletins Nuppa Site'!G699,"NULL")</f>
        <v>100</v>
      </c>
      <c r="F699">
        <f>IF('Boletins Nuppa Site'!H699&lt;&gt;0,'Boletins Nuppa Site'!H699,"NULL")</f>
        <v>170</v>
      </c>
      <c r="G699" t="str">
        <f>IF('Boletins Nuppa Site'!I699&lt;&gt;0,'Boletins Nuppa Site'!I699,"NULL")</f>
        <v>132.5</v>
      </c>
      <c r="H699">
        <f>IF('Boletins Nuppa Site'!J699&lt;&gt;0,'Boletins Nuppa Site'!J699,"NULL")</f>
        <v>130</v>
      </c>
      <c r="J699" t="str">
        <f t="shared" si="10"/>
        <v>INSERT INTO COTACAO (blt_id, pap_id, cot_prc_comum, cot_prc_min, cot_prc_max, cot_prc_med, cot_prc_mediana) VALUES (18, 26, NULL, 100, 170, 132.5, 130);</v>
      </c>
    </row>
    <row r="700" spans="1:10" x14ac:dyDescent="0.3">
      <c r="A700">
        <v>699</v>
      </c>
      <c r="B700">
        <v>18</v>
      </c>
      <c r="C700">
        <v>27</v>
      </c>
      <c r="D700">
        <f>IF('Boletins Nuppa Site'!F700&lt;&gt;0,'Boletins Nuppa Site'!F700,"NULL")</f>
        <v>70</v>
      </c>
      <c r="E700">
        <f>IF('Boletins Nuppa Site'!G700&lt;&gt;0,'Boletins Nuppa Site'!G700,"NULL")</f>
        <v>60</v>
      </c>
      <c r="F700">
        <f>IF('Boletins Nuppa Site'!H700&lt;&gt;0,'Boletins Nuppa Site'!H700,"NULL")</f>
        <v>70</v>
      </c>
      <c r="G700" t="str">
        <f>IF('Boletins Nuppa Site'!I700&lt;&gt;0,'Boletins Nuppa Site'!I700,"NULL")</f>
        <v>66.67</v>
      </c>
      <c r="H700">
        <f>IF('Boletins Nuppa Site'!J700&lt;&gt;0,'Boletins Nuppa Site'!J700,"NULL")</f>
        <v>70</v>
      </c>
      <c r="J700" t="str">
        <f t="shared" si="10"/>
        <v>INSERT INTO COTACAO (blt_id, pap_id, cot_prc_comum, cot_prc_min, cot_prc_max, cot_prc_med, cot_prc_mediana) VALUES (18, 27, 70, 60, 70, 66.67, 70);</v>
      </c>
    </row>
    <row r="701" spans="1:10" x14ac:dyDescent="0.3">
      <c r="A701">
        <v>700</v>
      </c>
      <c r="B701">
        <v>18</v>
      </c>
      <c r="C701">
        <v>28</v>
      </c>
      <c r="D701" t="str">
        <f>IF('Boletins Nuppa Site'!F701&lt;&gt;0,'Boletins Nuppa Site'!F701,"NULL")</f>
        <v>NULL</v>
      </c>
      <c r="E701">
        <f>IF('Boletins Nuppa Site'!G701&lt;&gt;0,'Boletins Nuppa Site'!G701,"NULL")</f>
        <v>110</v>
      </c>
      <c r="F701">
        <f>IF('Boletins Nuppa Site'!H701&lt;&gt;0,'Boletins Nuppa Site'!H701,"NULL")</f>
        <v>120</v>
      </c>
      <c r="G701">
        <f>IF('Boletins Nuppa Site'!I701&lt;&gt;0,'Boletins Nuppa Site'!I701,"NULL")</f>
        <v>115</v>
      </c>
      <c r="H701">
        <f>IF('Boletins Nuppa Site'!J701&lt;&gt;0,'Boletins Nuppa Site'!J701,"NULL")</f>
        <v>115</v>
      </c>
      <c r="J701" t="str">
        <f t="shared" si="10"/>
        <v>INSERT INTO COTACAO (blt_id, pap_id, cot_prc_comum, cot_prc_min, cot_prc_max, cot_prc_med, cot_prc_mediana) VALUES (18, 28, NULL, 110, 120, 115, 115);</v>
      </c>
    </row>
    <row r="702" spans="1:10" x14ac:dyDescent="0.3">
      <c r="A702">
        <v>701</v>
      </c>
      <c r="B702">
        <v>18</v>
      </c>
      <c r="C702">
        <v>29</v>
      </c>
      <c r="D702" t="str">
        <f>IF('Boletins Nuppa Site'!F702&lt;&gt;0,'Boletins Nuppa Site'!F702,"NULL")</f>
        <v>NULL</v>
      </c>
      <c r="E702">
        <f>IF('Boletins Nuppa Site'!G702&lt;&gt;0,'Boletins Nuppa Site'!G702,"NULL")</f>
        <v>75</v>
      </c>
      <c r="F702">
        <f>IF('Boletins Nuppa Site'!H702&lt;&gt;0,'Boletins Nuppa Site'!H702,"NULL")</f>
        <v>75</v>
      </c>
      <c r="G702">
        <f>IF('Boletins Nuppa Site'!I702&lt;&gt;0,'Boletins Nuppa Site'!I702,"NULL")</f>
        <v>75</v>
      </c>
      <c r="H702">
        <f>IF('Boletins Nuppa Site'!J702&lt;&gt;0,'Boletins Nuppa Site'!J702,"NULL")</f>
        <v>75</v>
      </c>
      <c r="J702" t="str">
        <f t="shared" si="10"/>
        <v>INSERT INTO COTACAO (blt_id, pap_id, cot_prc_comum, cot_prc_min, cot_prc_max, cot_prc_med, cot_prc_mediana) VALUES (18, 29, NULL, 75, 75, 75, 75);</v>
      </c>
    </row>
    <row r="703" spans="1:10" x14ac:dyDescent="0.3">
      <c r="A703">
        <v>702</v>
      </c>
      <c r="B703">
        <v>18</v>
      </c>
      <c r="C703">
        <v>30</v>
      </c>
      <c r="D703" t="str">
        <f>IF('Boletins Nuppa Site'!F703&lt;&gt;0,'Boletins Nuppa Site'!F703,"NULL")</f>
        <v>NULL</v>
      </c>
      <c r="E703">
        <f>IF('Boletins Nuppa Site'!G703&lt;&gt;0,'Boletins Nuppa Site'!G703,"NULL")</f>
        <v>80</v>
      </c>
      <c r="F703">
        <f>IF('Boletins Nuppa Site'!H703&lt;&gt;0,'Boletins Nuppa Site'!H703,"NULL")</f>
        <v>80</v>
      </c>
      <c r="G703">
        <f>IF('Boletins Nuppa Site'!I703&lt;&gt;0,'Boletins Nuppa Site'!I703,"NULL")</f>
        <v>80</v>
      </c>
      <c r="H703">
        <f>IF('Boletins Nuppa Site'!J703&lt;&gt;0,'Boletins Nuppa Site'!J703,"NULL")</f>
        <v>80</v>
      </c>
      <c r="J703" t="str">
        <f t="shared" si="10"/>
        <v>INSERT INTO COTACAO (blt_id, pap_id, cot_prc_comum, cot_prc_min, cot_prc_max, cot_prc_med, cot_prc_mediana) VALUES (18, 30, NULL, 80, 80, 80, 80);</v>
      </c>
    </row>
    <row r="704" spans="1:10" x14ac:dyDescent="0.3">
      <c r="A704">
        <v>703</v>
      </c>
      <c r="B704">
        <v>18</v>
      </c>
      <c r="C704">
        <v>31</v>
      </c>
      <c r="D704" t="str">
        <f>IF('Boletins Nuppa Site'!F704&lt;&gt;0,'Boletins Nuppa Site'!F704,"NULL")</f>
        <v>NULL</v>
      </c>
      <c r="E704">
        <f>IF('Boletins Nuppa Site'!G704&lt;&gt;0,'Boletins Nuppa Site'!G704,"NULL")</f>
        <v>60</v>
      </c>
      <c r="F704">
        <f>IF('Boletins Nuppa Site'!H704&lt;&gt;0,'Boletins Nuppa Site'!H704,"NULL")</f>
        <v>100</v>
      </c>
      <c r="G704" t="str">
        <f>IF('Boletins Nuppa Site'!I704&lt;&gt;0,'Boletins Nuppa Site'!I704,"NULL")</f>
        <v>78.75</v>
      </c>
      <c r="H704" t="str">
        <f>IF('Boletins Nuppa Site'!J704&lt;&gt;0,'Boletins Nuppa Site'!J704,"NULL")</f>
        <v>77.5</v>
      </c>
      <c r="J704" t="str">
        <f t="shared" si="10"/>
        <v>INSERT INTO COTACAO (blt_id, pap_id, cot_prc_comum, cot_prc_min, cot_prc_max, cot_prc_med, cot_prc_mediana) VALUES (18, 31, NULL, 60, 100, 78.75, 77.5);</v>
      </c>
    </row>
    <row r="705" spans="1:10" x14ac:dyDescent="0.3">
      <c r="A705">
        <v>704</v>
      </c>
      <c r="B705">
        <v>18</v>
      </c>
      <c r="C705">
        <v>32</v>
      </c>
      <c r="D705">
        <f>IF('Boletins Nuppa Site'!F705&lt;&gt;0,'Boletins Nuppa Site'!F705,"NULL")</f>
        <v>60</v>
      </c>
      <c r="E705">
        <f>IF('Boletins Nuppa Site'!G705&lt;&gt;0,'Boletins Nuppa Site'!G705,"NULL")</f>
        <v>50</v>
      </c>
      <c r="F705">
        <f>IF('Boletins Nuppa Site'!H705&lt;&gt;0,'Boletins Nuppa Site'!H705,"NULL")</f>
        <v>60</v>
      </c>
      <c r="G705" t="str">
        <f>IF('Boletins Nuppa Site'!I705&lt;&gt;0,'Boletins Nuppa Site'!I705,"NULL")</f>
        <v>56.25</v>
      </c>
      <c r="H705" t="str">
        <f>IF('Boletins Nuppa Site'!J705&lt;&gt;0,'Boletins Nuppa Site'!J705,"NULL")</f>
        <v>57.5</v>
      </c>
      <c r="J705" t="str">
        <f t="shared" si="10"/>
        <v>INSERT INTO COTACAO (blt_id, pap_id, cot_prc_comum, cot_prc_min, cot_prc_max, cot_prc_med, cot_prc_mediana) VALUES (18, 32, 60, 50, 60, 56.25, 57.5);</v>
      </c>
    </row>
    <row r="706" spans="1:10" x14ac:dyDescent="0.3">
      <c r="A706">
        <v>705</v>
      </c>
      <c r="B706">
        <v>18</v>
      </c>
      <c r="C706">
        <v>33</v>
      </c>
      <c r="D706" t="str">
        <f>IF('Boletins Nuppa Site'!F706&lt;&gt;0,'Boletins Nuppa Site'!F706,"NULL")</f>
        <v>NULL</v>
      </c>
      <c r="E706">
        <f>IF('Boletins Nuppa Site'!G706&lt;&gt;0,'Boletins Nuppa Site'!G706,"NULL")</f>
        <v>140</v>
      </c>
      <c r="F706">
        <f>IF('Boletins Nuppa Site'!H706&lt;&gt;0,'Boletins Nuppa Site'!H706,"NULL")</f>
        <v>150</v>
      </c>
      <c r="G706">
        <f>IF('Boletins Nuppa Site'!I706&lt;&gt;0,'Boletins Nuppa Site'!I706,"NULL")</f>
        <v>145</v>
      </c>
      <c r="H706">
        <f>IF('Boletins Nuppa Site'!J706&lt;&gt;0,'Boletins Nuppa Site'!J706,"NULL")</f>
        <v>145</v>
      </c>
      <c r="J706" t="str">
        <f t="shared" si="10"/>
        <v>INSERT INTO COTACAO (blt_id, pap_id, cot_prc_comum, cot_prc_min, cot_prc_max, cot_prc_med, cot_prc_mediana) VALUES (18, 33, NULL, 140, 150, 145, 145);</v>
      </c>
    </row>
    <row r="707" spans="1:10" x14ac:dyDescent="0.3">
      <c r="A707">
        <v>706</v>
      </c>
      <c r="B707">
        <v>18</v>
      </c>
      <c r="C707">
        <v>34</v>
      </c>
      <c r="D707" t="str">
        <f>IF('Boletins Nuppa Site'!F707&lt;&gt;0,'Boletins Nuppa Site'!F707,"NULL")</f>
        <v>NULL</v>
      </c>
      <c r="E707">
        <f>IF('Boletins Nuppa Site'!G707&lt;&gt;0,'Boletins Nuppa Site'!G707,"NULL")</f>
        <v>100</v>
      </c>
      <c r="F707">
        <f>IF('Boletins Nuppa Site'!H707&lt;&gt;0,'Boletins Nuppa Site'!H707,"NULL")</f>
        <v>150</v>
      </c>
      <c r="G707" t="str">
        <f>IF('Boletins Nuppa Site'!I707&lt;&gt;0,'Boletins Nuppa Site'!I707,"NULL")</f>
        <v>123.33</v>
      </c>
      <c r="H707">
        <f>IF('Boletins Nuppa Site'!J707&lt;&gt;0,'Boletins Nuppa Site'!J707,"NULL")</f>
        <v>120</v>
      </c>
      <c r="J707" t="str">
        <f t="shared" ref="J707:J770" si="11">"INSERT INTO COTACAO (blt_id, pap_id, cot_prc_comum, cot_prc_min, cot_prc_max, cot_prc_med, cot_prc_mediana) VALUES ("&amp;B707&amp;", "&amp;C707&amp;", "&amp;D707&amp;", "&amp;E707&amp;", "&amp;F707&amp;", "&amp;G707&amp;", "&amp;H707&amp;");"</f>
        <v>INSERT INTO COTACAO (blt_id, pap_id, cot_prc_comum, cot_prc_min, cot_prc_max, cot_prc_med, cot_prc_mediana) VALUES (18, 34, NULL, 100, 150, 123.33, 120);</v>
      </c>
    </row>
    <row r="708" spans="1:10" x14ac:dyDescent="0.3">
      <c r="A708">
        <v>707</v>
      </c>
      <c r="B708">
        <v>18</v>
      </c>
      <c r="C708">
        <v>35</v>
      </c>
      <c r="D708">
        <f>IF('Boletins Nuppa Site'!F708&lt;&gt;0,'Boletins Nuppa Site'!F708,"NULL")</f>
        <v>200</v>
      </c>
      <c r="E708">
        <f>IF('Boletins Nuppa Site'!G708&lt;&gt;0,'Boletins Nuppa Site'!G708,"NULL")</f>
        <v>200</v>
      </c>
      <c r="F708">
        <f>IF('Boletins Nuppa Site'!H708&lt;&gt;0,'Boletins Nuppa Site'!H708,"NULL")</f>
        <v>200</v>
      </c>
      <c r="G708">
        <f>IF('Boletins Nuppa Site'!I708&lt;&gt;0,'Boletins Nuppa Site'!I708,"NULL")</f>
        <v>200</v>
      </c>
      <c r="H708">
        <f>IF('Boletins Nuppa Site'!J708&lt;&gt;0,'Boletins Nuppa Site'!J708,"NULL")</f>
        <v>200</v>
      </c>
      <c r="J708" t="str">
        <f t="shared" si="11"/>
        <v>INSERT INTO COTACAO (blt_id, pap_id, cot_prc_comum, cot_prc_min, cot_prc_max, cot_prc_med, cot_prc_mediana) VALUES (18, 35, 200, 200, 200, 200, 200);</v>
      </c>
    </row>
    <row r="709" spans="1:10" x14ac:dyDescent="0.3">
      <c r="A709">
        <v>708</v>
      </c>
      <c r="B709">
        <v>18</v>
      </c>
      <c r="C709">
        <v>36</v>
      </c>
      <c r="D709" t="str">
        <f>IF('Boletins Nuppa Site'!F709&lt;&gt;0,'Boletins Nuppa Site'!F709,"NULL")</f>
        <v>NULL</v>
      </c>
      <c r="E709">
        <f>IF('Boletins Nuppa Site'!G709&lt;&gt;0,'Boletins Nuppa Site'!G709,"NULL")</f>
        <v>100</v>
      </c>
      <c r="F709">
        <f>IF('Boletins Nuppa Site'!H709&lt;&gt;0,'Boletins Nuppa Site'!H709,"NULL")</f>
        <v>100</v>
      </c>
      <c r="G709">
        <f>IF('Boletins Nuppa Site'!I709&lt;&gt;0,'Boletins Nuppa Site'!I709,"NULL")</f>
        <v>100</v>
      </c>
      <c r="H709">
        <f>IF('Boletins Nuppa Site'!J709&lt;&gt;0,'Boletins Nuppa Site'!J709,"NULL")</f>
        <v>100</v>
      </c>
      <c r="J709" t="str">
        <f t="shared" si="11"/>
        <v>INSERT INTO COTACAO (blt_id, pap_id, cot_prc_comum, cot_prc_min, cot_prc_max, cot_prc_med, cot_prc_mediana) VALUES (18, 36, NULL, 100, 100, 100, 100);</v>
      </c>
    </row>
    <row r="710" spans="1:10" x14ac:dyDescent="0.3">
      <c r="A710">
        <v>709</v>
      </c>
      <c r="B710">
        <v>18</v>
      </c>
      <c r="C710">
        <v>37</v>
      </c>
      <c r="D710" t="str">
        <f>IF('Boletins Nuppa Site'!F710&lt;&gt;0,'Boletins Nuppa Site'!F710,"NULL")</f>
        <v>NULL</v>
      </c>
      <c r="E710">
        <f>IF('Boletins Nuppa Site'!G710&lt;&gt;0,'Boletins Nuppa Site'!G710,"NULL")</f>
        <v>75</v>
      </c>
      <c r="F710">
        <f>IF('Boletins Nuppa Site'!H710&lt;&gt;0,'Boletins Nuppa Site'!H710,"NULL")</f>
        <v>75</v>
      </c>
      <c r="G710">
        <f>IF('Boletins Nuppa Site'!I710&lt;&gt;0,'Boletins Nuppa Site'!I710,"NULL")</f>
        <v>75</v>
      </c>
      <c r="H710">
        <f>IF('Boletins Nuppa Site'!J710&lt;&gt;0,'Boletins Nuppa Site'!J710,"NULL")</f>
        <v>75</v>
      </c>
      <c r="J710" t="str">
        <f t="shared" si="11"/>
        <v>INSERT INTO COTACAO (blt_id, pap_id, cot_prc_comum, cot_prc_min, cot_prc_max, cot_prc_med, cot_prc_mediana) VALUES (18, 37, NULL, 75, 75, 75, 75);</v>
      </c>
    </row>
    <row r="711" spans="1:10" x14ac:dyDescent="0.3">
      <c r="A711">
        <v>710</v>
      </c>
      <c r="B711">
        <v>18</v>
      </c>
      <c r="C711">
        <v>38</v>
      </c>
      <c r="D711" t="str">
        <f>IF('Boletins Nuppa Site'!F711&lt;&gt;0,'Boletins Nuppa Site'!F711,"NULL")</f>
        <v>NULL</v>
      </c>
      <c r="E711" t="str">
        <f>IF('Boletins Nuppa Site'!G711&lt;&gt;0,'Boletins Nuppa Site'!G711,"NULL")</f>
        <v>NULL</v>
      </c>
      <c r="F711" t="str">
        <f>IF('Boletins Nuppa Site'!H711&lt;&gt;0,'Boletins Nuppa Site'!H711,"NULL")</f>
        <v>NULL</v>
      </c>
      <c r="G711" t="str">
        <f>IF('Boletins Nuppa Site'!I711&lt;&gt;0,'Boletins Nuppa Site'!I711,"NULL")</f>
        <v>NULL</v>
      </c>
      <c r="H711" t="str">
        <f>IF('Boletins Nuppa Site'!J711&lt;&gt;0,'Boletins Nuppa Site'!J711,"NULL")</f>
        <v>NULL</v>
      </c>
      <c r="J711" t="str">
        <f t="shared" si="11"/>
        <v>INSERT INTO COTACAO (blt_id, pap_id, cot_prc_comum, cot_prc_min, cot_prc_max, cot_prc_med, cot_prc_mediana) VALUES (18, 38, NULL, NULL, NULL, NULL, NULL);</v>
      </c>
    </row>
    <row r="712" spans="1:10" x14ac:dyDescent="0.3">
      <c r="A712">
        <v>711</v>
      </c>
      <c r="B712">
        <v>18</v>
      </c>
      <c r="C712">
        <v>39</v>
      </c>
      <c r="D712" t="str">
        <f>IF('Boletins Nuppa Site'!F712&lt;&gt;0,'Boletins Nuppa Site'!F712,"NULL")</f>
        <v>NULL</v>
      </c>
      <c r="E712">
        <f>IF('Boletins Nuppa Site'!G712&lt;&gt;0,'Boletins Nuppa Site'!G712,"NULL")</f>
        <v>40</v>
      </c>
      <c r="F712">
        <f>IF('Boletins Nuppa Site'!H712&lt;&gt;0,'Boletins Nuppa Site'!H712,"NULL")</f>
        <v>40</v>
      </c>
      <c r="G712">
        <f>IF('Boletins Nuppa Site'!I712&lt;&gt;0,'Boletins Nuppa Site'!I712,"NULL")</f>
        <v>40</v>
      </c>
      <c r="H712">
        <f>IF('Boletins Nuppa Site'!J712&lt;&gt;0,'Boletins Nuppa Site'!J712,"NULL")</f>
        <v>40</v>
      </c>
      <c r="J712" t="str">
        <f t="shared" si="11"/>
        <v>INSERT INTO COTACAO (blt_id, pap_id, cot_prc_comum, cot_prc_min, cot_prc_max, cot_prc_med, cot_prc_mediana) VALUES (18, 39, NULL, 40, 40, 40, 40);</v>
      </c>
    </row>
    <row r="713" spans="1:10" x14ac:dyDescent="0.3">
      <c r="A713">
        <v>712</v>
      </c>
      <c r="B713">
        <v>18</v>
      </c>
      <c r="C713">
        <v>40</v>
      </c>
      <c r="D713" t="str">
        <f>IF('Boletins Nuppa Site'!F713&lt;&gt;0,'Boletins Nuppa Site'!F713,"NULL")</f>
        <v>NULL</v>
      </c>
      <c r="E713">
        <f>IF('Boletins Nuppa Site'!G713&lt;&gt;0,'Boletins Nuppa Site'!G713,"NULL")</f>
        <v>55</v>
      </c>
      <c r="F713">
        <f>IF('Boletins Nuppa Site'!H713&lt;&gt;0,'Boletins Nuppa Site'!H713,"NULL")</f>
        <v>55</v>
      </c>
      <c r="G713">
        <f>IF('Boletins Nuppa Site'!I713&lt;&gt;0,'Boletins Nuppa Site'!I713,"NULL")</f>
        <v>55</v>
      </c>
      <c r="H713">
        <f>IF('Boletins Nuppa Site'!J713&lt;&gt;0,'Boletins Nuppa Site'!J713,"NULL")</f>
        <v>55</v>
      </c>
      <c r="J713" t="str">
        <f t="shared" si="11"/>
        <v>INSERT INTO COTACAO (blt_id, pap_id, cot_prc_comum, cot_prc_min, cot_prc_max, cot_prc_med, cot_prc_mediana) VALUES (18, 40, NULL, 55, 55, 55, 55);</v>
      </c>
    </row>
    <row r="714" spans="1:10" x14ac:dyDescent="0.3">
      <c r="A714">
        <v>713</v>
      </c>
      <c r="B714">
        <v>19</v>
      </c>
      <c r="C714">
        <v>1</v>
      </c>
      <c r="D714">
        <f>IF('Boletins Nuppa Site'!F714&lt;&gt;0,'Boletins Nuppa Site'!F714,"NULL")</f>
        <v>72</v>
      </c>
      <c r="E714">
        <f>IF('Boletins Nuppa Site'!G714&lt;&gt;0,'Boletins Nuppa Site'!G714,"NULL")</f>
        <v>48</v>
      </c>
      <c r="F714">
        <f>IF('Boletins Nuppa Site'!H714&lt;&gt;0,'Boletins Nuppa Site'!H714,"NULL")</f>
        <v>72</v>
      </c>
      <c r="G714">
        <f>IF('Boletins Nuppa Site'!I714&lt;&gt;0,'Boletins Nuppa Site'!I714,"NULL")</f>
        <v>64</v>
      </c>
      <c r="H714">
        <f>IF('Boletins Nuppa Site'!J714&lt;&gt;0,'Boletins Nuppa Site'!J714,"NULL")</f>
        <v>72</v>
      </c>
      <c r="J714" t="str">
        <f t="shared" si="11"/>
        <v>INSERT INTO COTACAO (blt_id, pap_id, cot_prc_comum, cot_prc_min, cot_prc_max, cot_prc_med, cot_prc_mediana) VALUES (19, 1, 72, 48, 72, 64, 72);</v>
      </c>
    </row>
    <row r="715" spans="1:10" x14ac:dyDescent="0.3">
      <c r="A715">
        <v>714</v>
      </c>
      <c r="B715">
        <v>19</v>
      </c>
      <c r="C715">
        <v>2</v>
      </c>
      <c r="D715">
        <f>IF('Boletins Nuppa Site'!F715&lt;&gt;0,'Boletins Nuppa Site'!F715,"NULL")</f>
        <v>84</v>
      </c>
      <c r="E715">
        <f>IF('Boletins Nuppa Site'!G715&lt;&gt;0,'Boletins Nuppa Site'!G715,"NULL")</f>
        <v>72</v>
      </c>
      <c r="F715">
        <f>IF('Boletins Nuppa Site'!H715&lt;&gt;0,'Boletins Nuppa Site'!H715,"NULL")</f>
        <v>84</v>
      </c>
      <c r="G715">
        <f>IF('Boletins Nuppa Site'!I715&lt;&gt;0,'Boletins Nuppa Site'!I715,"NULL")</f>
        <v>80</v>
      </c>
      <c r="H715">
        <f>IF('Boletins Nuppa Site'!J715&lt;&gt;0,'Boletins Nuppa Site'!J715,"NULL")</f>
        <v>84</v>
      </c>
      <c r="J715" t="str">
        <f t="shared" si="11"/>
        <v>INSERT INTO COTACAO (blt_id, pap_id, cot_prc_comum, cot_prc_min, cot_prc_max, cot_prc_med, cot_prc_mediana) VALUES (19, 2, 84, 72, 84, 80, 84);</v>
      </c>
    </row>
    <row r="716" spans="1:10" x14ac:dyDescent="0.3">
      <c r="A716">
        <v>715</v>
      </c>
      <c r="B716">
        <v>19</v>
      </c>
      <c r="C716">
        <v>3</v>
      </c>
      <c r="D716" t="str">
        <f>IF('Boletins Nuppa Site'!F716&lt;&gt;0,'Boletins Nuppa Site'!F716,"NULL")</f>
        <v>NULL</v>
      </c>
      <c r="E716">
        <f>IF('Boletins Nuppa Site'!G716&lt;&gt;0,'Boletins Nuppa Site'!G716,"NULL")</f>
        <v>36</v>
      </c>
      <c r="F716">
        <f>IF('Boletins Nuppa Site'!H716&lt;&gt;0,'Boletins Nuppa Site'!H716,"NULL")</f>
        <v>54</v>
      </c>
      <c r="G716">
        <f>IF('Boletins Nuppa Site'!I716&lt;&gt;0,'Boletins Nuppa Site'!I716,"NULL")</f>
        <v>44</v>
      </c>
      <c r="H716">
        <f>IF('Boletins Nuppa Site'!J716&lt;&gt;0,'Boletins Nuppa Site'!J716,"NULL")</f>
        <v>42</v>
      </c>
      <c r="J716" t="str">
        <f t="shared" si="11"/>
        <v>INSERT INTO COTACAO (blt_id, pap_id, cot_prc_comum, cot_prc_min, cot_prc_max, cot_prc_med, cot_prc_mediana) VALUES (19, 3, NULL, 36, 54, 44, 42);</v>
      </c>
    </row>
    <row r="717" spans="1:10" x14ac:dyDescent="0.3">
      <c r="A717">
        <v>716</v>
      </c>
      <c r="B717">
        <v>19</v>
      </c>
      <c r="C717">
        <v>4</v>
      </c>
      <c r="D717">
        <f>IF('Boletins Nuppa Site'!F717&lt;&gt;0,'Boletins Nuppa Site'!F717,"NULL")</f>
        <v>30</v>
      </c>
      <c r="E717">
        <f>IF('Boletins Nuppa Site'!G717&lt;&gt;0,'Boletins Nuppa Site'!G717,"NULL")</f>
        <v>24</v>
      </c>
      <c r="F717">
        <f>IF('Boletins Nuppa Site'!H717&lt;&gt;0,'Boletins Nuppa Site'!H717,"NULL")</f>
        <v>30</v>
      </c>
      <c r="G717">
        <f>IF('Boletins Nuppa Site'!I717&lt;&gt;0,'Boletins Nuppa Site'!I717,"NULL")</f>
        <v>28</v>
      </c>
      <c r="H717">
        <f>IF('Boletins Nuppa Site'!J717&lt;&gt;0,'Boletins Nuppa Site'!J717,"NULL")</f>
        <v>30</v>
      </c>
      <c r="J717" t="str">
        <f t="shared" si="11"/>
        <v>INSERT INTO COTACAO (blt_id, pap_id, cot_prc_comum, cot_prc_min, cot_prc_max, cot_prc_med, cot_prc_mediana) VALUES (19, 4, 30, 24, 30, 28, 30);</v>
      </c>
    </row>
    <row r="718" spans="1:10" x14ac:dyDescent="0.3">
      <c r="A718">
        <v>717</v>
      </c>
      <c r="B718">
        <v>19</v>
      </c>
      <c r="C718">
        <v>5</v>
      </c>
      <c r="D718">
        <f>IF('Boletins Nuppa Site'!F718&lt;&gt;0,'Boletins Nuppa Site'!F718,"NULL")</f>
        <v>30</v>
      </c>
      <c r="E718">
        <f>IF('Boletins Nuppa Site'!G718&lt;&gt;0,'Boletins Nuppa Site'!G718,"NULL")</f>
        <v>24</v>
      </c>
      <c r="F718">
        <f>IF('Boletins Nuppa Site'!H718&lt;&gt;0,'Boletins Nuppa Site'!H718,"NULL")</f>
        <v>30</v>
      </c>
      <c r="G718">
        <f>IF('Boletins Nuppa Site'!I718&lt;&gt;0,'Boletins Nuppa Site'!I718,"NULL")</f>
        <v>28</v>
      </c>
      <c r="H718">
        <f>IF('Boletins Nuppa Site'!J718&lt;&gt;0,'Boletins Nuppa Site'!J718,"NULL")</f>
        <v>30</v>
      </c>
      <c r="J718" t="str">
        <f t="shared" si="11"/>
        <v>INSERT INTO COTACAO (blt_id, pap_id, cot_prc_comum, cot_prc_min, cot_prc_max, cot_prc_med, cot_prc_mediana) VALUES (19, 5, 30, 24, 30, 28, 30);</v>
      </c>
    </row>
    <row r="719" spans="1:10" x14ac:dyDescent="0.3">
      <c r="A719">
        <v>718</v>
      </c>
      <c r="B719">
        <v>19</v>
      </c>
      <c r="C719">
        <v>6</v>
      </c>
      <c r="D719">
        <f>IF('Boletins Nuppa Site'!F719&lt;&gt;0,'Boletins Nuppa Site'!F719,"NULL")</f>
        <v>60</v>
      </c>
      <c r="E719">
        <f>IF('Boletins Nuppa Site'!G719&lt;&gt;0,'Boletins Nuppa Site'!G719,"NULL")</f>
        <v>60</v>
      </c>
      <c r="F719">
        <f>IF('Boletins Nuppa Site'!H719&lt;&gt;0,'Boletins Nuppa Site'!H719,"NULL")</f>
        <v>60</v>
      </c>
      <c r="G719">
        <f>IF('Boletins Nuppa Site'!I719&lt;&gt;0,'Boletins Nuppa Site'!I719,"NULL")</f>
        <v>60</v>
      </c>
      <c r="H719">
        <f>IF('Boletins Nuppa Site'!J719&lt;&gt;0,'Boletins Nuppa Site'!J719,"NULL")</f>
        <v>60</v>
      </c>
      <c r="J719" t="str">
        <f t="shared" si="11"/>
        <v>INSERT INTO COTACAO (blt_id, pap_id, cot_prc_comum, cot_prc_min, cot_prc_max, cot_prc_med, cot_prc_mediana) VALUES (19, 6, 60, 60, 60, 60, 60);</v>
      </c>
    </row>
    <row r="720" spans="1:10" x14ac:dyDescent="0.3">
      <c r="A720">
        <v>719</v>
      </c>
      <c r="B720">
        <v>19</v>
      </c>
      <c r="C720">
        <v>7</v>
      </c>
      <c r="D720">
        <f>IF('Boletins Nuppa Site'!F720&lt;&gt;0,'Boletins Nuppa Site'!F720,"NULL")</f>
        <v>96</v>
      </c>
      <c r="E720">
        <f>IF('Boletins Nuppa Site'!G720&lt;&gt;0,'Boletins Nuppa Site'!G720,"NULL")</f>
        <v>96</v>
      </c>
      <c r="F720">
        <f>IF('Boletins Nuppa Site'!H720&lt;&gt;0,'Boletins Nuppa Site'!H720,"NULL")</f>
        <v>120</v>
      </c>
      <c r="G720">
        <f>IF('Boletins Nuppa Site'!I720&lt;&gt;0,'Boletins Nuppa Site'!I720,"NULL")</f>
        <v>104</v>
      </c>
      <c r="H720">
        <f>IF('Boletins Nuppa Site'!J720&lt;&gt;0,'Boletins Nuppa Site'!J720,"NULL")</f>
        <v>96</v>
      </c>
      <c r="J720" t="str">
        <f t="shared" si="11"/>
        <v>INSERT INTO COTACAO (blt_id, pap_id, cot_prc_comum, cot_prc_min, cot_prc_max, cot_prc_med, cot_prc_mediana) VALUES (19, 7, 96, 96, 120, 104, 96);</v>
      </c>
    </row>
    <row r="721" spans="1:10" x14ac:dyDescent="0.3">
      <c r="A721">
        <v>720</v>
      </c>
      <c r="B721">
        <v>19</v>
      </c>
      <c r="C721">
        <v>8</v>
      </c>
      <c r="D721" t="str">
        <f>IF('Boletins Nuppa Site'!F721&lt;&gt;0,'Boletins Nuppa Site'!F721,"NULL")</f>
        <v>NULL</v>
      </c>
      <c r="E721">
        <f>IF('Boletins Nuppa Site'!G721&lt;&gt;0,'Boletins Nuppa Site'!G721,"NULL")</f>
        <v>84</v>
      </c>
      <c r="F721">
        <f>IF('Boletins Nuppa Site'!H721&lt;&gt;0,'Boletins Nuppa Site'!H721,"NULL")</f>
        <v>120</v>
      </c>
      <c r="G721">
        <f>IF('Boletins Nuppa Site'!I721&lt;&gt;0,'Boletins Nuppa Site'!I721,"NULL")</f>
        <v>100</v>
      </c>
      <c r="H721">
        <f>IF('Boletins Nuppa Site'!J721&lt;&gt;0,'Boletins Nuppa Site'!J721,"NULL")</f>
        <v>96</v>
      </c>
      <c r="J721" t="str">
        <f t="shared" si="11"/>
        <v>INSERT INTO COTACAO (blt_id, pap_id, cot_prc_comum, cot_prc_min, cot_prc_max, cot_prc_med, cot_prc_mediana) VALUES (19, 8, NULL, 84, 120, 100, 96);</v>
      </c>
    </row>
    <row r="722" spans="1:10" x14ac:dyDescent="0.3">
      <c r="A722">
        <v>721</v>
      </c>
      <c r="B722">
        <v>19</v>
      </c>
      <c r="C722">
        <v>9</v>
      </c>
      <c r="D722">
        <f>IF('Boletins Nuppa Site'!F722&lt;&gt;0,'Boletins Nuppa Site'!F722,"NULL")</f>
        <v>24</v>
      </c>
      <c r="E722">
        <f>IF('Boletins Nuppa Site'!G722&lt;&gt;0,'Boletins Nuppa Site'!G722,"NULL")</f>
        <v>24</v>
      </c>
      <c r="F722">
        <f>IF('Boletins Nuppa Site'!H722&lt;&gt;0,'Boletins Nuppa Site'!H722,"NULL")</f>
        <v>30</v>
      </c>
      <c r="G722">
        <f>IF('Boletins Nuppa Site'!I722&lt;&gt;0,'Boletins Nuppa Site'!I722,"NULL")</f>
        <v>26</v>
      </c>
      <c r="H722">
        <f>IF('Boletins Nuppa Site'!J722&lt;&gt;0,'Boletins Nuppa Site'!J722,"NULL")</f>
        <v>24</v>
      </c>
      <c r="J722" t="str">
        <f t="shared" si="11"/>
        <v>INSERT INTO COTACAO (blt_id, pap_id, cot_prc_comum, cot_prc_min, cot_prc_max, cot_prc_med, cot_prc_mediana) VALUES (19, 9, 24, 24, 30, 26, 24);</v>
      </c>
    </row>
    <row r="723" spans="1:10" x14ac:dyDescent="0.3">
      <c r="A723">
        <v>722</v>
      </c>
      <c r="B723">
        <v>19</v>
      </c>
      <c r="C723">
        <v>10</v>
      </c>
      <c r="D723" t="str">
        <f>IF('Boletins Nuppa Site'!F723&lt;&gt;0,'Boletins Nuppa Site'!F723,"NULL")</f>
        <v>NULL</v>
      </c>
      <c r="E723">
        <f>IF('Boletins Nuppa Site'!G723&lt;&gt;0,'Boletins Nuppa Site'!G723,"NULL")</f>
        <v>96</v>
      </c>
      <c r="F723">
        <f>IF('Boletins Nuppa Site'!H723&lt;&gt;0,'Boletins Nuppa Site'!H723,"NULL")</f>
        <v>120</v>
      </c>
      <c r="G723">
        <f>IF('Boletins Nuppa Site'!I723&lt;&gt;0,'Boletins Nuppa Site'!I723,"NULL")</f>
        <v>106</v>
      </c>
      <c r="H723">
        <f>IF('Boletins Nuppa Site'!J723&lt;&gt;0,'Boletins Nuppa Site'!J723,"NULL")</f>
        <v>102</v>
      </c>
      <c r="J723" t="str">
        <f t="shared" si="11"/>
        <v>INSERT INTO COTACAO (blt_id, pap_id, cot_prc_comum, cot_prc_min, cot_prc_max, cot_prc_med, cot_prc_mediana) VALUES (19, 10, NULL, 96, 120, 106, 102);</v>
      </c>
    </row>
    <row r="724" spans="1:10" x14ac:dyDescent="0.3">
      <c r="A724">
        <v>723</v>
      </c>
      <c r="B724">
        <v>19</v>
      </c>
      <c r="C724">
        <v>11</v>
      </c>
      <c r="D724">
        <f>IF('Boletins Nuppa Site'!F724&lt;&gt;0,'Boletins Nuppa Site'!F724,"NULL")</f>
        <v>30</v>
      </c>
      <c r="E724">
        <f>IF('Boletins Nuppa Site'!G724&lt;&gt;0,'Boletins Nuppa Site'!G724,"NULL")</f>
        <v>24</v>
      </c>
      <c r="F724">
        <f>IF('Boletins Nuppa Site'!H724&lt;&gt;0,'Boletins Nuppa Site'!H724,"NULL")</f>
        <v>30</v>
      </c>
      <c r="G724">
        <f>IF('Boletins Nuppa Site'!I724&lt;&gt;0,'Boletins Nuppa Site'!I724,"NULL")</f>
        <v>28</v>
      </c>
      <c r="H724">
        <f>IF('Boletins Nuppa Site'!J724&lt;&gt;0,'Boletins Nuppa Site'!J724,"NULL")</f>
        <v>30</v>
      </c>
      <c r="J724" t="str">
        <f t="shared" si="11"/>
        <v>INSERT INTO COTACAO (blt_id, pap_id, cot_prc_comum, cot_prc_min, cot_prc_max, cot_prc_med, cot_prc_mediana) VALUES (19, 11, 30, 24, 30, 28, 30);</v>
      </c>
    </row>
    <row r="725" spans="1:10" x14ac:dyDescent="0.3">
      <c r="A725">
        <v>724</v>
      </c>
      <c r="B725">
        <v>19</v>
      </c>
      <c r="C725">
        <v>12</v>
      </c>
      <c r="D725">
        <f>IF('Boletins Nuppa Site'!F725&lt;&gt;0,'Boletins Nuppa Site'!F725,"NULL")</f>
        <v>60</v>
      </c>
      <c r="E725">
        <f>IF('Boletins Nuppa Site'!G725&lt;&gt;0,'Boletins Nuppa Site'!G725,"NULL")</f>
        <v>60</v>
      </c>
      <c r="F725">
        <f>IF('Boletins Nuppa Site'!H725&lt;&gt;0,'Boletins Nuppa Site'!H725,"NULL")</f>
        <v>84</v>
      </c>
      <c r="G725">
        <f>IF('Boletins Nuppa Site'!I725&lt;&gt;0,'Boletins Nuppa Site'!I725,"NULL")</f>
        <v>68</v>
      </c>
      <c r="H725">
        <f>IF('Boletins Nuppa Site'!J725&lt;&gt;0,'Boletins Nuppa Site'!J725,"NULL")</f>
        <v>60</v>
      </c>
      <c r="J725" t="str">
        <f t="shared" si="11"/>
        <v>INSERT INTO COTACAO (blt_id, pap_id, cot_prc_comum, cot_prc_min, cot_prc_max, cot_prc_med, cot_prc_mediana) VALUES (19, 12, 60, 60, 84, 68, 60);</v>
      </c>
    </row>
    <row r="726" spans="1:10" x14ac:dyDescent="0.3">
      <c r="A726">
        <v>725</v>
      </c>
      <c r="B726">
        <v>19</v>
      </c>
      <c r="C726">
        <v>13</v>
      </c>
      <c r="D726">
        <f>IF('Boletins Nuppa Site'!F726&lt;&gt;0,'Boletins Nuppa Site'!F726,"NULL")</f>
        <v>60</v>
      </c>
      <c r="E726">
        <f>IF('Boletins Nuppa Site'!G726&lt;&gt;0,'Boletins Nuppa Site'!G726,"NULL")</f>
        <v>60</v>
      </c>
      <c r="F726">
        <f>IF('Boletins Nuppa Site'!H726&lt;&gt;0,'Boletins Nuppa Site'!H726,"NULL")</f>
        <v>78</v>
      </c>
      <c r="G726">
        <f>IF('Boletins Nuppa Site'!I726&lt;&gt;0,'Boletins Nuppa Site'!I726,"NULL")</f>
        <v>66</v>
      </c>
      <c r="H726">
        <f>IF('Boletins Nuppa Site'!J726&lt;&gt;0,'Boletins Nuppa Site'!J726,"NULL")</f>
        <v>60</v>
      </c>
      <c r="J726" t="str">
        <f t="shared" si="11"/>
        <v>INSERT INTO COTACAO (blt_id, pap_id, cot_prc_comum, cot_prc_min, cot_prc_max, cot_prc_med, cot_prc_mediana) VALUES (19, 13, 60, 60, 78, 66, 60);</v>
      </c>
    </row>
    <row r="727" spans="1:10" x14ac:dyDescent="0.3">
      <c r="A727">
        <v>726</v>
      </c>
      <c r="B727">
        <v>19</v>
      </c>
      <c r="C727">
        <v>14</v>
      </c>
      <c r="D727" t="str">
        <f>IF('Boletins Nuppa Site'!F727&lt;&gt;0,'Boletins Nuppa Site'!F727,"NULL")</f>
        <v>NULL</v>
      </c>
      <c r="E727">
        <f>IF('Boletins Nuppa Site'!G727&lt;&gt;0,'Boletins Nuppa Site'!G727,"NULL")</f>
        <v>72</v>
      </c>
      <c r="F727">
        <f>IF('Boletins Nuppa Site'!H727&lt;&gt;0,'Boletins Nuppa Site'!H727,"NULL")</f>
        <v>100</v>
      </c>
      <c r="G727" t="str">
        <f>IF('Boletins Nuppa Site'!I727&lt;&gt;0,'Boletins Nuppa Site'!I727,"NULL")</f>
        <v>85.33</v>
      </c>
      <c r="H727">
        <f>IF('Boletins Nuppa Site'!J727&lt;&gt;0,'Boletins Nuppa Site'!J727,"NULL")</f>
        <v>84</v>
      </c>
      <c r="J727" t="str">
        <f t="shared" si="11"/>
        <v>INSERT INTO COTACAO (blt_id, pap_id, cot_prc_comum, cot_prc_min, cot_prc_max, cot_prc_med, cot_prc_mediana) VALUES (19, 14, NULL, 72, 100, 85.33, 84);</v>
      </c>
    </row>
    <row r="728" spans="1:10" x14ac:dyDescent="0.3">
      <c r="A728">
        <v>727</v>
      </c>
      <c r="B728">
        <v>19</v>
      </c>
      <c r="C728">
        <v>15</v>
      </c>
      <c r="D728" t="str">
        <f>IF('Boletins Nuppa Site'!F728&lt;&gt;0,'Boletins Nuppa Site'!F728,"NULL")</f>
        <v>NULL</v>
      </c>
      <c r="E728">
        <f>IF('Boletins Nuppa Site'!G728&lt;&gt;0,'Boletins Nuppa Site'!G728,"NULL")</f>
        <v>48</v>
      </c>
      <c r="F728">
        <f>IF('Boletins Nuppa Site'!H728&lt;&gt;0,'Boletins Nuppa Site'!H728,"NULL")</f>
        <v>80</v>
      </c>
      <c r="G728">
        <f>IF('Boletins Nuppa Site'!I728&lt;&gt;0,'Boletins Nuppa Site'!I728,"NULL")</f>
        <v>61</v>
      </c>
      <c r="H728">
        <f>IF('Boletins Nuppa Site'!J728&lt;&gt;0,'Boletins Nuppa Site'!J728,"NULL")</f>
        <v>55</v>
      </c>
      <c r="J728" t="str">
        <f t="shared" si="11"/>
        <v>INSERT INTO COTACAO (blt_id, pap_id, cot_prc_comum, cot_prc_min, cot_prc_max, cot_prc_med, cot_prc_mediana) VALUES (19, 15, NULL, 48, 80, 61, 55);</v>
      </c>
    </row>
    <row r="729" spans="1:10" x14ac:dyDescent="0.3">
      <c r="A729">
        <v>728</v>
      </c>
      <c r="B729">
        <v>19</v>
      </c>
      <c r="C729">
        <v>16</v>
      </c>
      <c r="D729">
        <f>IF('Boletins Nuppa Site'!F729&lt;&gt;0,'Boletins Nuppa Site'!F729,"NULL")</f>
        <v>54</v>
      </c>
      <c r="E729">
        <f>IF('Boletins Nuppa Site'!G729&lt;&gt;0,'Boletins Nuppa Site'!G729,"NULL")</f>
        <v>48</v>
      </c>
      <c r="F729">
        <f>IF('Boletins Nuppa Site'!H729&lt;&gt;0,'Boletins Nuppa Site'!H729,"NULL")</f>
        <v>54</v>
      </c>
      <c r="G729">
        <f>IF('Boletins Nuppa Site'!I729&lt;&gt;0,'Boletins Nuppa Site'!I729,"NULL")</f>
        <v>52</v>
      </c>
      <c r="H729">
        <f>IF('Boletins Nuppa Site'!J729&lt;&gt;0,'Boletins Nuppa Site'!J729,"NULL")</f>
        <v>54</v>
      </c>
      <c r="J729" t="str">
        <f t="shared" si="11"/>
        <v>INSERT INTO COTACAO (blt_id, pap_id, cot_prc_comum, cot_prc_min, cot_prc_max, cot_prc_med, cot_prc_mediana) VALUES (19, 16, 54, 48, 54, 52, 54);</v>
      </c>
    </row>
    <row r="730" spans="1:10" x14ac:dyDescent="0.3">
      <c r="A730">
        <v>729</v>
      </c>
      <c r="B730">
        <v>19</v>
      </c>
      <c r="C730">
        <v>17</v>
      </c>
      <c r="D730">
        <f>IF('Boletins Nuppa Site'!F730&lt;&gt;0,'Boletins Nuppa Site'!F730,"NULL")</f>
        <v>5</v>
      </c>
      <c r="E730">
        <f>IF('Boletins Nuppa Site'!G730&lt;&gt;0,'Boletins Nuppa Site'!G730,"NULL")</f>
        <v>5</v>
      </c>
      <c r="F730">
        <f>IF('Boletins Nuppa Site'!H730&lt;&gt;0,'Boletins Nuppa Site'!H730,"NULL")</f>
        <v>6</v>
      </c>
      <c r="G730" t="str">
        <f>IF('Boletins Nuppa Site'!I730&lt;&gt;0,'Boletins Nuppa Site'!I730,"NULL")</f>
        <v>5.33</v>
      </c>
      <c r="H730">
        <f>IF('Boletins Nuppa Site'!J730&lt;&gt;0,'Boletins Nuppa Site'!J730,"NULL")</f>
        <v>5</v>
      </c>
      <c r="J730" t="str">
        <f t="shared" si="11"/>
        <v>INSERT INTO COTACAO (blt_id, pap_id, cot_prc_comum, cot_prc_min, cot_prc_max, cot_prc_med, cot_prc_mediana) VALUES (19, 17, 5, 5, 6, 5.33, 5);</v>
      </c>
    </row>
    <row r="731" spans="1:10" x14ac:dyDescent="0.3">
      <c r="A731">
        <v>730</v>
      </c>
      <c r="B731">
        <v>19</v>
      </c>
      <c r="C731">
        <v>18</v>
      </c>
      <c r="D731">
        <f>IF('Boletins Nuppa Site'!F731&lt;&gt;0,'Boletins Nuppa Site'!F731,"NULL")</f>
        <v>20</v>
      </c>
      <c r="E731">
        <f>IF('Boletins Nuppa Site'!G731&lt;&gt;0,'Boletins Nuppa Site'!G731,"NULL")</f>
        <v>20</v>
      </c>
      <c r="F731">
        <f>IF('Boletins Nuppa Site'!H731&lt;&gt;0,'Boletins Nuppa Site'!H731,"NULL")</f>
        <v>20</v>
      </c>
      <c r="G731">
        <f>IF('Boletins Nuppa Site'!I731&lt;&gt;0,'Boletins Nuppa Site'!I731,"NULL")</f>
        <v>20</v>
      </c>
      <c r="H731">
        <f>IF('Boletins Nuppa Site'!J731&lt;&gt;0,'Boletins Nuppa Site'!J731,"NULL")</f>
        <v>20</v>
      </c>
      <c r="J731" t="str">
        <f t="shared" si="11"/>
        <v>INSERT INTO COTACAO (blt_id, pap_id, cot_prc_comum, cot_prc_min, cot_prc_max, cot_prc_med, cot_prc_mediana) VALUES (19, 18, 20, 20, 20, 20, 20);</v>
      </c>
    </row>
    <row r="732" spans="1:10" x14ac:dyDescent="0.3">
      <c r="A732">
        <v>731</v>
      </c>
      <c r="B732">
        <v>19</v>
      </c>
      <c r="C732">
        <v>19</v>
      </c>
      <c r="D732" t="str">
        <f>IF('Boletins Nuppa Site'!F732&lt;&gt;0,'Boletins Nuppa Site'!F732,"NULL")</f>
        <v>NULL</v>
      </c>
      <c r="E732">
        <f>IF('Boletins Nuppa Site'!G732&lt;&gt;0,'Boletins Nuppa Site'!G732,"NULL")</f>
        <v>25</v>
      </c>
      <c r="F732">
        <f>IF('Boletins Nuppa Site'!H732&lt;&gt;0,'Boletins Nuppa Site'!H732,"NULL")</f>
        <v>35</v>
      </c>
      <c r="G732">
        <f>IF('Boletins Nuppa Site'!I732&lt;&gt;0,'Boletins Nuppa Site'!I732,"NULL")</f>
        <v>30</v>
      </c>
      <c r="H732">
        <f>IF('Boletins Nuppa Site'!J732&lt;&gt;0,'Boletins Nuppa Site'!J732,"NULL")</f>
        <v>30</v>
      </c>
      <c r="J732" t="str">
        <f t="shared" si="11"/>
        <v>INSERT INTO COTACAO (blt_id, pap_id, cot_prc_comum, cot_prc_min, cot_prc_max, cot_prc_med, cot_prc_mediana) VALUES (19, 19, NULL, 25, 35, 30, 30);</v>
      </c>
    </row>
    <row r="733" spans="1:10" x14ac:dyDescent="0.3">
      <c r="A733">
        <v>732</v>
      </c>
      <c r="B733">
        <v>19</v>
      </c>
      <c r="C733">
        <v>20</v>
      </c>
      <c r="D733" t="str">
        <f>IF('Boletins Nuppa Site'!F733&lt;&gt;0,'Boletins Nuppa Site'!F733,"NULL")</f>
        <v>NULL</v>
      </c>
      <c r="E733">
        <f>IF('Boletins Nuppa Site'!G733&lt;&gt;0,'Boletins Nuppa Site'!G733,"NULL")</f>
        <v>85</v>
      </c>
      <c r="F733">
        <f>IF('Boletins Nuppa Site'!H733&lt;&gt;0,'Boletins Nuppa Site'!H733,"NULL")</f>
        <v>95</v>
      </c>
      <c r="G733">
        <f>IF('Boletins Nuppa Site'!I733&lt;&gt;0,'Boletins Nuppa Site'!I733,"NULL")</f>
        <v>90</v>
      </c>
      <c r="H733">
        <f>IF('Boletins Nuppa Site'!J733&lt;&gt;0,'Boletins Nuppa Site'!J733,"NULL")</f>
        <v>90</v>
      </c>
      <c r="J733" t="str">
        <f t="shared" si="11"/>
        <v>INSERT INTO COTACAO (blt_id, pap_id, cot_prc_comum, cot_prc_min, cot_prc_max, cot_prc_med, cot_prc_mediana) VALUES (19, 20, NULL, 85, 95, 90, 90);</v>
      </c>
    </row>
    <row r="734" spans="1:10" x14ac:dyDescent="0.3">
      <c r="A734">
        <v>733</v>
      </c>
      <c r="B734">
        <v>19</v>
      </c>
      <c r="C734">
        <v>21</v>
      </c>
      <c r="D734">
        <f>IF('Boletins Nuppa Site'!F734&lt;&gt;0,'Boletins Nuppa Site'!F734,"NULL")</f>
        <v>120</v>
      </c>
      <c r="E734">
        <f>IF('Boletins Nuppa Site'!G734&lt;&gt;0,'Boletins Nuppa Site'!G734,"NULL")</f>
        <v>100</v>
      </c>
      <c r="F734">
        <f>IF('Boletins Nuppa Site'!H734&lt;&gt;0,'Boletins Nuppa Site'!H734,"NULL")</f>
        <v>120</v>
      </c>
      <c r="G734">
        <f>IF('Boletins Nuppa Site'!I734&lt;&gt;0,'Boletins Nuppa Site'!I734,"NULL")</f>
        <v>116</v>
      </c>
      <c r="H734">
        <f>IF('Boletins Nuppa Site'!J734&lt;&gt;0,'Boletins Nuppa Site'!J734,"NULL")</f>
        <v>120</v>
      </c>
      <c r="J734" t="str">
        <f t="shared" si="11"/>
        <v>INSERT INTO COTACAO (blt_id, pap_id, cot_prc_comum, cot_prc_min, cot_prc_max, cot_prc_med, cot_prc_mediana) VALUES (19, 21, 120, 100, 120, 116, 120);</v>
      </c>
    </row>
    <row r="735" spans="1:10" x14ac:dyDescent="0.3">
      <c r="A735">
        <v>734</v>
      </c>
      <c r="B735">
        <v>19</v>
      </c>
      <c r="C735">
        <v>22</v>
      </c>
      <c r="D735">
        <f>IF('Boletins Nuppa Site'!F735&lt;&gt;0,'Boletins Nuppa Site'!F735,"NULL")</f>
        <v>60</v>
      </c>
      <c r="E735">
        <f>IF('Boletins Nuppa Site'!G735&lt;&gt;0,'Boletins Nuppa Site'!G735,"NULL")</f>
        <v>40</v>
      </c>
      <c r="F735">
        <f>IF('Boletins Nuppa Site'!H735&lt;&gt;0,'Boletins Nuppa Site'!H735,"NULL")</f>
        <v>70</v>
      </c>
      <c r="G735" t="str">
        <f>IF('Boletins Nuppa Site'!I735&lt;&gt;0,'Boletins Nuppa Site'!I735,"NULL")</f>
        <v>57.5</v>
      </c>
      <c r="H735">
        <f>IF('Boletins Nuppa Site'!J735&lt;&gt;0,'Boletins Nuppa Site'!J735,"NULL")</f>
        <v>60</v>
      </c>
      <c r="J735" t="str">
        <f t="shared" si="11"/>
        <v>INSERT INTO COTACAO (blt_id, pap_id, cot_prc_comum, cot_prc_min, cot_prc_max, cot_prc_med, cot_prc_mediana) VALUES (19, 22, 60, 40, 70, 57.5, 60);</v>
      </c>
    </row>
    <row r="736" spans="1:10" x14ac:dyDescent="0.3">
      <c r="A736">
        <v>735</v>
      </c>
      <c r="B736">
        <v>19</v>
      </c>
      <c r="C736">
        <v>23</v>
      </c>
      <c r="D736">
        <f>IF('Boletins Nuppa Site'!F736&lt;&gt;0,'Boletins Nuppa Site'!F736,"NULL")</f>
        <v>40</v>
      </c>
      <c r="E736">
        <f>IF('Boletins Nuppa Site'!G736&lt;&gt;0,'Boletins Nuppa Site'!G736,"NULL")</f>
        <v>35</v>
      </c>
      <c r="F736">
        <f>IF('Boletins Nuppa Site'!H736&lt;&gt;0,'Boletins Nuppa Site'!H736,"NULL")</f>
        <v>55</v>
      </c>
      <c r="G736" t="str">
        <f>IF('Boletins Nuppa Site'!I736&lt;&gt;0,'Boletins Nuppa Site'!I736,"NULL")</f>
        <v>42.5</v>
      </c>
      <c r="H736">
        <f>IF('Boletins Nuppa Site'!J736&lt;&gt;0,'Boletins Nuppa Site'!J736,"NULL")</f>
        <v>40</v>
      </c>
      <c r="J736" t="str">
        <f t="shared" si="11"/>
        <v>INSERT INTO COTACAO (blt_id, pap_id, cot_prc_comum, cot_prc_min, cot_prc_max, cot_prc_med, cot_prc_mediana) VALUES (19, 23, 40, 35, 55, 42.5, 40);</v>
      </c>
    </row>
    <row r="737" spans="1:10" x14ac:dyDescent="0.3">
      <c r="A737">
        <v>736</v>
      </c>
      <c r="B737">
        <v>19</v>
      </c>
      <c r="C737">
        <v>24</v>
      </c>
      <c r="D737" t="str">
        <f>IF('Boletins Nuppa Site'!F737&lt;&gt;0,'Boletins Nuppa Site'!F737,"NULL")</f>
        <v>NULL</v>
      </c>
      <c r="E737">
        <f>IF('Boletins Nuppa Site'!G737&lt;&gt;0,'Boletins Nuppa Site'!G737,"NULL")</f>
        <v>90</v>
      </c>
      <c r="F737">
        <f>IF('Boletins Nuppa Site'!H737&lt;&gt;0,'Boletins Nuppa Site'!H737,"NULL")</f>
        <v>110</v>
      </c>
      <c r="G737">
        <f>IF('Boletins Nuppa Site'!I737&lt;&gt;0,'Boletins Nuppa Site'!I737,"NULL")</f>
        <v>100</v>
      </c>
      <c r="H737">
        <f>IF('Boletins Nuppa Site'!J737&lt;&gt;0,'Boletins Nuppa Site'!J737,"NULL")</f>
        <v>100</v>
      </c>
      <c r="J737" t="str">
        <f t="shared" si="11"/>
        <v>INSERT INTO COTACAO (blt_id, pap_id, cot_prc_comum, cot_prc_min, cot_prc_max, cot_prc_med, cot_prc_mediana) VALUES (19, 24, NULL, 90, 110, 100, 100);</v>
      </c>
    </row>
    <row r="738" spans="1:10" x14ac:dyDescent="0.3">
      <c r="A738">
        <v>737</v>
      </c>
      <c r="B738">
        <v>19</v>
      </c>
      <c r="C738">
        <v>25</v>
      </c>
      <c r="D738">
        <f>IF('Boletins Nuppa Site'!F738&lt;&gt;0,'Boletins Nuppa Site'!F738,"NULL")</f>
        <v>120</v>
      </c>
      <c r="E738">
        <f>IF('Boletins Nuppa Site'!G738&lt;&gt;0,'Boletins Nuppa Site'!G738,"NULL")</f>
        <v>80</v>
      </c>
      <c r="F738">
        <f>IF('Boletins Nuppa Site'!H738&lt;&gt;0,'Boletins Nuppa Site'!H738,"NULL")</f>
        <v>120</v>
      </c>
      <c r="G738">
        <f>IF('Boletins Nuppa Site'!I738&lt;&gt;0,'Boletins Nuppa Site'!I738,"NULL")</f>
        <v>110</v>
      </c>
      <c r="H738">
        <f>IF('Boletins Nuppa Site'!J738&lt;&gt;0,'Boletins Nuppa Site'!J738,"NULL")</f>
        <v>120</v>
      </c>
      <c r="J738" t="str">
        <f t="shared" si="11"/>
        <v>INSERT INTO COTACAO (blt_id, pap_id, cot_prc_comum, cot_prc_min, cot_prc_max, cot_prc_med, cot_prc_mediana) VALUES (19, 25, 120, 80, 120, 110, 120);</v>
      </c>
    </row>
    <row r="739" spans="1:10" x14ac:dyDescent="0.3">
      <c r="A739">
        <v>738</v>
      </c>
      <c r="B739">
        <v>19</v>
      </c>
      <c r="C739">
        <v>26</v>
      </c>
      <c r="D739" t="str">
        <f>IF('Boletins Nuppa Site'!F739&lt;&gt;0,'Boletins Nuppa Site'!F739,"NULL")</f>
        <v>NULL</v>
      </c>
      <c r="E739">
        <f>IF('Boletins Nuppa Site'!G739&lt;&gt;0,'Boletins Nuppa Site'!G739,"NULL")</f>
        <v>60</v>
      </c>
      <c r="F739">
        <f>IF('Boletins Nuppa Site'!H739&lt;&gt;0,'Boletins Nuppa Site'!H739,"NULL")</f>
        <v>160</v>
      </c>
      <c r="G739">
        <f>IF('Boletins Nuppa Site'!I739&lt;&gt;0,'Boletins Nuppa Site'!I739,"NULL")</f>
        <v>118</v>
      </c>
      <c r="H739">
        <f>IF('Boletins Nuppa Site'!J739&lt;&gt;0,'Boletins Nuppa Site'!J739,"NULL")</f>
        <v>130</v>
      </c>
      <c r="J739" t="str">
        <f t="shared" si="11"/>
        <v>INSERT INTO COTACAO (blt_id, pap_id, cot_prc_comum, cot_prc_min, cot_prc_max, cot_prc_med, cot_prc_mediana) VALUES (19, 26, NULL, 60, 160, 118, 130);</v>
      </c>
    </row>
    <row r="740" spans="1:10" x14ac:dyDescent="0.3">
      <c r="A740">
        <v>739</v>
      </c>
      <c r="B740">
        <v>19</v>
      </c>
      <c r="C740">
        <v>27</v>
      </c>
      <c r="D740">
        <f>IF('Boletins Nuppa Site'!F740&lt;&gt;0,'Boletins Nuppa Site'!F740,"NULL")</f>
        <v>80</v>
      </c>
      <c r="E740">
        <f>IF('Boletins Nuppa Site'!G740&lt;&gt;0,'Boletins Nuppa Site'!G740,"NULL")</f>
        <v>75</v>
      </c>
      <c r="F740">
        <f>IF('Boletins Nuppa Site'!H740&lt;&gt;0,'Boletins Nuppa Site'!H740,"NULL")</f>
        <v>110</v>
      </c>
      <c r="G740">
        <f>IF('Boletins Nuppa Site'!I740&lt;&gt;0,'Boletins Nuppa Site'!I740,"NULL")</f>
        <v>90</v>
      </c>
      <c r="H740">
        <f>IF('Boletins Nuppa Site'!J740&lt;&gt;0,'Boletins Nuppa Site'!J740,"NULL")</f>
        <v>80</v>
      </c>
      <c r="J740" t="str">
        <f t="shared" si="11"/>
        <v>INSERT INTO COTACAO (blt_id, pap_id, cot_prc_comum, cot_prc_min, cot_prc_max, cot_prc_med, cot_prc_mediana) VALUES (19, 27, 80, 75, 110, 90, 80);</v>
      </c>
    </row>
    <row r="741" spans="1:10" x14ac:dyDescent="0.3">
      <c r="A741">
        <v>740</v>
      </c>
      <c r="B741">
        <v>19</v>
      </c>
      <c r="C741">
        <v>28</v>
      </c>
      <c r="D741">
        <f>IF('Boletins Nuppa Site'!F741&lt;&gt;0,'Boletins Nuppa Site'!F741,"NULL")</f>
        <v>100</v>
      </c>
      <c r="E741">
        <f>IF('Boletins Nuppa Site'!G741&lt;&gt;0,'Boletins Nuppa Site'!G741,"NULL")</f>
        <v>70</v>
      </c>
      <c r="F741">
        <f>IF('Boletins Nuppa Site'!H741&lt;&gt;0,'Boletins Nuppa Site'!H741,"NULL")</f>
        <v>100</v>
      </c>
      <c r="G741" t="str">
        <f>IF('Boletins Nuppa Site'!I741&lt;&gt;0,'Boletins Nuppa Site'!I741,"NULL")</f>
        <v>87.5</v>
      </c>
      <c r="H741">
        <f>IF('Boletins Nuppa Site'!J741&lt;&gt;0,'Boletins Nuppa Site'!J741,"NULL")</f>
        <v>90</v>
      </c>
      <c r="J741" t="str">
        <f t="shared" si="11"/>
        <v>INSERT INTO COTACAO (blt_id, pap_id, cot_prc_comum, cot_prc_min, cot_prc_max, cot_prc_med, cot_prc_mediana) VALUES (19, 28, 100, 70, 100, 87.5, 90);</v>
      </c>
    </row>
    <row r="742" spans="1:10" x14ac:dyDescent="0.3">
      <c r="A742">
        <v>741</v>
      </c>
      <c r="B742">
        <v>19</v>
      </c>
      <c r="C742">
        <v>29</v>
      </c>
      <c r="D742" t="str">
        <f>IF('Boletins Nuppa Site'!F742&lt;&gt;0,'Boletins Nuppa Site'!F742,"NULL")</f>
        <v>NULL</v>
      </c>
      <c r="E742">
        <f>IF('Boletins Nuppa Site'!G742&lt;&gt;0,'Boletins Nuppa Site'!G742,"NULL")</f>
        <v>40</v>
      </c>
      <c r="F742">
        <f>IF('Boletins Nuppa Site'!H742&lt;&gt;0,'Boletins Nuppa Site'!H742,"NULL")</f>
        <v>60</v>
      </c>
      <c r="G742" t="str">
        <f>IF('Boletins Nuppa Site'!I742&lt;&gt;0,'Boletins Nuppa Site'!I742,"NULL")</f>
        <v>51.25</v>
      </c>
      <c r="H742" t="str">
        <f>IF('Boletins Nuppa Site'!J742&lt;&gt;0,'Boletins Nuppa Site'!J742,"NULL")</f>
        <v>52.5</v>
      </c>
      <c r="J742" t="str">
        <f t="shared" si="11"/>
        <v>INSERT INTO COTACAO (blt_id, pap_id, cot_prc_comum, cot_prc_min, cot_prc_max, cot_prc_med, cot_prc_mediana) VALUES (19, 29, NULL, 40, 60, 51.25, 52.5);</v>
      </c>
    </row>
    <row r="743" spans="1:10" x14ac:dyDescent="0.3">
      <c r="A743">
        <v>742</v>
      </c>
      <c r="B743">
        <v>19</v>
      </c>
      <c r="C743">
        <v>30</v>
      </c>
      <c r="D743">
        <f>IF('Boletins Nuppa Site'!F743&lt;&gt;0,'Boletins Nuppa Site'!F743,"NULL")</f>
        <v>70</v>
      </c>
      <c r="E743">
        <f>IF('Boletins Nuppa Site'!G743&lt;&gt;0,'Boletins Nuppa Site'!G743,"NULL")</f>
        <v>65</v>
      </c>
      <c r="F743">
        <f>IF('Boletins Nuppa Site'!H743&lt;&gt;0,'Boletins Nuppa Site'!H743,"NULL")</f>
        <v>70</v>
      </c>
      <c r="G743" t="str">
        <f>IF('Boletins Nuppa Site'!I743&lt;&gt;0,'Boletins Nuppa Site'!I743,"NULL")</f>
        <v>68.75</v>
      </c>
      <c r="H743">
        <f>IF('Boletins Nuppa Site'!J743&lt;&gt;0,'Boletins Nuppa Site'!J743,"NULL")</f>
        <v>70</v>
      </c>
      <c r="J743" t="str">
        <f t="shared" si="11"/>
        <v>INSERT INTO COTACAO (blt_id, pap_id, cot_prc_comum, cot_prc_min, cot_prc_max, cot_prc_med, cot_prc_mediana) VALUES (19, 30, 70, 65, 70, 68.75, 70);</v>
      </c>
    </row>
    <row r="744" spans="1:10" x14ac:dyDescent="0.3">
      <c r="A744">
        <v>743</v>
      </c>
      <c r="B744">
        <v>19</v>
      </c>
      <c r="C744">
        <v>31</v>
      </c>
      <c r="D744">
        <f>IF('Boletins Nuppa Site'!F744&lt;&gt;0,'Boletins Nuppa Site'!F744,"NULL")</f>
        <v>120</v>
      </c>
      <c r="E744">
        <f>IF('Boletins Nuppa Site'!G744&lt;&gt;0,'Boletins Nuppa Site'!G744,"NULL")</f>
        <v>100</v>
      </c>
      <c r="F744">
        <f>IF('Boletins Nuppa Site'!H744&lt;&gt;0,'Boletins Nuppa Site'!H744,"NULL")</f>
        <v>125</v>
      </c>
      <c r="G744" t="str">
        <f>IF('Boletins Nuppa Site'!I744&lt;&gt;0,'Boletins Nuppa Site'!I744,"NULL")</f>
        <v>116.25</v>
      </c>
      <c r="H744">
        <f>IF('Boletins Nuppa Site'!J744&lt;&gt;0,'Boletins Nuppa Site'!J744,"NULL")</f>
        <v>120</v>
      </c>
      <c r="J744" t="str">
        <f t="shared" si="11"/>
        <v>INSERT INTO COTACAO (blt_id, pap_id, cot_prc_comum, cot_prc_min, cot_prc_max, cot_prc_med, cot_prc_mediana) VALUES (19, 31, 120, 100, 125, 116.25, 120);</v>
      </c>
    </row>
    <row r="745" spans="1:10" x14ac:dyDescent="0.3">
      <c r="A745">
        <v>744</v>
      </c>
      <c r="B745">
        <v>19</v>
      </c>
      <c r="C745">
        <v>32</v>
      </c>
      <c r="D745">
        <f>IF('Boletins Nuppa Site'!F745&lt;&gt;0,'Boletins Nuppa Site'!F745,"NULL")</f>
        <v>50</v>
      </c>
      <c r="E745">
        <f>IF('Boletins Nuppa Site'!G745&lt;&gt;0,'Boletins Nuppa Site'!G745,"NULL")</f>
        <v>40</v>
      </c>
      <c r="F745">
        <f>IF('Boletins Nuppa Site'!H745&lt;&gt;0,'Boletins Nuppa Site'!H745,"NULL")</f>
        <v>80</v>
      </c>
      <c r="G745" t="str">
        <f>IF('Boletins Nuppa Site'!I745&lt;&gt;0,'Boletins Nuppa Site'!I745,"NULL")</f>
        <v>53.33</v>
      </c>
      <c r="H745">
        <f>IF('Boletins Nuppa Site'!J745&lt;&gt;0,'Boletins Nuppa Site'!J745,"NULL")</f>
        <v>50</v>
      </c>
      <c r="J745" t="str">
        <f t="shared" si="11"/>
        <v>INSERT INTO COTACAO (blt_id, pap_id, cot_prc_comum, cot_prc_min, cot_prc_max, cot_prc_med, cot_prc_mediana) VALUES (19, 32, 50, 40, 80, 53.33, 50);</v>
      </c>
    </row>
    <row r="746" spans="1:10" x14ac:dyDescent="0.3">
      <c r="A746">
        <v>745</v>
      </c>
      <c r="B746">
        <v>19</v>
      </c>
      <c r="C746">
        <v>33</v>
      </c>
      <c r="D746" t="str">
        <f>IF('Boletins Nuppa Site'!F746&lt;&gt;0,'Boletins Nuppa Site'!F746,"NULL")</f>
        <v>NULL</v>
      </c>
      <c r="E746">
        <f>IF('Boletins Nuppa Site'!G746&lt;&gt;0,'Boletins Nuppa Site'!G746,"NULL")</f>
        <v>120</v>
      </c>
      <c r="F746">
        <f>IF('Boletins Nuppa Site'!H746&lt;&gt;0,'Boletins Nuppa Site'!H746,"NULL")</f>
        <v>200</v>
      </c>
      <c r="G746">
        <f>IF('Boletins Nuppa Site'!I746&lt;&gt;0,'Boletins Nuppa Site'!I746,"NULL")</f>
        <v>160</v>
      </c>
      <c r="H746">
        <f>IF('Boletins Nuppa Site'!J746&lt;&gt;0,'Boletins Nuppa Site'!J746,"NULL")</f>
        <v>160</v>
      </c>
      <c r="J746" t="str">
        <f t="shared" si="11"/>
        <v>INSERT INTO COTACAO (blt_id, pap_id, cot_prc_comum, cot_prc_min, cot_prc_max, cot_prc_med, cot_prc_mediana) VALUES (19, 33, NULL, 120, 200, 160, 160);</v>
      </c>
    </row>
    <row r="747" spans="1:10" x14ac:dyDescent="0.3">
      <c r="A747">
        <v>746</v>
      </c>
      <c r="B747">
        <v>19</v>
      </c>
      <c r="C747">
        <v>34</v>
      </c>
      <c r="D747">
        <f>IF('Boletins Nuppa Site'!F747&lt;&gt;0,'Boletins Nuppa Site'!F747,"NULL")</f>
        <v>130</v>
      </c>
      <c r="E747">
        <f>IF('Boletins Nuppa Site'!G747&lt;&gt;0,'Boletins Nuppa Site'!G747,"NULL")</f>
        <v>100</v>
      </c>
      <c r="F747">
        <f>IF('Boletins Nuppa Site'!H747&lt;&gt;0,'Boletins Nuppa Site'!H747,"NULL")</f>
        <v>170</v>
      </c>
      <c r="G747">
        <f>IF('Boletins Nuppa Site'!I747&lt;&gt;0,'Boletins Nuppa Site'!I747,"NULL")</f>
        <v>140</v>
      </c>
      <c r="H747">
        <f>IF('Boletins Nuppa Site'!J747&lt;&gt;0,'Boletins Nuppa Site'!J747,"NULL")</f>
        <v>140</v>
      </c>
      <c r="J747" t="str">
        <f t="shared" si="11"/>
        <v>INSERT INTO COTACAO (blt_id, pap_id, cot_prc_comum, cot_prc_min, cot_prc_max, cot_prc_med, cot_prc_mediana) VALUES (19, 34, 130, 100, 170, 140, 140);</v>
      </c>
    </row>
    <row r="748" spans="1:10" x14ac:dyDescent="0.3">
      <c r="A748">
        <v>747</v>
      </c>
      <c r="B748">
        <v>19</v>
      </c>
      <c r="C748">
        <v>35</v>
      </c>
      <c r="D748" t="str">
        <f>IF('Boletins Nuppa Site'!F748&lt;&gt;0,'Boletins Nuppa Site'!F748,"NULL")</f>
        <v>NULL</v>
      </c>
      <c r="E748">
        <f>IF('Boletins Nuppa Site'!G748&lt;&gt;0,'Boletins Nuppa Site'!G748,"NULL")</f>
        <v>120</v>
      </c>
      <c r="F748">
        <f>IF('Boletins Nuppa Site'!H748&lt;&gt;0,'Boletins Nuppa Site'!H748,"NULL")</f>
        <v>235</v>
      </c>
      <c r="G748" t="str">
        <f>IF('Boletins Nuppa Site'!I748&lt;&gt;0,'Boletins Nuppa Site'!I748,"NULL")</f>
        <v>193.75</v>
      </c>
      <c r="H748">
        <f>IF('Boletins Nuppa Site'!J748&lt;&gt;0,'Boletins Nuppa Site'!J748,"NULL")</f>
        <v>210</v>
      </c>
      <c r="J748" t="str">
        <f t="shared" si="11"/>
        <v>INSERT INTO COTACAO (blt_id, pap_id, cot_prc_comum, cot_prc_min, cot_prc_max, cot_prc_med, cot_prc_mediana) VALUES (19, 35, NULL, 120, 235, 193.75, 210);</v>
      </c>
    </row>
    <row r="749" spans="1:10" x14ac:dyDescent="0.3">
      <c r="A749">
        <v>748</v>
      </c>
      <c r="B749">
        <v>19</v>
      </c>
      <c r="C749">
        <v>36</v>
      </c>
      <c r="D749" t="str">
        <f>IF('Boletins Nuppa Site'!F749&lt;&gt;0,'Boletins Nuppa Site'!F749,"NULL")</f>
        <v>NULL</v>
      </c>
      <c r="E749" t="str">
        <f>IF('Boletins Nuppa Site'!G749&lt;&gt;0,'Boletins Nuppa Site'!G749,"NULL")</f>
        <v>NULL</v>
      </c>
      <c r="F749" t="str">
        <f>IF('Boletins Nuppa Site'!H749&lt;&gt;0,'Boletins Nuppa Site'!H749,"NULL")</f>
        <v>NULL</v>
      </c>
      <c r="G749" t="str">
        <f>IF('Boletins Nuppa Site'!I749&lt;&gt;0,'Boletins Nuppa Site'!I749,"NULL")</f>
        <v>NULL</v>
      </c>
      <c r="H749" t="str">
        <f>IF('Boletins Nuppa Site'!J749&lt;&gt;0,'Boletins Nuppa Site'!J749,"NULL")</f>
        <v>NULL</v>
      </c>
      <c r="J749" t="str">
        <f t="shared" si="11"/>
        <v>INSERT INTO COTACAO (blt_id, pap_id, cot_prc_comum, cot_prc_min, cot_prc_max, cot_prc_med, cot_prc_mediana) VALUES (19, 36, NULL, NULL, NULL, NULL, NULL);</v>
      </c>
    </row>
    <row r="750" spans="1:10" x14ac:dyDescent="0.3">
      <c r="A750">
        <v>749</v>
      </c>
      <c r="B750">
        <v>19</v>
      </c>
      <c r="C750">
        <v>37</v>
      </c>
      <c r="D750" t="str">
        <f>IF('Boletins Nuppa Site'!F750&lt;&gt;0,'Boletins Nuppa Site'!F750,"NULL")</f>
        <v>NULL</v>
      </c>
      <c r="E750" t="str">
        <f>IF('Boletins Nuppa Site'!G750&lt;&gt;0,'Boletins Nuppa Site'!G750,"NULL")</f>
        <v>NULL</v>
      </c>
      <c r="F750" t="str">
        <f>IF('Boletins Nuppa Site'!H750&lt;&gt;0,'Boletins Nuppa Site'!H750,"NULL")</f>
        <v>NULL</v>
      </c>
      <c r="G750" t="str">
        <f>IF('Boletins Nuppa Site'!I750&lt;&gt;0,'Boletins Nuppa Site'!I750,"NULL")</f>
        <v>NULL</v>
      </c>
      <c r="H750" t="str">
        <f>IF('Boletins Nuppa Site'!J750&lt;&gt;0,'Boletins Nuppa Site'!J750,"NULL")</f>
        <v>NULL</v>
      </c>
      <c r="J750" t="str">
        <f t="shared" si="11"/>
        <v>INSERT INTO COTACAO (blt_id, pap_id, cot_prc_comum, cot_prc_min, cot_prc_max, cot_prc_med, cot_prc_mediana) VALUES (19, 37, NULL, NULL, NULL, NULL, NULL);</v>
      </c>
    </row>
    <row r="751" spans="1:10" x14ac:dyDescent="0.3">
      <c r="A751">
        <v>750</v>
      </c>
      <c r="B751">
        <v>19</v>
      </c>
      <c r="C751">
        <v>38</v>
      </c>
      <c r="D751" t="str">
        <f>IF('Boletins Nuppa Site'!F751&lt;&gt;0,'Boletins Nuppa Site'!F751,"NULL")</f>
        <v>NULL</v>
      </c>
      <c r="E751" t="str">
        <f>IF('Boletins Nuppa Site'!G751&lt;&gt;0,'Boletins Nuppa Site'!G751,"NULL")</f>
        <v>NULL</v>
      </c>
      <c r="F751" t="str">
        <f>IF('Boletins Nuppa Site'!H751&lt;&gt;0,'Boletins Nuppa Site'!H751,"NULL")</f>
        <v>NULL</v>
      </c>
      <c r="G751" t="str">
        <f>IF('Boletins Nuppa Site'!I751&lt;&gt;0,'Boletins Nuppa Site'!I751,"NULL")</f>
        <v>NULL</v>
      </c>
      <c r="H751" t="str">
        <f>IF('Boletins Nuppa Site'!J751&lt;&gt;0,'Boletins Nuppa Site'!J751,"NULL")</f>
        <v>NULL</v>
      </c>
      <c r="J751" t="str">
        <f t="shared" si="11"/>
        <v>INSERT INTO COTACAO (blt_id, pap_id, cot_prc_comum, cot_prc_min, cot_prc_max, cot_prc_med, cot_prc_mediana) VALUES (19, 38, NULL, NULL, NULL, NULL, NULL);</v>
      </c>
    </row>
    <row r="752" spans="1:10" x14ac:dyDescent="0.3">
      <c r="A752">
        <v>751</v>
      </c>
      <c r="B752">
        <v>19</v>
      </c>
      <c r="C752">
        <v>39</v>
      </c>
      <c r="D752" t="str">
        <f>IF('Boletins Nuppa Site'!F752&lt;&gt;0,'Boletins Nuppa Site'!F752,"NULL")</f>
        <v>NULL</v>
      </c>
      <c r="E752">
        <f>IF('Boletins Nuppa Site'!G752&lt;&gt;0,'Boletins Nuppa Site'!G752,"NULL")</f>
        <v>50</v>
      </c>
      <c r="F752">
        <f>IF('Boletins Nuppa Site'!H752&lt;&gt;0,'Boletins Nuppa Site'!H752,"NULL")</f>
        <v>50</v>
      </c>
      <c r="G752">
        <f>IF('Boletins Nuppa Site'!I752&lt;&gt;0,'Boletins Nuppa Site'!I752,"NULL")</f>
        <v>50</v>
      </c>
      <c r="H752">
        <f>IF('Boletins Nuppa Site'!J752&lt;&gt;0,'Boletins Nuppa Site'!J752,"NULL")</f>
        <v>50</v>
      </c>
      <c r="J752" t="str">
        <f t="shared" si="11"/>
        <v>INSERT INTO COTACAO (blt_id, pap_id, cot_prc_comum, cot_prc_min, cot_prc_max, cot_prc_med, cot_prc_mediana) VALUES (19, 39, NULL, 50, 50, 50, 50);</v>
      </c>
    </row>
    <row r="753" spans="1:10" x14ac:dyDescent="0.3">
      <c r="A753">
        <v>752</v>
      </c>
      <c r="B753">
        <v>19</v>
      </c>
      <c r="C753">
        <v>40</v>
      </c>
      <c r="D753">
        <f>IF('Boletins Nuppa Site'!F753&lt;&gt;0,'Boletins Nuppa Site'!F753,"NULL")</f>
        <v>60</v>
      </c>
      <c r="E753">
        <f>IF('Boletins Nuppa Site'!G753&lt;&gt;0,'Boletins Nuppa Site'!G753,"NULL")</f>
        <v>60</v>
      </c>
      <c r="F753">
        <f>IF('Boletins Nuppa Site'!H753&lt;&gt;0,'Boletins Nuppa Site'!H753,"NULL")</f>
        <v>60</v>
      </c>
      <c r="G753">
        <f>IF('Boletins Nuppa Site'!I753&lt;&gt;0,'Boletins Nuppa Site'!I753,"NULL")</f>
        <v>60</v>
      </c>
      <c r="H753">
        <f>IF('Boletins Nuppa Site'!J753&lt;&gt;0,'Boletins Nuppa Site'!J753,"NULL")</f>
        <v>60</v>
      </c>
      <c r="J753" t="str">
        <f t="shared" si="11"/>
        <v>INSERT INTO COTACAO (blt_id, pap_id, cot_prc_comum, cot_prc_min, cot_prc_max, cot_prc_med, cot_prc_mediana) VALUES (19, 40, 60, 60, 60, 60, 60);</v>
      </c>
    </row>
    <row r="754" spans="1:10" x14ac:dyDescent="0.3">
      <c r="A754">
        <v>753</v>
      </c>
      <c r="B754">
        <v>20</v>
      </c>
      <c r="C754">
        <v>1</v>
      </c>
      <c r="D754" t="str">
        <f>IF('Boletins Nuppa Site'!F754&lt;&gt;0,'Boletins Nuppa Site'!F754,"NULL")</f>
        <v>NULL</v>
      </c>
      <c r="E754" t="str">
        <f>IF('Boletins Nuppa Site'!G754&lt;&gt;0,'Boletins Nuppa Site'!G754,"NULL")</f>
        <v>NULL</v>
      </c>
      <c r="F754" t="str">
        <f>IF('Boletins Nuppa Site'!H754&lt;&gt;0,'Boletins Nuppa Site'!H754,"NULL")</f>
        <v>NULL</v>
      </c>
      <c r="G754" t="str">
        <f>IF('Boletins Nuppa Site'!I754&lt;&gt;0,'Boletins Nuppa Site'!I754,"NULL")</f>
        <v>NULL</v>
      </c>
      <c r="H754" t="str">
        <f>IF('Boletins Nuppa Site'!J754&lt;&gt;0,'Boletins Nuppa Site'!J754,"NULL")</f>
        <v>NULL</v>
      </c>
      <c r="J754" t="str">
        <f t="shared" si="11"/>
        <v>INSERT INTO COTACAO (blt_id, pap_id, cot_prc_comum, cot_prc_min, cot_prc_max, cot_prc_med, cot_prc_mediana) VALUES (20, 1, NULL, NULL, NULL, NULL, NULL);</v>
      </c>
    </row>
    <row r="755" spans="1:10" x14ac:dyDescent="0.3">
      <c r="A755">
        <v>754</v>
      </c>
      <c r="B755">
        <v>20</v>
      </c>
      <c r="C755">
        <v>2</v>
      </c>
      <c r="D755" t="str">
        <f>IF('Boletins Nuppa Site'!F755&lt;&gt;0,'Boletins Nuppa Site'!F755,"NULL")</f>
        <v>NULL</v>
      </c>
      <c r="E755">
        <f>IF('Boletins Nuppa Site'!G755&lt;&gt;0,'Boletins Nuppa Site'!G755,"NULL")</f>
        <v>60</v>
      </c>
      <c r="F755">
        <f>IF('Boletins Nuppa Site'!H755&lt;&gt;0,'Boletins Nuppa Site'!H755,"NULL")</f>
        <v>72</v>
      </c>
      <c r="G755">
        <f>IF('Boletins Nuppa Site'!I755&lt;&gt;0,'Boletins Nuppa Site'!I755,"NULL")</f>
        <v>66</v>
      </c>
      <c r="H755">
        <f>IF('Boletins Nuppa Site'!J755&lt;&gt;0,'Boletins Nuppa Site'!J755,"NULL")</f>
        <v>66</v>
      </c>
      <c r="J755" t="str">
        <f t="shared" si="11"/>
        <v>INSERT INTO COTACAO (blt_id, pap_id, cot_prc_comum, cot_prc_min, cot_prc_max, cot_prc_med, cot_prc_mediana) VALUES (20, 2, NULL, 60, 72, 66, 66);</v>
      </c>
    </row>
    <row r="756" spans="1:10" x14ac:dyDescent="0.3">
      <c r="A756">
        <v>755</v>
      </c>
      <c r="B756">
        <v>20</v>
      </c>
      <c r="C756">
        <v>3</v>
      </c>
      <c r="D756" t="str">
        <f>IF('Boletins Nuppa Site'!F756&lt;&gt;0,'Boletins Nuppa Site'!F756,"NULL")</f>
        <v>NULL</v>
      </c>
      <c r="E756">
        <f>IF('Boletins Nuppa Site'!G756&lt;&gt;0,'Boletins Nuppa Site'!G756,"NULL")</f>
        <v>72</v>
      </c>
      <c r="F756">
        <f>IF('Boletins Nuppa Site'!H756&lt;&gt;0,'Boletins Nuppa Site'!H756,"NULL")</f>
        <v>84</v>
      </c>
      <c r="G756">
        <f>IF('Boletins Nuppa Site'!I756&lt;&gt;0,'Boletins Nuppa Site'!I756,"NULL")</f>
        <v>78</v>
      </c>
      <c r="H756">
        <f>IF('Boletins Nuppa Site'!J756&lt;&gt;0,'Boletins Nuppa Site'!J756,"NULL")</f>
        <v>78</v>
      </c>
      <c r="J756" t="str">
        <f t="shared" si="11"/>
        <v>INSERT INTO COTACAO (blt_id, pap_id, cot_prc_comum, cot_prc_min, cot_prc_max, cot_prc_med, cot_prc_mediana) VALUES (20, 3, NULL, 72, 84, 78, 78);</v>
      </c>
    </row>
    <row r="757" spans="1:10" x14ac:dyDescent="0.3">
      <c r="A757">
        <v>756</v>
      </c>
      <c r="B757">
        <v>20</v>
      </c>
      <c r="C757">
        <v>4</v>
      </c>
      <c r="D757" t="str">
        <f>IF('Boletins Nuppa Site'!F757&lt;&gt;0,'Boletins Nuppa Site'!F757,"NULL")</f>
        <v>NULL</v>
      </c>
      <c r="E757">
        <f>IF('Boletins Nuppa Site'!G757&lt;&gt;0,'Boletins Nuppa Site'!G757,"NULL")</f>
        <v>42</v>
      </c>
      <c r="F757">
        <f>IF('Boletins Nuppa Site'!H757&lt;&gt;0,'Boletins Nuppa Site'!H757,"NULL")</f>
        <v>54</v>
      </c>
      <c r="G757">
        <f>IF('Boletins Nuppa Site'!I757&lt;&gt;0,'Boletins Nuppa Site'!I757,"NULL")</f>
        <v>48</v>
      </c>
      <c r="H757">
        <f>IF('Boletins Nuppa Site'!J757&lt;&gt;0,'Boletins Nuppa Site'!J757,"NULL")</f>
        <v>48</v>
      </c>
      <c r="J757" t="str">
        <f t="shared" si="11"/>
        <v>INSERT INTO COTACAO (blt_id, pap_id, cot_prc_comum, cot_prc_min, cot_prc_max, cot_prc_med, cot_prc_mediana) VALUES (20, 4, NULL, 42, 54, 48, 48);</v>
      </c>
    </row>
    <row r="758" spans="1:10" x14ac:dyDescent="0.3">
      <c r="A758">
        <v>757</v>
      </c>
      <c r="B758">
        <v>20</v>
      </c>
      <c r="C758">
        <v>5</v>
      </c>
      <c r="D758">
        <f>IF('Boletins Nuppa Site'!F758&lt;&gt;0,'Boletins Nuppa Site'!F758,"NULL")</f>
        <v>30</v>
      </c>
      <c r="E758">
        <f>IF('Boletins Nuppa Site'!G758&lt;&gt;0,'Boletins Nuppa Site'!G758,"NULL")</f>
        <v>30</v>
      </c>
      <c r="F758">
        <f>IF('Boletins Nuppa Site'!H758&lt;&gt;0,'Boletins Nuppa Site'!H758,"NULL")</f>
        <v>30</v>
      </c>
      <c r="G758">
        <f>IF('Boletins Nuppa Site'!I758&lt;&gt;0,'Boletins Nuppa Site'!I758,"NULL")</f>
        <v>30</v>
      </c>
      <c r="H758">
        <f>IF('Boletins Nuppa Site'!J758&lt;&gt;0,'Boletins Nuppa Site'!J758,"NULL")</f>
        <v>30</v>
      </c>
      <c r="J758" t="str">
        <f t="shared" si="11"/>
        <v>INSERT INTO COTACAO (blt_id, pap_id, cot_prc_comum, cot_prc_min, cot_prc_max, cot_prc_med, cot_prc_mediana) VALUES (20, 5, 30, 30, 30, 30, 30);</v>
      </c>
    </row>
    <row r="759" spans="1:10" x14ac:dyDescent="0.3">
      <c r="A759">
        <v>758</v>
      </c>
      <c r="B759">
        <v>20</v>
      </c>
      <c r="C759">
        <v>6</v>
      </c>
      <c r="D759">
        <f>IF('Boletins Nuppa Site'!F759&lt;&gt;0,'Boletins Nuppa Site'!F759,"NULL")</f>
        <v>30</v>
      </c>
      <c r="E759">
        <f>IF('Boletins Nuppa Site'!G759&lt;&gt;0,'Boletins Nuppa Site'!G759,"NULL")</f>
        <v>30</v>
      </c>
      <c r="F759">
        <f>IF('Boletins Nuppa Site'!H759&lt;&gt;0,'Boletins Nuppa Site'!H759,"NULL")</f>
        <v>30</v>
      </c>
      <c r="G759">
        <f>IF('Boletins Nuppa Site'!I759&lt;&gt;0,'Boletins Nuppa Site'!I759,"NULL")</f>
        <v>30</v>
      </c>
      <c r="H759">
        <f>IF('Boletins Nuppa Site'!J759&lt;&gt;0,'Boletins Nuppa Site'!J759,"NULL")</f>
        <v>30</v>
      </c>
      <c r="J759" t="str">
        <f t="shared" si="11"/>
        <v>INSERT INTO COTACAO (blt_id, pap_id, cot_prc_comum, cot_prc_min, cot_prc_max, cot_prc_med, cot_prc_mediana) VALUES (20, 6, 30, 30, 30, 30, 30);</v>
      </c>
    </row>
    <row r="760" spans="1:10" x14ac:dyDescent="0.3">
      <c r="A760">
        <v>759</v>
      </c>
      <c r="B760">
        <v>20</v>
      </c>
      <c r="C760">
        <v>7</v>
      </c>
      <c r="D760">
        <f>IF('Boletins Nuppa Site'!F760&lt;&gt;0,'Boletins Nuppa Site'!F760,"NULL")</f>
        <v>60</v>
      </c>
      <c r="E760">
        <f>IF('Boletins Nuppa Site'!G760&lt;&gt;0,'Boletins Nuppa Site'!G760,"NULL")</f>
        <v>60</v>
      </c>
      <c r="F760">
        <f>IF('Boletins Nuppa Site'!H760&lt;&gt;0,'Boletins Nuppa Site'!H760,"NULL")</f>
        <v>60</v>
      </c>
      <c r="G760">
        <f>IF('Boletins Nuppa Site'!I760&lt;&gt;0,'Boletins Nuppa Site'!I760,"NULL")</f>
        <v>60</v>
      </c>
      <c r="H760">
        <f>IF('Boletins Nuppa Site'!J760&lt;&gt;0,'Boletins Nuppa Site'!J760,"NULL")</f>
        <v>60</v>
      </c>
      <c r="J760" t="str">
        <f t="shared" si="11"/>
        <v>INSERT INTO COTACAO (blt_id, pap_id, cot_prc_comum, cot_prc_min, cot_prc_max, cot_prc_med, cot_prc_mediana) VALUES (20, 7, 60, 60, 60, 60, 60);</v>
      </c>
    </row>
    <row r="761" spans="1:10" x14ac:dyDescent="0.3">
      <c r="A761">
        <v>760</v>
      </c>
      <c r="B761">
        <v>20</v>
      </c>
      <c r="C761">
        <v>8</v>
      </c>
      <c r="D761">
        <f>IF('Boletins Nuppa Site'!F761&lt;&gt;0,'Boletins Nuppa Site'!F761,"NULL")</f>
        <v>96</v>
      </c>
      <c r="E761">
        <f>IF('Boletins Nuppa Site'!G761&lt;&gt;0,'Boletins Nuppa Site'!G761,"NULL")</f>
        <v>96</v>
      </c>
      <c r="F761">
        <f>IF('Boletins Nuppa Site'!H761&lt;&gt;0,'Boletins Nuppa Site'!H761,"NULL")</f>
        <v>96</v>
      </c>
      <c r="G761">
        <f>IF('Boletins Nuppa Site'!I761&lt;&gt;0,'Boletins Nuppa Site'!I761,"NULL")</f>
        <v>96</v>
      </c>
      <c r="H761">
        <f>IF('Boletins Nuppa Site'!J761&lt;&gt;0,'Boletins Nuppa Site'!J761,"NULL")</f>
        <v>96</v>
      </c>
      <c r="J761" t="str">
        <f t="shared" si="11"/>
        <v>INSERT INTO COTACAO (blt_id, pap_id, cot_prc_comum, cot_prc_min, cot_prc_max, cot_prc_med, cot_prc_mediana) VALUES (20, 8, 96, 96, 96, 96, 96);</v>
      </c>
    </row>
    <row r="762" spans="1:10" x14ac:dyDescent="0.3">
      <c r="A762">
        <v>761</v>
      </c>
      <c r="B762">
        <v>20</v>
      </c>
      <c r="C762">
        <v>9</v>
      </c>
      <c r="D762" t="str">
        <f>IF('Boletins Nuppa Site'!F762&lt;&gt;0,'Boletins Nuppa Site'!F762,"NULL")</f>
        <v>NULL</v>
      </c>
      <c r="E762">
        <f>IF('Boletins Nuppa Site'!G762&lt;&gt;0,'Boletins Nuppa Site'!G762,"NULL")</f>
        <v>80</v>
      </c>
      <c r="F762">
        <f>IF('Boletins Nuppa Site'!H762&lt;&gt;0,'Boletins Nuppa Site'!H762,"NULL")</f>
        <v>84</v>
      </c>
      <c r="G762">
        <f>IF('Boletins Nuppa Site'!I762&lt;&gt;0,'Boletins Nuppa Site'!I762,"NULL")</f>
        <v>82</v>
      </c>
      <c r="H762">
        <f>IF('Boletins Nuppa Site'!J762&lt;&gt;0,'Boletins Nuppa Site'!J762,"NULL")</f>
        <v>82</v>
      </c>
      <c r="J762" t="str">
        <f t="shared" si="11"/>
        <v>INSERT INTO COTACAO (blt_id, pap_id, cot_prc_comum, cot_prc_min, cot_prc_max, cot_prc_med, cot_prc_mediana) VALUES (20, 9, NULL, 80, 84, 82, 82);</v>
      </c>
    </row>
    <row r="763" spans="1:10" x14ac:dyDescent="0.3">
      <c r="A763">
        <v>762</v>
      </c>
      <c r="B763">
        <v>20</v>
      </c>
      <c r="C763">
        <v>10</v>
      </c>
      <c r="D763" t="str">
        <f>IF('Boletins Nuppa Site'!F763&lt;&gt;0,'Boletins Nuppa Site'!F763,"NULL")</f>
        <v>NULL</v>
      </c>
      <c r="E763">
        <f>IF('Boletins Nuppa Site'!G763&lt;&gt;0,'Boletins Nuppa Site'!G763,"NULL")</f>
        <v>25</v>
      </c>
      <c r="F763">
        <f>IF('Boletins Nuppa Site'!H763&lt;&gt;0,'Boletins Nuppa Site'!H763,"NULL")</f>
        <v>30</v>
      </c>
      <c r="G763" t="str">
        <f>IF('Boletins Nuppa Site'!I763&lt;&gt;0,'Boletins Nuppa Site'!I763,"NULL")</f>
        <v>27.5</v>
      </c>
      <c r="H763" t="str">
        <f>IF('Boletins Nuppa Site'!J763&lt;&gt;0,'Boletins Nuppa Site'!J763,"NULL")</f>
        <v>27.5</v>
      </c>
      <c r="J763" t="str">
        <f t="shared" si="11"/>
        <v>INSERT INTO COTACAO (blt_id, pap_id, cot_prc_comum, cot_prc_min, cot_prc_max, cot_prc_med, cot_prc_mediana) VALUES (20, 10, NULL, 25, 30, 27.5, 27.5);</v>
      </c>
    </row>
    <row r="764" spans="1:10" x14ac:dyDescent="0.3">
      <c r="A764">
        <v>763</v>
      </c>
      <c r="B764">
        <v>20</v>
      </c>
      <c r="C764">
        <v>11</v>
      </c>
      <c r="D764" t="str">
        <f>IF('Boletins Nuppa Site'!F764&lt;&gt;0,'Boletins Nuppa Site'!F764,"NULL")</f>
        <v>NULL</v>
      </c>
      <c r="E764">
        <f>IF('Boletins Nuppa Site'!G764&lt;&gt;0,'Boletins Nuppa Site'!G764,"NULL")</f>
        <v>100</v>
      </c>
      <c r="F764">
        <f>IF('Boletins Nuppa Site'!H764&lt;&gt;0,'Boletins Nuppa Site'!H764,"NULL")</f>
        <v>108</v>
      </c>
      <c r="G764">
        <f>IF('Boletins Nuppa Site'!I764&lt;&gt;0,'Boletins Nuppa Site'!I764,"NULL")</f>
        <v>104</v>
      </c>
      <c r="H764">
        <f>IF('Boletins Nuppa Site'!J764&lt;&gt;0,'Boletins Nuppa Site'!J764,"NULL")</f>
        <v>104</v>
      </c>
      <c r="J764" t="str">
        <f t="shared" si="11"/>
        <v>INSERT INTO COTACAO (blt_id, pap_id, cot_prc_comum, cot_prc_min, cot_prc_max, cot_prc_med, cot_prc_mediana) VALUES (20, 11, NULL, 100, 108, 104, 104);</v>
      </c>
    </row>
    <row r="765" spans="1:10" x14ac:dyDescent="0.3">
      <c r="A765">
        <v>764</v>
      </c>
      <c r="B765">
        <v>20</v>
      </c>
      <c r="C765">
        <v>12</v>
      </c>
      <c r="D765">
        <f>IF('Boletins Nuppa Site'!F765&lt;&gt;0,'Boletins Nuppa Site'!F765,"NULL")</f>
        <v>30</v>
      </c>
      <c r="E765">
        <f>IF('Boletins Nuppa Site'!G765&lt;&gt;0,'Boletins Nuppa Site'!G765,"NULL")</f>
        <v>30</v>
      </c>
      <c r="F765">
        <f>IF('Boletins Nuppa Site'!H765&lt;&gt;0,'Boletins Nuppa Site'!H765,"NULL")</f>
        <v>30</v>
      </c>
      <c r="G765">
        <f>IF('Boletins Nuppa Site'!I765&lt;&gt;0,'Boletins Nuppa Site'!I765,"NULL")</f>
        <v>30</v>
      </c>
      <c r="H765">
        <f>IF('Boletins Nuppa Site'!J765&lt;&gt;0,'Boletins Nuppa Site'!J765,"NULL")</f>
        <v>30</v>
      </c>
      <c r="J765" t="str">
        <f t="shared" si="11"/>
        <v>INSERT INTO COTACAO (blt_id, pap_id, cot_prc_comum, cot_prc_min, cot_prc_max, cot_prc_med, cot_prc_mediana) VALUES (20, 12, 30, 30, 30, 30, 30);</v>
      </c>
    </row>
    <row r="766" spans="1:10" x14ac:dyDescent="0.3">
      <c r="A766">
        <v>765</v>
      </c>
      <c r="B766">
        <v>20</v>
      </c>
      <c r="C766">
        <v>13</v>
      </c>
      <c r="D766">
        <f>IF('Boletins Nuppa Site'!F766&lt;&gt;0,'Boletins Nuppa Site'!F766,"NULL")</f>
        <v>72</v>
      </c>
      <c r="E766">
        <f>IF('Boletins Nuppa Site'!G766&lt;&gt;0,'Boletins Nuppa Site'!G766,"NULL")</f>
        <v>72</v>
      </c>
      <c r="F766">
        <f>IF('Boletins Nuppa Site'!H766&lt;&gt;0,'Boletins Nuppa Site'!H766,"NULL")</f>
        <v>72</v>
      </c>
      <c r="G766">
        <f>IF('Boletins Nuppa Site'!I766&lt;&gt;0,'Boletins Nuppa Site'!I766,"NULL")</f>
        <v>72</v>
      </c>
      <c r="H766">
        <f>IF('Boletins Nuppa Site'!J766&lt;&gt;0,'Boletins Nuppa Site'!J766,"NULL")</f>
        <v>72</v>
      </c>
      <c r="J766" t="str">
        <f t="shared" si="11"/>
        <v>INSERT INTO COTACAO (blt_id, pap_id, cot_prc_comum, cot_prc_min, cot_prc_max, cot_prc_med, cot_prc_mediana) VALUES (20, 13, 72, 72, 72, 72, 72);</v>
      </c>
    </row>
    <row r="767" spans="1:10" x14ac:dyDescent="0.3">
      <c r="A767">
        <v>766</v>
      </c>
      <c r="B767">
        <v>20</v>
      </c>
      <c r="C767">
        <v>14</v>
      </c>
      <c r="D767" t="str">
        <f>IF('Boletins Nuppa Site'!F767&lt;&gt;0,'Boletins Nuppa Site'!F767,"NULL")</f>
        <v>NULL</v>
      </c>
      <c r="E767">
        <f>IF('Boletins Nuppa Site'!G767&lt;&gt;0,'Boletins Nuppa Site'!G767,"NULL")</f>
        <v>60</v>
      </c>
      <c r="F767">
        <f>IF('Boletins Nuppa Site'!H767&lt;&gt;0,'Boletins Nuppa Site'!H767,"NULL")</f>
        <v>72</v>
      </c>
      <c r="G767">
        <f>IF('Boletins Nuppa Site'!I767&lt;&gt;0,'Boletins Nuppa Site'!I767,"NULL")</f>
        <v>66</v>
      </c>
      <c r="H767">
        <f>IF('Boletins Nuppa Site'!J767&lt;&gt;0,'Boletins Nuppa Site'!J767,"NULL")</f>
        <v>66</v>
      </c>
      <c r="J767" t="str">
        <f t="shared" si="11"/>
        <v>INSERT INTO COTACAO (blt_id, pap_id, cot_prc_comum, cot_prc_min, cot_prc_max, cot_prc_med, cot_prc_mediana) VALUES (20, 14, NULL, 60, 72, 66, 66);</v>
      </c>
    </row>
    <row r="768" spans="1:10" x14ac:dyDescent="0.3">
      <c r="A768">
        <v>767</v>
      </c>
      <c r="B768">
        <v>20</v>
      </c>
      <c r="C768">
        <v>15</v>
      </c>
      <c r="D768">
        <f>IF('Boletins Nuppa Site'!F768&lt;&gt;0,'Boletins Nuppa Site'!F768,"NULL")</f>
        <v>96</v>
      </c>
      <c r="E768">
        <f>IF('Boletins Nuppa Site'!G768&lt;&gt;0,'Boletins Nuppa Site'!G768,"NULL")</f>
        <v>60</v>
      </c>
      <c r="F768">
        <f>IF('Boletins Nuppa Site'!H768&lt;&gt;0,'Boletins Nuppa Site'!H768,"NULL")</f>
        <v>96</v>
      </c>
      <c r="G768">
        <f>IF('Boletins Nuppa Site'!I768&lt;&gt;0,'Boletins Nuppa Site'!I768,"NULL")</f>
        <v>84</v>
      </c>
      <c r="H768">
        <f>IF('Boletins Nuppa Site'!J768&lt;&gt;0,'Boletins Nuppa Site'!J768,"NULL")</f>
        <v>96</v>
      </c>
      <c r="J768" t="str">
        <f t="shared" si="11"/>
        <v>INSERT INTO COTACAO (blt_id, pap_id, cot_prc_comum, cot_prc_min, cot_prc_max, cot_prc_med, cot_prc_mediana) VALUES (20, 15, 96, 60, 96, 84, 96);</v>
      </c>
    </row>
    <row r="769" spans="1:10" x14ac:dyDescent="0.3">
      <c r="A769">
        <v>768</v>
      </c>
      <c r="B769">
        <v>20</v>
      </c>
      <c r="C769">
        <v>16</v>
      </c>
      <c r="D769" t="str">
        <f>IF('Boletins Nuppa Site'!F769&lt;&gt;0,'Boletins Nuppa Site'!F769,"NULL")</f>
        <v>NULL</v>
      </c>
      <c r="E769">
        <f>IF('Boletins Nuppa Site'!G769&lt;&gt;0,'Boletins Nuppa Site'!G769,"NULL")</f>
        <v>50</v>
      </c>
      <c r="F769">
        <f>IF('Boletins Nuppa Site'!H769&lt;&gt;0,'Boletins Nuppa Site'!H769,"NULL")</f>
        <v>65</v>
      </c>
      <c r="G769" t="str">
        <f>IF('Boletins Nuppa Site'!I769&lt;&gt;0,'Boletins Nuppa Site'!I769,"NULL")</f>
        <v>58.33</v>
      </c>
      <c r="H769">
        <f>IF('Boletins Nuppa Site'!J769&lt;&gt;0,'Boletins Nuppa Site'!J769,"NULL")</f>
        <v>60</v>
      </c>
      <c r="J769" t="str">
        <f t="shared" si="11"/>
        <v>INSERT INTO COTACAO (blt_id, pap_id, cot_prc_comum, cot_prc_min, cot_prc_max, cot_prc_med, cot_prc_mediana) VALUES (20, 16, NULL, 50, 65, 58.33, 60);</v>
      </c>
    </row>
    <row r="770" spans="1:10" x14ac:dyDescent="0.3">
      <c r="A770">
        <v>769</v>
      </c>
      <c r="B770">
        <v>20</v>
      </c>
      <c r="C770">
        <v>17</v>
      </c>
      <c r="D770">
        <f>IF('Boletins Nuppa Site'!F770&lt;&gt;0,'Boletins Nuppa Site'!F770,"NULL")</f>
        <v>5</v>
      </c>
      <c r="E770">
        <f>IF('Boletins Nuppa Site'!G770&lt;&gt;0,'Boletins Nuppa Site'!G770,"NULL")</f>
        <v>5</v>
      </c>
      <c r="F770">
        <f>IF('Boletins Nuppa Site'!H770&lt;&gt;0,'Boletins Nuppa Site'!H770,"NULL")</f>
        <v>5</v>
      </c>
      <c r="G770">
        <f>IF('Boletins Nuppa Site'!I770&lt;&gt;0,'Boletins Nuppa Site'!I770,"NULL")</f>
        <v>5</v>
      </c>
      <c r="H770">
        <f>IF('Boletins Nuppa Site'!J770&lt;&gt;0,'Boletins Nuppa Site'!J770,"NULL")</f>
        <v>5</v>
      </c>
      <c r="J770" t="str">
        <f t="shared" si="11"/>
        <v>INSERT INTO COTACAO (blt_id, pap_id, cot_prc_comum, cot_prc_min, cot_prc_max, cot_prc_med, cot_prc_mediana) VALUES (20, 17, 5, 5, 5, 5, 5);</v>
      </c>
    </row>
    <row r="771" spans="1:10" x14ac:dyDescent="0.3">
      <c r="A771">
        <v>770</v>
      </c>
      <c r="B771">
        <v>20</v>
      </c>
      <c r="C771">
        <v>18</v>
      </c>
      <c r="D771">
        <f>IF('Boletins Nuppa Site'!F771&lt;&gt;0,'Boletins Nuppa Site'!F771,"NULL")</f>
        <v>25</v>
      </c>
      <c r="E771">
        <f>IF('Boletins Nuppa Site'!G771&lt;&gt;0,'Boletins Nuppa Site'!G771,"NULL")</f>
        <v>25</v>
      </c>
      <c r="F771">
        <f>IF('Boletins Nuppa Site'!H771&lt;&gt;0,'Boletins Nuppa Site'!H771,"NULL")</f>
        <v>25</v>
      </c>
      <c r="G771">
        <f>IF('Boletins Nuppa Site'!I771&lt;&gt;0,'Boletins Nuppa Site'!I771,"NULL")</f>
        <v>25</v>
      </c>
      <c r="H771">
        <f>IF('Boletins Nuppa Site'!J771&lt;&gt;0,'Boletins Nuppa Site'!J771,"NULL")</f>
        <v>25</v>
      </c>
      <c r="J771" t="str">
        <f t="shared" ref="J771:J834" si="12">"INSERT INTO COTACAO (blt_id, pap_id, cot_prc_comum, cot_prc_min, cot_prc_max, cot_prc_med, cot_prc_mediana) VALUES ("&amp;B771&amp;", "&amp;C771&amp;", "&amp;D771&amp;", "&amp;E771&amp;", "&amp;F771&amp;", "&amp;G771&amp;", "&amp;H771&amp;");"</f>
        <v>INSERT INTO COTACAO (blt_id, pap_id, cot_prc_comum, cot_prc_min, cot_prc_max, cot_prc_med, cot_prc_mediana) VALUES (20, 18, 25, 25, 25, 25, 25);</v>
      </c>
    </row>
    <row r="772" spans="1:10" x14ac:dyDescent="0.3">
      <c r="A772">
        <v>771</v>
      </c>
      <c r="B772">
        <v>20</v>
      </c>
      <c r="C772">
        <v>19</v>
      </c>
      <c r="D772">
        <f>IF('Boletins Nuppa Site'!F772&lt;&gt;0,'Boletins Nuppa Site'!F772,"NULL")</f>
        <v>30</v>
      </c>
      <c r="E772">
        <f>IF('Boletins Nuppa Site'!G772&lt;&gt;0,'Boletins Nuppa Site'!G772,"NULL")</f>
        <v>30</v>
      </c>
      <c r="F772">
        <f>IF('Boletins Nuppa Site'!H772&lt;&gt;0,'Boletins Nuppa Site'!H772,"NULL")</f>
        <v>30</v>
      </c>
      <c r="G772">
        <f>IF('Boletins Nuppa Site'!I772&lt;&gt;0,'Boletins Nuppa Site'!I772,"NULL")</f>
        <v>30</v>
      </c>
      <c r="H772">
        <f>IF('Boletins Nuppa Site'!J772&lt;&gt;0,'Boletins Nuppa Site'!J772,"NULL")</f>
        <v>30</v>
      </c>
      <c r="J772" t="str">
        <f t="shared" si="12"/>
        <v>INSERT INTO COTACAO (blt_id, pap_id, cot_prc_comum, cot_prc_min, cot_prc_max, cot_prc_med, cot_prc_mediana) VALUES (20, 19, 30, 30, 30, 30, 30);</v>
      </c>
    </row>
    <row r="773" spans="1:10" x14ac:dyDescent="0.3">
      <c r="A773">
        <v>772</v>
      </c>
      <c r="B773">
        <v>20</v>
      </c>
      <c r="C773">
        <v>20</v>
      </c>
      <c r="D773" t="str">
        <f>IF('Boletins Nuppa Site'!F773&lt;&gt;0,'Boletins Nuppa Site'!F773,"NULL")</f>
        <v>NULL</v>
      </c>
      <c r="E773">
        <f>IF('Boletins Nuppa Site'!G773&lt;&gt;0,'Boletins Nuppa Site'!G773,"NULL")</f>
        <v>90</v>
      </c>
      <c r="F773">
        <f>IF('Boletins Nuppa Site'!H773&lt;&gt;0,'Boletins Nuppa Site'!H773,"NULL")</f>
        <v>110</v>
      </c>
      <c r="G773" t="str">
        <f>IF('Boletins Nuppa Site'!I773&lt;&gt;0,'Boletins Nuppa Site'!I773,"NULL")</f>
        <v>98.33</v>
      </c>
      <c r="H773">
        <f>IF('Boletins Nuppa Site'!J773&lt;&gt;0,'Boletins Nuppa Site'!J773,"NULL")</f>
        <v>95</v>
      </c>
      <c r="J773" t="str">
        <f t="shared" si="12"/>
        <v>INSERT INTO COTACAO (blt_id, pap_id, cot_prc_comum, cot_prc_min, cot_prc_max, cot_prc_med, cot_prc_mediana) VALUES (20, 20, NULL, 90, 110, 98.33, 95);</v>
      </c>
    </row>
    <row r="774" spans="1:10" x14ac:dyDescent="0.3">
      <c r="A774">
        <v>773</v>
      </c>
      <c r="B774">
        <v>20</v>
      </c>
      <c r="C774">
        <v>21</v>
      </c>
      <c r="D774">
        <f>IF('Boletins Nuppa Site'!F774&lt;&gt;0,'Boletins Nuppa Site'!F774,"NULL")</f>
        <v>90</v>
      </c>
      <c r="E774">
        <f>IF('Boletins Nuppa Site'!G774&lt;&gt;0,'Boletins Nuppa Site'!G774,"NULL")</f>
        <v>80</v>
      </c>
      <c r="F774">
        <f>IF('Boletins Nuppa Site'!H774&lt;&gt;0,'Boletins Nuppa Site'!H774,"NULL")</f>
        <v>100</v>
      </c>
      <c r="G774">
        <f>IF('Boletins Nuppa Site'!I774&lt;&gt;0,'Boletins Nuppa Site'!I774,"NULL")</f>
        <v>92</v>
      </c>
      <c r="H774">
        <f>IF('Boletins Nuppa Site'!J774&lt;&gt;0,'Boletins Nuppa Site'!J774,"NULL")</f>
        <v>90</v>
      </c>
      <c r="J774" t="str">
        <f t="shared" si="12"/>
        <v>INSERT INTO COTACAO (blt_id, pap_id, cot_prc_comum, cot_prc_min, cot_prc_max, cot_prc_med, cot_prc_mediana) VALUES (20, 21, 90, 80, 100, 92, 90);</v>
      </c>
    </row>
    <row r="775" spans="1:10" x14ac:dyDescent="0.3">
      <c r="A775">
        <v>774</v>
      </c>
      <c r="B775">
        <v>20</v>
      </c>
      <c r="C775">
        <v>22</v>
      </c>
      <c r="D775">
        <f>IF('Boletins Nuppa Site'!F775&lt;&gt;0,'Boletins Nuppa Site'!F775,"NULL")</f>
        <v>65</v>
      </c>
      <c r="E775">
        <f>IF('Boletins Nuppa Site'!G775&lt;&gt;0,'Boletins Nuppa Site'!G775,"NULL")</f>
        <v>48</v>
      </c>
      <c r="F775">
        <f>IF('Boletins Nuppa Site'!H775&lt;&gt;0,'Boletins Nuppa Site'!H775,"NULL")</f>
        <v>70</v>
      </c>
      <c r="G775">
        <f>IF('Boletins Nuppa Site'!I775&lt;&gt;0,'Boletins Nuppa Site'!I775,"NULL")</f>
        <v>63</v>
      </c>
      <c r="H775">
        <f>IF('Boletins Nuppa Site'!J775&lt;&gt;0,'Boletins Nuppa Site'!J775,"NULL")</f>
        <v>65</v>
      </c>
      <c r="J775" t="str">
        <f t="shared" si="12"/>
        <v>INSERT INTO COTACAO (blt_id, pap_id, cot_prc_comum, cot_prc_min, cot_prc_max, cot_prc_med, cot_prc_mediana) VALUES (20, 22, 65, 48, 70, 63, 65);</v>
      </c>
    </row>
    <row r="776" spans="1:10" x14ac:dyDescent="0.3">
      <c r="A776">
        <v>775</v>
      </c>
      <c r="B776">
        <v>20</v>
      </c>
      <c r="C776">
        <v>23</v>
      </c>
      <c r="D776">
        <f>IF('Boletins Nuppa Site'!F776&lt;&gt;0,'Boletins Nuppa Site'!F776,"NULL")</f>
        <v>40</v>
      </c>
      <c r="E776">
        <f>IF('Boletins Nuppa Site'!G776&lt;&gt;0,'Boletins Nuppa Site'!G776,"NULL")</f>
        <v>35</v>
      </c>
      <c r="F776">
        <f>IF('Boletins Nuppa Site'!H776&lt;&gt;0,'Boletins Nuppa Site'!H776,"NULL")</f>
        <v>60</v>
      </c>
      <c r="G776">
        <f>IF('Boletins Nuppa Site'!I776&lt;&gt;0,'Boletins Nuppa Site'!I776,"NULL")</f>
        <v>45</v>
      </c>
      <c r="H776" t="str">
        <f>IF('Boletins Nuppa Site'!J776&lt;&gt;0,'Boletins Nuppa Site'!J776,"NULL")</f>
        <v>42.5</v>
      </c>
      <c r="J776" t="str">
        <f t="shared" si="12"/>
        <v>INSERT INTO COTACAO (blt_id, pap_id, cot_prc_comum, cot_prc_min, cot_prc_max, cot_prc_med, cot_prc_mediana) VALUES (20, 23, 40, 35, 60, 45, 42.5);</v>
      </c>
    </row>
    <row r="777" spans="1:10" x14ac:dyDescent="0.3">
      <c r="A777">
        <v>776</v>
      </c>
      <c r="B777">
        <v>20</v>
      </c>
      <c r="C777">
        <v>24</v>
      </c>
      <c r="D777" t="str">
        <f>IF('Boletins Nuppa Site'!F777&lt;&gt;0,'Boletins Nuppa Site'!F777,"NULL")</f>
        <v>NULL</v>
      </c>
      <c r="E777">
        <f>IF('Boletins Nuppa Site'!G777&lt;&gt;0,'Boletins Nuppa Site'!G777,"NULL")</f>
        <v>100</v>
      </c>
      <c r="F777">
        <f>IF('Boletins Nuppa Site'!H777&lt;&gt;0,'Boletins Nuppa Site'!H777,"NULL")</f>
        <v>115</v>
      </c>
      <c r="G777" t="str">
        <f>IF('Boletins Nuppa Site'!I777&lt;&gt;0,'Boletins Nuppa Site'!I777,"NULL")</f>
        <v>108.33</v>
      </c>
      <c r="H777">
        <f>IF('Boletins Nuppa Site'!J777&lt;&gt;0,'Boletins Nuppa Site'!J777,"NULL")</f>
        <v>110</v>
      </c>
      <c r="J777" t="str">
        <f t="shared" si="12"/>
        <v>INSERT INTO COTACAO (blt_id, pap_id, cot_prc_comum, cot_prc_min, cot_prc_max, cot_prc_med, cot_prc_mediana) VALUES (20, 24, NULL, 100, 115, 108.33, 110);</v>
      </c>
    </row>
    <row r="778" spans="1:10" x14ac:dyDescent="0.3">
      <c r="A778">
        <v>777</v>
      </c>
      <c r="B778">
        <v>20</v>
      </c>
      <c r="C778">
        <v>25</v>
      </c>
      <c r="D778">
        <f>IF('Boletins Nuppa Site'!F778&lt;&gt;0,'Boletins Nuppa Site'!F778,"NULL")</f>
        <v>120</v>
      </c>
      <c r="E778">
        <f>IF('Boletins Nuppa Site'!G778&lt;&gt;0,'Boletins Nuppa Site'!G778,"NULL")</f>
        <v>100</v>
      </c>
      <c r="F778">
        <f>IF('Boletins Nuppa Site'!H778&lt;&gt;0,'Boletins Nuppa Site'!H778,"NULL")</f>
        <v>120</v>
      </c>
      <c r="G778">
        <f>IF('Boletins Nuppa Site'!I778&lt;&gt;0,'Boletins Nuppa Site'!I778,"NULL")</f>
        <v>110</v>
      </c>
      <c r="H778">
        <f>IF('Boletins Nuppa Site'!J778&lt;&gt;0,'Boletins Nuppa Site'!J778,"NULL")</f>
        <v>110</v>
      </c>
      <c r="J778" t="str">
        <f t="shared" si="12"/>
        <v>INSERT INTO COTACAO (blt_id, pap_id, cot_prc_comum, cot_prc_min, cot_prc_max, cot_prc_med, cot_prc_mediana) VALUES (20, 25, 120, 100, 120, 110, 110);</v>
      </c>
    </row>
    <row r="779" spans="1:10" x14ac:dyDescent="0.3">
      <c r="A779">
        <v>778</v>
      </c>
      <c r="B779">
        <v>20</v>
      </c>
      <c r="C779">
        <v>26</v>
      </c>
      <c r="D779" t="str">
        <f>IF('Boletins Nuppa Site'!F779&lt;&gt;0,'Boletins Nuppa Site'!F779,"NULL")</f>
        <v>NULL</v>
      </c>
      <c r="E779">
        <f>IF('Boletins Nuppa Site'!G779&lt;&gt;0,'Boletins Nuppa Site'!G779,"NULL")</f>
        <v>90</v>
      </c>
      <c r="F779">
        <f>IF('Boletins Nuppa Site'!H779&lt;&gt;0,'Boletins Nuppa Site'!H779,"NULL")</f>
        <v>145</v>
      </c>
      <c r="G779" t="str">
        <f>IF('Boletins Nuppa Site'!I779&lt;&gt;0,'Boletins Nuppa Site'!I779,"NULL")</f>
        <v>120.83</v>
      </c>
      <c r="H779">
        <f>IF('Boletins Nuppa Site'!J779&lt;&gt;0,'Boletins Nuppa Site'!J779,"NULL")</f>
        <v>125</v>
      </c>
      <c r="J779" t="str">
        <f t="shared" si="12"/>
        <v>INSERT INTO COTACAO (blt_id, pap_id, cot_prc_comum, cot_prc_min, cot_prc_max, cot_prc_med, cot_prc_mediana) VALUES (20, 26, NULL, 90, 145, 120.83, 125);</v>
      </c>
    </row>
    <row r="780" spans="1:10" x14ac:dyDescent="0.3">
      <c r="A780">
        <v>779</v>
      </c>
      <c r="B780">
        <v>20</v>
      </c>
      <c r="C780">
        <v>27</v>
      </c>
      <c r="D780">
        <f>IF('Boletins Nuppa Site'!F780&lt;&gt;0,'Boletins Nuppa Site'!F780,"NULL")</f>
        <v>80</v>
      </c>
      <c r="E780">
        <f>IF('Boletins Nuppa Site'!G780&lt;&gt;0,'Boletins Nuppa Site'!G780,"NULL")</f>
        <v>60</v>
      </c>
      <c r="F780">
        <f>IF('Boletins Nuppa Site'!H780&lt;&gt;0,'Boletins Nuppa Site'!H780,"NULL")</f>
        <v>80</v>
      </c>
      <c r="G780">
        <f>IF('Boletins Nuppa Site'!I780&lt;&gt;0,'Boletins Nuppa Site'!I780,"NULL")</f>
        <v>74</v>
      </c>
      <c r="H780">
        <f>IF('Boletins Nuppa Site'!J780&lt;&gt;0,'Boletins Nuppa Site'!J780,"NULL")</f>
        <v>75</v>
      </c>
      <c r="J780" t="str">
        <f t="shared" si="12"/>
        <v>INSERT INTO COTACAO (blt_id, pap_id, cot_prc_comum, cot_prc_min, cot_prc_max, cot_prc_med, cot_prc_mediana) VALUES (20, 27, 80, 60, 80, 74, 75);</v>
      </c>
    </row>
    <row r="781" spans="1:10" x14ac:dyDescent="0.3">
      <c r="A781">
        <v>780</v>
      </c>
      <c r="B781">
        <v>20</v>
      </c>
      <c r="C781">
        <v>28</v>
      </c>
      <c r="D781" t="str">
        <f>IF('Boletins Nuppa Site'!F781&lt;&gt;0,'Boletins Nuppa Site'!F781,"NULL")</f>
        <v>NULL</v>
      </c>
      <c r="E781">
        <f>IF('Boletins Nuppa Site'!G781&lt;&gt;0,'Boletins Nuppa Site'!G781,"NULL")</f>
        <v>90</v>
      </c>
      <c r="F781">
        <f>IF('Boletins Nuppa Site'!H781&lt;&gt;0,'Boletins Nuppa Site'!H781,"NULL")</f>
        <v>130</v>
      </c>
      <c r="G781">
        <f>IF('Boletins Nuppa Site'!I781&lt;&gt;0,'Boletins Nuppa Site'!I781,"NULL")</f>
        <v>110</v>
      </c>
      <c r="H781">
        <f>IF('Boletins Nuppa Site'!J781&lt;&gt;0,'Boletins Nuppa Site'!J781,"NULL")</f>
        <v>110</v>
      </c>
      <c r="J781" t="str">
        <f t="shared" si="12"/>
        <v>INSERT INTO COTACAO (blt_id, pap_id, cot_prc_comum, cot_prc_min, cot_prc_max, cot_prc_med, cot_prc_mediana) VALUES (20, 28, NULL, 90, 130, 110, 110);</v>
      </c>
    </row>
    <row r="782" spans="1:10" x14ac:dyDescent="0.3">
      <c r="A782">
        <v>781</v>
      </c>
      <c r="B782">
        <v>20</v>
      </c>
      <c r="C782">
        <v>29</v>
      </c>
      <c r="D782">
        <f>IF('Boletins Nuppa Site'!F782&lt;&gt;0,'Boletins Nuppa Site'!F782,"NULL")</f>
        <v>70</v>
      </c>
      <c r="E782">
        <f>IF('Boletins Nuppa Site'!G782&lt;&gt;0,'Boletins Nuppa Site'!G782,"NULL")</f>
        <v>35</v>
      </c>
      <c r="F782">
        <f>IF('Boletins Nuppa Site'!H782&lt;&gt;0,'Boletins Nuppa Site'!H782,"NULL")</f>
        <v>70</v>
      </c>
      <c r="G782" t="str">
        <f>IF('Boletins Nuppa Site'!I782&lt;&gt;0,'Boletins Nuppa Site'!I782,"NULL")</f>
        <v>53.75</v>
      </c>
      <c r="H782">
        <f>IF('Boletins Nuppa Site'!J782&lt;&gt;0,'Boletins Nuppa Site'!J782,"NULL")</f>
        <v>55</v>
      </c>
      <c r="J782" t="str">
        <f t="shared" si="12"/>
        <v>INSERT INTO COTACAO (blt_id, pap_id, cot_prc_comum, cot_prc_min, cot_prc_max, cot_prc_med, cot_prc_mediana) VALUES (20, 29, 70, 35, 70, 53.75, 55);</v>
      </c>
    </row>
    <row r="783" spans="1:10" x14ac:dyDescent="0.3">
      <c r="A783">
        <v>782</v>
      </c>
      <c r="B783">
        <v>20</v>
      </c>
      <c r="C783">
        <v>30</v>
      </c>
      <c r="D783" t="str">
        <f>IF('Boletins Nuppa Site'!F783&lt;&gt;0,'Boletins Nuppa Site'!F783,"NULL")</f>
        <v>NULL</v>
      </c>
      <c r="E783">
        <f>IF('Boletins Nuppa Site'!G783&lt;&gt;0,'Boletins Nuppa Site'!G783,"NULL")</f>
        <v>70</v>
      </c>
      <c r="F783">
        <f>IF('Boletins Nuppa Site'!H783&lt;&gt;0,'Boletins Nuppa Site'!H783,"NULL")</f>
        <v>90</v>
      </c>
      <c r="G783" t="str">
        <f>IF('Boletins Nuppa Site'!I783&lt;&gt;0,'Boletins Nuppa Site'!I783,"NULL")</f>
        <v>78.33</v>
      </c>
      <c r="H783">
        <f>IF('Boletins Nuppa Site'!J783&lt;&gt;0,'Boletins Nuppa Site'!J783,"NULL")</f>
        <v>75</v>
      </c>
      <c r="J783" t="str">
        <f t="shared" si="12"/>
        <v>INSERT INTO COTACAO (blt_id, pap_id, cot_prc_comum, cot_prc_min, cot_prc_max, cot_prc_med, cot_prc_mediana) VALUES (20, 30, NULL, 70, 90, 78.33, 75);</v>
      </c>
    </row>
    <row r="784" spans="1:10" x14ac:dyDescent="0.3">
      <c r="A784">
        <v>783</v>
      </c>
      <c r="B784">
        <v>20</v>
      </c>
      <c r="C784">
        <v>31</v>
      </c>
      <c r="D784">
        <f>IF('Boletins Nuppa Site'!F784&lt;&gt;0,'Boletins Nuppa Site'!F784,"NULL")</f>
        <v>110</v>
      </c>
      <c r="E784">
        <f>IF('Boletins Nuppa Site'!G784&lt;&gt;0,'Boletins Nuppa Site'!G784,"NULL")</f>
        <v>90</v>
      </c>
      <c r="F784">
        <f>IF('Boletins Nuppa Site'!H784&lt;&gt;0,'Boletins Nuppa Site'!H784,"NULL")</f>
        <v>130</v>
      </c>
      <c r="G784" t="str">
        <f>IF('Boletins Nuppa Site'!I784&lt;&gt;0,'Boletins Nuppa Site'!I784,"NULL")</f>
        <v>106.67</v>
      </c>
      <c r="H784">
        <f>IF('Boletins Nuppa Site'!J784&lt;&gt;0,'Boletins Nuppa Site'!J784,"NULL")</f>
        <v>105</v>
      </c>
      <c r="J784" t="str">
        <f t="shared" si="12"/>
        <v>INSERT INTO COTACAO (blt_id, pap_id, cot_prc_comum, cot_prc_min, cot_prc_max, cot_prc_med, cot_prc_mediana) VALUES (20, 31, 110, 90, 130, 106.67, 105);</v>
      </c>
    </row>
    <row r="785" spans="1:10" x14ac:dyDescent="0.3">
      <c r="A785">
        <v>784</v>
      </c>
      <c r="B785">
        <v>20</v>
      </c>
      <c r="C785">
        <v>32</v>
      </c>
      <c r="D785">
        <f>IF('Boletins Nuppa Site'!F785&lt;&gt;0,'Boletins Nuppa Site'!F785,"NULL")</f>
        <v>60</v>
      </c>
      <c r="E785">
        <f>IF('Boletins Nuppa Site'!G785&lt;&gt;0,'Boletins Nuppa Site'!G785,"NULL")</f>
        <v>45</v>
      </c>
      <c r="F785">
        <f>IF('Boletins Nuppa Site'!H785&lt;&gt;0,'Boletins Nuppa Site'!H785,"NULL")</f>
        <v>60</v>
      </c>
      <c r="G785">
        <f>IF('Boletins Nuppa Site'!I785&lt;&gt;0,'Boletins Nuppa Site'!I785,"NULL")</f>
        <v>54</v>
      </c>
      <c r="H785">
        <f>IF('Boletins Nuppa Site'!J785&lt;&gt;0,'Boletins Nuppa Site'!J785,"NULL")</f>
        <v>55</v>
      </c>
      <c r="J785" t="str">
        <f t="shared" si="12"/>
        <v>INSERT INTO COTACAO (blt_id, pap_id, cot_prc_comum, cot_prc_min, cot_prc_max, cot_prc_med, cot_prc_mediana) VALUES (20, 32, 60, 45, 60, 54, 55);</v>
      </c>
    </row>
    <row r="786" spans="1:10" x14ac:dyDescent="0.3">
      <c r="A786">
        <v>785</v>
      </c>
      <c r="B786">
        <v>20</v>
      </c>
      <c r="C786">
        <v>33</v>
      </c>
      <c r="D786">
        <f>IF('Boletins Nuppa Site'!F786&lt;&gt;0,'Boletins Nuppa Site'!F786,"NULL")</f>
        <v>200</v>
      </c>
      <c r="E786">
        <f>IF('Boletins Nuppa Site'!G786&lt;&gt;0,'Boletins Nuppa Site'!G786,"NULL")</f>
        <v>100</v>
      </c>
      <c r="F786">
        <f>IF('Boletins Nuppa Site'!H786&lt;&gt;0,'Boletins Nuppa Site'!H786,"NULL")</f>
        <v>200</v>
      </c>
      <c r="G786">
        <f>IF('Boletins Nuppa Site'!I786&lt;&gt;0,'Boletins Nuppa Site'!I786,"NULL")</f>
        <v>160</v>
      </c>
      <c r="H786">
        <f>IF('Boletins Nuppa Site'!J786&lt;&gt;0,'Boletins Nuppa Site'!J786,"NULL")</f>
        <v>160</v>
      </c>
      <c r="J786" t="str">
        <f t="shared" si="12"/>
        <v>INSERT INTO COTACAO (blt_id, pap_id, cot_prc_comum, cot_prc_min, cot_prc_max, cot_prc_med, cot_prc_mediana) VALUES (20, 33, 200, 100, 200, 160, 160);</v>
      </c>
    </row>
    <row r="787" spans="1:10" x14ac:dyDescent="0.3">
      <c r="A787">
        <v>786</v>
      </c>
      <c r="B787">
        <v>20</v>
      </c>
      <c r="C787">
        <v>34</v>
      </c>
      <c r="D787">
        <f>IF('Boletins Nuppa Site'!F787&lt;&gt;0,'Boletins Nuppa Site'!F787,"NULL")</f>
        <v>180</v>
      </c>
      <c r="E787">
        <f>IF('Boletins Nuppa Site'!G787&lt;&gt;0,'Boletins Nuppa Site'!G787,"NULL")</f>
        <v>120</v>
      </c>
      <c r="F787">
        <f>IF('Boletins Nuppa Site'!H787&lt;&gt;0,'Boletins Nuppa Site'!H787,"NULL")</f>
        <v>180</v>
      </c>
      <c r="G787">
        <f>IF('Boletins Nuppa Site'!I787&lt;&gt;0,'Boletins Nuppa Site'!I787,"NULL")</f>
        <v>158</v>
      </c>
      <c r="H787">
        <f>IF('Boletins Nuppa Site'!J787&lt;&gt;0,'Boletins Nuppa Site'!J787,"NULL")</f>
        <v>160</v>
      </c>
      <c r="J787" t="str">
        <f t="shared" si="12"/>
        <v>INSERT INTO COTACAO (blt_id, pap_id, cot_prc_comum, cot_prc_min, cot_prc_max, cot_prc_med, cot_prc_mediana) VALUES (20, 34, 180, 120, 180, 158, 160);</v>
      </c>
    </row>
    <row r="788" spans="1:10" x14ac:dyDescent="0.3">
      <c r="A788">
        <v>787</v>
      </c>
      <c r="B788">
        <v>20</v>
      </c>
      <c r="C788">
        <v>35</v>
      </c>
      <c r="D788" t="str">
        <f>IF('Boletins Nuppa Site'!F788&lt;&gt;0,'Boletins Nuppa Site'!F788,"NULL")</f>
        <v>NULL</v>
      </c>
      <c r="E788">
        <f>IF('Boletins Nuppa Site'!G788&lt;&gt;0,'Boletins Nuppa Site'!G788,"NULL")</f>
        <v>200</v>
      </c>
      <c r="F788">
        <f>IF('Boletins Nuppa Site'!H788&lt;&gt;0,'Boletins Nuppa Site'!H788,"NULL")</f>
        <v>250</v>
      </c>
      <c r="G788" t="str">
        <f>IF('Boletins Nuppa Site'!I788&lt;&gt;0,'Boletins Nuppa Site'!I788,"NULL")</f>
        <v>223.33</v>
      </c>
      <c r="H788">
        <f>IF('Boletins Nuppa Site'!J788&lt;&gt;0,'Boletins Nuppa Site'!J788,"NULL")</f>
        <v>220</v>
      </c>
      <c r="J788" t="str">
        <f t="shared" si="12"/>
        <v>INSERT INTO COTACAO (blt_id, pap_id, cot_prc_comum, cot_prc_min, cot_prc_max, cot_prc_med, cot_prc_mediana) VALUES (20, 35, NULL, 200, 250, 223.33, 220);</v>
      </c>
    </row>
    <row r="789" spans="1:10" x14ac:dyDescent="0.3">
      <c r="A789">
        <v>788</v>
      </c>
      <c r="B789">
        <v>20</v>
      </c>
      <c r="C789">
        <v>36</v>
      </c>
      <c r="D789" t="str">
        <f>IF('Boletins Nuppa Site'!F789&lt;&gt;0,'Boletins Nuppa Site'!F789,"NULL")</f>
        <v>NULL</v>
      </c>
      <c r="E789">
        <f>IF('Boletins Nuppa Site'!G789&lt;&gt;0,'Boletins Nuppa Site'!G789,"NULL")</f>
        <v>110</v>
      </c>
      <c r="F789">
        <f>IF('Boletins Nuppa Site'!H789&lt;&gt;0,'Boletins Nuppa Site'!H789,"NULL")</f>
        <v>110</v>
      </c>
      <c r="G789">
        <f>IF('Boletins Nuppa Site'!I789&lt;&gt;0,'Boletins Nuppa Site'!I789,"NULL")</f>
        <v>110</v>
      </c>
      <c r="H789">
        <f>IF('Boletins Nuppa Site'!J789&lt;&gt;0,'Boletins Nuppa Site'!J789,"NULL")</f>
        <v>110</v>
      </c>
      <c r="J789" t="str">
        <f t="shared" si="12"/>
        <v>INSERT INTO COTACAO (blt_id, pap_id, cot_prc_comum, cot_prc_min, cot_prc_max, cot_prc_med, cot_prc_mediana) VALUES (20, 36, NULL, 110, 110, 110, 110);</v>
      </c>
    </row>
    <row r="790" spans="1:10" x14ac:dyDescent="0.3">
      <c r="A790">
        <v>789</v>
      </c>
      <c r="B790">
        <v>20</v>
      </c>
      <c r="C790">
        <v>37</v>
      </c>
      <c r="D790" t="str">
        <f>IF('Boletins Nuppa Site'!F790&lt;&gt;0,'Boletins Nuppa Site'!F790,"NULL")</f>
        <v>NULL</v>
      </c>
      <c r="E790">
        <f>IF('Boletins Nuppa Site'!G790&lt;&gt;0,'Boletins Nuppa Site'!G790,"NULL")</f>
        <v>110</v>
      </c>
      <c r="F790">
        <f>IF('Boletins Nuppa Site'!H790&lt;&gt;0,'Boletins Nuppa Site'!H790,"NULL")</f>
        <v>110</v>
      </c>
      <c r="G790">
        <f>IF('Boletins Nuppa Site'!I790&lt;&gt;0,'Boletins Nuppa Site'!I790,"NULL")</f>
        <v>110</v>
      </c>
      <c r="H790">
        <f>IF('Boletins Nuppa Site'!J790&lt;&gt;0,'Boletins Nuppa Site'!J790,"NULL")</f>
        <v>110</v>
      </c>
      <c r="J790" t="str">
        <f t="shared" si="12"/>
        <v>INSERT INTO COTACAO (blt_id, pap_id, cot_prc_comum, cot_prc_min, cot_prc_max, cot_prc_med, cot_prc_mediana) VALUES (20, 37, NULL, 110, 110, 110, 110);</v>
      </c>
    </row>
    <row r="791" spans="1:10" x14ac:dyDescent="0.3">
      <c r="A791">
        <v>790</v>
      </c>
      <c r="B791">
        <v>20</v>
      </c>
      <c r="C791">
        <v>38</v>
      </c>
      <c r="D791" t="str">
        <f>IF('Boletins Nuppa Site'!F791&lt;&gt;0,'Boletins Nuppa Site'!F791,"NULL")</f>
        <v>NULL</v>
      </c>
      <c r="E791" t="str">
        <f>IF('Boletins Nuppa Site'!G791&lt;&gt;0,'Boletins Nuppa Site'!G791,"NULL")</f>
        <v>NULL</v>
      </c>
      <c r="F791" t="str">
        <f>IF('Boletins Nuppa Site'!H791&lt;&gt;0,'Boletins Nuppa Site'!H791,"NULL")</f>
        <v>NULL</v>
      </c>
      <c r="G791" t="str">
        <f>IF('Boletins Nuppa Site'!I791&lt;&gt;0,'Boletins Nuppa Site'!I791,"NULL")</f>
        <v>NULL</v>
      </c>
      <c r="H791" t="str">
        <f>IF('Boletins Nuppa Site'!J791&lt;&gt;0,'Boletins Nuppa Site'!J791,"NULL")</f>
        <v>NULL</v>
      </c>
      <c r="J791" t="str">
        <f t="shared" si="12"/>
        <v>INSERT INTO COTACAO (blt_id, pap_id, cot_prc_comum, cot_prc_min, cot_prc_max, cot_prc_med, cot_prc_mediana) VALUES (20, 38, NULL, NULL, NULL, NULL, NULL);</v>
      </c>
    </row>
    <row r="792" spans="1:10" x14ac:dyDescent="0.3">
      <c r="A792">
        <v>791</v>
      </c>
      <c r="B792">
        <v>20</v>
      </c>
      <c r="C792">
        <v>39</v>
      </c>
      <c r="D792" t="str">
        <f>IF('Boletins Nuppa Site'!F792&lt;&gt;0,'Boletins Nuppa Site'!F792,"NULL")</f>
        <v>NULL</v>
      </c>
      <c r="E792">
        <f>IF('Boletins Nuppa Site'!G792&lt;&gt;0,'Boletins Nuppa Site'!G792,"NULL")</f>
        <v>48</v>
      </c>
      <c r="F792">
        <f>IF('Boletins Nuppa Site'!H792&lt;&gt;0,'Boletins Nuppa Site'!H792,"NULL")</f>
        <v>48</v>
      </c>
      <c r="G792">
        <f>IF('Boletins Nuppa Site'!I792&lt;&gt;0,'Boletins Nuppa Site'!I792,"NULL")</f>
        <v>48</v>
      </c>
      <c r="H792">
        <f>IF('Boletins Nuppa Site'!J792&lt;&gt;0,'Boletins Nuppa Site'!J792,"NULL")</f>
        <v>48</v>
      </c>
      <c r="J792" t="str">
        <f t="shared" si="12"/>
        <v>INSERT INTO COTACAO (blt_id, pap_id, cot_prc_comum, cot_prc_min, cot_prc_max, cot_prc_med, cot_prc_mediana) VALUES (20, 39, NULL, 48, 48, 48, 48);</v>
      </c>
    </row>
    <row r="793" spans="1:10" x14ac:dyDescent="0.3">
      <c r="A793">
        <v>792</v>
      </c>
      <c r="B793">
        <v>20</v>
      </c>
      <c r="C793">
        <v>40</v>
      </c>
      <c r="D793" t="str">
        <f>IF('Boletins Nuppa Site'!F793&lt;&gt;0,'Boletins Nuppa Site'!F793,"NULL")</f>
        <v>NULL</v>
      </c>
      <c r="E793">
        <f>IF('Boletins Nuppa Site'!G793&lt;&gt;0,'Boletins Nuppa Site'!G793,"NULL")</f>
        <v>65</v>
      </c>
      <c r="F793">
        <f>IF('Boletins Nuppa Site'!H793&lt;&gt;0,'Boletins Nuppa Site'!H793,"NULL")</f>
        <v>65</v>
      </c>
      <c r="G793">
        <f>IF('Boletins Nuppa Site'!I793&lt;&gt;0,'Boletins Nuppa Site'!I793,"NULL")</f>
        <v>65</v>
      </c>
      <c r="H793">
        <f>IF('Boletins Nuppa Site'!J793&lt;&gt;0,'Boletins Nuppa Site'!J793,"NULL")</f>
        <v>65</v>
      </c>
      <c r="J793" t="str">
        <f t="shared" si="12"/>
        <v>INSERT INTO COTACAO (blt_id, pap_id, cot_prc_comum, cot_prc_min, cot_prc_max, cot_prc_med, cot_prc_mediana) VALUES (20, 40, NULL, 65, 65, 65, 65);</v>
      </c>
    </row>
    <row r="794" spans="1:10" x14ac:dyDescent="0.3">
      <c r="A794">
        <v>793</v>
      </c>
      <c r="B794">
        <v>21</v>
      </c>
      <c r="C794">
        <v>1</v>
      </c>
      <c r="D794" t="str">
        <f>IF('Boletins Nuppa Site'!F794&lt;&gt;0,'Boletins Nuppa Site'!F794,"NULL")</f>
        <v>NULL</v>
      </c>
      <c r="E794">
        <f>IF('Boletins Nuppa Site'!G794&lt;&gt;0,'Boletins Nuppa Site'!G794,"NULL")</f>
        <v>48</v>
      </c>
      <c r="F794">
        <f>IF('Boletins Nuppa Site'!H794&lt;&gt;0,'Boletins Nuppa Site'!H794,"NULL")</f>
        <v>60</v>
      </c>
      <c r="G794">
        <f>IF('Boletins Nuppa Site'!I794&lt;&gt;0,'Boletins Nuppa Site'!I794,"NULL")</f>
        <v>54</v>
      </c>
      <c r="H794">
        <f>IF('Boletins Nuppa Site'!J794&lt;&gt;0,'Boletins Nuppa Site'!J794,"NULL")</f>
        <v>54</v>
      </c>
      <c r="J794" t="str">
        <f t="shared" si="12"/>
        <v>INSERT INTO COTACAO (blt_id, pap_id, cot_prc_comum, cot_prc_min, cot_prc_max, cot_prc_med, cot_prc_mediana) VALUES (21, 1, NULL, 48, 60, 54, 54);</v>
      </c>
    </row>
    <row r="795" spans="1:10" x14ac:dyDescent="0.3">
      <c r="A795">
        <v>794</v>
      </c>
      <c r="B795">
        <v>21</v>
      </c>
      <c r="C795">
        <v>2</v>
      </c>
      <c r="D795">
        <f>IF('Boletins Nuppa Site'!F795&lt;&gt;0,'Boletins Nuppa Site'!F795,"NULL")</f>
        <v>84</v>
      </c>
      <c r="E795">
        <f>IF('Boletins Nuppa Site'!G795&lt;&gt;0,'Boletins Nuppa Site'!G795,"NULL")</f>
        <v>84</v>
      </c>
      <c r="F795">
        <f>IF('Boletins Nuppa Site'!H795&lt;&gt;0,'Boletins Nuppa Site'!H795,"NULL")</f>
        <v>84</v>
      </c>
      <c r="G795">
        <f>IF('Boletins Nuppa Site'!I795&lt;&gt;0,'Boletins Nuppa Site'!I795,"NULL")</f>
        <v>84</v>
      </c>
      <c r="H795">
        <f>IF('Boletins Nuppa Site'!J795&lt;&gt;0,'Boletins Nuppa Site'!J795,"NULL")</f>
        <v>84</v>
      </c>
      <c r="J795" t="str">
        <f t="shared" si="12"/>
        <v>INSERT INTO COTACAO (blt_id, pap_id, cot_prc_comum, cot_prc_min, cot_prc_max, cot_prc_med, cot_prc_mediana) VALUES (21, 2, 84, 84, 84, 84, 84);</v>
      </c>
    </row>
    <row r="796" spans="1:10" x14ac:dyDescent="0.3">
      <c r="A796">
        <v>795</v>
      </c>
      <c r="B796">
        <v>21</v>
      </c>
      <c r="C796">
        <v>3</v>
      </c>
      <c r="D796" t="str">
        <f>IF('Boletins Nuppa Site'!F796&lt;&gt;0,'Boletins Nuppa Site'!F796,"NULL")</f>
        <v>NULL</v>
      </c>
      <c r="E796">
        <f>IF('Boletins Nuppa Site'!G796&lt;&gt;0,'Boletins Nuppa Site'!G796,"NULL")</f>
        <v>36</v>
      </c>
      <c r="F796">
        <f>IF('Boletins Nuppa Site'!H796&lt;&gt;0,'Boletins Nuppa Site'!H796,"NULL")</f>
        <v>42</v>
      </c>
      <c r="G796">
        <f>IF('Boletins Nuppa Site'!I796&lt;&gt;0,'Boletins Nuppa Site'!I796,"NULL")</f>
        <v>39</v>
      </c>
      <c r="H796">
        <f>IF('Boletins Nuppa Site'!J796&lt;&gt;0,'Boletins Nuppa Site'!J796,"NULL")</f>
        <v>39</v>
      </c>
      <c r="J796" t="str">
        <f t="shared" si="12"/>
        <v>INSERT INTO COTACAO (blt_id, pap_id, cot_prc_comum, cot_prc_min, cot_prc_max, cot_prc_med, cot_prc_mediana) VALUES (21, 3, NULL, 36, 42, 39, 39);</v>
      </c>
    </row>
    <row r="797" spans="1:10" x14ac:dyDescent="0.3">
      <c r="A797">
        <v>796</v>
      </c>
      <c r="B797">
        <v>21</v>
      </c>
      <c r="C797">
        <v>4</v>
      </c>
      <c r="D797" t="str">
        <f>IF('Boletins Nuppa Site'!F797&lt;&gt;0,'Boletins Nuppa Site'!F797,"NULL")</f>
        <v>NULL</v>
      </c>
      <c r="E797">
        <f>IF('Boletins Nuppa Site'!G797&lt;&gt;0,'Boletins Nuppa Site'!G797,"NULL")</f>
        <v>20</v>
      </c>
      <c r="F797">
        <f>IF('Boletins Nuppa Site'!H797&lt;&gt;0,'Boletins Nuppa Site'!H797,"NULL")</f>
        <v>24</v>
      </c>
      <c r="G797">
        <f>IF('Boletins Nuppa Site'!I797&lt;&gt;0,'Boletins Nuppa Site'!I797,"NULL")</f>
        <v>22</v>
      </c>
      <c r="H797">
        <f>IF('Boletins Nuppa Site'!J797&lt;&gt;0,'Boletins Nuppa Site'!J797,"NULL")</f>
        <v>22</v>
      </c>
      <c r="J797" t="str">
        <f t="shared" si="12"/>
        <v>INSERT INTO COTACAO (blt_id, pap_id, cot_prc_comum, cot_prc_min, cot_prc_max, cot_prc_med, cot_prc_mediana) VALUES (21, 4, NULL, 20, 24, 22, 22);</v>
      </c>
    </row>
    <row r="798" spans="1:10" x14ac:dyDescent="0.3">
      <c r="A798">
        <v>797</v>
      </c>
      <c r="B798">
        <v>21</v>
      </c>
      <c r="C798">
        <v>5</v>
      </c>
      <c r="D798" t="str">
        <f>IF('Boletins Nuppa Site'!F798&lt;&gt;0,'Boletins Nuppa Site'!F798,"NULL")</f>
        <v>NULL</v>
      </c>
      <c r="E798">
        <f>IF('Boletins Nuppa Site'!G798&lt;&gt;0,'Boletins Nuppa Site'!G798,"NULL")</f>
        <v>20</v>
      </c>
      <c r="F798">
        <f>IF('Boletins Nuppa Site'!H798&lt;&gt;0,'Boletins Nuppa Site'!H798,"NULL")</f>
        <v>24</v>
      </c>
      <c r="G798">
        <f>IF('Boletins Nuppa Site'!I798&lt;&gt;0,'Boletins Nuppa Site'!I798,"NULL")</f>
        <v>22</v>
      </c>
      <c r="H798">
        <f>IF('Boletins Nuppa Site'!J798&lt;&gt;0,'Boletins Nuppa Site'!J798,"NULL")</f>
        <v>22</v>
      </c>
      <c r="J798" t="str">
        <f t="shared" si="12"/>
        <v>INSERT INTO COTACAO (blt_id, pap_id, cot_prc_comum, cot_prc_min, cot_prc_max, cot_prc_med, cot_prc_mediana) VALUES (21, 5, NULL, 20, 24, 22, 22);</v>
      </c>
    </row>
    <row r="799" spans="1:10" x14ac:dyDescent="0.3">
      <c r="A799">
        <v>798</v>
      </c>
      <c r="B799">
        <v>21</v>
      </c>
      <c r="C799">
        <v>6</v>
      </c>
      <c r="D799">
        <f>IF('Boletins Nuppa Site'!F799&lt;&gt;0,'Boletins Nuppa Site'!F799,"NULL")</f>
        <v>60</v>
      </c>
      <c r="E799">
        <f>IF('Boletins Nuppa Site'!G799&lt;&gt;0,'Boletins Nuppa Site'!G799,"NULL")</f>
        <v>60</v>
      </c>
      <c r="F799">
        <f>IF('Boletins Nuppa Site'!H799&lt;&gt;0,'Boletins Nuppa Site'!H799,"NULL")</f>
        <v>60</v>
      </c>
      <c r="G799">
        <f>IF('Boletins Nuppa Site'!I799&lt;&gt;0,'Boletins Nuppa Site'!I799,"NULL")</f>
        <v>60</v>
      </c>
      <c r="H799">
        <f>IF('Boletins Nuppa Site'!J799&lt;&gt;0,'Boletins Nuppa Site'!J799,"NULL")</f>
        <v>60</v>
      </c>
      <c r="J799" t="str">
        <f t="shared" si="12"/>
        <v>INSERT INTO COTACAO (blt_id, pap_id, cot_prc_comum, cot_prc_min, cot_prc_max, cot_prc_med, cot_prc_mediana) VALUES (21, 6, 60, 60, 60, 60, 60);</v>
      </c>
    </row>
    <row r="800" spans="1:10" x14ac:dyDescent="0.3">
      <c r="A800">
        <v>799</v>
      </c>
      <c r="B800">
        <v>21</v>
      </c>
      <c r="C800">
        <v>7</v>
      </c>
      <c r="D800" t="str">
        <f>IF('Boletins Nuppa Site'!F800&lt;&gt;0,'Boletins Nuppa Site'!F800,"NULL")</f>
        <v>NULL</v>
      </c>
      <c r="E800">
        <f>IF('Boletins Nuppa Site'!G800&lt;&gt;0,'Boletins Nuppa Site'!G800,"NULL")</f>
        <v>90</v>
      </c>
      <c r="F800">
        <f>IF('Boletins Nuppa Site'!H800&lt;&gt;0,'Boletins Nuppa Site'!H800,"NULL")</f>
        <v>96</v>
      </c>
      <c r="G800">
        <f>IF('Boletins Nuppa Site'!I800&lt;&gt;0,'Boletins Nuppa Site'!I800,"NULL")</f>
        <v>93</v>
      </c>
      <c r="H800">
        <f>IF('Boletins Nuppa Site'!J800&lt;&gt;0,'Boletins Nuppa Site'!J800,"NULL")</f>
        <v>93</v>
      </c>
      <c r="J800" t="str">
        <f t="shared" si="12"/>
        <v>INSERT INTO COTACAO (blt_id, pap_id, cot_prc_comum, cot_prc_min, cot_prc_max, cot_prc_med, cot_prc_mediana) VALUES (21, 7, NULL, 90, 96, 93, 93);</v>
      </c>
    </row>
    <row r="801" spans="1:10" x14ac:dyDescent="0.3">
      <c r="A801">
        <v>800</v>
      </c>
      <c r="B801">
        <v>21</v>
      </c>
      <c r="C801">
        <v>8</v>
      </c>
      <c r="D801">
        <f>IF('Boletins Nuppa Site'!F801&lt;&gt;0,'Boletins Nuppa Site'!F801,"NULL")</f>
        <v>84</v>
      </c>
      <c r="E801">
        <f>IF('Boletins Nuppa Site'!G801&lt;&gt;0,'Boletins Nuppa Site'!G801,"NULL")</f>
        <v>84</v>
      </c>
      <c r="F801">
        <f>IF('Boletins Nuppa Site'!H801&lt;&gt;0,'Boletins Nuppa Site'!H801,"NULL")</f>
        <v>84</v>
      </c>
      <c r="G801">
        <f>IF('Boletins Nuppa Site'!I801&lt;&gt;0,'Boletins Nuppa Site'!I801,"NULL")</f>
        <v>84</v>
      </c>
      <c r="H801">
        <f>IF('Boletins Nuppa Site'!J801&lt;&gt;0,'Boletins Nuppa Site'!J801,"NULL")</f>
        <v>84</v>
      </c>
      <c r="J801" t="str">
        <f t="shared" si="12"/>
        <v>INSERT INTO COTACAO (blt_id, pap_id, cot_prc_comum, cot_prc_min, cot_prc_max, cot_prc_med, cot_prc_mediana) VALUES (21, 8, 84, 84, 84, 84, 84);</v>
      </c>
    </row>
    <row r="802" spans="1:10" x14ac:dyDescent="0.3">
      <c r="A802">
        <v>801</v>
      </c>
      <c r="B802">
        <v>21</v>
      </c>
      <c r="C802">
        <v>9</v>
      </c>
      <c r="D802" t="str">
        <f>IF('Boletins Nuppa Site'!F802&lt;&gt;0,'Boletins Nuppa Site'!F802,"NULL")</f>
        <v>NULL</v>
      </c>
      <c r="E802">
        <f>IF('Boletins Nuppa Site'!G802&lt;&gt;0,'Boletins Nuppa Site'!G802,"NULL")</f>
        <v>24</v>
      </c>
      <c r="F802">
        <f>IF('Boletins Nuppa Site'!H802&lt;&gt;0,'Boletins Nuppa Site'!H802,"NULL")</f>
        <v>30</v>
      </c>
      <c r="G802">
        <f>IF('Boletins Nuppa Site'!I802&lt;&gt;0,'Boletins Nuppa Site'!I802,"NULL")</f>
        <v>27</v>
      </c>
      <c r="H802">
        <f>IF('Boletins Nuppa Site'!J802&lt;&gt;0,'Boletins Nuppa Site'!J802,"NULL")</f>
        <v>27</v>
      </c>
      <c r="J802" t="str">
        <f t="shared" si="12"/>
        <v>INSERT INTO COTACAO (blt_id, pap_id, cot_prc_comum, cot_prc_min, cot_prc_max, cot_prc_med, cot_prc_mediana) VALUES (21, 9, NULL, 24, 30, 27, 27);</v>
      </c>
    </row>
    <row r="803" spans="1:10" x14ac:dyDescent="0.3">
      <c r="A803">
        <v>802</v>
      </c>
      <c r="B803">
        <v>21</v>
      </c>
      <c r="C803">
        <v>10</v>
      </c>
      <c r="D803" t="str">
        <f>IF('Boletins Nuppa Site'!F803&lt;&gt;0,'Boletins Nuppa Site'!F803,"NULL")</f>
        <v>NULL</v>
      </c>
      <c r="E803">
        <f>IF('Boletins Nuppa Site'!G803&lt;&gt;0,'Boletins Nuppa Site'!G803,"NULL")</f>
        <v>96</v>
      </c>
      <c r="F803">
        <f>IF('Boletins Nuppa Site'!H803&lt;&gt;0,'Boletins Nuppa Site'!H803,"NULL")</f>
        <v>108</v>
      </c>
      <c r="G803">
        <f>IF('Boletins Nuppa Site'!I803&lt;&gt;0,'Boletins Nuppa Site'!I803,"NULL")</f>
        <v>102</v>
      </c>
      <c r="H803">
        <f>IF('Boletins Nuppa Site'!J803&lt;&gt;0,'Boletins Nuppa Site'!J803,"NULL")</f>
        <v>102</v>
      </c>
      <c r="J803" t="str">
        <f t="shared" si="12"/>
        <v>INSERT INTO COTACAO (blt_id, pap_id, cot_prc_comum, cot_prc_min, cot_prc_max, cot_prc_med, cot_prc_mediana) VALUES (21, 10, NULL, 96, 108, 102, 102);</v>
      </c>
    </row>
    <row r="804" spans="1:10" x14ac:dyDescent="0.3">
      <c r="A804">
        <v>803</v>
      </c>
      <c r="B804">
        <v>21</v>
      </c>
      <c r="C804">
        <v>11</v>
      </c>
      <c r="D804" t="str">
        <f>IF('Boletins Nuppa Site'!F804&lt;&gt;0,'Boletins Nuppa Site'!F804,"NULL")</f>
        <v>NULL</v>
      </c>
      <c r="E804">
        <f>IF('Boletins Nuppa Site'!G804&lt;&gt;0,'Boletins Nuppa Site'!G804,"NULL")</f>
        <v>20</v>
      </c>
      <c r="F804">
        <f>IF('Boletins Nuppa Site'!H804&lt;&gt;0,'Boletins Nuppa Site'!H804,"NULL")</f>
        <v>24</v>
      </c>
      <c r="G804">
        <f>IF('Boletins Nuppa Site'!I804&lt;&gt;0,'Boletins Nuppa Site'!I804,"NULL")</f>
        <v>22</v>
      </c>
      <c r="H804">
        <f>IF('Boletins Nuppa Site'!J804&lt;&gt;0,'Boletins Nuppa Site'!J804,"NULL")</f>
        <v>22</v>
      </c>
      <c r="J804" t="str">
        <f t="shared" si="12"/>
        <v>INSERT INTO COTACAO (blt_id, pap_id, cot_prc_comum, cot_prc_min, cot_prc_max, cot_prc_med, cot_prc_mediana) VALUES (21, 11, NULL, 20, 24, 22, 22);</v>
      </c>
    </row>
    <row r="805" spans="1:10" x14ac:dyDescent="0.3">
      <c r="A805">
        <v>804</v>
      </c>
      <c r="B805">
        <v>21</v>
      </c>
      <c r="C805">
        <v>12</v>
      </c>
      <c r="D805" t="str">
        <f>IF('Boletins Nuppa Site'!F805&lt;&gt;0,'Boletins Nuppa Site'!F805,"NULL")</f>
        <v>NULL</v>
      </c>
      <c r="E805">
        <f>IF('Boletins Nuppa Site'!G805&lt;&gt;0,'Boletins Nuppa Site'!G805,"NULL")</f>
        <v>72</v>
      </c>
      <c r="F805">
        <f>IF('Boletins Nuppa Site'!H805&lt;&gt;0,'Boletins Nuppa Site'!H805,"NULL")</f>
        <v>78</v>
      </c>
      <c r="G805">
        <f>IF('Boletins Nuppa Site'!I805&lt;&gt;0,'Boletins Nuppa Site'!I805,"NULL")</f>
        <v>75</v>
      </c>
      <c r="H805">
        <f>IF('Boletins Nuppa Site'!J805&lt;&gt;0,'Boletins Nuppa Site'!J805,"NULL")</f>
        <v>75</v>
      </c>
      <c r="J805" t="str">
        <f t="shared" si="12"/>
        <v>INSERT INTO COTACAO (blt_id, pap_id, cot_prc_comum, cot_prc_min, cot_prc_max, cot_prc_med, cot_prc_mediana) VALUES (21, 12, NULL, 72, 78, 75, 75);</v>
      </c>
    </row>
    <row r="806" spans="1:10" x14ac:dyDescent="0.3">
      <c r="A806">
        <v>805</v>
      </c>
      <c r="B806">
        <v>21</v>
      </c>
      <c r="C806">
        <v>13</v>
      </c>
      <c r="D806">
        <f>IF('Boletins Nuppa Site'!F806&lt;&gt;0,'Boletins Nuppa Site'!F806,"NULL")</f>
        <v>60</v>
      </c>
      <c r="E806">
        <f>IF('Boletins Nuppa Site'!G806&lt;&gt;0,'Boletins Nuppa Site'!G806,"NULL")</f>
        <v>60</v>
      </c>
      <c r="F806">
        <f>IF('Boletins Nuppa Site'!H806&lt;&gt;0,'Boletins Nuppa Site'!H806,"NULL")</f>
        <v>60</v>
      </c>
      <c r="G806">
        <f>IF('Boletins Nuppa Site'!I806&lt;&gt;0,'Boletins Nuppa Site'!I806,"NULL")</f>
        <v>60</v>
      </c>
      <c r="H806">
        <f>IF('Boletins Nuppa Site'!J806&lt;&gt;0,'Boletins Nuppa Site'!J806,"NULL")</f>
        <v>60</v>
      </c>
      <c r="J806" t="str">
        <f t="shared" si="12"/>
        <v>INSERT INTO COTACAO (blt_id, pap_id, cot_prc_comum, cot_prc_min, cot_prc_max, cot_prc_med, cot_prc_mediana) VALUES (21, 13, 60, 60, 60, 60, 60);</v>
      </c>
    </row>
    <row r="807" spans="1:10" x14ac:dyDescent="0.3">
      <c r="A807">
        <v>806</v>
      </c>
      <c r="B807">
        <v>21</v>
      </c>
      <c r="C807">
        <v>14</v>
      </c>
      <c r="D807" t="str">
        <f>IF('Boletins Nuppa Site'!F807&lt;&gt;0,'Boletins Nuppa Site'!F807,"NULL")</f>
        <v>NULL</v>
      </c>
      <c r="E807">
        <f>IF('Boletins Nuppa Site'!G807&lt;&gt;0,'Boletins Nuppa Site'!G807,"NULL")</f>
        <v>66</v>
      </c>
      <c r="F807">
        <f>IF('Boletins Nuppa Site'!H807&lt;&gt;0,'Boletins Nuppa Site'!H807,"NULL")</f>
        <v>72</v>
      </c>
      <c r="G807">
        <f>IF('Boletins Nuppa Site'!I807&lt;&gt;0,'Boletins Nuppa Site'!I807,"NULL")</f>
        <v>69</v>
      </c>
      <c r="H807">
        <f>IF('Boletins Nuppa Site'!J807&lt;&gt;0,'Boletins Nuppa Site'!J807,"NULL")</f>
        <v>69</v>
      </c>
      <c r="J807" t="str">
        <f t="shared" si="12"/>
        <v>INSERT INTO COTACAO (blt_id, pap_id, cot_prc_comum, cot_prc_min, cot_prc_max, cot_prc_med, cot_prc_mediana) VALUES (21, 14, NULL, 66, 72, 69, 69);</v>
      </c>
    </row>
    <row r="808" spans="1:10" x14ac:dyDescent="0.3">
      <c r="A808">
        <v>807</v>
      </c>
      <c r="B808">
        <v>21</v>
      </c>
      <c r="C808">
        <v>15</v>
      </c>
      <c r="D808" t="str">
        <f>IF('Boletins Nuppa Site'!F808&lt;&gt;0,'Boletins Nuppa Site'!F808,"NULL")</f>
        <v>NULL</v>
      </c>
      <c r="E808">
        <f>IF('Boletins Nuppa Site'!G808&lt;&gt;0,'Boletins Nuppa Site'!G808,"NULL")</f>
        <v>45</v>
      </c>
      <c r="F808">
        <f>IF('Boletins Nuppa Site'!H808&lt;&gt;0,'Boletins Nuppa Site'!H808,"NULL")</f>
        <v>48</v>
      </c>
      <c r="G808" t="str">
        <f>IF('Boletins Nuppa Site'!I808&lt;&gt;0,'Boletins Nuppa Site'!I808,"NULL")</f>
        <v>46.5</v>
      </c>
      <c r="H808" t="str">
        <f>IF('Boletins Nuppa Site'!J808&lt;&gt;0,'Boletins Nuppa Site'!J808,"NULL")</f>
        <v>46.5</v>
      </c>
      <c r="J808" t="str">
        <f t="shared" si="12"/>
        <v>INSERT INTO COTACAO (blt_id, pap_id, cot_prc_comum, cot_prc_min, cot_prc_max, cot_prc_med, cot_prc_mediana) VALUES (21, 15, NULL, 45, 48, 46.5, 46.5);</v>
      </c>
    </row>
    <row r="809" spans="1:10" x14ac:dyDescent="0.3">
      <c r="A809">
        <v>808</v>
      </c>
      <c r="B809">
        <v>21</v>
      </c>
      <c r="C809">
        <v>16</v>
      </c>
      <c r="D809" t="str">
        <f>IF('Boletins Nuppa Site'!F809&lt;&gt;0,'Boletins Nuppa Site'!F809,"NULL")</f>
        <v>NULL</v>
      </c>
      <c r="E809">
        <f>IF('Boletins Nuppa Site'!G809&lt;&gt;0,'Boletins Nuppa Site'!G809,"NULL")</f>
        <v>48</v>
      </c>
      <c r="F809">
        <f>IF('Boletins Nuppa Site'!H809&lt;&gt;0,'Boletins Nuppa Site'!H809,"NULL")</f>
        <v>54</v>
      </c>
      <c r="G809">
        <f>IF('Boletins Nuppa Site'!I809&lt;&gt;0,'Boletins Nuppa Site'!I809,"NULL")</f>
        <v>51</v>
      </c>
      <c r="H809">
        <f>IF('Boletins Nuppa Site'!J809&lt;&gt;0,'Boletins Nuppa Site'!J809,"NULL")</f>
        <v>51</v>
      </c>
      <c r="J809" t="str">
        <f t="shared" si="12"/>
        <v>INSERT INTO COTACAO (blt_id, pap_id, cot_prc_comum, cot_prc_min, cot_prc_max, cot_prc_med, cot_prc_mediana) VALUES (21, 16, NULL, 48, 54, 51, 51);</v>
      </c>
    </row>
    <row r="810" spans="1:10" x14ac:dyDescent="0.3">
      <c r="A810">
        <v>809</v>
      </c>
      <c r="B810">
        <v>21</v>
      </c>
      <c r="C810">
        <v>17</v>
      </c>
      <c r="D810">
        <f>IF('Boletins Nuppa Site'!F810&lt;&gt;0,'Boletins Nuppa Site'!F810,"NULL")</f>
        <v>5</v>
      </c>
      <c r="E810">
        <f>IF('Boletins Nuppa Site'!G810&lt;&gt;0,'Boletins Nuppa Site'!G810,"NULL")</f>
        <v>5</v>
      </c>
      <c r="F810">
        <f>IF('Boletins Nuppa Site'!H810&lt;&gt;0,'Boletins Nuppa Site'!H810,"NULL")</f>
        <v>5</v>
      </c>
      <c r="G810">
        <f>IF('Boletins Nuppa Site'!I810&lt;&gt;0,'Boletins Nuppa Site'!I810,"NULL")</f>
        <v>5</v>
      </c>
      <c r="H810">
        <f>IF('Boletins Nuppa Site'!J810&lt;&gt;0,'Boletins Nuppa Site'!J810,"NULL")</f>
        <v>5</v>
      </c>
      <c r="J810" t="str">
        <f t="shared" si="12"/>
        <v>INSERT INTO COTACAO (blt_id, pap_id, cot_prc_comum, cot_prc_min, cot_prc_max, cot_prc_med, cot_prc_mediana) VALUES (21, 17, 5, 5, 5, 5, 5);</v>
      </c>
    </row>
    <row r="811" spans="1:10" x14ac:dyDescent="0.3">
      <c r="A811">
        <v>810</v>
      </c>
      <c r="B811">
        <v>21</v>
      </c>
      <c r="C811">
        <v>18</v>
      </c>
      <c r="D811">
        <f>IF('Boletins Nuppa Site'!F811&lt;&gt;0,'Boletins Nuppa Site'!F811,"NULL")</f>
        <v>20</v>
      </c>
      <c r="E811">
        <f>IF('Boletins Nuppa Site'!G811&lt;&gt;0,'Boletins Nuppa Site'!G811,"NULL")</f>
        <v>20</v>
      </c>
      <c r="F811">
        <f>IF('Boletins Nuppa Site'!H811&lt;&gt;0,'Boletins Nuppa Site'!H811,"NULL")</f>
        <v>20</v>
      </c>
      <c r="G811">
        <f>IF('Boletins Nuppa Site'!I811&lt;&gt;0,'Boletins Nuppa Site'!I811,"NULL")</f>
        <v>20</v>
      </c>
      <c r="H811">
        <f>IF('Boletins Nuppa Site'!J811&lt;&gt;0,'Boletins Nuppa Site'!J811,"NULL")</f>
        <v>20</v>
      </c>
      <c r="J811" t="str">
        <f t="shared" si="12"/>
        <v>INSERT INTO COTACAO (blt_id, pap_id, cot_prc_comum, cot_prc_min, cot_prc_max, cot_prc_med, cot_prc_mediana) VALUES (21, 18, 20, 20, 20, 20, 20);</v>
      </c>
    </row>
    <row r="812" spans="1:10" x14ac:dyDescent="0.3">
      <c r="A812">
        <v>811</v>
      </c>
      <c r="B812">
        <v>21</v>
      </c>
      <c r="C812">
        <v>19</v>
      </c>
      <c r="D812" t="str">
        <f>IF('Boletins Nuppa Site'!F812&lt;&gt;0,'Boletins Nuppa Site'!F812,"NULL")</f>
        <v>NULL</v>
      </c>
      <c r="E812">
        <f>IF('Boletins Nuppa Site'!G812&lt;&gt;0,'Boletins Nuppa Site'!G812,"NULL")</f>
        <v>25</v>
      </c>
      <c r="F812">
        <f>IF('Boletins Nuppa Site'!H812&lt;&gt;0,'Boletins Nuppa Site'!H812,"NULL")</f>
        <v>35</v>
      </c>
      <c r="G812">
        <f>IF('Boletins Nuppa Site'!I812&lt;&gt;0,'Boletins Nuppa Site'!I812,"NULL")</f>
        <v>30</v>
      </c>
      <c r="H812">
        <f>IF('Boletins Nuppa Site'!J812&lt;&gt;0,'Boletins Nuppa Site'!J812,"NULL")</f>
        <v>30</v>
      </c>
      <c r="J812" t="str">
        <f t="shared" si="12"/>
        <v>INSERT INTO COTACAO (blt_id, pap_id, cot_prc_comum, cot_prc_min, cot_prc_max, cot_prc_med, cot_prc_mediana) VALUES (21, 19, NULL, 25, 35, 30, 30);</v>
      </c>
    </row>
    <row r="813" spans="1:10" x14ac:dyDescent="0.3">
      <c r="A813">
        <v>812</v>
      </c>
      <c r="B813">
        <v>21</v>
      </c>
      <c r="C813">
        <v>20</v>
      </c>
      <c r="D813" t="str">
        <f>IF('Boletins Nuppa Site'!F813&lt;&gt;0,'Boletins Nuppa Site'!F813,"NULL")</f>
        <v>NULL</v>
      </c>
      <c r="E813">
        <f>IF('Boletins Nuppa Site'!G813&lt;&gt;0,'Boletins Nuppa Site'!G813,"NULL")</f>
        <v>80</v>
      </c>
      <c r="F813">
        <f>IF('Boletins Nuppa Site'!H813&lt;&gt;0,'Boletins Nuppa Site'!H813,"NULL")</f>
        <v>95</v>
      </c>
      <c r="G813" t="str">
        <f>IF('Boletins Nuppa Site'!I813&lt;&gt;0,'Boletins Nuppa Site'!I813,"NULL")</f>
        <v>87.5</v>
      </c>
      <c r="H813" t="str">
        <f>IF('Boletins Nuppa Site'!J813&lt;&gt;0,'Boletins Nuppa Site'!J813,"NULL")</f>
        <v>87.5</v>
      </c>
      <c r="J813" t="str">
        <f t="shared" si="12"/>
        <v>INSERT INTO COTACAO (blt_id, pap_id, cot_prc_comum, cot_prc_min, cot_prc_max, cot_prc_med, cot_prc_mediana) VALUES (21, 20, NULL, 80, 95, 87.5, 87.5);</v>
      </c>
    </row>
    <row r="814" spans="1:10" x14ac:dyDescent="0.3">
      <c r="A814">
        <v>813</v>
      </c>
      <c r="B814">
        <v>21</v>
      </c>
      <c r="C814">
        <v>21</v>
      </c>
      <c r="D814">
        <f>IF('Boletins Nuppa Site'!F814&lt;&gt;0,'Boletins Nuppa Site'!F814,"NULL")</f>
        <v>50</v>
      </c>
      <c r="E814">
        <f>IF('Boletins Nuppa Site'!G814&lt;&gt;0,'Boletins Nuppa Site'!G814,"NULL")</f>
        <v>50</v>
      </c>
      <c r="F814">
        <f>IF('Boletins Nuppa Site'!H814&lt;&gt;0,'Boletins Nuppa Site'!H814,"NULL")</f>
        <v>60</v>
      </c>
      <c r="G814">
        <f>IF('Boletins Nuppa Site'!I814&lt;&gt;0,'Boletins Nuppa Site'!I814,"NULL")</f>
        <v>54</v>
      </c>
      <c r="H814">
        <f>IF('Boletins Nuppa Site'!J814&lt;&gt;0,'Boletins Nuppa Site'!J814,"NULL")</f>
        <v>50</v>
      </c>
      <c r="J814" t="str">
        <f t="shared" si="12"/>
        <v>INSERT INTO COTACAO (blt_id, pap_id, cot_prc_comum, cot_prc_min, cot_prc_max, cot_prc_med, cot_prc_mediana) VALUES (21, 21, 50, 50, 60, 54, 50);</v>
      </c>
    </row>
    <row r="815" spans="1:10" x14ac:dyDescent="0.3">
      <c r="A815">
        <v>814</v>
      </c>
      <c r="B815">
        <v>21</v>
      </c>
      <c r="C815">
        <v>22</v>
      </c>
      <c r="D815">
        <f>IF('Boletins Nuppa Site'!F815&lt;&gt;0,'Boletins Nuppa Site'!F815,"NULL")</f>
        <v>65</v>
      </c>
      <c r="E815">
        <f>IF('Boletins Nuppa Site'!G815&lt;&gt;0,'Boletins Nuppa Site'!G815,"NULL")</f>
        <v>45</v>
      </c>
      <c r="F815">
        <f>IF('Boletins Nuppa Site'!H815&lt;&gt;0,'Boletins Nuppa Site'!H815,"NULL")</f>
        <v>65</v>
      </c>
      <c r="G815">
        <f>IF('Boletins Nuppa Site'!I815&lt;&gt;0,'Boletins Nuppa Site'!I815,"NULL")</f>
        <v>57</v>
      </c>
      <c r="H815">
        <f>IF('Boletins Nuppa Site'!J815&lt;&gt;0,'Boletins Nuppa Site'!J815,"NULL")</f>
        <v>60</v>
      </c>
      <c r="J815" t="str">
        <f t="shared" si="12"/>
        <v>INSERT INTO COTACAO (blt_id, pap_id, cot_prc_comum, cot_prc_min, cot_prc_max, cot_prc_med, cot_prc_mediana) VALUES (21, 22, 65, 45, 65, 57, 60);</v>
      </c>
    </row>
    <row r="816" spans="1:10" x14ac:dyDescent="0.3">
      <c r="A816">
        <v>815</v>
      </c>
      <c r="B816">
        <v>21</v>
      </c>
      <c r="C816">
        <v>23</v>
      </c>
      <c r="D816" t="str">
        <f>IF('Boletins Nuppa Site'!F816&lt;&gt;0,'Boletins Nuppa Site'!F816,"NULL")</f>
        <v>NULL</v>
      </c>
      <c r="E816">
        <f>IF('Boletins Nuppa Site'!G816&lt;&gt;0,'Boletins Nuppa Site'!G816,"NULL")</f>
        <v>40</v>
      </c>
      <c r="F816">
        <f>IF('Boletins Nuppa Site'!H816&lt;&gt;0,'Boletins Nuppa Site'!H816,"NULL")</f>
        <v>55</v>
      </c>
      <c r="G816" t="str">
        <f>IF('Boletins Nuppa Site'!I816&lt;&gt;0,'Boletins Nuppa Site'!I816,"NULL")</f>
        <v>47.5</v>
      </c>
      <c r="H816" t="str">
        <f>IF('Boletins Nuppa Site'!J816&lt;&gt;0,'Boletins Nuppa Site'!J816,"NULL")</f>
        <v>47.5</v>
      </c>
      <c r="J816" t="str">
        <f t="shared" si="12"/>
        <v>INSERT INTO COTACAO (blt_id, pap_id, cot_prc_comum, cot_prc_min, cot_prc_max, cot_prc_med, cot_prc_mediana) VALUES (21, 23, NULL, 40, 55, 47.5, 47.5);</v>
      </c>
    </row>
    <row r="817" spans="1:10" x14ac:dyDescent="0.3">
      <c r="A817">
        <v>816</v>
      </c>
      <c r="B817">
        <v>21</v>
      </c>
      <c r="C817">
        <v>24</v>
      </c>
      <c r="D817" t="str">
        <f>IF('Boletins Nuppa Site'!F817&lt;&gt;0,'Boletins Nuppa Site'!F817,"NULL")</f>
        <v>NULL</v>
      </c>
      <c r="E817">
        <f>IF('Boletins Nuppa Site'!G817&lt;&gt;0,'Boletins Nuppa Site'!G817,"NULL")</f>
        <v>90</v>
      </c>
      <c r="F817">
        <f>IF('Boletins Nuppa Site'!H817&lt;&gt;0,'Boletins Nuppa Site'!H817,"NULL")</f>
        <v>110</v>
      </c>
      <c r="G817">
        <f>IF('Boletins Nuppa Site'!I817&lt;&gt;0,'Boletins Nuppa Site'!I817,"NULL")</f>
        <v>100</v>
      </c>
      <c r="H817">
        <f>IF('Boletins Nuppa Site'!J817&lt;&gt;0,'Boletins Nuppa Site'!J817,"NULL")</f>
        <v>100</v>
      </c>
      <c r="J817" t="str">
        <f t="shared" si="12"/>
        <v>INSERT INTO COTACAO (blt_id, pap_id, cot_prc_comum, cot_prc_min, cot_prc_max, cot_prc_med, cot_prc_mediana) VALUES (21, 24, NULL, 90, 110, 100, 100);</v>
      </c>
    </row>
    <row r="818" spans="1:10" x14ac:dyDescent="0.3">
      <c r="A818">
        <v>817</v>
      </c>
      <c r="B818">
        <v>21</v>
      </c>
      <c r="C818">
        <v>25</v>
      </c>
      <c r="D818">
        <f>IF('Boletins Nuppa Site'!F818&lt;&gt;0,'Boletins Nuppa Site'!F818,"NULL")</f>
        <v>110</v>
      </c>
      <c r="E818">
        <f>IF('Boletins Nuppa Site'!G818&lt;&gt;0,'Boletins Nuppa Site'!G818,"NULL")</f>
        <v>90</v>
      </c>
      <c r="F818">
        <f>IF('Boletins Nuppa Site'!H818&lt;&gt;0,'Boletins Nuppa Site'!H818,"NULL")</f>
        <v>110</v>
      </c>
      <c r="G818" t="str">
        <f>IF('Boletins Nuppa Site'!I818&lt;&gt;0,'Boletins Nuppa Site'!I818,"NULL")</f>
        <v>102.5</v>
      </c>
      <c r="H818">
        <f>IF('Boletins Nuppa Site'!J818&lt;&gt;0,'Boletins Nuppa Site'!J818,"NULL")</f>
        <v>105</v>
      </c>
      <c r="J818" t="str">
        <f t="shared" si="12"/>
        <v>INSERT INTO COTACAO (blt_id, pap_id, cot_prc_comum, cot_prc_min, cot_prc_max, cot_prc_med, cot_prc_mediana) VALUES (21, 25, 110, 90, 110, 102.5, 105);</v>
      </c>
    </row>
    <row r="819" spans="1:10" x14ac:dyDescent="0.3">
      <c r="A819">
        <v>818</v>
      </c>
      <c r="B819">
        <v>21</v>
      </c>
      <c r="C819">
        <v>26</v>
      </c>
      <c r="D819">
        <f>IF('Boletins Nuppa Site'!F819&lt;&gt;0,'Boletins Nuppa Site'!F819,"NULL")</f>
        <v>80</v>
      </c>
      <c r="E819">
        <f>IF('Boletins Nuppa Site'!G819&lt;&gt;0,'Boletins Nuppa Site'!G819,"NULL")</f>
        <v>70</v>
      </c>
      <c r="F819">
        <f>IF('Boletins Nuppa Site'!H819&lt;&gt;0,'Boletins Nuppa Site'!H819,"NULL")</f>
        <v>100</v>
      </c>
      <c r="G819">
        <f>IF('Boletins Nuppa Site'!I819&lt;&gt;0,'Boletins Nuppa Site'!I819,"NULL")</f>
        <v>84</v>
      </c>
      <c r="H819">
        <f>IF('Boletins Nuppa Site'!J819&lt;&gt;0,'Boletins Nuppa Site'!J819,"NULL")</f>
        <v>80</v>
      </c>
      <c r="J819" t="str">
        <f t="shared" si="12"/>
        <v>INSERT INTO COTACAO (blt_id, pap_id, cot_prc_comum, cot_prc_min, cot_prc_max, cot_prc_med, cot_prc_mediana) VALUES (21, 26, 80, 70, 100, 84, 80);</v>
      </c>
    </row>
    <row r="820" spans="1:10" x14ac:dyDescent="0.3">
      <c r="A820">
        <v>819</v>
      </c>
      <c r="B820">
        <v>21</v>
      </c>
      <c r="C820">
        <v>27</v>
      </c>
      <c r="D820" t="str">
        <f>IF('Boletins Nuppa Site'!F820&lt;&gt;0,'Boletins Nuppa Site'!F820,"NULL")</f>
        <v>NULL</v>
      </c>
      <c r="E820">
        <f>IF('Boletins Nuppa Site'!G820&lt;&gt;0,'Boletins Nuppa Site'!G820,"NULL")</f>
        <v>50</v>
      </c>
      <c r="F820">
        <f>IF('Boletins Nuppa Site'!H820&lt;&gt;0,'Boletins Nuppa Site'!H820,"NULL")</f>
        <v>85</v>
      </c>
      <c r="G820" t="str">
        <f>IF('Boletins Nuppa Site'!I820&lt;&gt;0,'Boletins Nuppa Site'!I820,"NULL")</f>
        <v>66.25</v>
      </c>
      <c r="H820">
        <f>IF('Boletins Nuppa Site'!J820&lt;&gt;0,'Boletins Nuppa Site'!J820,"NULL")</f>
        <v>65</v>
      </c>
      <c r="J820" t="str">
        <f t="shared" si="12"/>
        <v>INSERT INTO COTACAO (blt_id, pap_id, cot_prc_comum, cot_prc_min, cot_prc_max, cot_prc_med, cot_prc_mediana) VALUES (21, 27, NULL, 50, 85, 66.25, 65);</v>
      </c>
    </row>
    <row r="821" spans="1:10" x14ac:dyDescent="0.3">
      <c r="A821">
        <v>820</v>
      </c>
      <c r="B821">
        <v>21</v>
      </c>
      <c r="C821">
        <v>28</v>
      </c>
      <c r="D821">
        <f>IF('Boletins Nuppa Site'!F821&lt;&gt;0,'Boletins Nuppa Site'!F821,"NULL")</f>
        <v>100</v>
      </c>
      <c r="E821">
        <f>IF('Boletins Nuppa Site'!G821&lt;&gt;0,'Boletins Nuppa Site'!G821,"NULL")</f>
        <v>100</v>
      </c>
      <c r="F821">
        <f>IF('Boletins Nuppa Site'!H821&lt;&gt;0,'Boletins Nuppa Site'!H821,"NULL")</f>
        <v>100</v>
      </c>
      <c r="G821">
        <f>IF('Boletins Nuppa Site'!I821&lt;&gt;0,'Boletins Nuppa Site'!I821,"NULL")</f>
        <v>100</v>
      </c>
      <c r="H821">
        <f>IF('Boletins Nuppa Site'!J821&lt;&gt;0,'Boletins Nuppa Site'!J821,"NULL")</f>
        <v>100</v>
      </c>
      <c r="J821" t="str">
        <f t="shared" si="12"/>
        <v>INSERT INTO COTACAO (blt_id, pap_id, cot_prc_comum, cot_prc_min, cot_prc_max, cot_prc_med, cot_prc_mediana) VALUES (21, 28, 100, 100, 100, 100, 100);</v>
      </c>
    </row>
    <row r="822" spans="1:10" x14ac:dyDescent="0.3">
      <c r="A822">
        <v>821</v>
      </c>
      <c r="B822">
        <v>21</v>
      </c>
      <c r="C822">
        <v>29</v>
      </c>
      <c r="D822" t="str">
        <f>IF('Boletins Nuppa Site'!F822&lt;&gt;0,'Boletins Nuppa Site'!F822,"NULL")</f>
        <v>NULL</v>
      </c>
      <c r="E822">
        <f>IF('Boletins Nuppa Site'!G822&lt;&gt;0,'Boletins Nuppa Site'!G822,"NULL")</f>
        <v>60</v>
      </c>
      <c r="F822">
        <f>IF('Boletins Nuppa Site'!H822&lt;&gt;0,'Boletins Nuppa Site'!H822,"NULL")</f>
        <v>70</v>
      </c>
      <c r="G822">
        <f>IF('Boletins Nuppa Site'!I822&lt;&gt;0,'Boletins Nuppa Site'!I822,"NULL")</f>
        <v>65</v>
      </c>
      <c r="H822">
        <f>IF('Boletins Nuppa Site'!J822&lt;&gt;0,'Boletins Nuppa Site'!J822,"NULL")</f>
        <v>65</v>
      </c>
      <c r="J822" t="str">
        <f t="shared" si="12"/>
        <v>INSERT INTO COTACAO (blt_id, pap_id, cot_prc_comum, cot_prc_min, cot_prc_max, cot_prc_med, cot_prc_mediana) VALUES (21, 29, NULL, 60, 70, 65, 65);</v>
      </c>
    </row>
    <row r="823" spans="1:10" x14ac:dyDescent="0.3">
      <c r="A823">
        <v>822</v>
      </c>
      <c r="B823">
        <v>21</v>
      </c>
      <c r="C823">
        <v>30</v>
      </c>
      <c r="D823">
        <f>IF('Boletins Nuppa Site'!F823&lt;&gt;0,'Boletins Nuppa Site'!F823,"NULL")</f>
        <v>80</v>
      </c>
      <c r="E823">
        <f>IF('Boletins Nuppa Site'!G823&lt;&gt;0,'Boletins Nuppa Site'!G823,"NULL")</f>
        <v>80</v>
      </c>
      <c r="F823">
        <f>IF('Boletins Nuppa Site'!H823&lt;&gt;0,'Boletins Nuppa Site'!H823,"NULL")</f>
        <v>80</v>
      </c>
      <c r="G823">
        <f>IF('Boletins Nuppa Site'!I823&lt;&gt;0,'Boletins Nuppa Site'!I823,"NULL")</f>
        <v>80</v>
      </c>
      <c r="H823">
        <f>IF('Boletins Nuppa Site'!J823&lt;&gt;0,'Boletins Nuppa Site'!J823,"NULL")</f>
        <v>80</v>
      </c>
      <c r="J823" t="str">
        <f t="shared" si="12"/>
        <v>INSERT INTO COTACAO (blt_id, pap_id, cot_prc_comum, cot_prc_min, cot_prc_max, cot_prc_med, cot_prc_mediana) VALUES (21, 30, 80, 80, 80, 80, 80);</v>
      </c>
    </row>
    <row r="824" spans="1:10" x14ac:dyDescent="0.3">
      <c r="A824">
        <v>823</v>
      </c>
      <c r="B824">
        <v>21</v>
      </c>
      <c r="C824">
        <v>31</v>
      </c>
      <c r="D824">
        <f>IF('Boletins Nuppa Site'!F824&lt;&gt;0,'Boletins Nuppa Site'!F824,"NULL")</f>
        <v>80</v>
      </c>
      <c r="E824">
        <f>IF('Boletins Nuppa Site'!G824&lt;&gt;0,'Boletins Nuppa Site'!G824,"NULL")</f>
        <v>65</v>
      </c>
      <c r="F824">
        <f>IF('Boletins Nuppa Site'!H824&lt;&gt;0,'Boletins Nuppa Site'!H824,"NULL")</f>
        <v>80</v>
      </c>
      <c r="G824">
        <f>IF('Boletins Nuppa Site'!I824&lt;&gt;0,'Boletins Nuppa Site'!I824,"NULL")</f>
        <v>75</v>
      </c>
      <c r="H824">
        <f>IF('Boletins Nuppa Site'!J824&lt;&gt;0,'Boletins Nuppa Site'!J824,"NULL")</f>
        <v>80</v>
      </c>
      <c r="J824" t="str">
        <f t="shared" si="12"/>
        <v>INSERT INTO COTACAO (blt_id, pap_id, cot_prc_comum, cot_prc_min, cot_prc_max, cot_prc_med, cot_prc_mediana) VALUES (21, 31, 80, 65, 80, 75, 80);</v>
      </c>
    </row>
    <row r="825" spans="1:10" x14ac:dyDescent="0.3">
      <c r="A825">
        <v>824</v>
      </c>
      <c r="B825">
        <v>21</v>
      </c>
      <c r="C825">
        <v>32</v>
      </c>
      <c r="D825">
        <f>IF('Boletins Nuppa Site'!F825&lt;&gt;0,'Boletins Nuppa Site'!F825,"NULL")</f>
        <v>60</v>
      </c>
      <c r="E825">
        <f>IF('Boletins Nuppa Site'!G825&lt;&gt;0,'Boletins Nuppa Site'!G825,"NULL")</f>
        <v>50</v>
      </c>
      <c r="F825">
        <f>IF('Boletins Nuppa Site'!H825&lt;&gt;0,'Boletins Nuppa Site'!H825,"NULL")</f>
        <v>60</v>
      </c>
      <c r="G825" t="str">
        <f>IF('Boletins Nuppa Site'!I825&lt;&gt;0,'Boletins Nuppa Site'!I825,"NULL")</f>
        <v>56.25</v>
      </c>
      <c r="H825" t="str">
        <f>IF('Boletins Nuppa Site'!J825&lt;&gt;0,'Boletins Nuppa Site'!J825,"NULL")</f>
        <v>57.5</v>
      </c>
      <c r="J825" t="str">
        <f t="shared" si="12"/>
        <v>INSERT INTO COTACAO (blt_id, pap_id, cot_prc_comum, cot_prc_min, cot_prc_max, cot_prc_med, cot_prc_mediana) VALUES (21, 32, 60, 50, 60, 56.25, 57.5);</v>
      </c>
    </row>
    <row r="826" spans="1:10" x14ac:dyDescent="0.3">
      <c r="A826">
        <v>825</v>
      </c>
      <c r="B826">
        <v>21</v>
      </c>
      <c r="C826">
        <v>33</v>
      </c>
      <c r="D826">
        <f>IF('Boletins Nuppa Site'!F826&lt;&gt;0,'Boletins Nuppa Site'!F826,"NULL")</f>
        <v>180</v>
      </c>
      <c r="E826">
        <f>IF('Boletins Nuppa Site'!G826&lt;&gt;0,'Boletins Nuppa Site'!G826,"NULL")</f>
        <v>180</v>
      </c>
      <c r="F826">
        <f>IF('Boletins Nuppa Site'!H826&lt;&gt;0,'Boletins Nuppa Site'!H826,"NULL")</f>
        <v>180</v>
      </c>
      <c r="G826">
        <f>IF('Boletins Nuppa Site'!I826&lt;&gt;0,'Boletins Nuppa Site'!I826,"NULL")</f>
        <v>180</v>
      </c>
      <c r="H826">
        <f>IF('Boletins Nuppa Site'!J826&lt;&gt;0,'Boletins Nuppa Site'!J826,"NULL")</f>
        <v>180</v>
      </c>
      <c r="J826" t="str">
        <f t="shared" si="12"/>
        <v>INSERT INTO COTACAO (blt_id, pap_id, cot_prc_comum, cot_prc_min, cot_prc_max, cot_prc_med, cot_prc_mediana) VALUES (21, 33, 180, 180, 180, 180, 180);</v>
      </c>
    </row>
    <row r="827" spans="1:10" x14ac:dyDescent="0.3">
      <c r="A827">
        <v>826</v>
      </c>
      <c r="B827">
        <v>21</v>
      </c>
      <c r="C827">
        <v>34</v>
      </c>
      <c r="D827">
        <f>IF('Boletins Nuppa Site'!F827&lt;&gt;0,'Boletins Nuppa Site'!F827,"NULL")</f>
        <v>90</v>
      </c>
      <c r="E827">
        <f>IF('Boletins Nuppa Site'!G827&lt;&gt;0,'Boletins Nuppa Site'!G827,"NULL")</f>
        <v>80</v>
      </c>
      <c r="F827">
        <f>IF('Boletins Nuppa Site'!H827&lt;&gt;0,'Boletins Nuppa Site'!H827,"NULL")</f>
        <v>100</v>
      </c>
      <c r="G827">
        <f>IF('Boletins Nuppa Site'!I827&lt;&gt;0,'Boletins Nuppa Site'!I827,"NULL")</f>
        <v>92</v>
      </c>
      <c r="H827">
        <f>IF('Boletins Nuppa Site'!J827&lt;&gt;0,'Boletins Nuppa Site'!J827,"NULL")</f>
        <v>90</v>
      </c>
      <c r="J827" t="str">
        <f t="shared" si="12"/>
        <v>INSERT INTO COTACAO (blt_id, pap_id, cot_prc_comum, cot_prc_min, cot_prc_max, cot_prc_med, cot_prc_mediana) VALUES (21, 34, 90, 80, 100, 92, 90);</v>
      </c>
    </row>
    <row r="828" spans="1:10" x14ac:dyDescent="0.3">
      <c r="A828">
        <v>827</v>
      </c>
      <c r="B828">
        <v>21</v>
      </c>
      <c r="C828">
        <v>35</v>
      </c>
      <c r="D828" t="str">
        <f>IF('Boletins Nuppa Site'!F828&lt;&gt;0,'Boletins Nuppa Site'!F828,"NULL")</f>
        <v>NULL</v>
      </c>
      <c r="E828">
        <f>IF('Boletins Nuppa Site'!G828&lt;&gt;0,'Boletins Nuppa Site'!G828,"NULL")</f>
        <v>150</v>
      </c>
      <c r="F828">
        <f>IF('Boletins Nuppa Site'!H828&lt;&gt;0,'Boletins Nuppa Site'!H828,"NULL")</f>
        <v>220</v>
      </c>
      <c r="G828" t="str">
        <f>IF('Boletins Nuppa Site'!I828&lt;&gt;0,'Boletins Nuppa Site'!I828,"NULL")</f>
        <v>176.67</v>
      </c>
      <c r="H828">
        <f>IF('Boletins Nuppa Site'!J828&lt;&gt;0,'Boletins Nuppa Site'!J828,"NULL")</f>
        <v>160</v>
      </c>
      <c r="J828" t="str">
        <f t="shared" si="12"/>
        <v>INSERT INTO COTACAO (blt_id, pap_id, cot_prc_comum, cot_prc_min, cot_prc_max, cot_prc_med, cot_prc_mediana) VALUES (21, 35, NULL, 150, 220, 176.67, 160);</v>
      </c>
    </row>
    <row r="829" spans="1:10" x14ac:dyDescent="0.3">
      <c r="A829">
        <v>828</v>
      </c>
      <c r="B829">
        <v>21</v>
      </c>
      <c r="C829">
        <v>36</v>
      </c>
      <c r="D829" t="str">
        <f>IF('Boletins Nuppa Site'!F829&lt;&gt;0,'Boletins Nuppa Site'!F829,"NULL")</f>
        <v>NULL</v>
      </c>
      <c r="E829">
        <f>IF('Boletins Nuppa Site'!G829&lt;&gt;0,'Boletins Nuppa Site'!G829,"NULL")</f>
        <v>120</v>
      </c>
      <c r="F829">
        <f>IF('Boletins Nuppa Site'!H829&lt;&gt;0,'Boletins Nuppa Site'!H829,"NULL")</f>
        <v>120</v>
      </c>
      <c r="G829">
        <f>IF('Boletins Nuppa Site'!I829&lt;&gt;0,'Boletins Nuppa Site'!I829,"NULL")</f>
        <v>120</v>
      </c>
      <c r="H829">
        <f>IF('Boletins Nuppa Site'!J829&lt;&gt;0,'Boletins Nuppa Site'!J829,"NULL")</f>
        <v>120</v>
      </c>
      <c r="J829" t="str">
        <f t="shared" si="12"/>
        <v>INSERT INTO COTACAO (blt_id, pap_id, cot_prc_comum, cot_prc_min, cot_prc_max, cot_prc_med, cot_prc_mediana) VALUES (21, 36, NULL, 120, 120, 120, 120);</v>
      </c>
    </row>
    <row r="830" spans="1:10" x14ac:dyDescent="0.3">
      <c r="A830">
        <v>829</v>
      </c>
      <c r="B830">
        <v>21</v>
      </c>
      <c r="C830">
        <v>37</v>
      </c>
      <c r="D830" t="str">
        <f>IF('Boletins Nuppa Site'!F830&lt;&gt;0,'Boletins Nuppa Site'!F830,"NULL")</f>
        <v>NULL</v>
      </c>
      <c r="E830" t="str">
        <f>IF('Boletins Nuppa Site'!G830&lt;&gt;0,'Boletins Nuppa Site'!G830,"NULL")</f>
        <v>NULL</v>
      </c>
      <c r="F830" t="str">
        <f>IF('Boletins Nuppa Site'!H830&lt;&gt;0,'Boletins Nuppa Site'!H830,"NULL")</f>
        <v>NULL</v>
      </c>
      <c r="G830" t="str">
        <f>IF('Boletins Nuppa Site'!I830&lt;&gt;0,'Boletins Nuppa Site'!I830,"NULL")</f>
        <v>NULL</v>
      </c>
      <c r="H830" t="str">
        <f>IF('Boletins Nuppa Site'!J830&lt;&gt;0,'Boletins Nuppa Site'!J830,"NULL")</f>
        <v>NULL</v>
      </c>
      <c r="J830" t="str">
        <f t="shared" si="12"/>
        <v>INSERT INTO COTACAO (blt_id, pap_id, cot_prc_comum, cot_prc_min, cot_prc_max, cot_prc_med, cot_prc_mediana) VALUES (21, 37, NULL, NULL, NULL, NULL, NULL);</v>
      </c>
    </row>
    <row r="831" spans="1:10" x14ac:dyDescent="0.3">
      <c r="A831">
        <v>830</v>
      </c>
      <c r="B831">
        <v>21</v>
      </c>
      <c r="C831">
        <v>38</v>
      </c>
      <c r="D831" t="str">
        <f>IF('Boletins Nuppa Site'!F831&lt;&gt;0,'Boletins Nuppa Site'!F831,"NULL")</f>
        <v>NULL</v>
      </c>
      <c r="E831" t="str">
        <f>IF('Boletins Nuppa Site'!G831&lt;&gt;0,'Boletins Nuppa Site'!G831,"NULL")</f>
        <v>NULL</v>
      </c>
      <c r="F831" t="str">
        <f>IF('Boletins Nuppa Site'!H831&lt;&gt;0,'Boletins Nuppa Site'!H831,"NULL")</f>
        <v>NULL</v>
      </c>
      <c r="G831" t="str">
        <f>IF('Boletins Nuppa Site'!I831&lt;&gt;0,'Boletins Nuppa Site'!I831,"NULL")</f>
        <v>NULL</v>
      </c>
      <c r="H831" t="str">
        <f>IF('Boletins Nuppa Site'!J831&lt;&gt;0,'Boletins Nuppa Site'!J831,"NULL")</f>
        <v>NULL</v>
      </c>
      <c r="J831" t="str">
        <f t="shared" si="12"/>
        <v>INSERT INTO COTACAO (blt_id, pap_id, cot_prc_comum, cot_prc_min, cot_prc_max, cot_prc_med, cot_prc_mediana) VALUES (21, 38, NULL, NULL, NULL, NULL, NULL);</v>
      </c>
    </row>
    <row r="832" spans="1:10" x14ac:dyDescent="0.3">
      <c r="A832">
        <v>831</v>
      </c>
      <c r="B832">
        <v>21</v>
      </c>
      <c r="C832">
        <v>39</v>
      </c>
      <c r="D832" t="str">
        <f>IF('Boletins Nuppa Site'!F832&lt;&gt;0,'Boletins Nuppa Site'!F832,"NULL")</f>
        <v>NULL</v>
      </c>
      <c r="E832">
        <f>IF('Boletins Nuppa Site'!G832&lt;&gt;0,'Boletins Nuppa Site'!G832,"NULL")</f>
        <v>50</v>
      </c>
      <c r="F832">
        <f>IF('Boletins Nuppa Site'!H832&lt;&gt;0,'Boletins Nuppa Site'!H832,"NULL")</f>
        <v>50</v>
      </c>
      <c r="G832">
        <f>IF('Boletins Nuppa Site'!I832&lt;&gt;0,'Boletins Nuppa Site'!I832,"NULL")</f>
        <v>50</v>
      </c>
      <c r="H832">
        <f>IF('Boletins Nuppa Site'!J832&lt;&gt;0,'Boletins Nuppa Site'!J832,"NULL")</f>
        <v>50</v>
      </c>
      <c r="J832" t="str">
        <f t="shared" si="12"/>
        <v>INSERT INTO COTACAO (blt_id, pap_id, cot_prc_comum, cot_prc_min, cot_prc_max, cot_prc_med, cot_prc_mediana) VALUES (21, 39, NULL, 50, 50, 50, 50);</v>
      </c>
    </row>
    <row r="833" spans="1:10" x14ac:dyDescent="0.3">
      <c r="A833">
        <v>832</v>
      </c>
      <c r="B833">
        <v>21</v>
      </c>
      <c r="C833">
        <v>40</v>
      </c>
      <c r="D833" t="str">
        <f>IF('Boletins Nuppa Site'!F833&lt;&gt;0,'Boletins Nuppa Site'!F833,"NULL")</f>
        <v>NULL</v>
      </c>
      <c r="E833">
        <f>IF('Boletins Nuppa Site'!G833&lt;&gt;0,'Boletins Nuppa Site'!G833,"NULL")</f>
        <v>60</v>
      </c>
      <c r="F833">
        <f>IF('Boletins Nuppa Site'!H833&lt;&gt;0,'Boletins Nuppa Site'!H833,"NULL")</f>
        <v>60</v>
      </c>
      <c r="G833">
        <f>IF('Boletins Nuppa Site'!I833&lt;&gt;0,'Boletins Nuppa Site'!I833,"NULL")</f>
        <v>60</v>
      </c>
      <c r="H833">
        <f>IF('Boletins Nuppa Site'!J833&lt;&gt;0,'Boletins Nuppa Site'!J833,"NULL")</f>
        <v>60</v>
      </c>
      <c r="J833" t="str">
        <f t="shared" si="12"/>
        <v>INSERT INTO COTACAO (blt_id, pap_id, cot_prc_comum, cot_prc_min, cot_prc_max, cot_prc_med, cot_prc_mediana) VALUES (21, 40, NULL, 60, 60, 60, 60);</v>
      </c>
    </row>
    <row r="834" spans="1:10" x14ac:dyDescent="0.3">
      <c r="A834">
        <v>833</v>
      </c>
      <c r="B834">
        <v>22</v>
      </c>
      <c r="C834">
        <v>1</v>
      </c>
      <c r="D834">
        <f>IF('Boletins Nuppa Site'!F834&lt;&gt;0,'Boletins Nuppa Site'!F834,"NULL")</f>
        <v>60</v>
      </c>
      <c r="E834">
        <f>IF('Boletins Nuppa Site'!G834&lt;&gt;0,'Boletins Nuppa Site'!G834,"NULL")</f>
        <v>60</v>
      </c>
      <c r="F834">
        <f>IF('Boletins Nuppa Site'!H834&lt;&gt;0,'Boletins Nuppa Site'!H834,"NULL")</f>
        <v>60</v>
      </c>
      <c r="G834">
        <f>IF('Boletins Nuppa Site'!I834&lt;&gt;0,'Boletins Nuppa Site'!I834,"NULL")</f>
        <v>60</v>
      </c>
      <c r="H834">
        <f>IF('Boletins Nuppa Site'!J834&lt;&gt;0,'Boletins Nuppa Site'!J834,"NULL")</f>
        <v>60</v>
      </c>
      <c r="J834" t="str">
        <f t="shared" si="12"/>
        <v>INSERT INTO COTACAO (blt_id, pap_id, cot_prc_comum, cot_prc_min, cot_prc_max, cot_prc_med, cot_prc_mediana) VALUES (22, 1, 60, 60, 60, 60, 60);</v>
      </c>
    </row>
    <row r="835" spans="1:10" x14ac:dyDescent="0.3">
      <c r="A835">
        <v>834</v>
      </c>
      <c r="B835">
        <v>22</v>
      </c>
      <c r="C835">
        <v>2</v>
      </c>
      <c r="D835">
        <f>IF('Boletins Nuppa Site'!F835&lt;&gt;0,'Boletins Nuppa Site'!F835,"NULL")</f>
        <v>84</v>
      </c>
      <c r="E835">
        <f>IF('Boletins Nuppa Site'!G835&lt;&gt;0,'Boletins Nuppa Site'!G835,"NULL")</f>
        <v>84</v>
      </c>
      <c r="F835">
        <f>IF('Boletins Nuppa Site'!H835&lt;&gt;0,'Boletins Nuppa Site'!H835,"NULL")</f>
        <v>84</v>
      </c>
      <c r="G835">
        <f>IF('Boletins Nuppa Site'!I835&lt;&gt;0,'Boletins Nuppa Site'!I835,"NULL")</f>
        <v>84</v>
      </c>
      <c r="H835">
        <f>IF('Boletins Nuppa Site'!J835&lt;&gt;0,'Boletins Nuppa Site'!J835,"NULL")</f>
        <v>84</v>
      </c>
      <c r="J835" t="str">
        <f t="shared" ref="J835:J898" si="13">"INSERT INTO COTACAO (blt_id, pap_id, cot_prc_comum, cot_prc_min, cot_prc_max, cot_prc_med, cot_prc_mediana) VALUES ("&amp;B835&amp;", "&amp;C835&amp;", "&amp;D835&amp;", "&amp;E835&amp;", "&amp;F835&amp;", "&amp;G835&amp;", "&amp;H835&amp;");"</f>
        <v>INSERT INTO COTACAO (blt_id, pap_id, cot_prc_comum, cot_prc_min, cot_prc_max, cot_prc_med, cot_prc_mediana) VALUES (22, 2, 84, 84, 84, 84, 84);</v>
      </c>
    </row>
    <row r="836" spans="1:10" x14ac:dyDescent="0.3">
      <c r="A836">
        <v>835</v>
      </c>
      <c r="B836">
        <v>22</v>
      </c>
      <c r="C836">
        <v>3</v>
      </c>
      <c r="D836" t="str">
        <f>IF('Boletins Nuppa Site'!F836&lt;&gt;0,'Boletins Nuppa Site'!F836,"NULL")</f>
        <v>NULL</v>
      </c>
      <c r="E836">
        <f>IF('Boletins Nuppa Site'!G836&lt;&gt;0,'Boletins Nuppa Site'!G836,"NULL")</f>
        <v>36</v>
      </c>
      <c r="F836">
        <f>IF('Boletins Nuppa Site'!H836&lt;&gt;0,'Boletins Nuppa Site'!H836,"NULL")</f>
        <v>40</v>
      </c>
      <c r="G836">
        <f>IF('Boletins Nuppa Site'!I836&lt;&gt;0,'Boletins Nuppa Site'!I836,"NULL")</f>
        <v>38</v>
      </c>
      <c r="H836">
        <f>IF('Boletins Nuppa Site'!J836&lt;&gt;0,'Boletins Nuppa Site'!J836,"NULL")</f>
        <v>38</v>
      </c>
      <c r="J836" t="str">
        <f t="shared" si="13"/>
        <v>INSERT INTO COTACAO (blt_id, pap_id, cot_prc_comum, cot_prc_min, cot_prc_max, cot_prc_med, cot_prc_mediana) VALUES (22, 3, NULL, 36, 40, 38, 38);</v>
      </c>
    </row>
    <row r="837" spans="1:10" x14ac:dyDescent="0.3">
      <c r="A837">
        <v>836</v>
      </c>
      <c r="B837">
        <v>22</v>
      </c>
      <c r="C837">
        <v>4</v>
      </c>
      <c r="D837" t="str">
        <f>IF('Boletins Nuppa Site'!F837&lt;&gt;0,'Boletins Nuppa Site'!F837,"NULL")</f>
        <v>NULL</v>
      </c>
      <c r="E837">
        <f>IF('Boletins Nuppa Site'!G837&lt;&gt;0,'Boletins Nuppa Site'!G837,"NULL")</f>
        <v>20</v>
      </c>
      <c r="F837">
        <f>IF('Boletins Nuppa Site'!H837&lt;&gt;0,'Boletins Nuppa Site'!H837,"NULL")</f>
        <v>24</v>
      </c>
      <c r="G837">
        <f>IF('Boletins Nuppa Site'!I837&lt;&gt;0,'Boletins Nuppa Site'!I837,"NULL")</f>
        <v>22</v>
      </c>
      <c r="H837">
        <f>IF('Boletins Nuppa Site'!J837&lt;&gt;0,'Boletins Nuppa Site'!J837,"NULL")</f>
        <v>22</v>
      </c>
      <c r="J837" t="str">
        <f t="shared" si="13"/>
        <v>INSERT INTO COTACAO (blt_id, pap_id, cot_prc_comum, cot_prc_min, cot_prc_max, cot_prc_med, cot_prc_mediana) VALUES (22, 4, NULL, 20, 24, 22, 22);</v>
      </c>
    </row>
    <row r="838" spans="1:10" x14ac:dyDescent="0.3">
      <c r="A838">
        <v>837</v>
      </c>
      <c r="B838">
        <v>22</v>
      </c>
      <c r="C838">
        <v>5</v>
      </c>
      <c r="D838" t="str">
        <f>IF('Boletins Nuppa Site'!F838&lt;&gt;0,'Boletins Nuppa Site'!F838,"NULL")</f>
        <v>NULL</v>
      </c>
      <c r="E838">
        <f>IF('Boletins Nuppa Site'!G838&lt;&gt;0,'Boletins Nuppa Site'!G838,"NULL")</f>
        <v>20</v>
      </c>
      <c r="F838">
        <f>IF('Boletins Nuppa Site'!H838&lt;&gt;0,'Boletins Nuppa Site'!H838,"NULL")</f>
        <v>24</v>
      </c>
      <c r="G838">
        <f>IF('Boletins Nuppa Site'!I838&lt;&gt;0,'Boletins Nuppa Site'!I838,"NULL")</f>
        <v>22</v>
      </c>
      <c r="H838">
        <f>IF('Boletins Nuppa Site'!J838&lt;&gt;0,'Boletins Nuppa Site'!J838,"NULL")</f>
        <v>22</v>
      </c>
      <c r="J838" t="str">
        <f t="shared" si="13"/>
        <v>INSERT INTO COTACAO (blt_id, pap_id, cot_prc_comum, cot_prc_min, cot_prc_max, cot_prc_med, cot_prc_mediana) VALUES (22, 5, NULL, 20, 24, 22, 22);</v>
      </c>
    </row>
    <row r="839" spans="1:10" x14ac:dyDescent="0.3">
      <c r="A839">
        <v>838</v>
      </c>
      <c r="B839">
        <v>22</v>
      </c>
      <c r="C839">
        <v>6</v>
      </c>
      <c r="D839">
        <f>IF('Boletins Nuppa Site'!F839&lt;&gt;0,'Boletins Nuppa Site'!F839,"NULL")</f>
        <v>60</v>
      </c>
      <c r="E839">
        <f>IF('Boletins Nuppa Site'!G839&lt;&gt;0,'Boletins Nuppa Site'!G839,"NULL")</f>
        <v>60</v>
      </c>
      <c r="F839">
        <f>IF('Boletins Nuppa Site'!H839&lt;&gt;0,'Boletins Nuppa Site'!H839,"NULL")</f>
        <v>60</v>
      </c>
      <c r="G839">
        <f>IF('Boletins Nuppa Site'!I839&lt;&gt;0,'Boletins Nuppa Site'!I839,"NULL")</f>
        <v>60</v>
      </c>
      <c r="H839">
        <f>IF('Boletins Nuppa Site'!J839&lt;&gt;0,'Boletins Nuppa Site'!J839,"NULL")</f>
        <v>60</v>
      </c>
      <c r="J839" t="str">
        <f t="shared" si="13"/>
        <v>INSERT INTO COTACAO (blt_id, pap_id, cot_prc_comum, cot_prc_min, cot_prc_max, cot_prc_med, cot_prc_mediana) VALUES (22, 6, 60, 60, 60, 60, 60);</v>
      </c>
    </row>
    <row r="840" spans="1:10" x14ac:dyDescent="0.3">
      <c r="A840">
        <v>839</v>
      </c>
      <c r="B840">
        <v>22</v>
      </c>
      <c r="C840">
        <v>7</v>
      </c>
      <c r="D840">
        <f>IF('Boletins Nuppa Site'!F840&lt;&gt;0,'Boletins Nuppa Site'!F840,"NULL")</f>
        <v>84</v>
      </c>
      <c r="E840">
        <f>IF('Boletins Nuppa Site'!G840&lt;&gt;0,'Boletins Nuppa Site'!G840,"NULL")</f>
        <v>60</v>
      </c>
      <c r="F840">
        <f>IF('Boletins Nuppa Site'!H840&lt;&gt;0,'Boletins Nuppa Site'!H840,"NULL")</f>
        <v>84</v>
      </c>
      <c r="G840">
        <f>IF('Boletins Nuppa Site'!I840&lt;&gt;0,'Boletins Nuppa Site'!I840,"NULL")</f>
        <v>76</v>
      </c>
      <c r="H840">
        <f>IF('Boletins Nuppa Site'!J840&lt;&gt;0,'Boletins Nuppa Site'!J840,"NULL")</f>
        <v>84</v>
      </c>
      <c r="J840" t="str">
        <f t="shared" si="13"/>
        <v>INSERT INTO COTACAO (blt_id, pap_id, cot_prc_comum, cot_prc_min, cot_prc_max, cot_prc_med, cot_prc_mediana) VALUES (22, 7, 84, 60, 84, 76, 84);</v>
      </c>
    </row>
    <row r="841" spans="1:10" x14ac:dyDescent="0.3">
      <c r="A841">
        <v>840</v>
      </c>
      <c r="B841">
        <v>22</v>
      </c>
      <c r="C841">
        <v>8</v>
      </c>
      <c r="D841" t="str">
        <f>IF('Boletins Nuppa Site'!F841&lt;&gt;0,'Boletins Nuppa Site'!F841,"NULL")</f>
        <v>NULL</v>
      </c>
      <c r="E841">
        <f>IF('Boletins Nuppa Site'!G841&lt;&gt;0,'Boletins Nuppa Site'!G841,"NULL")</f>
        <v>84</v>
      </c>
      <c r="F841">
        <f>IF('Boletins Nuppa Site'!H841&lt;&gt;0,'Boletins Nuppa Site'!H841,"NULL")</f>
        <v>96</v>
      </c>
      <c r="G841">
        <f>IF('Boletins Nuppa Site'!I841&lt;&gt;0,'Boletins Nuppa Site'!I841,"NULL")</f>
        <v>90</v>
      </c>
      <c r="H841">
        <f>IF('Boletins Nuppa Site'!J841&lt;&gt;0,'Boletins Nuppa Site'!J841,"NULL")</f>
        <v>90</v>
      </c>
      <c r="J841" t="str">
        <f t="shared" si="13"/>
        <v>INSERT INTO COTACAO (blt_id, pap_id, cot_prc_comum, cot_prc_min, cot_prc_max, cot_prc_med, cot_prc_mediana) VALUES (22, 8, NULL, 84, 96, 90, 90);</v>
      </c>
    </row>
    <row r="842" spans="1:10" x14ac:dyDescent="0.3">
      <c r="A842">
        <v>841</v>
      </c>
      <c r="B842">
        <v>22</v>
      </c>
      <c r="C842">
        <v>9</v>
      </c>
      <c r="D842">
        <f>IF('Boletins Nuppa Site'!F842&lt;&gt;0,'Boletins Nuppa Site'!F842,"NULL")</f>
        <v>24</v>
      </c>
      <c r="E842">
        <f>IF('Boletins Nuppa Site'!G842&lt;&gt;0,'Boletins Nuppa Site'!G842,"NULL")</f>
        <v>24</v>
      </c>
      <c r="F842">
        <f>IF('Boletins Nuppa Site'!H842&lt;&gt;0,'Boletins Nuppa Site'!H842,"NULL")</f>
        <v>30</v>
      </c>
      <c r="G842">
        <f>IF('Boletins Nuppa Site'!I842&lt;&gt;0,'Boletins Nuppa Site'!I842,"NULL")</f>
        <v>26</v>
      </c>
      <c r="H842">
        <f>IF('Boletins Nuppa Site'!J842&lt;&gt;0,'Boletins Nuppa Site'!J842,"NULL")</f>
        <v>24</v>
      </c>
      <c r="J842" t="str">
        <f t="shared" si="13"/>
        <v>INSERT INTO COTACAO (blt_id, pap_id, cot_prc_comum, cot_prc_min, cot_prc_max, cot_prc_med, cot_prc_mediana) VALUES (22, 9, 24, 24, 30, 26, 24);</v>
      </c>
    </row>
    <row r="843" spans="1:10" x14ac:dyDescent="0.3">
      <c r="A843">
        <v>842</v>
      </c>
      <c r="B843">
        <v>22</v>
      </c>
      <c r="C843">
        <v>10</v>
      </c>
      <c r="D843" t="str">
        <f>IF('Boletins Nuppa Site'!F843&lt;&gt;0,'Boletins Nuppa Site'!F843,"NULL")</f>
        <v>NULL</v>
      </c>
      <c r="E843">
        <f>IF('Boletins Nuppa Site'!G843&lt;&gt;0,'Boletins Nuppa Site'!G843,"NULL")</f>
        <v>84</v>
      </c>
      <c r="F843">
        <f>IF('Boletins Nuppa Site'!H843&lt;&gt;0,'Boletins Nuppa Site'!H843,"NULL")</f>
        <v>96</v>
      </c>
      <c r="G843">
        <f>IF('Boletins Nuppa Site'!I843&lt;&gt;0,'Boletins Nuppa Site'!I843,"NULL")</f>
        <v>90</v>
      </c>
      <c r="H843">
        <f>IF('Boletins Nuppa Site'!J843&lt;&gt;0,'Boletins Nuppa Site'!J843,"NULL")</f>
        <v>90</v>
      </c>
      <c r="J843" t="str">
        <f t="shared" si="13"/>
        <v>INSERT INTO COTACAO (blt_id, pap_id, cot_prc_comum, cot_prc_min, cot_prc_max, cot_prc_med, cot_prc_mediana) VALUES (22, 10, NULL, 84, 96, 90, 90);</v>
      </c>
    </row>
    <row r="844" spans="1:10" x14ac:dyDescent="0.3">
      <c r="A844">
        <v>843</v>
      </c>
      <c r="B844">
        <v>22</v>
      </c>
      <c r="C844">
        <v>11</v>
      </c>
      <c r="D844" t="str">
        <f>IF('Boletins Nuppa Site'!F844&lt;&gt;0,'Boletins Nuppa Site'!F844,"NULL")</f>
        <v>NULL</v>
      </c>
      <c r="E844">
        <f>IF('Boletins Nuppa Site'!G844&lt;&gt;0,'Boletins Nuppa Site'!G844,"NULL")</f>
        <v>20</v>
      </c>
      <c r="F844">
        <f>IF('Boletins Nuppa Site'!H844&lt;&gt;0,'Boletins Nuppa Site'!H844,"NULL")</f>
        <v>24</v>
      </c>
      <c r="G844">
        <f>IF('Boletins Nuppa Site'!I844&lt;&gt;0,'Boletins Nuppa Site'!I844,"NULL")</f>
        <v>22</v>
      </c>
      <c r="H844">
        <f>IF('Boletins Nuppa Site'!J844&lt;&gt;0,'Boletins Nuppa Site'!J844,"NULL")</f>
        <v>22</v>
      </c>
      <c r="J844" t="str">
        <f t="shared" si="13"/>
        <v>INSERT INTO COTACAO (blt_id, pap_id, cot_prc_comum, cot_prc_min, cot_prc_max, cot_prc_med, cot_prc_mediana) VALUES (22, 11, NULL, 20, 24, 22, 22);</v>
      </c>
    </row>
    <row r="845" spans="1:10" x14ac:dyDescent="0.3">
      <c r="A845">
        <v>844</v>
      </c>
      <c r="B845">
        <v>22</v>
      </c>
      <c r="C845">
        <v>12</v>
      </c>
      <c r="D845">
        <f>IF('Boletins Nuppa Site'!F845&lt;&gt;0,'Boletins Nuppa Site'!F845,"NULL")</f>
        <v>72</v>
      </c>
      <c r="E845">
        <f>IF('Boletins Nuppa Site'!G845&lt;&gt;0,'Boletins Nuppa Site'!G845,"NULL")</f>
        <v>72</v>
      </c>
      <c r="F845">
        <f>IF('Boletins Nuppa Site'!H845&lt;&gt;0,'Boletins Nuppa Site'!H845,"NULL")</f>
        <v>72</v>
      </c>
      <c r="G845">
        <f>IF('Boletins Nuppa Site'!I845&lt;&gt;0,'Boletins Nuppa Site'!I845,"NULL")</f>
        <v>72</v>
      </c>
      <c r="H845">
        <f>IF('Boletins Nuppa Site'!J845&lt;&gt;0,'Boletins Nuppa Site'!J845,"NULL")</f>
        <v>72</v>
      </c>
      <c r="J845" t="str">
        <f t="shared" si="13"/>
        <v>INSERT INTO COTACAO (blt_id, pap_id, cot_prc_comum, cot_prc_min, cot_prc_max, cot_prc_med, cot_prc_mediana) VALUES (22, 12, 72, 72, 72, 72, 72);</v>
      </c>
    </row>
    <row r="846" spans="1:10" x14ac:dyDescent="0.3">
      <c r="A846">
        <v>845</v>
      </c>
      <c r="B846">
        <v>22</v>
      </c>
      <c r="C846">
        <v>13</v>
      </c>
      <c r="D846" t="str">
        <f>IF('Boletins Nuppa Site'!F846&lt;&gt;0,'Boletins Nuppa Site'!F846,"NULL")</f>
        <v>NULL</v>
      </c>
      <c r="E846">
        <f>IF('Boletins Nuppa Site'!G846&lt;&gt;0,'Boletins Nuppa Site'!G846,"NULL")</f>
        <v>60</v>
      </c>
      <c r="F846">
        <f>IF('Boletins Nuppa Site'!H846&lt;&gt;0,'Boletins Nuppa Site'!H846,"NULL")</f>
        <v>72</v>
      </c>
      <c r="G846">
        <f>IF('Boletins Nuppa Site'!I846&lt;&gt;0,'Boletins Nuppa Site'!I846,"NULL")</f>
        <v>66</v>
      </c>
      <c r="H846">
        <f>IF('Boletins Nuppa Site'!J846&lt;&gt;0,'Boletins Nuppa Site'!J846,"NULL")</f>
        <v>66</v>
      </c>
      <c r="J846" t="str">
        <f t="shared" si="13"/>
        <v>INSERT INTO COTACAO (blt_id, pap_id, cot_prc_comum, cot_prc_min, cot_prc_max, cot_prc_med, cot_prc_mediana) VALUES (22, 13, NULL, 60, 72, 66, 66);</v>
      </c>
    </row>
    <row r="847" spans="1:10" x14ac:dyDescent="0.3">
      <c r="A847">
        <v>846</v>
      </c>
      <c r="B847">
        <v>22</v>
      </c>
      <c r="C847">
        <v>14</v>
      </c>
      <c r="D847" t="str">
        <f>IF('Boletins Nuppa Site'!F847&lt;&gt;0,'Boletins Nuppa Site'!F847,"NULL")</f>
        <v>NULL</v>
      </c>
      <c r="E847">
        <f>IF('Boletins Nuppa Site'!G847&lt;&gt;0,'Boletins Nuppa Site'!G847,"NULL")</f>
        <v>65</v>
      </c>
      <c r="F847">
        <f>IF('Boletins Nuppa Site'!H847&lt;&gt;0,'Boletins Nuppa Site'!H847,"NULL")</f>
        <v>72</v>
      </c>
      <c r="G847" t="str">
        <f>IF('Boletins Nuppa Site'!I847&lt;&gt;0,'Boletins Nuppa Site'!I847,"NULL")</f>
        <v>68.5</v>
      </c>
      <c r="H847" t="str">
        <f>IF('Boletins Nuppa Site'!J847&lt;&gt;0,'Boletins Nuppa Site'!J847,"NULL")</f>
        <v>68.5</v>
      </c>
      <c r="J847" t="str">
        <f t="shared" si="13"/>
        <v>INSERT INTO COTACAO (blt_id, pap_id, cot_prc_comum, cot_prc_min, cot_prc_max, cot_prc_med, cot_prc_mediana) VALUES (22, 14, NULL, 65, 72, 68.5, 68.5);</v>
      </c>
    </row>
    <row r="848" spans="1:10" x14ac:dyDescent="0.3">
      <c r="A848">
        <v>847</v>
      </c>
      <c r="B848">
        <v>22</v>
      </c>
      <c r="C848">
        <v>15</v>
      </c>
      <c r="D848">
        <f>IF('Boletins Nuppa Site'!F848&lt;&gt;0,'Boletins Nuppa Site'!F848,"NULL")</f>
        <v>60</v>
      </c>
      <c r="E848">
        <f>IF('Boletins Nuppa Site'!G848&lt;&gt;0,'Boletins Nuppa Site'!G848,"NULL")</f>
        <v>50</v>
      </c>
      <c r="F848">
        <f>IF('Boletins Nuppa Site'!H848&lt;&gt;0,'Boletins Nuppa Site'!H848,"NULL")</f>
        <v>60</v>
      </c>
      <c r="G848" t="str">
        <f>IF('Boletins Nuppa Site'!I848&lt;&gt;0,'Boletins Nuppa Site'!I848,"NULL")</f>
        <v>56.67</v>
      </c>
      <c r="H848">
        <f>IF('Boletins Nuppa Site'!J848&lt;&gt;0,'Boletins Nuppa Site'!J848,"NULL")</f>
        <v>60</v>
      </c>
      <c r="J848" t="str">
        <f t="shared" si="13"/>
        <v>INSERT INTO COTACAO (blt_id, pap_id, cot_prc_comum, cot_prc_min, cot_prc_max, cot_prc_med, cot_prc_mediana) VALUES (22, 15, 60, 50, 60, 56.67, 60);</v>
      </c>
    </row>
    <row r="849" spans="1:10" x14ac:dyDescent="0.3">
      <c r="A849">
        <v>848</v>
      </c>
      <c r="B849">
        <v>22</v>
      </c>
      <c r="C849">
        <v>16</v>
      </c>
      <c r="D849" t="str">
        <f>IF('Boletins Nuppa Site'!F849&lt;&gt;0,'Boletins Nuppa Site'!F849,"NULL")</f>
        <v>NULL</v>
      </c>
      <c r="E849">
        <f>IF('Boletins Nuppa Site'!G849&lt;&gt;0,'Boletins Nuppa Site'!G849,"NULL")</f>
        <v>54</v>
      </c>
      <c r="F849">
        <f>IF('Boletins Nuppa Site'!H849&lt;&gt;0,'Boletins Nuppa Site'!H849,"NULL")</f>
        <v>72</v>
      </c>
      <c r="G849">
        <f>IF('Boletins Nuppa Site'!I849&lt;&gt;0,'Boletins Nuppa Site'!I849,"NULL")</f>
        <v>62</v>
      </c>
      <c r="H849">
        <f>IF('Boletins Nuppa Site'!J849&lt;&gt;0,'Boletins Nuppa Site'!J849,"NULL")</f>
        <v>60</v>
      </c>
      <c r="J849" t="str">
        <f t="shared" si="13"/>
        <v>INSERT INTO COTACAO (blt_id, pap_id, cot_prc_comum, cot_prc_min, cot_prc_max, cot_prc_med, cot_prc_mediana) VALUES (22, 16, NULL, 54, 72, 62, 60);</v>
      </c>
    </row>
    <row r="850" spans="1:10" x14ac:dyDescent="0.3">
      <c r="A850">
        <v>849</v>
      </c>
      <c r="B850">
        <v>22</v>
      </c>
      <c r="C850">
        <v>17</v>
      </c>
      <c r="D850">
        <f>IF('Boletins Nuppa Site'!F850&lt;&gt;0,'Boletins Nuppa Site'!F850,"NULL")</f>
        <v>5</v>
      </c>
      <c r="E850">
        <f>IF('Boletins Nuppa Site'!G850&lt;&gt;0,'Boletins Nuppa Site'!G850,"NULL")</f>
        <v>5</v>
      </c>
      <c r="F850">
        <f>IF('Boletins Nuppa Site'!H850&lt;&gt;0,'Boletins Nuppa Site'!H850,"NULL")</f>
        <v>5</v>
      </c>
      <c r="G850">
        <f>IF('Boletins Nuppa Site'!I850&lt;&gt;0,'Boletins Nuppa Site'!I850,"NULL")</f>
        <v>5</v>
      </c>
      <c r="H850">
        <f>IF('Boletins Nuppa Site'!J850&lt;&gt;0,'Boletins Nuppa Site'!J850,"NULL")</f>
        <v>5</v>
      </c>
      <c r="J850" t="str">
        <f t="shared" si="13"/>
        <v>INSERT INTO COTACAO (blt_id, pap_id, cot_prc_comum, cot_prc_min, cot_prc_max, cot_prc_med, cot_prc_mediana) VALUES (22, 17, 5, 5, 5, 5, 5);</v>
      </c>
    </row>
    <row r="851" spans="1:10" x14ac:dyDescent="0.3">
      <c r="A851">
        <v>850</v>
      </c>
      <c r="B851">
        <v>22</v>
      </c>
      <c r="C851">
        <v>18</v>
      </c>
      <c r="D851">
        <f>IF('Boletins Nuppa Site'!F851&lt;&gt;0,'Boletins Nuppa Site'!F851,"NULL")</f>
        <v>20</v>
      </c>
      <c r="E851">
        <f>IF('Boletins Nuppa Site'!G851&lt;&gt;0,'Boletins Nuppa Site'!G851,"NULL")</f>
        <v>20</v>
      </c>
      <c r="F851">
        <f>IF('Boletins Nuppa Site'!H851&lt;&gt;0,'Boletins Nuppa Site'!H851,"NULL")</f>
        <v>20</v>
      </c>
      <c r="G851">
        <f>IF('Boletins Nuppa Site'!I851&lt;&gt;0,'Boletins Nuppa Site'!I851,"NULL")</f>
        <v>20</v>
      </c>
      <c r="H851">
        <f>IF('Boletins Nuppa Site'!J851&lt;&gt;0,'Boletins Nuppa Site'!J851,"NULL")</f>
        <v>20</v>
      </c>
      <c r="J851" t="str">
        <f t="shared" si="13"/>
        <v>INSERT INTO COTACAO (blt_id, pap_id, cot_prc_comum, cot_prc_min, cot_prc_max, cot_prc_med, cot_prc_mediana) VALUES (22, 18, 20, 20, 20, 20, 20);</v>
      </c>
    </row>
    <row r="852" spans="1:10" x14ac:dyDescent="0.3">
      <c r="A852">
        <v>851</v>
      </c>
      <c r="B852">
        <v>22</v>
      </c>
      <c r="C852">
        <v>19</v>
      </c>
      <c r="D852" t="str">
        <f>IF('Boletins Nuppa Site'!F852&lt;&gt;0,'Boletins Nuppa Site'!F852,"NULL")</f>
        <v>NULL</v>
      </c>
      <c r="E852">
        <f>IF('Boletins Nuppa Site'!G852&lt;&gt;0,'Boletins Nuppa Site'!G852,"NULL")</f>
        <v>15</v>
      </c>
      <c r="F852">
        <f>IF('Boletins Nuppa Site'!H852&lt;&gt;0,'Boletins Nuppa Site'!H852,"NULL")</f>
        <v>35</v>
      </c>
      <c r="G852">
        <f>IF('Boletins Nuppa Site'!I852&lt;&gt;0,'Boletins Nuppa Site'!I852,"NULL")</f>
        <v>25</v>
      </c>
      <c r="H852">
        <f>IF('Boletins Nuppa Site'!J852&lt;&gt;0,'Boletins Nuppa Site'!J852,"NULL")</f>
        <v>25</v>
      </c>
      <c r="J852" t="str">
        <f t="shared" si="13"/>
        <v>INSERT INTO COTACAO (blt_id, pap_id, cot_prc_comum, cot_prc_min, cot_prc_max, cot_prc_med, cot_prc_mediana) VALUES (22, 19, NULL, 15, 35, 25, 25);</v>
      </c>
    </row>
    <row r="853" spans="1:10" x14ac:dyDescent="0.3">
      <c r="A853">
        <v>852</v>
      </c>
      <c r="B853">
        <v>22</v>
      </c>
      <c r="C853">
        <v>20</v>
      </c>
      <c r="D853" t="str">
        <f>IF('Boletins Nuppa Site'!F853&lt;&gt;0,'Boletins Nuppa Site'!F853,"NULL")</f>
        <v>NULL</v>
      </c>
      <c r="E853">
        <f>IF('Boletins Nuppa Site'!G853&lt;&gt;0,'Boletins Nuppa Site'!G853,"NULL")</f>
        <v>70</v>
      </c>
      <c r="F853">
        <f>IF('Boletins Nuppa Site'!H853&lt;&gt;0,'Boletins Nuppa Site'!H853,"NULL")</f>
        <v>90</v>
      </c>
      <c r="G853">
        <f>IF('Boletins Nuppa Site'!I853&lt;&gt;0,'Boletins Nuppa Site'!I853,"NULL")</f>
        <v>80</v>
      </c>
      <c r="H853">
        <f>IF('Boletins Nuppa Site'!J853&lt;&gt;0,'Boletins Nuppa Site'!J853,"NULL")</f>
        <v>80</v>
      </c>
      <c r="J853" t="str">
        <f t="shared" si="13"/>
        <v>INSERT INTO COTACAO (blt_id, pap_id, cot_prc_comum, cot_prc_min, cot_prc_max, cot_prc_med, cot_prc_mediana) VALUES (22, 20, NULL, 70, 90, 80, 80);</v>
      </c>
    </row>
    <row r="854" spans="1:10" x14ac:dyDescent="0.3">
      <c r="A854">
        <v>853</v>
      </c>
      <c r="B854">
        <v>22</v>
      </c>
      <c r="C854">
        <v>21</v>
      </c>
      <c r="D854">
        <f>IF('Boletins Nuppa Site'!F854&lt;&gt;0,'Boletins Nuppa Site'!F854,"NULL")</f>
        <v>45</v>
      </c>
      <c r="E854">
        <f>IF('Boletins Nuppa Site'!G854&lt;&gt;0,'Boletins Nuppa Site'!G854,"NULL")</f>
        <v>40</v>
      </c>
      <c r="F854">
        <f>IF('Boletins Nuppa Site'!H854&lt;&gt;0,'Boletins Nuppa Site'!H854,"NULL")</f>
        <v>100</v>
      </c>
      <c r="G854" t="str">
        <f>IF('Boletins Nuppa Site'!I854&lt;&gt;0,'Boletins Nuppa Site'!I854,"NULL")</f>
        <v>53.33</v>
      </c>
      <c r="H854">
        <f>IF('Boletins Nuppa Site'!J854&lt;&gt;0,'Boletins Nuppa Site'!J854,"NULL")</f>
        <v>45</v>
      </c>
      <c r="J854" t="str">
        <f t="shared" si="13"/>
        <v>INSERT INTO COTACAO (blt_id, pap_id, cot_prc_comum, cot_prc_min, cot_prc_max, cot_prc_med, cot_prc_mediana) VALUES (22, 21, 45, 40, 100, 53.33, 45);</v>
      </c>
    </row>
    <row r="855" spans="1:10" x14ac:dyDescent="0.3">
      <c r="A855">
        <v>854</v>
      </c>
      <c r="B855">
        <v>22</v>
      </c>
      <c r="C855">
        <v>22</v>
      </c>
      <c r="D855">
        <f>IF('Boletins Nuppa Site'!F855&lt;&gt;0,'Boletins Nuppa Site'!F855,"NULL")</f>
        <v>65</v>
      </c>
      <c r="E855">
        <f>IF('Boletins Nuppa Site'!G855&lt;&gt;0,'Boletins Nuppa Site'!G855,"NULL")</f>
        <v>45</v>
      </c>
      <c r="F855">
        <f>IF('Boletins Nuppa Site'!H855&lt;&gt;0,'Boletins Nuppa Site'!H855,"NULL")</f>
        <v>70</v>
      </c>
      <c r="G855" t="str">
        <f>IF('Boletins Nuppa Site'!I855&lt;&gt;0,'Boletins Nuppa Site'!I855,"NULL")</f>
        <v>60.83</v>
      </c>
      <c r="H855" t="str">
        <f>IF('Boletins Nuppa Site'!J855&lt;&gt;0,'Boletins Nuppa Site'!J855,"NULL")</f>
        <v>62.5</v>
      </c>
      <c r="J855" t="str">
        <f t="shared" si="13"/>
        <v>INSERT INTO COTACAO (blt_id, pap_id, cot_prc_comum, cot_prc_min, cot_prc_max, cot_prc_med, cot_prc_mediana) VALUES (22, 22, 65, 45, 70, 60.83, 62.5);</v>
      </c>
    </row>
    <row r="856" spans="1:10" x14ac:dyDescent="0.3">
      <c r="A856">
        <v>855</v>
      </c>
      <c r="B856">
        <v>22</v>
      </c>
      <c r="C856">
        <v>23</v>
      </c>
      <c r="D856">
        <f>IF('Boletins Nuppa Site'!F856&lt;&gt;0,'Boletins Nuppa Site'!F856,"NULL")</f>
        <v>40</v>
      </c>
      <c r="E856">
        <f>IF('Boletins Nuppa Site'!G856&lt;&gt;0,'Boletins Nuppa Site'!G856,"NULL")</f>
        <v>40</v>
      </c>
      <c r="F856">
        <f>IF('Boletins Nuppa Site'!H856&lt;&gt;0,'Boletins Nuppa Site'!H856,"NULL")</f>
        <v>55</v>
      </c>
      <c r="G856" t="str">
        <f>IF('Boletins Nuppa Site'!I856&lt;&gt;0,'Boletins Nuppa Site'!I856,"NULL")</f>
        <v>45.83</v>
      </c>
      <c r="H856">
        <f>IF('Boletins Nuppa Site'!J856&lt;&gt;0,'Boletins Nuppa Site'!J856,"NULL")</f>
        <v>45</v>
      </c>
      <c r="J856" t="str">
        <f t="shared" si="13"/>
        <v>INSERT INTO COTACAO (blt_id, pap_id, cot_prc_comum, cot_prc_min, cot_prc_max, cot_prc_med, cot_prc_mediana) VALUES (22, 23, 40, 40, 55, 45.83, 45);</v>
      </c>
    </row>
    <row r="857" spans="1:10" x14ac:dyDescent="0.3">
      <c r="A857">
        <v>856</v>
      </c>
      <c r="B857">
        <v>22</v>
      </c>
      <c r="C857">
        <v>24</v>
      </c>
      <c r="D857" t="str">
        <f>IF('Boletins Nuppa Site'!F857&lt;&gt;0,'Boletins Nuppa Site'!F857,"NULL")</f>
        <v>NULL</v>
      </c>
      <c r="E857">
        <f>IF('Boletins Nuppa Site'!G857&lt;&gt;0,'Boletins Nuppa Site'!G857,"NULL")</f>
        <v>45</v>
      </c>
      <c r="F857">
        <f>IF('Boletins Nuppa Site'!H857&lt;&gt;0,'Boletins Nuppa Site'!H857,"NULL")</f>
        <v>115</v>
      </c>
      <c r="G857" t="str">
        <f>IF('Boletins Nuppa Site'!I857&lt;&gt;0,'Boletins Nuppa Site'!I857,"NULL")</f>
        <v>78.75</v>
      </c>
      <c r="H857" t="str">
        <f>IF('Boletins Nuppa Site'!J857&lt;&gt;0,'Boletins Nuppa Site'!J857,"NULL")</f>
        <v>77.5</v>
      </c>
      <c r="J857" t="str">
        <f t="shared" si="13"/>
        <v>INSERT INTO COTACAO (blt_id, pap_id, cot_prc_comum, cot_prc_min, cot_prc_max, cot_prc_med, cot_prc_mediana) VALUES (22, 24, NULL, 45, 115, 78.75, 77.5);</v>
      </c>
    </row>
    <row r="858" spans="1:10" x14ac:dyDescent="0.3">
      <c r="A858">
        <v>857</v>
      </c>
      <c r="B858">
        <v>22</v>
      </c>
      <c r="C858">
        <v>25</v>
      </c>
      <c r="D858">
        <f>IF('Boletins Nuppa Site'!F858&lt;&gt;0,'Boletins Nuppa Site'!F858,"NULL")</f>
        <v>80</v>
      </c>
      <c r="E858">
        <f>IF('Boletins Nuppa Site'!G858&lt;&gt;0,'Boletins Nuppa Site'!G858,"NULL")</f>
        <v>70</v>
      </c>
      <c r="F858">
        <f>IF('Boletins Nuppa Site'!H858&lt;&gt;0,'Boletins Nuppa Site'!H858,"NULL")</f>
        <v>100</v>
      </c>
      <c r="G858">
        <f>IF('Boletins Nuppa Site'!I858&lt;&gt;0,'Boletins Nuppa Site'!I858,"NULL")</f>
        <v>85</v>
      </c>
      <c r="H858">
        <f>IF('Boletins Nuppa Site'!J858&lt;&gt;0,'Boletins Nuppa Site'!J858,"NULL")</f>
        <v>80</v>
      </c>
      <c r="J858" t="str">
        <f t="shared" si="13"/>
        <v>INSERT INTO COTACAO (blt_id, pap_id, cot_prc_comum, cot_prc_min, cot_prc_max, cot_prc_med, cot_prc_mediana) VALUES (22, 25, 80, 70, 100, 85, 80);</v>
      </c>
    </row>
    <row r="859" spans="1:10" x14ac:dyDescent="0.3">
      <c r="A859">
        <v>858</v>
      </c>
      <c r="B859">
        <v>22</v>
      </c>
      <c r="C859">
        <v>26</v>
      </c>
      <c r="D859">
        <f>IF('Boletins Nuppa Site'!F859&lt;&gt;0,'Boletins Nuppa Site'!F859,"NULL")</f>
        <v>90</v>
      </c>
      <c r="E859">
        <f>IF('Boletins Nuppa Site'!G859&lt;&gt;0,'Boletins Nuppa Site'!G859,"NULL")</f>
        <v>65</v>
      </c>
      <c r="F859">
        <f>IF('Boletins Nuppa Site'!H859&lt;&gt;0,'Boletins Nuppa Site'!H859,"NULL")</f>
        <v>90</v>
      </c>
      <c r="G859">
        <f>IF('Boletins Nuppa Site'!I859&lt;&gt;0,'Boletins Nuppa Site'!I859,"NULL")</f>
        <v>81</v>
      </c>
      <c r="H859">
        <f>IF('Boletins Nuppa Site'!J859&lt;&gt;0,'Boletins Nuppa Site'!J859,"NULL")</f>
        <v>90</v>
      </c>
      <c r="J859" t="str">
        <f t="shared" si="13"/>
        <v>INSERT INTO COTACAO (blt_id, pap_id, cot_prc_comum, cot_prc_min, cot_prc_max, cot_prc_med, cot_prc_mediana) VALUES (22, 26, 90, 65, 90, 81, 90);</v>
      </c>
    </row>
    <row r="860" spans="1:10" x14ac:dyDescent="0.3">
      <c r="A860">
        <v>859</v>
      </c>
      <c r="B860">
        <v>22</v>
      </c>
      <c r="C860">
        <v>27</v>
      </c>
      <c r="D860" t="str">
        <f>IF('Boletins Nuppa Site'!F860&lt;&gt;0,'Boletins Nuppa Site'!F860,"NULL")</f>
        <v>NULL</v>
      </c>
      <c r="E860">
        <f>IF('Boletins Nuppa Site'!G860&lt;&gt;0,'Boletins Nuppa Site'!G860,"NULL")</f>
        <v>55</v>
      </c>
      <c r="F860">
        <f>IF('Boletins Nuppa Site'!H860&lt;&gt;0,'Boletins Nuppa Site'!H860,"NULL")</f>
        <v>80</v>
      </c>
      <c r="G860" t="str">
        <f>IF('Boletins Nuppa Site'!I860&lt;&gt;0,'Boletins Nuppa Site'!I860,"NULL")</f>
        <v>66.25</v>
      </c>
      <c r="H860">
        <f>IF('Boletins Nuppa Site'!J860&lt;&gt;0,'Boletins Nuppa Site'!J860,"NULL")</f>
        <v>65</v>
      </c>
      <c r="J860" t="str">
        <f t="shared" si="13"/>
        <v>INSERT INTO COTACAO (blt_id, pap_id, cot_prc_comum, cot_prc_min, cot_prc_max, cot_prc_med, cot_prc_mediana) VALUES (22, 27, NULL, 55, 80, 66.25, 65);</v>
      </c>
    </row>
    <row r="861" spans="1:10" x14ac:dyDescent="0.3">
      <c r="A861">
        <v>860</v>
      </c>
      <c r="B861">
        <v>22</v>
      </c>
      <c r="C861">
        <v>28</v>
      </c>
      <c r="D861">
        <f>IF('Boletins Nuppa Site'!F861&lt;&gt;0,'Boletins Nuppa Site'!F861,"NULL")</f>
        <v>100</v>
      </c>
      <c r="E861">
        <f>IF('Boletins Nuppa Site'!G861&lt;&gt;0,'Boletins Nuppa Site'!G861,"NULL")</f>
        <v>80</v>
      </c>
      <c r="F861">
        <f>IF('Boletins Nuppa Site'!H861&lt;&gt;0,'Boletins Nuppa Site'!H861,"NULL")</f>
        <v>100</v>
      </c>
      <c r="G861">
        <f>IF('Boletins Nuppa Site'!I861&lt;&gt;0,'Boletins Nuppa Site'!I861,"NULL")</f>
        <v>95</v>
      </c>
      <c r="H861">
        <f>IF('Boletins Nuppa Site'!J861&lt;&gt;0,'Boletins Nuppa Site'!J861,"NULL")</f>
        <v>100</v>
      </c>
      <c r="J861" t="str">
        <f t="shared" si="13"/>
        <v>INSERT INTO COTACAO (blt_id, pap_id, cot_prc_comum, cot_prc_min, cot_prc_max, cot_prc_med, cot_prc_mediana) VALUES (22, 28, 100, 80, 100, 95, 100);</v>
      </c>
    </row>
    <row r="862" spans="1:10" x14ac:dyDescent="0.3">
      <c r="A862">
        <v>861</v>
      </c>
      <c r="B862">
        <v>22</v>
      </c>
      <c r="C862">
        <v>29</v>
      </c>
      <c r="D862" t="str">
        <f>IF('Boletins Nuppa Site'!F862&lt;&gt;0,'Boletins Nuppa Site'!F862,"NULL")</f>
        <v>NULL</v>
      </c>
      <c r="E862">
        <f>IF('Boletins Nuppa Site'!G862&lt;&gt;0,'Boletins Nuppa Site'!G862,"NULL")</f>
        <v>40</v>
      </c>
      <c r="F862">
        <f>IF('Boletins Nuppa Site'!H862&lt;&gt;0,'Boletins Nuppa Site'!H862,"NULL")</f>
        <v>60</v>
      </c>
      <c r="G862" t="str">
        <f>IF('Boletins Nuppa Site'!I862&lt;&gt;0,'Boletins Nuppa Site'!I862,"NULL")</f>
        <v>51.25</v>
      </c>
      <c r="H862" t="str">
        <f>IF('Boletins Nuppa Site'!J862&lt;&gt;0,'Boletins Nuppa Site'!J862,"NULL")</f>
        <v>52.5</v>
      </c>
      <c r="J862" t="str">
        <f t="shared" si="13"/>
        <v>INSERT INTO COTACAO (blt_id, pap_id, cot_prc_comum, cot_prc_min, cot_prc_max, cot_prc_med, cot_prc_mediana) VALUES (22, 29, NULL, 40, 60, 51.25, 52.5);</v>
      </c>
    </row>
    <row r="863" spans="1:10" x14ac:dyDescent="0.3">
      <c r="A863">
        <v>862</v>
      </c>
      <c r="B863">
        <v>22</v>
      </c>
      <c r="C863">
        <v>30</v>
      </c>
      <c r="D863" t="str">
        <f>IF('Boletins Nuppa Site'!F863&lt;&gt;0,'Boletins Nuppa Site'!F863,"NULL")</f>
        <v>NULL</v>
      </c>
      <c r="E863">
        <f>IF('Boletins Nuppa Site'!G863&lt;&gt;0,'Boletins Nuppa Site'!G863,"NULL")</f>
        <v>50</v>
      </c>
      <c r="F863">
        <f>IF('Boletins Nuppa Site'!H863&lt;&gt;0,'Boletins Nuppa Site'!H863,"NULL")</f>
        <v>70</v>
      </c>
      <c r="G863" t="str">
        <f>IF('Boletins Nuppa Site'!I863&lt;&gt;0,'Boletins Nuppa Site'!I863,"NULL")</f>
        <v>61.67</v>
      </c>
      <c r="H863">
        <f>IF('Boletins Nuppa Site'!J863&lt;&gt;0,'Boletins Nuppa Site'!J863,"NULL")</f>
        <v>65</v>
      </c>
      <c r="J863" t="str">
        <f t="shared" si="13"/>
        <v>INSERT INTO COTACAO (blt_id, pap_id, cot_prc_comum, cot_prc_min, cot_prc_max, cot_prc_med, cot_prc_mediana) VALUES (22, 30, NULL, 50, 70, 61.67, 65);</v>
      </c>
    </row>
    <row r="864" spans="1:10" x14ac:dyDescent="0.3">
      <c r="A864">
        <v>863</v>
      </c>
      <c r="B864">
        <v>22</v>
      </c>
      <c r="C864">
        <v>31</v>
      </c>
      <c r="D864">
        <f>IF('Boletins Nuppa Site'!F864&lt;&gt;0,'Boletins Nuppa Site'!F864,"NULL")</f>
        <v>60</v>
      </c>
      <c r="E864">
        <f>IF('Boletins Nuppa Site'!G864&lt;&gt;0,'Boletins Nuppa Site'!G864,"NULL")</f>
        <v>60</v>
      </c>
      <c r="F864">
        <f>IF('Boletins Nuppa Site'!H864&lt;&gt;0,'Boletins Nuppa Site'!H864,"NULL")</f>
        <v>70</v>
      </c>
      <c r="G864">
        <f>IF('Boletins Nuppa Site'!I864&lt;&gt;0,'Boletins Nuppa Site'!I864,"NULL")</f>
        <v>65</v>
      </c>
      <c r="H864">
        <f>IF('Boletins Nuppa Site'!J864&lt;&gt;0,'Boletins Nuppa Site'!J864,"NULL")</f>
        <v>65</v>
      </c>
      <c r="J864" t="str">
        <f t="shared" si="13"/>
        <v>INSERT INTO COTACAO (blt_id, pap_id, cot_prc_comum, cot_prc_min, cot_prc_max, cot_prc_med, cot_prc_mediana) VALUES (22, 31, 60, 60, 70, 65, 65);</v>
      </c>
    </row>
    <row r="865" spans="1:10" x14ac:dyDescent="0.3">
      <c r="A865">
        <v>864</v>
      </c>
      <c r="B865">
        <v>22</v>
      </c>
      <c r="C865">
        <v>32</v>
      </c>
      <c r="D865">
        <f>IF('Boletins Nuppa Site'!F865&lt;&gt;0,'Boletins Nuppa Site'!F865,"NULL")</f>
        <v>45</v>
      </c>
      <c r="E865">
        <f>IF('Boletins Nuppa Site'!G865&lt;&gt;0,'Boletins Nuppa Site'!G865,"NULL")</f>
        <v>40</v>
      </c>
      <c r="F865">
        <f>IF('Boletins Nuppa Site'!H865&lt;&gt;0,'Boletins Nuppa Site'!H865,"NULL")</f>
        <v>60</v>
      </c>
      <c r="G865" t="str">
        <f>IF('Boletins Nuppa Site'!I865&lt;&gt;0,'Boletins Nuppa Site'!I865,"NULL")</f>
        <v>49.29</v>
      </c>
      <c r="H865">
        <f>IF('Boletins Nuppa Site'!J865&lt;&gt;0,'Boletins Nuppa Site'!J865,"NULL")</f>
        <v>50</v>
      </c>
      <c r="J865" t="str">
        <f t="shared" si="13"/>
        <v>INSERT INTO COTACAO (blt_id, pap_id, cot_prc_comum, cot_prc_min, cot_prc_max, cot_prc_med, cot_prc_mediana) VALUES (22, 32, 45, 40, 60, 49.29, 50);</v>
      </c>
    </row>
    <row r="866" spans="1:10" x14ac:dyDescent="0.3">
      <c r="A866">
        <v>865</v>
      </c>
      <c r="B866">
        <v>22</v>
      </c>
      <c r="C866">
        <v>33</v>
      </c>
      <c r="D866" t="str">
        <f>IF('Boletins Nuppa Site'!F866&lt;&gt;0,'Boletins Nuppa Site'!F866,"NULL")</f>
        <v>NULL</v>
      </c>
      <c r="E866">
        <f>IF('Boletins Nuppa Site'!G866&lt;&gt;0,'Boletins Nuppa Site'!G866,"NULL")</f>
        <v>120</v>
      </c>
      <c r="F866">
        <f>IF('Boletins Nuppa Site'!H866&lt;&gt;0,'Boletins Nuppa Site'!H866,"NULL")</f>
        <v>180</v>
      </c>
      <c r="G866" t="str">
        <f>IF('Boletins Nuppa Site'!I866&lt;&gt;0,'Boletins Nuppa Site'!I866,"NULL")</f>
        <v>143.33</v>
      </c>
      <c r="H866">
        <f>IF('Boletins Nuppa Site'!J866&lt;&gt;0,'Boletins Nuppa Site'!J866,"NULL")</f>
        <v>130</v>
      </c>
      <c r="J866" t="str">
        <f t="shared" si="13"/>
        <v>INSERT INTO COTACAO (blt_id, pap_id, cot_prc_comum, cot_prc_min, cot_prc_max, cot_prc_med, cot_prc_mediana) VALUES (22, 33, NULL, 120, 180, 143.33, 130);</v>
      </c>
    </row>
    <row r="867" spans="1:10" x14ac:dyDescent="0.3">
      <c r="A867">
        <v>866</v>
      </c>
      <c r="B867">
        <v>22</v>
      </c>
      <c r="C867">
        <v>34</v>
      </c>
      <c r="D867">
        <f>IF('Boletins Nuppa Site'!F867&lt;&gt;0,'Boletins Nuppa Site'!F867,"NULL")</f>
        <v>70</v>
      </c>
      <c r="E867">
        <f>IF('Boletins Nuppa Site'!G867&lt;&gt;0,'Boletins Nuppa Site'!G867,"NULL")</f>
        <v>70</v>
      </c>
      <c r="F867">
        <f>IF('Boletins Nuppa Site'!H867&lt;&gt;0,'Boletins Nuppa Site'!H867,"NULL")</f>
        <v>100</v>
      </c>
      <c r="G867" t="str">
        <f>IF('Boletins Nuppa Site'!I867&lt;&gt;0,'Boletins Nuppa Site'!I867,"NULL")</f>
        <v>83.33</v>
      </c>
      <c r="H867">
        <f>IF('Boletins Nuppa Site'!J867&lt;&gt;0,'Boletins Nuppa Site'!J867,"NULL")</f>
        <v>80</v>
      </c>
      <c r="J867" t="str">
        <f t="shared" si="13"/>
        <v>INSERT INTO COTACAO (blt_id, pap_id, cot_prc_comum, cot_prc_min, cot_prc_max, cot_prc_med, cot_prc_mediana) VALUES (22, 34, 70, 70, 100, 83.33, 80);</v>
      </c>
    </row>
    <row r="868" spans="1:10" x14ac:dyDescent="0.3">
      <c r="A868">
        <v>867</v>
      </c>
      <c r="B868">
        <v>22</v>
      </c>
      <c r="C868">
        <v>35</v>
      </c>
      <c r="D868">
        <f>IF('Boletins Nuppa Site'!F868&lt;&gt;0,'Boletins Nuppa Site'!F868,"NULL")</f>
        <v>120</v>
      </c>
      <c r="E868">
        <f>IF('Boletins Nuppa Site'!G868&lt;&gt;0,'Boletins Nuppa Site'!G868,"NULL")</f>
        <v>100</v>
      </c>
      <c r="F868">
        <f>IF('Boletins Nuppa Site'!H868&lt;&gt;0,'Boletins Nuppa Site'!H868,"NULL")</f>
        <v>200</v>
      </c>
      <c r="G868">
        <f>IF('Boletins Nuppa Site'!I868&lt;&gt;0,'Boletins Nuppa Site'!I868,"NULL")</f>
        <v>135</v>
      </c>
      <c r="H868">
        <f>IF('Boletins Nuppa Site'!J868&lt;&gt;0,'Boletins Nuppa Site'!J868,"NULL")</f>
        <v>120</v>
      </c>
      <c r="J868" t="str">
        <f t="shared" si="13"/>
        <v>INSERT INTO COTACAO (blt_id, pap_id, cot_prc_comum, cot_prc_min, cot_prc_max, cot_prc_med, cot_prc_mediana) VALUES (22, 35, 120, 100, 200, 135, 120);</v>
      </c>
    </row>
    <row r="869" spans="1:10" x14ac:dyDescent="0.3">
      <c r="A869">
        <v>868</v>
      </c>
      <c r="B869">
        <v>22</v>
      </c>
      <c r="C869">
        <v>36</v>
      </c>
      <c r="D869" t="str">
        <f>IF('Boletins Nuppa Site'!F869&lt;&gt;0,'Boletins Nuppa Site'!F869,"NULL")</f>
        <v>NULL</v>
      </c>
      <c r="E869">
        <f>IF('Boletins Nuppa Site'!G869&lt;&gt;0,'Boletins Nuppa Site'!G869,"NULL")</f>
        <v>130</v>
      </c>
      <c r="F869">
        <f>IF('Boletins Nuppa Site'!H869&lt;&gt;0,'Boletins Nuppa Site'!H869,"NULL")</f>
        <v>130</v>
      </c>
      <c r="G869">
        <f>IF('Boletins Nuppa Site'!I869&lt;&gt;0,'Boletins Nuppa Site'!I869,"NULL")</f>
        <v>130</v>
      </c>
      <c r="H869">
        <f>IF('Boletins Nuppa Site'!J869&lt;&gt;0,'Boletins Nuppa Site'!J869,"NULL")</f>
        <v>130</v>
      </c>
      <c r="J869" t="str">
        <f t="shared" si="13"/>
        <v>INSERT INTO COTACAO (blt_id, pap_id, cot_prc_comum, cot_prc_min, cot_prc_max, cot_prc_med, cot_prc_mediana) VALUES (22, 36, NULL, 130, 130, 130, 130);</v>
      </c>
    </row>
    <row r="870" spans="1:10" x14ac:dyDescent="0.3">
      <c r="A870">
        <v>869</v>
      </c>
      <c r="B870">
        <v>22</v>
      </c>
      <c r="C870">
        <v>37</v>
      </c>
      <c r="D870" t="str">
        <f>IF('Boletins Nuppa Site'!F870&lt;&gt;0,'Boletins Nuppa Site'!F870,"NULL")</f>
        <v>NULL</v>
      </c>
      <c r="E870" t="str">
        <f>IF('Boletins Nuppa Site'!G870&lt;&gt;0,'Boletins Nuppa Site'!G870,"NULL")</f>
        <v>NULL</v>
      </c>
      <c r="F870" t="str">
        <f>IF('Boletins Nuppa Site'!H870&lt;&gt;0,'Boletins Nuppa Site'!H870,"NULL")</f>
        <v>NULL</v>
      </c>
      <c r="G870" t="str">
        <f>IF('Boletins Nuppa Site'!I870&lt;&gt;0,'Boletins Nuppa Site'!I870,"NULL")</f>
        <v>NULL</v>
      </c>
      <c r="H870" t="str">
        <f>IF('Boletins Nuppa Site'!J870&lt;&gt;0,'Boletins Nuppa Site'!J870,"NULL")</f>
        <v>NULL</v>
      </c>
      <c r="J870" t="str">
        <f t="shared" si="13"/>
        <v>INSERT INTO COTACAO (blt_id, pap_id, cot_prc_comum, cot_prc_min, cot_prc_max, cot_prc_med, cot_prc_mediana) VALUES (22, 37, NULL, NULL, NULL, NULL, NULL);</v>
      </c>
    </row>
    <row r="871" spans="1:10" x14ac:dyDescent="0.3">
      <c r="A871">
        <v>870</v>
      </c>
      <c r="B871">
        <v>22</v>
      </c>
      <c r="C871">
        <v>38</v>
      </c>
      <c r="D871" t="str">
        <f>IF('Boletins Nuppa Site'!F871&lt;&gt;0,'Boletins Nuppa Site'!F871,"NULL")</f>
        <v>NULL</v>
      </c>
      <c r="E871" t="str">
        <f>IF('Boletins Nuppa Site'!G871&lt;&gt;0,'Boletins Nuppa Site'!G871,"NULL")</f>
        <v>NULL</v>
      </c>
      <c r="F871" t="str">
        <f>IF('Boletins Nuppa Site'!H871&lt;&gt;0,'Boletins Nuppa Site'!H871,"NULL")</f>
        <v>NULL</v>
      </c>
      <c r="G871" t="str">
        <f>IF('Boletins Nuppa Site'!I871&lt;&gt;0,'Boletins Nuppa Site'!I871,"NULL")</f>
        <v>NULL</v>
      </c>
      <c r="H871" t="str">
        <f>IF('Boletins Nuppa Site'!J871&lt;&gt;0,'Boletins Nuppa Site'!J871,"NULL")</f>
        <v>NULL</v>
      </c>
      <c r="J871" t="str">
        <f t="shared" si="13"/>
        <v>INSERT INTO COTACAO (blt_id, pap_id, cot_prc_comum, cot_prc_min, cot_prc_max, cot_prc_med, cot_prc_mediana) VALUES (22, 38, NULL, NULL, NULL, NULL, NULL);</v>
      </c>
    </row>
    <row r="872" spans="1:10" x14ac:dyDescent="0.3">
      <c r="A872">
        <v>871</v>
      </c>
      <c r="B872">
        <v>22</v>
      </c>
      <c r="C872">
        <v>39</v>
      </c>
      <c r="D872" t="str">
        <f>IF('Boletins Nuppa Site'!F872&lt;&gt;0,'Boletins Nuppa Site'!F872,"NULL")</f>
        <v>NULL</v>
      </c>
      <c r="E872">
        <f>IF('Boletins Nuppa Site'!G872&lt;&gt;0,'Boletins Nuppa Site'!G872,"NULL")</f>
        <v>50</v>
      </c>
      <c r="F872">
        <f>IF('Boletins Nuppa Site'!H872&lt;&gt;0,'Boletins Nuppa Site'!H872,"NULL")</f>
        <v>50</v>
      </c>
      <c r="G872">
        <f>IF('Boletins Nuppa Site'!I872&lt;&gt;0,'Boletins Nuppa Site'!I872,"NULL")</f>
        <v>50</v>
      </c>
      <c r="H872">
        <f>IF('Boletins Nuppa Site'!J872&lt;&gt;0,'Boletins Nuppa Site'!J872,"NULL")</f>
        <v>50</v>
      </c>
      <c r="J872" t="str">
        <f t="shared" si="13"/>
        <v>INSERT INTO COTACAO (blt_id, pap_id, cot_prc_comum, cot_prc_min, cot_prc_max, cot_prc_med, cot_prc_mediana) VALUES (22, 39, NULL, 50, 50, 50, 50);</v>
      </c>
    </row>
    <row r="873" spans="1:10" x14ac:dyDescent="0.3">
      <c r="A873">
        <v>872</v>
      </c>
      <c r="B873">
        <v>22</v>
      </c>
      <c r="C873">
        <v>40</v>
      </c>
      <c r="D873" t="str">
        <f>IF('Boletins Nuppa Site'!F873&lt;&gt;0,'Boletins Nuppa Site'!F873,"NULL")</f>
        <v>NULL</v>
      </c>
      <c r="E873">
        <f>IF('Boletins Nuppa Site'!G873&lt;&gt;0,'Boletins Nuppa Site'!G873,"NULL")</f>
        <v>60</v>
      </c>
      <c r="F873">
        <f>IF('Boletins Nuppa Site'!H873&lt;&gt;0,'Boletins Nuppa Site'!H873,"NULL")</f>
        <v>65</v>
      </c>
      <c r="G873" t="str">
        <f>IF('Boletins Nuppa Site'!I873&lt;&gt;0,'Boletins Nuppa Site'!I873,"NULL")</f>
        <v>62.5</v>
      </c>
      <c r="H873" t="str">
        <f>IF('Boletins Nuppa Site'!J873&lt;&gt;0,'Boletins Nuppa Site'!J873,"NULL")</f>
        <v>62.5</v>
      </c>
      <c r="J873" t="str">
        <f t="shared" si="13"/>
        <v>INSERT INTO COTACAO (blt_id, pap_id, cot_prc_comum, cot_prc_min, cot_prc_max, cot_prc_med, cot_prc_mediana) VALUES (22, 40, NULL, 60, 65, 62.5, 62.5);</v>
      </c>
    </row>
    <row r="874" spans="1:10" x14ac:dyDescent="0.3">
      <c r="A874">
        <v>873</v>
      </c>
      <c r="B874">
        <v>23</v>
      </c>
      <c r="C874">
        <v>1</v>
      </c>
      <c r="D874">
        <f>IF('Boletins Nuppa Site'!F874&lt;&gt;0,'Boletins Nuppa Site'!F874,"NULL")</f>
        <v>60</v>
      </c>
      <c r="E874">
        <f>IF('Boletins Nuppa Site'!G874&lt;&gt;0,'Boletins Nuppa Site'!G874,"NULL")</f>
        <v>48</v>
      </c>
      <c r="F874">
        <f>IF('Boletins Nuppa Site'!H874&lt;&gt;0,'Boletins Nuppa Site'!H874,"NULL")</f>
        <v>60</v>
      </c>
      <c r="G874">
        <f>IF('Boletins Nuppa Site'!I874&lt;&gt;0,'Boletins Nuppa Site'!I874,"NULL")</f>
        <v>57</v>
      </c>
      <c r="H874">
        <f>IF('Boletins Nuppa Site'!J874&lt;&gt;0,'Boletins Nuppa Site'!J874,"NULL")</f>
        <v>60</v>
      </c>
      <c r="J874" t="str">
        <f t="shared" si="13"/>
        <v>INSERT INTO COTACAO (blt_id, pap_id, cot_prc_comum, cot_prc_min, cot_prc_max, cot_prc_med, cot_prc_mediana) VALUES (23, 1, 60, 48, 60, 57, 60);</v>
      </c>
    </row>
    <row r="875" spans="1:10" x14ac:dyDescent="0.3">
      <c r="A875">
        <v>874</v>
      </c>
      <c r="B875">
        <v>23</v>
      </c>
      <c r="C875">
        <v>2</v>
      </c>
      <c r="D875">
        <f>IF('Boletins Nuppa Site'!F875&lt;&gt;0,'Boletins Nuppa Site'!F875,"NULL")</f>
        <v>72</v>
      </c>
      <c r="E875">
        <f>IF('Boletins Nuppa Site'!G875&lt;&gt;0,'Boletins Nuppa Site'!G875,"NULL")</f>
        <v>72</v>
      </c>
      <c r="F875">
        <f>IF('Boletins Nuppa Site'!H875&lt;&gt;0,'Boletins Nuppa Site'!H875,"NULL")</f>
        <v>84</v>
      </c>
      <c r="G875">
        <f>IF('Boletins Nuppa Site'!I875&lt;&gt;0,'Boletins Nuppa Site'!I875,"NULL")</f>
        <v>75</v>
      </c>
      <c r="H875">
        <f>IF('Boletins Nuppa Site'!J875&lt;&gt;0,'Boletins Nuppa Site'!J875,"NULL")</f>
        <v>72</v>
      </c>
      <c r="J875" t="str">
        <f t="shared" si="13"/>
        <v>INSERT INTO COTACAO (blt_id, pap_id, cot_prc_comum, cot_prc_min, cot_prc_max, cot_prc_med, cot_prc_mediana) VALUES (23, 2, 72, 72, 84, 75, 72);</v>
      </c>
    </row>
    <row r="876" spans="1:10" x14ac:dyDescent="0.3">
      <c r="A876">
        <v>875</v>
      </c>
      <c r="B876">
        <v>23</v>
      </c>
      <c r="C876">
        <v>3</v>
      </c>
      <c r="D876" t="str">
        <f>IF('Boletins Nuppa Site'!F876&lt;&gt;0,'Boletins Nuppa Site'!F876,"NULL")</f>
        <v>NULL</v>
      </c>
      <c r="E876">
        <f>IF('Boletins Nuppa Site'!G876&lt;&gt;0,'Boletins Nuppa Site'!G876,"NULL")</f>
        <v>30</v>
      </c>
      <c r="F876">
        <f>IF('Boletins Nuppa Site'!H876&lt;&gt;0,'Boletins Nuppa Site'!H876,"NULL")</f>
        <v>48</v>
      </c>
      <c r="G876">
        <f>IF('Boletins Nuppa Site'!I876&lt;&gt;0,'Boletins Nuppa Site'!I876,"NULL")</f>
        <v>39</v>
      </c>
      <c r="H876">
        <f>IF('Boletins Nuppa Site'!J876&lt;&gt;0,'Boletins Nuppa Site'!J876,"NULL")</f>
        <v>39</v>
      </c>
      <c r="J876" t="str">
        <f t="shared" si="13"/>
        <v>INSERT INTO COTACAO (blt_id, pap_id, cot_prc_comum, cot_prc_min, cot_prc_max, cot_prc_med, cot_prc_mediana) VALUES (23, 3, NULL, 30, 48, 39, 39);</v>
      </c>
    </row>
    <row r="877" spans="1:10" x14ac:dyDescent="0.3">
      <c r="A877">
        <v>876</v>
      </c>
      <c r="B877">
        <v>23</v>
      </c>
      <c r="C877">
        <v>4</v>
      </c>
      <c r="D877">
        <f>IF('Boletins Nuppa Site'!F877&lt;&gt;0,'Boletins Nuppa Site'!F877,"NULL")</f>
        <v>30</v>
      </c>
      <c r="E877">
        <f>IF('Boletins Nuppa Site'!G877&lt;&gt;0,'Boletins Nuppa Site'!G877,"NULL")</f>
        <v>20</v>
      </c>
      <c r="F877">
        <f>IF('Boletins Nuppa Site'!H877&lt;&gt;0,'Boletins Nuppa Site'!H877,"NULL")</f>
        <v>30</v>
      </c>
      <c r="G877">
        <f>IF('Boletins Nuppa Site'!I877&lt;&gt;0,'Boletins Nuppa Site'!I877,"NULL")</f>
        <v>26</v>
      </c>
      <c r="H877">
        <f>IF('Boletins Nuppa Site'!J877&lt;&gt;0,'Boletins Nuppa Site'!J877,"NULL")</f>
        <v>27</v>
      </c>
      <c r="J877" t="str">
        <f t="shared" si="13"/>
        <v>INSERT INTO COTACAO (blt_id, pap_id, cot_prc_comum, cot_prc_min, cot_prc_max, cot_prc_med, cot_prc_mediana) VALUES (23, 4, 30, 20, 30, 26, 27);</v>
      </c>
    </row>
    <row r="878" spans="1:10" x14ac:dyDescent="0.3">
      <c r="A878">
        <v>877</v>
      </c>
      <c r="B878">
        <v>23</v>
      </c>
      <c r="C878">
        <v>5</v>
      </c>
      <c r="D878">
        <f>IF('Boletins Nuppa Site'!F878&lt;&gt;0,'Boletins Nuppa Site'!F878,"NULL")</f>
        <v>30</v>
      </c>
      <c r="E878">
        <f>IF('Boletins Nuppa Site'!G878&lt;&gt;0,'Boletins Nuppa Site'!G878,"NULL")</f>
        <v>18</v>
      </c>
      <c r="F878">
        <f>IF('Boletins Nuppa Site'!H878&lt;&gt;0,'Boletins Nuppa Site'!H878,"NULL")</f>
        <v>30</v>
      </c>
      <c r="G878" t="str">
        <f>IF('Boletins Nuppa Site'!I878&lt;&gt;0,'Boletins Nuppa Site'!I878,"NULL")</f>
        <v>24.5</v>
      </c>
      <c r="H878">
        <f>IF('Boletins Nuppa Site'!J878&lt;&gt;0,'Boletins Nuppa Site'!J878,"NULL")</f>
        <v>25</v>
      </c>
      <c r="J878" t="str">
        <f t="shared" si="13"/>
        <v>INSERT INTO COTACAO (blt_id, pap_id, cot_prc_comum, cot_prc_min, cot_prc_max, cot_prc_med, cot_prc_mediana) VALUES (23, 5, 30, 18, 30, 24.5, 25);</v>
      </c>
    </row>
    <row r="879" spans="1:10" x14ac:dyDescent="0.3">
      <c r="A879">
        <v>878</v>
      </c>
      <c r="B879">
        <v>23</v>
      </c>
      <c r="C879">
        <v>6</v>
      </c>
      <c r="D879">
        <f>IF('Boletins Nuppa Site'!F879&lt;&gt;0,'Boletins Nuppa Site'!F879,"NULL")</f>
        <v>60</v>
      </c>
      <c r="E879">
        <f>IF('Boletins Nuppa Site'!G879&lt;&gt;0,'Boletins Nuppa Site'!G879,"NULL")</f>
        <v>48</v>
      </c>
      <c r="F879">
        <f>IF('Boletins Nuppa Site'!H879&lt;&gt;0,'Boletins Nuppa Site'!H879,"NULL")</f>
        <v>60</v>
      </c>
      <c r="G879">
        <f>IF('Boletins Nuppa Site'!I879&lt;&gt;0,'Boletins Nuppa Site'!I879,"NULL")</f>
        <v>57</v>
      </c>
      <c r="H879">
        <f>IF('Boletins Nuppa Site'!J879&lt;&gt;0,'Boletins Nuppa Site'!J879,"NULL")</f>
        <v>60</v>
      </c>
      <c r="J879" t="str">
        <f t="shared" si="13"/>
        <v>INSERT INTO COTACAO (blt_id, pap_id, cot_prc_comum, cot_prc_min, cot_prc_max, cot_prc_med, cot_prc_mediana) VALUES (23, 6, 60, 48, 60, 57, 60);</v>
      </c>
    </row>
    <row r="880" spans="1:10" x14ac:dyDescent="0.3">
      <c r="A880">
        <v>879</v>
      </c>
      <c r="B880">
        <v>23</v>
      </c>
      <c r="C880">
        <v>7</v>
      </c>
      <c r="D880">
        <f>IF('Boletins Nuppa Site'!F880&lt;&gt;0,'Boletins Nuppa Site'!F880,"NULL")</f>
        <v>60</v>
      </c>
      <c r="E880">
        <f>IF('Boletins Nuppa Site'!G880&lt;&gt;0,'Boletins Nuppa Site'!G880,"NULL")</f>
        <v>60</v>
      </c>
      <c r="F880">
        <f>IF('Boletins Nuppa Site'!H880&lt;&gt;0,'Boletins Nuppa Site'!H880,"NULL")</f>
        <v>76</v>
      </c>
      <c r="G880">
        <f>IF('Boletins Nuppa Site'!I880&lt;&gt;0,'Boletins Nuppa Site'!I880,"NULL")</f>
        <v>64</v>
      </c>
      <c r="H880">
        <f>IF('Boletins Nuppa Site'!J880&lt;&gt;0,'Boletins Nuppa Site'!J880,"NULL")</f>
        <v>60</v>
      </c>
      <c r="J880" t="str">
        <f t="shared" si="13"/>
        <v>INSERT INTO COTACAO (blt_id, pap_id, cot_prc_comum, cot_prc_min, cot_prc_max, cot_prc_med, cot_prc_mediana) VALUES (23, 7, 60, 60, 76, 64, 60);</v>
      </c>
    </row>
    <row r="881" spans="1:10" x14ac:dyDescent="0.3">
      <c r="A881">
        <v>880</v>
      </c>
      <c r="B881">
        <v>23</v>
      </c>
      <c r="C881">
        <v>8</v>
      </c>
      <c r="D881">
        <f>IF('Boletins Nuppa Site'!F881&lt;&gt;0,'Boletins Nuppa Site'!F881,"NULL")</f>
        <v>84</v>
      </c>
      <c r="E881">
        <f>IF('Boletins Nuppa Site'!G881&lt;&gt;0,'Boletins Nuppa Site'!G881,"NULL")</f>
        <v>72</v>
      </c>
      <c r="F881">
        <f>IF('Boletins Nuppa Site'!H881&lt;&gt;0,'Boletins Nuppa Site'!H881,"NULL")</f>
        <v>84</v>
      </c>
      <c r="G881">
        <f>IF('Boletins Nuppa Site'!I881&lt;&gt;0,'Boletins Nuppa Site'!I881,"NULL")</f>
        <v>80</v>
      </c>
      <c r="H881">
        <f>IF('Boletins Nuppa Site'!J881&lt;&gt;0,'Boletins Nuppa Site'!J881,"NULL")</f>
        <v>82</v>
      </c>
      <c r="J881" t="str">
        <f t="shared" si="13"/>
        <v>INSERT INTO COTACAO (blt_id, pap_id, cot_prc_comum, cot_prc_min, cot_prc_max, cot_prc_med, cot_prc_mediana) VALUES (23, 8, 84, 72, 84, 80, 82);</v>
      </c>
    </row>
    <row r="882" spans="1:10" x14ac:dyDescent="0.3">
      <c r="A882">
        <v>881</v>
      </c>
      <c r="B882">
        <v>23</v>
      </c>
      <c r="C882">
        <v>9</v>
      </c>
      <c r="D882">
        <f>IF('Boletins Nuppa Site'!F882&lt;&gt;0,'Boletins Nuppa Site'!F882,"NULL")</f>
        <v>24</v>
      </c>
      <c r="E882">
        <f>IF('Boletins Nuppa Site'!G882&lt;&gt;0,'Boletins Nuppa Site'!G882,"NULL")</f>
        <v>20</v>
      </c>
      <c r="F882">
        <f>IF('Boletins Nuppa Site'!H882&lt;&gt;0,'Boletins Nuppa Site'!H882,"NULL")</f>
        <v>30</v>
      </c>
      <c r="G882" t="str">
        <f>IF('Boletins Nuppa Site'!I882&lt;&gt;0,'Boletins Nuppa Site'!I882,"NULL")</f>
        <v>24.5</v>
      </c>
      <c r="H882">
        <f>IF('Boletins Nuppa Site'!J882&lt;&gt;0,'Boletins Nuppa Site'!J882,"NULL")</f>
        <v>24</v>
      </c>
      <c r="J882" t="str">
        <f t="shared" si="13"/>
        <v>INSERT INTO COTACAO (blt_id, pap_id, cot_prc_comum, cot_prc_min, cot_prc_max, cot_prc_med, cot_prc_mediana) VALUES (23, 9, 24, 20, 30, 24.5, 24);</v>
      </c>
    </row>
    <row r="883" spans="1:10" x14ac:dyDescent="0.3">
      <c r="A883">
        <v>882</v>
      </c>
      <c r="B883">
        <v>23</v>
      </c>
      <c r="C883">
        <v>10</v>
      </c>
      <c r="D883" t="str">
        <f>IF('Boletins Nuppa Site'!F883&lt;&gt;0,'Boletins Nuppa Site'!F883,"NULL")</f>
        <v>NULL</v>
      </c>
      <c r="E883">
        <f>IF('Boletins Nuppa Site'!G883&lt;&gt;0,'Boletins Nuppa Site'!G883,"NULL")</f>
        <v>60</v>
      </c>
      <c r="F883">
        <f>IF('Boletins Nuppa Site'!H883&lt;&gt;0,'Boletins Nuppa Site'!H883,"NULL")</f>
        <v>84</v>
      </c>
      <c r="G883" t="str">
        <f>IF('Boletins Nuppa Site'!I883&lt;&gt;0,'Boletins Nuppa Site'!I883,"NULL")</f>
        <v>71.5</v>
      </c>
      <c r="H883">
        <f>IF('Boletins Nuppa Site'!J883&lt;&gt;0,'Boletins Nuppa Site'!J883,"NULL")</f>
        <v>71</v>
      </c>
      <c r="J883" t="str">
        <f t="shared" si="13"/>
        <v>INSERT INTO COTACAO (blt_id, pap_id, cot_prc_comum, cot_prc_min, cot_prc_max, cot_prc_med, cot_prc_mediana) VALUES (23, 10, NULL, 60, 84, 71.5, 71);</v>
      </c>
    </row>
    <row r="884" spans="1:10" x14ac:dyDescent="0.3">
      <c r="A884">
        <v>883</v>
      </c>
      <c r="B884">
        <v>23</v>
      </c>
      <c r="C884">
        <v>11</v>
      </c>
      <c r="D884">
        <f>IF('Boletins Nuppa Site'!F884&lt;&gt;0,'Boletins Nuppa Site'!F884,"NULL")</f>
        <v>24</v>
      </c>
      <c r="E884">
        <f>IF('Boletins Nuppa Site'!G884&lt;&gt;0,'Boletins Nuppa Site'!G884,"NULL")</f>
        <v>24</v>
      </c>
      <c r="F884">
        <f>IF('Boletins Nuppa Site'!H884&lt;&gt;0,'Boletins Nuppa Site'!H884,"NULL")</f>
        <v>30</v>
      </c>
      <c r="G884">
        <f>IF('Boletins Nuppa Site'!I884&lt;&gt;0,'Boletins Nuppa Site'!I884,"NULL")</f>
        <v>27</v>
      </c>
      <c r="H884">
        <f>IF('Boletins Nuppa Site'!J884&lt;&gt;0,'Boletins Nuppa Site'!J884,"NULL")</f>
        <v>27</v>
      </c>
      <c r="J884" t="str">
        <f t="shared" si="13"/>
        <v>INSERT INTO COTACAO (blt_id, pap_id, cot_prc_comum, cot_prc_min, cot_prc_max, cot_prc_med, cot_prc_mediana) VALUES (23, 11, 24, 24, 30, 27, 27);</v>
      </c>
    </row>
    <row r="885" spans="1:10" x14ac:dyDescent="0.3">
      <c r="A885">
        <v>884</v>
      </c>
      <c r="B885">
        <v>23</v>
      </c>
      <c r="C885">
        <v>12</v>
      </c>
      <c r="D885">
        <f>IF('Boletins Nuppa Site'!F885&lt;&gt;0,'Boletins Nuppa Site'!F885,"NULL")</f>
        <v>72</v>
      </c>
      <c r="E885">
        <f>IF('Boletins Nuppa Site'!G885&lt;&gt;0,'Boletins Nuppa Site'!G885,"NULL")</f>
        <v>60</v>
      </c>
      <c r="F885">
        <f>IF('Boletins Nuppa Site'!H885&lt;&gt;0,'Boletins Nuppa Site'!H885,"NULL")</f>
        <v>72</v>
      </c>
      <c r="G885">
        <f>IF('Boletins Nuppa Site'!I885&lt;&gt;0,'Boletins Nuppa Site'!I885,"NULL")</f>
        <v>69</v>
      </c>
      <c r="H885">
        <f>IF('Boletins Nuppa Site'!J885&lt;&gt;0,'Boletins Nuppa Site'!J885,"NULL")</f>
        <v>72</v>
      </c>
      <c r="J885" t="str">
        <f t="shared" si="13"/>
        <v>INSERT INTO COTACAO (blt_id, pap_id, cot_prc_comum, cot_prc_min, cot_prc_max, cot_prc_med, cot_prc_mediana) VALUES (23, 12, 72, 60, 72, 69, 72);</v>
      </c>
    </row>
    <row r="886" spans="1:10" x14ac:dyDescent="0.3">
      <c r="A886">
        <v>885</v>
      </c>
      <c r="B886">
        <v>23</v>
      </c>
      <c r="C886">
        <v>13</v>
      </c>
      <c r="D886">
        <f>IF('Boletins Nuppa Site'!F886&lt;&gt;0,'Boletins Nuppa Site'!F886,"NULL")</f>
        <v>60</v>
      </c>
      <c r="E886">
        <f>IF('Boletins Nuppa Site'!G886&lt;&gt;0,'Boletins Nuppa Site'!G886,"NULL")</f>
        <v>60</v>
      </c>
      <c r="F886">
        <f>IF('Boletins Nuppa Site'!H886&lt;&gt;0,'Boletins Nuppa Site'!H886,"NULL")</f>
        <v>60</v>
      </c>
      <c r="G886">
        <f>IF('Boletins Nuppa Site'!I886&lt;&gt;0,'Boletins Nuppa Site'!I886,"NULL")</f>
        <v>60</v>
      </c>
      <c r="H886">
        <f>IF('Boletins Nuppa Site'!J886&lt;&gt;0,'Boletins Nuppa Site'!J886,"NULL")</f>
        <v>60</v>
      </c>
      <c r="J886" t="str">
        <f t="shared" si="13"/>
        <v>INSERT INTO COTACAO (blt_id, pap_id, cot_prc_comum, cot_prc_min, cot_prc_max, cot_prc_med, cot_prc_mediana) VALUES (23, 13, 60, 60, 60, 60, 60);</v>
      </c>
    </row>
    <row r="887" spans="1:10" x14ac:dyDescent="0.3">
      <c r="A887">
        <v>886</v>
      </c>
      <c r="B887">
        <v>23</v>
      </c>
      <c r="C887">
        <v>14</v>
      </c>
      <c r="D887" t="str">
        <f>IF('Boletins Nuppa Site'!F887&lt;&gt;0,'Boletins Nuppa Site'!F887,"NULL")</f>
        <v>NULL</v>
      </c>
      <c r="E887">
        <f>IF('Boletins Nuppa Site'!G887&lt;&gt;0,'Boletins Nuppa Site'!G887,"NULL")</f>
        <v>60</v>
      </c>
      <c r="F887">
        <f>IF('Boletins Nuppa Site'!H887&lt;&gt;0,'Boletins Nuppa Site'!H887,"NULL")</f>
        <v>84</v>
      </c>
      <c r="G887">
        <f>IF('Boletins Nuppa Site'!I887&lt;&gt;0,'Boletins Nuppa Site'!I887,"NULL")</f>
        <v>72</v>
      </c>
      <c r="H887">
        <f>IF('Boletins Nuppa Site'!J887&lt;&gt;0,'Boletins Nuppa Site'!J887,"NULL")</f>
        <v>72</v>
      </c>
      <c r="J887" t="str">
        <f t="shared" si="13"/>
        <v>INSERT INTO COTACAO (blt_id, pap_id, cot_prc_comum, cot_prc_min, cot_prc_max, cot_prc_med, cot_prc_mediana) VALUES (23, 14, NULL, 60, 84, 72, 72);</v>
      </c>
    </row>
    <row r="888" spans="1:10" x14ac:dyDescent="0.3">
      <c r="A888">
        <v>887</v>
      </c>
      <c r="B888">
        <v>23</v>
      </c>
      <c r="C888">
        <v>15</v>
      </c>
      <c r="D888" t="str">
        <f>IF('Boletins Nuppa Site'!F888&lt;&gt;0,'Boletins Nuppa Site'!F888,"NULL")</f>
        <v>NULL</v>
      </c>
      <c r="E888">
        <f>IF('Boletins Nuppa Site'!G888&lt;&gt;0,'Boletins Nuppa Site'!G888,"NULL")</f>
        <v>36</v>
      </c>
      <c r="F888">
        <f>IF('Boletins Nuppa Site'!H888&lt;&gt;0,'Boletins Nuppa Site'!H888,"NULL")</f>
        <v>54</v>
      </c>
      <c r="G888">
        <f>IF('Boletins Nuppa Site'!I888&lt;&gt;0,'Boletins Nuppa Site'!I888,"NULL")</f>
        <v>47</v>
      </c>
      <c r="H888">
        <f>IF('Boletins Nuppa Site'!J888&lt;&gt;0,'Boletins Nuppa Site'!J888,"NULL")</f>
        <v>49</v>
      </c>
      <c r="J888" t="str">
        <f t="shared" si="13"/>
        <v>INSERT INTO COTACAO (blt_id, pap_id, cot_prc_comum, cot_prc_min, cot_prc_max, cot_prc_med, cot_prc_mediana) VALUES (23, 15, NULL, 36, 54, 47, 49);</v>
      </c>
    </row>
    <row r="889" spans="1:10" x14ac:dyDescent="0.3">
      <c r="A889">
        <v>888</v>
      </c>
      <c r="B889">
        <v>23</v>
      </c>
      <c r="C889">
        <v>16</v>
      </c>
      <c r="D889">
        <f>IF('Boletins Nuppa Site'!F889&lt;&gt;0,'Boletins Nuppa Site'!F889,"NULL")</f>
        <v>54</v>
      </c>
      <c r="E889">
        <f>IF('Boletins Nuppa Site'!G889&lt;&gt;0,'Boletins Nuppa Site'!G889,"NULL")</f>
        <v>48</v>
      </c>
      <c r="F889">
        <f>IF('Boletins Nuppa Site'!H889&lt;&gt;0,'Boletins Nuppa Site'!H889,"NULL")</f>
        <v>60</v>
      </c>
      <c r="G889">
        <f>IF('Boletins Nuppa Site'!I889&lt;&gt;0,'Boletins Nuppa Site'!I889,"NULL")</f>
        <v>54</v>
      </c>
      <c r="H889">
        <f>IF('Boletins Nuppa Site'!J889&lt;&gt;0,'Boletins Nuppa Site'!J889,"NULL")</f>
        <v>54</v>
      </c>
      <c r="J889" t="str">
        <f t="shared" si="13"/>
        <v>INSERT INTO COTACAO (blt_id, pap_id, cot_prc_comum, cot_prc_min, cot_prc_max, cot_prc_med, cot_prc_mediana) VALUES (23, 16, 54, 48, 60, 54, 54);</v>
      </c>
    </row>
    <row r="890" spans="1:10" x14ac:dyDescent="0.3">
      <c r="A890">
        <v>889</v>
      </c>
      <c r="B890">
        <v>23</v>
      </c>
      <c r="C890">
        <v>17</v>
      </c>
      <c r="D890">
        <f>IF('Boletins Nuppa Site'!F890&lt;&gt;0,'Boletins Nuppa Site'!F890,"NULL")</f>
        <v>5</v>
      </c>
      <c r="E890">
        <f>IF('Boletins Nuppa Site'!G890&lt;&gt;0,'Boletins Nuppa Site'!G890,"NULL")</f>
        <v>5</v>
      </c>
      <c r="F890">
        <f>IF('Boletins Nuppa Site'!H890&lt;&gt;0,'Boletins Nuppa Site'!H890,"NULL")</f>
        <v>5</v>
      </c>
      <c r="G890">
        <f>IF('Boletins Nuppa Site'!I890&lt;&gt;0,'Boletins Nuppa Site'!I890,"NULL")</f>
        <v>5</v>
      </c>
      <c r="H890">
        <f>IF('Boletins Nuppa Site'!J890&lt;&gt;0,'Boletins Nuppa Site'!J890,"NULL")</f>
        <v>5</v>
      </c>
      <c r="J890" t="str">
        <f t="shared" si="13"/>
        <v>INSERT INTO COTACAO (blt_id, pap_id, cot_prc_comum, cot_prc_min, cot_prc_max, cot_prc_med, cot_prc_mediana) VALUES (23, 17, 5, 5, 5, 5, 5);</v>
      </c>
    </row>
    <row r="891" spans="1:10" x14ac:dyDescent="0.3">
      <c r="A891">
        <v>890</v>
      </c>
      <c r="B891">
        <v>23</v>
      </c>
      <c r="C891">
        <v>18</v>
      </c>
      <c r="D891">
        <f>IF('Boletins Nuppa Site'!F891&lt;&gt;0,'Boletins Nuppa Site'!F891,"NULL")</f>
        <v>18</v>
      </c>
      <c r="E891">
        <f>IF('Boletins Nuppa Site'!G891&lt;&gt;0,'Boletins Nuppa Site'!G891,"NULL")</f>
        <v>15</v>
      </c>
      <c r="F891">
        <f>IF('Boletins Nuppa Site'!H891&lt;&gt;0,'Boletins Nuppa Site'!H891,"NULL")</f>
        <v>18</v>
      </c>
      <c r="G891" t="str">
        <f>IF('Boletins Nuppa Site'!I891&lt;&gt;0,'Boletins Nuppa Site'!I891,"NULL")</f>
        <v>17.25</v>
      </c>
      <c r="H891">
        <f>IF('Boletins Nuppa Site'!J891&lt;&gt;0,'Boletins Nuppa Site'!J891,"NULL")</f>
        <v>18</v>
      </c>
      <c r="J891" t="str">
        <f t="shared" si="13"/>
        <v>INSERT INTO COTACAO (blt_id, pap_id, cot_prc_comum, cot_prc_min, cot_prc_max, cot_prc_med, cot_prc_mediana) VALUES (23, 18, 18, 15, 18, 17.25, 18);</v>
      </c>
    </row>
    <row r="892" spans="1:10" x14ac:dyDescent="0.3">
      <c r="A892">
        <v>891</v>
      </c>
      <c r="B892">
        <v>23</v>
      </c>
      <c r="C892">
        <v>19</v>
      </c>
      <c r="D892">
        <f>IF('Boletins Nuppa Site'!F892&lt;&gt;0,'Boletins Nuppa Site'!F892,"NULL")</f>
        <v>25</v>
      </c>
      <c r="E892">
        <f>IF('Boletins Nuppa Site'!G892&lt;&gt;0,'Boletins Nuppa Site'!G892,"NULL")</f>
        <v>25</v>
      </c>
      <c r="F892">
        <f>IF('Boletins Nuppa Site'!H892&lt;&gt;0,'Boletins Nuppa Site'!H892,"NULL")</f>
        <v>30</v>
      </c>
      <c r="G892" t="str">
        <f>IF('Boletins Nuppa Site'!I892&lt;&gt;0,'Boletins Nuppa Site'!I892,"NULL")</f>
        <v>26.25</v>
      </c>
      <c r="H892">
        <f>IF('Boletins Nuppa Site'!J892&lt;&gt;0,'Boletins Nuppa Site'!J892,"NULL")</f>
        <v>25</v>
      </c>
      <c r="J892" t="str">
        <f t="shared" si="13"/>
        <v>INSERT INTO COTACAO (blt_id, pap_id, cot_prc_comum, cot_prc_min, cot_prc_max, cot_prc_med, cot_prc_mediana) VALUES (23, 19, 25, 25, 30, 26.25, 25);</v>
      </c>
    </row>
    <row r="893" spans="1:10" x14ac:dyDescent="0.3">
      <c r="A893">
        <v>892</v>
      </c>
      <c r="B893">
        <v>23</v>
      </c>
      <c r="C893">
        <v>20</v>
      </c>
      <c r="D893" t="str">
        <f>IF('Boletins Nuppa Site'!F893&lt;&gt;0,'Boletins Nuppa Site'!F893,"NULL")</f>
        <v>NULL</v>
      </c>
      <c r="E893">
        <f>IF('Boletins Nuppa Site'!G893&lt;&gt;0,'Boletins Nuppa Site'!G893,"NULL")</f>
        <v>80</v>
      </c>
      <c r="F893">
        <f>IF('Boletins Nuppa Site'!H893&lt;&gt;0,'Boletins Nuppa Site'!H893,"NULL")</f>
        <v>90</v>
      </c>
      <c r="G893">
        <f>IF('Boletins Nuppa Site'!I893&lt;&gt;0,'Boletins Nuppa Site'!I893,"NULL")</f>
        <v>85</v>
      </c>
      <c r="H893">
        <f>IF('Boletins Nuppa Site'!J893&lt;&gt;0,'Boletins Nuppa Site'!J893,"NULL")</f>
        <v>85</v>
      </c>
      <c r="J893" t="str">
        <f t="shared" si="13"/>
        <v>INSERT INTO COTACAO (blt_id, pap_id, cot_prc_comum, cot_prc_min, cot_prc_max, cot_prc_med, cot_prc_mediana) VALUES (23, 20, NULL, 80, 90, 85, 85);</v>
      </c>
    </row>
    <row r="894" spans="1:10" x14ac:dyDescent="0.3">
      <c r="A894">
        <v>893</v>
      </c>
      <c r="B894">
        <v>23</v>
      </c>
      <c r="C894">
        <v>21</v>
      </c>
      <c r="D894">
        <f>IF('Boletins Nuppa Site'!F894&lt;&gt;0,'Boletins Nuppa Site'!F894,"NULL")</f>
        <v>50</v>
      </c>
      <c r="E894">
        <f>IF('Boletins Nuppa Site'!G894&lt;&gt;0,'Boletins Nuppa Site'!G894,"NULL")</f>
        <v>40</v>
      </c>
      <c r="F894">
        <f>IF('Boletins Nuppa Site'!H894&lt;&gt;0,'Boletins Nuppa Site'!H894,"NULL")</f>
        <v>55</v>
      </c>
      <c r="G894" t="str">
        <f>IF('Boletins Nuppa Site'!I894&lt;&gt;0,'Boletins Nuppa Site'!I894,"NULL")</f>
        <v>48.75</v>
      </c>
      <c r="H894">
        <f>IF('Boletins Nuppa Site'!J894&lt;&gt;0,'Boletins Nuppa Site'!J894,"NULL")</f>
        <v>50</v>
      </c>
      <c r="J894" t="str">
        <f t="shared" si="13"/>
        <v>INSERT INTO COTACAO (blt_id, pap_id, cot_prc_comum, cot_prc_min, cot_prc_max, cot_prc_med, cot_prc_mediana) VALUES (23, 21, 50, 40, 55, 48.75, 50);</v>
      </c>
    </row>
    <row r="895" spans="1:10" x14ac:dyDescent="0.3">
      <c r="A895">
        <v>894</v>
      </c>
      <c r="B895">
        <v>23</v>
      </c>
      <c r="C895">
        <v>22</v>
      </c>
      <c r="D895" t="str">
        <f>IF('Boletins Nuppa Site'!F895&lt;&gt;0,'Boletins Nuppa Site'!F895,"NULL")</f>
        <v>NULL</v>
      </c>
      <c r="E895">
        <f>IF('Boletins Nuppa Site'!G895&lt;&gt;0,'Boletins Nuppa Site'!G895,"NULL")</f>
        <v>45</v>
      </c>
      <c r="F895">
        <f>IF('Boletins Nuppa Site'!H895&lt;&gt;0,'Boletins Nuppa Site'!H895,"NULL")</f>
        <v>70</v>
      </c>
      <c r="G895">
        <f>IF('Boletins Nuppa Site'!I895&lt;&gt;0,'Boletins Nuppa Site'!I895,"NULL")</f>
        <v>58</v>
      </c>
      <c r="H895">
        <f>IF('Boletins Nuppa Site'!J895&lt;&gt;0,'Boletins Nuppa Site'!J895,"NULL")</f>
        <v>60</v>
      </c>
      <c r="J895" t="str">
        <f t="shared" si="13"/>
        <v>INSERT INTO COTACAO (blt_id, pap_id, cot_prc_comum, cot_prc_min, cot_prc_max, cot_prc_med, cot_prc_mediana) VALUES (23, 22, NULL, 45, 70, 58, 60);</v>
      </c>
    </row>
    <row r="896" spans="1:10" x14ac:dyDescent="0.3">
      <c r="A896">
        <v>895</v>
      </c>
      <c r="B896">
        <v>23</v>
      </c>
      <c r="C896">
        <v>23</v>
      </c>
      <c r="D896">
        <f>IF('Boletins Nuppa Site'!F896&lt;&gt;0,'Boletins Nuppa Site'!F896,"NULL")</f>
        <v>40</v>
      </c>
      <c r="E896">
        <f>IF('Boletins Nuppa Site'!G896&lt;&gt;0,'Boletins Nuppa Site'!G896,"NULL")</f>
        <v>40</v>
      </c>
      <c r="F896">
        <f>IF('Boletins Nuppa Site'!H896&lt;&gt;0,'Boletins Nuppa Site'!H896,"NULL")</f>
        <v>48</v>
      </c>
      <c r="G896">
        <f>IF('Boletins Nuppa Site'!I896&lt;&gt;0,'Boletins Nuppa Site'!I896,"NULL")</f>
        <v>42</v>
      </c>
      <c r="H896">
        <f>IF('Boletins Nuppa Site'!J896&lt;&gt;0,'Boletins Nuppa Site'!J896,"NULL")</f>
        <v>40</v>
      </c>
      <c r="J896" t="str">
        <f t="shared" si="13"/>
        <v>INSERT INTO COTACAO (blt_id, pap_id, cot_prc_comum, cot_prc_min, cot_prc_max, cot_prc_med, cot_prc_mediana) VALUES (23, 23, 40, 40, 48, 42, 40);</v>
      </c>
    </row>
    <row r="897" spans="1:10" x14ac:dyDescent="0.3">
      <c r="A897">
        <v>896</v>
      </c>
      <c r="B897">
        <v>23</v>
      </c>
      <c r="C897">
        <v>24</v>
      </c>
      <c r="D897" t="str">
        <f>IF('Boletins Nuppa Site'!F897&lt;&gt;0,'Boletins Nuppa Site'!F897,"NULL")</f>
        <v>NULL</v>
      </c>
      <c r="E897">
        <f>IF('Boletins Nuppa Site'!G897&lt;&gt;0,'Boletins Nuppa Site'!G897,"NULL")</f>
        <v>100</v>
      </c>
      <c r="F897">
        <f>IF('Boletins Nuppa Site'!H897&lt;&gt;0,'Boletins Nuppa Site'!H897,"NULL")</f>
        <v>100</v>
      </c>
      <c r="G897">
        <f>IF('Boletins Nuppa Site'!I897&lt;&gt;0,'Boletins Nuppa Site'!I897,"NULL")</f>
        <v>100</v>
      </c>
      <c r="H897">
        <f>IF('Boletins Nuppa Site'!J897&lt;&gt;0,'Boletins Nuppa Site'!J897,"NULL")</f>
        <v>100</v>
      </c>
      <c r="J897" t="str">
        <f t="shared" si="13"/>
        <v>INSERT INTO COTACAO (blt_id, pap_id, cot_prc_comum, cot_prc_min, cot_prc_max, cot_prc_med, cot_prc_mediana) VALUES (23, 24, NULL, 100, 100, 100, 100);</v>
      </c>
    </row>
    <row r="898" spans="1:10" x14ac:dyDescent="0.3">
      <c r="A898">
        <v>897</v>
      </c>
      <c r="B898">
        <v>23</v>
      </c>
      <c r="C898">
        <v>25</v>
      </c>
      <c r="D898" t="str">
        <f>IF('Boletins Nuppa Site'!F898&lt;&gt;0,'Boletins Nuppa Site'!F898,"NULL")</f>
        <v>NULL</v>
      </c>
      <c r="E898">
        <f>IF('Boletins Nuppa Site'!G898&lt;&gt;0,'Boletins Nuppa Site'!G898,"NULL")</f>
        <v>75</v>
      </c>
      <c r="F898">
        <f>IF('Boletins Nuppa Site'!H898&lt;&gt;0,'Boletins Nuppa Site'!H898,"NULL")</f>
        <v>100</v>
      </c>
      <c r="G898">
        <f>IF('Boletins Nuppa Site'!I898&lt;&gt;0,'Boletins Nuppa Site'!I898,"NULL")</f>
        <v>86</v>
      </c>
      <c r="H898">
        <f>IF('Boletins Nuppa Site'!J898&lt;&gt;0,'Boletins Nuppa Site'!J898,"NULL")</f>
        <v>85</v>
      </c>
      <c r="J898" t="str">
        <f t="shared" si="13"/>
        <v>INSERT INTO COTACAO (blt_id, pap_id, cot_prc_comum, cot_prc_min, cot_prc_max, cot_prc_med, cot_prc_mediana) VALUES (23, 25, NULL, 75, 100, 86, 85);</v>
      </c>
    </row>
    <row r="899" spans="1:10" x14ac:dyDescent="0.3">
      <c r="A899">
        <v>898</v>
      </c>
      <c r="B899">
        <v>23</v>
      </c>
      <c r="C899">
        <v>26</v>
      </c>
      <c r="D899">
        <f>IF('Boletins Nuppa Site'!F899&lt;&gt;0,'Boletins Nuppa Site'!F899,"NULL")</f>
        <v>65</v>
      </c>
      <c r="E899">
        <f>IF('Boletins Nuppa Site'!G899&lt;&gt;0,'Boletins Nuppa Site'!G899,"NULL")</f>
        <v>65</v>
      </c>
      <c r="F899">
        <f>IF('Boletins Nuppa Site'!H899&lt;&gt;0,'Boletins Nuppa Site'!H899,"NULL")</f>
        <v>80</v>
      </c>
      <c r="G899" t="str">
        <f>IF('Boletins Nuppa Site'!I899&lt;&gt;0,'Boletins Nuppa Site'!I899,"NULL")</f>
        <v>71.25</v>
      </c>
      <c r="H899">
        <f>IF('Boletins Nuppa Site'!J899&lt;&gt;0,'Boletins Nuppa Site'!J899,"NULL")</f>
        <v>70</v>
      </c>
      <c r="J899" t="str">
        <f t="shared" ref="J899:J962" si="14">"INSERT INTO COTACAO (blt_id, pap_id, cot_prc_comum, cot_prc_min, cot_prc_max, cot_prc_med, cot_prc_mediana) VALUES ("&amp;B899&amp;", "&amp;C899&amp;", "&amp;D899&amp;", "&amp;E899&amp;", "&amp;F899&amp;", "&amp;G899&amp;", "&amp;H899&amp;");"</f>
        <v>INSERT INTO COTACAO (blt_id, pap_id, cot_prc_comum, cot_prc_min, cot_prc_max, cot_prc_med, cot_prc_mediana) VALUES (23, 26, 65, 65, 80, 71.25, 70);</v>
      </c>
    </row>
    <row r="900" spans="1:10" x14ac:dyDescent="0.3">
      <c r="A900">
        <v>899</v>
      </c>
      <c r="B900">
        <v>23</v>
      </c>
      <c r="C900">
        <v>27</v>
      </c>
      <c r="D900" t="str">
        <f>IF('Boletins Nuppa Site'!F900&lt;&gt;0,'Boletins Nuppa Site'!F900,"NULL")</f>
        <v>NULL</v>
      </c>
      <c r="E900">
        <f>IF('Boletins Nuppa Site'!G900&lt;&gt;0,'Boletins Nuppa Site'!G900,"NULL")</f>
        <v>50</v>
      </c>
      <c r="F900">
        <f>IF('Boletins Nuppa Site'!H900&lt;&gt;0,'Boletins Nuppa Site'!H900,"NULL")</f>
        <v>70</v>
      </c>
      <c r="G900" t="str">
        <f>IF('Boletins Nuppa Site'!I900&lt;&gt;0,'Boletins Nuppa Site'!I900,"NULL")</f>
        <v>61.25</v>
      </c>
      <c r="H900" t="str">
        <f>IF('Boletins Nuppa Site'!J900&lt;&gt;0,'Boletins Nuppa Site'!J900,"NULL")</f>
        <v>62.5</v>
      </c>
      <c r="J900" t="str">
        <f t="shared" si="14"/>
        <v>INSERT INTO COTACAO (blt_id, pap_id, cot_prc_comum, cot_prc_min, cot_prc_max, cot_prc_med, cot_prc_mediana) VALUES (23, 27, NULL, 50, 70, 61.25, 62.5);</v>
      </c>
    </row>
    <row r="901" spans="1:10" x14ac:dyDescent="0.3">
      <c r="A901">
        <v>900</v>
      </c>
      <c r="B901">
        <v>23</v>
      </c>
      <c r="C901">
        <v>28</v>
      </c>
      <c r="D901">
        <f>IF('Boletins Nuppa Site'!F901&lt;&gt;0,'Boletins Nuppa Site'!F901,"NULL")</f>
        <v>100</v>
      </c>
      <c r="E901">
        <f>IF('Boletins Nuppa Site'!G901&lt;&gt;0,'Boletins Nuppa Site'!G901,"NULL")</f>
        <v>80</v>
      </c>
      <c r="F901">
        <f>IF('Boletins Nuppa Site'!H901&lt;&gt;0,'Boletins Nuppa Site'!H901,"NULL")</f>
        <v>100</v>
      </c>
      <c r="G901" t="str">
        <f>IF('Boletins Nuppa Site'!I901&lt;&gt;0,'Boletins Nuppa Site'!I901,"NULL")</f>
        <v>93.33</v>
      </c>
      <c r="H901">
        <f>IF('Boletins Nuppa Site'!J901&lt;&gt;0,'Boletins Nuppa Site'!J901,"NULL")</f>
        <v>100</v>
      </c>
      <c r="J901" t="str">
        <f t="shared" si="14"/>
        <v>INSERT INTO COTACAO (blt_id, pap_id, cot_prc_comum, cot_prc_min, cot_prc_max, cot_prc_med, cot_prc_mediana) VALUES (23, 28, 100, 80, 100, 93.33, 100);</v>
      </c>
    </row>
    <row r="902" spans="1:10" x14ac:dyDescent="0.3">
      <c r="A902">
        <v>901</v>
      </c>
      <c r="B902">
        <v>23</v>
      </c>
      <c r="C902">
        <v>29</v>
      </c>
      <c r="D902" t="str">
        <f>IF('Boletins Nuppa Site'!F902&lt;&gt;0,'Boletins Nuppa Site'!F902,"NULL")</f>
        <v>NULL</v>
      </c>
      <c r="E902">
        <f>IF('Boletins Nuppa Site'!G902&lt;&gt;0,'Boletins Nuppa Site'!G902,"NULL")</f>
        <v>50</v>
      </c>
      <c r="F902">
        <f>IF('Boletins Nuppa Site'!H902&lt;&gt;0,'Boletins Nuppa Site'!H902,"NULL")</f>
        <v>53</v>
      </c>
      <c r="G902" t="str">
        <f>IF('Boletins Nuppa Site'!I902&lt;&gt;0,'Boletins Nuppa Site'!I902,"NULL")</f>
        <v>51.5</v>
      </c>
      <c r="H902" t="str">
        <f>IF('Boletins Nuppa Site'!J902&lt;&gt;0,'Boletins Nuppa Site'!J902,"NULL")</f>
        <v>51.5</v>
      </c>
      <c r="J902" t="str">
        <f t="shared" si="14"/>
        <v>INSERT INTO COTACAO (blt_id, pap_id, cot_prc_comum, cot_prc_min, cot_prc_max, cot_prc_med, cot_prc_mediana) VALUES (23, 29, NULL, 50, 53, 51.5, 51.5);</v>
      </c>
    </row>
    <row r="903" spans="1:10" x14ac:dyDescent="0.3">
      <c r="A903">
        <v>902</v>
      </c>
      <c r="B903">
        <v>23</v>
      </c>
      <c r="C903">
        <v>30</v>
      </c>
      <c r="D903" t="str">
        <f>IF('Boletins Nuppa Site'!F903&lt;&gt;0,'Boletins Nuppa Site'!F903,"NULL")</f>
        <v>NULL</v>
      </c>
      <c r="E903">
        <f>IF('Boletins Nuppa Site'!G903&lt;&gt;0,'Boletins Nuppa Site'!G903,"NULL")</f>
        <v>50</v>
      </c>
      <c r="F903">
        <f>IF('Boletins Nuppa Site'!H903&lt;&gt;0,'Boletins Nuppa Site'!H903,"NULL")</f>
        <v>65</v>
      </c>
      <c r="G903" t="str">
        <f>IF('Boletins Nuppa Site'!I903&lt;&gt;0,'Boletins Nuppa Site'!I903,"NULL")</f>
        <v>58.33</v>
      </c>
      <c r="H903">
        <f>IF('Boletins Nuppa Site'!J903&lt;&gt;0,'Boletins Nuppa Site'!J903,"NULL")</f>
        <v>60</v>
      </c>
      <c r="J903" t="str">
        <f t="shared" si="14"/>
        <v>INSERT INTO COTACAO (blt_id, pap_id, cot_prc_comum, cot_prc_min, cot_prc_max, cot_prc_med, cot_prc_mediana) VALUES (23, 30, NULL, 50, 65, 58.33, 60);</v>
      </c>
    </row>
    <row r="904" spans="1:10" x14ac:dyDescent="0.3">
      <c r="A904">
        <v>903</v>
      </c>
      <c r="B904">
        <v>23</v>
      </c>
      <c r="C904">
        <v>31</v>
      </c>
      <c r="D904">
        <f>IF('Boletins Nuppa Site'!F904&lt;&gt;0,'Boletins Nuppa Site'!F904,"NULL")</f>
        <v>60</v>
      </c>
      <c r="E904">
        <f>IF('Boletins Nuppa Site'!G904&lt;&gt;0,'Boletins Nuppa Site'!G904,"NULL")</f>
        <v>60</v>
      </c>
      <c r="F904">
        <f>IF('Boletins Nuppa Site'!H904&lt;&gt;0,'Boletins Nuppa Site'!H904,"NULL")</f>
        <v>70</v>
      </c>
      <c r="G904">
        <f>IF('Boletins Nuppa Site'!I904&lt;&gt;0,'Boletins Nuppa Site'!I904,"NULL")</f>
        <v>63</v>
      </c>
      <c r="H904">
        <f>IF('Boletins Nuppa Site'!J904&lt;&gt;0,'Boletins Nuppa Site'!J904,"NULL")</f>
        <v>60</v>
      </c>
      <c r="J904" t="str">
        <f t="shared" si="14"/>
        <v>INSERT INTO COTACAO (blt_id, pap_id, cot_prc_comum, cot_prc_min, cot_prc_max, cot_prc_med, cot_prc_mediana) VALUES (23, 31, 60, 60, 70, 63, 60);</v>
      </c>
    </row>
    <row r="905" spans="1:10" x14ac:dyDescent="0.3">
      <c r="A905">
        <v>904</v>
      </c>
      <c r="B905">
        <v>23</v>
      </c>
      <c r="C905">
        <v>32</v>
      </c>
      <c r="D905">
        <f>IF('Boletins Nuppa Site'!F905&lt;&gt;0,'Boletins Nuppa Site'!F905,"NULL")</f>
        <v>50</v>
      </c>
      <c r="E905">
        <f>IF('Boletins Nuppa Site'!G905&lt;&gt;0,'Boletins Nuppa Site'!G905,"NULL")</f>
        <v>40</v>
      </c>
      <c r="F905">
        <f>IF('Boletins Nuppa Site'!H905&lt;&gt;0,'Boletins Nuppa Site'!H905,"NULL")</f>
        <v>55</v>
      </c>
      <c r="G905">
        <f>IF('Boletins Nuppa Site'!I905&lt;&gt;0,'Boletins Nuppa Site'!I905,"NULL")</f>
        <v>50</v>
      </c>
      <c r="H905">
        <f>IF('Boletins Nuppa Site'!J905&lt;&gt;0,'Boletins Nuppa Site'!J905,"NULL")</f>
        <v>50</v>
      </c>
      <c r="J905" t="str">
        <f t="shared" si="14"/>
        <v>INSERT INTO COTACAO (blt_id, pap_id, cot_prc_comum, cot_prc_min, cot_prc_max, cot_prc_med, cot_prc_mediana) VALUES (23, 32, 50, 40, 55, 50, 50);</v>
      </c>
    </row>
    <row r="906" spans="1:10" x14ac:dyDescent="0.3">
      <c r="A906">
        <v>905</v>
      </c>
      <c r="B906">
        <v>23</v>
      </c>
      <c r="C906">
        <v>33</v>
      </c>
      <c r="D906">
        <f>IF('Boletins Nuppa Site'!F906&lt;&gt;0,'Boletins Nuppa Site'!F906,"NULL")</f>
        <v>100</v>
      </c>
      <c r="E906">
        <f>IF('Boletins Nuppa Site'!G906&lt;&gt;0,'Boletins Nuppa Site'!G906,"NULL")</f>
        <v>90</v>
      </c>
      <c r="F906">
        <f>IF('Boletins Nuppa Site'!H906&lt;&gt;0,'Boletins Nuppa Site'!H906,"NULL")</f>
        <v>120</v>
      </c>
      <c r="G906" t="str">
        <f>IF('Boletins Nuppa Site'!I906&lt;&gt;0,'Boletins Nuppa Site'!I906,"NULL")</f>
        <v>102.5</v>
      </c>
      <c r="H906">
        <f>IF('Boletins Nuppa Site'!J906&lt;&gt;0,'Boletins Nuppa Site'!J906,"NULL")</f>
        <v>100</v>
      </c>
      <c r="J906" t="str">
        <f t="shared" si="14"/>
        <v>INSERT INTO COTACAO (blt_id, pap_id, cot_prc_comum, cot_prc_min, cot_prc_max, cot_prc_med, cot_prc_mediana) VALUES (23, 33, 100, 90, 120, 102.5, 100);</v>
      </c>
    </row>
    <row r="907" spans="1:10" x14ac:dyDescent="0.3">
      <c r="A907">
        <v>906</v>
      </c>
      <c r="B907">
        <v>23</v>
      </c>
      <c r="C907">
        <v>34</v>
      </c>
      <c r="D907" t="str">
        <f>IF('Boletins Nuppa Site'!F907&lt;&gt;0,'Boletins Nuppa Site'!F907,"NULL")</f>
        <v>NULL</v>
      </c>
      <c r="E907">
        <f>IF('Boletins Nuppa Site'!G907&lt;&gt;0,'Boletins Nuppa Site'!G907,"NULL")</f>
        <v>65</v>
      </c>
      <c r="F907">
        <f>IF('Boletins Nuppa Site'!H907&lt;&gt;0,'Boletins Nuppa Site'!H907,"NULL")</f>
        <v>100</v>
      </c>
      <c r="G907">
        <f>IF('Boletins Nuppa Site'!I907&lt;&gt;0,'Boletins Nuppa Site'!I907,"NULL")</f>
        <v>78</v>
      </c>
      <c r="H907">
        <f>IF('Boletins Nuppa Site'!J907&lt;&gt;0,'Boletins Nuppa Site'!J907,"NULL")</f>
        <v>75</v>
      </c>
      <c r="J907" t="str">
        <f t="shared" si="14"/>
        <v>INSERT INTO COTACAO (blt_id, pap_id, cot_prc_comum, cot_prc_min, cot_prc_max, cot_prc_med, cot_prc_mediana) VALUES (23, 34, NULL, 65, 100, 78, 75);</v>
      </c>
    </row>
    <row r="908" spans="1:10" x14ac:dyDescent="0.3">
      <c r="A908">
        <v>907</v>
      </c>
      <c r="B908">
        <v>23</v>
      </c>
      <c r="C908">
        <v>35</v>
      </c>
      <c r="D908">
        <f>IF('Boletins Nuppa Site'!F908&lt;&gt;0,'Boletins Nuppa Site'!F908,"NULL")</f>
        <v>100</v>
      </c>
      <c r="E908">
        <f>IF('Boletins Nuppa Site'!G908&lt;&gt;0,'Boletins Nuppa Site'!G908,"NULL")</f>
        <v>100</v>
      </c>
      <c r="F908">
        <f>IF('Boletins Nuppa Site'!H908&lt;&gt;0,'Boletins Nuppa Site'!H908,"NULL")</f>
        <v>120</v>
      </c>
      <c r="G908" t="str">
        <f>IF('Boletins Nuppa Site'!I908&lt;&gt;0,'Boletins Nuppa Site'!I908,"NULL")</f>
        <v>106.67</v>
      </c>
      <c r="H908">
        <f>IF('Boletins Nuppa Site'!J908&lt;&gt;0,'Boletins Nuppa Site'!J908,"NULL")</f>
        <v>100</v>
      </c>
      <c r="J908" t="str">
        <f t="shared" si="14"/>
        <v>INSERT INTO COTACAO (blt_id, pap_id, cot_prc_comum, cot_prc_min, cot_prc_max, cot_prc_med, cot_prc_mediana) VALUES (23, 35, 100, 100, 120, 106.67, 100);</v>
      </c>
    </row>
    <row r="909" spans="1:10" x14ac:dyDescent="0.3">
      <c r="A909">
        <v>908</v>
      </c>
      <c r="B909">
        <v>23</v>
      </c>
      <c r="C909">
        <v>36</v>
      </c>
      <c r="D909" t="str">
        <f>IF('Boletins Nuppa Site'!F909&lt;&gt;0,'Boletins Nuppa Site'!F909,"NULL")</f>
        <v>NULL</v>
      </c>
      <c r="E909" t="str">
        <f>IF('Boletins Nuppa Site'!G909&lt;&gt;0,'Boletins Nuppa Site'!G909,"NULL")</f>
        <v>NULL</v>
      </c>
      <c r="F909" t="str">
        <f>IF('Boletins Nuppa Site'!H909&lt;&gt;0,'Boletins Nuppa Site'!H909,"NULL")</f>
        <v>NULL</v>
      </c>
      <c r="G909" t="str">
        <f>IF('Boletins Nuppa Site'!I909&lt;&gt;0,'Boletins Nuppa Site'!I909,"NULL")</f>
        <v>NULL</v>
      </c>
      <c r="H909" t="str">
        <f>IF('Boletins Nuppa Site'!J909&lt;&gt;0,'Boletins Nuppa Site'!J909,"NULL")</f>
        <v>NULL</v>
      </c>
      <c r="J909" t="str">
        <f t="shared" si="14"/>
        <v>INSERT INTO COTACAO (blt_id, pap_id, cot_prc_comum, cot_prc_min, cot_prc_max, cot_prc_med, cot_prc_mediana) VALUES (23, 36, NULL, NULL, NULL, NULL, NULL);</v>
      </c>
    </row>
    <row r="910" spans="1:10" x14ac:dyDescent="0.3">
      <c r="A910">
        <v>909</v>
      </c>
      <c r="B910">
        <v>23</v>
      </c>
      <c r="C910">
        <v>37</v>
      </c>
      <c r="D910" t="str">
        <f>IF('Boletins Nuppa Site'!F910&lt;&gt;0,'Boletins Nuppa Site'!F910,"NULL")</f>
        <v>NULL</v>
      </c>
      <c r="E910" t="str">
        <f>IF('Boletins Nuppa Site'!G910&lt;&gt;0,'Boletins Nuppa Site'!G910,"NULL")</f>
        <v>NULL</v>
      </c>
      <c r="F910" t="str">
        <f>IF('Boletins Nuppa Site'!H910&lt;&gt;0,'Boletins Nuppa Site'!H910,"NULL")</f>
        <v>NULL</v>
      </c>
      <c r="G910" t="str">
        <f>IF('Boletins Nuppa Site'!I910&lt;&gt;0,'Boletins Nuppa Site'!I910,"NULL")</f>
        <v>NULL</v>
      </c>
      <c r="H910" t="str">
        <f>IF('Boletins Nuppa Site'!J910&lt;&gt;0,'Boletins Nuppa Site'!J910,"NULL")</f>
        <v>NULL</v>
      </c>
      <c r="J910" t="str">
        <f t="shared" si="14"/>
        <v>INSERT INTO COTACAO (blt_id, pap_id, cot_prc_comum, cot_prc_min, cot_prc_max, cot_prc_med, cot_prc_mediana) VALUES (23, 37, NULL, NULL, NULL, NULL, NULL);</v>
      </c>
    </row>
    <row r="911" spans="1:10" x14ac:dyDescent="0.3">
      <c r="A911">
        <v>910</v>
      </c>
      <c r="B911">
        <v>23</v>
      </c>
      <c r="C911">
        <v>38</v>
      </c>
      <c r="D911" t="str">
        <f>IF('Boletins Nuppa Site'!F911&lt;&gt;0,'Boletins Nuppa Site'!F911,"NULL")</f>
        <v>NULL</v>
      </c>
      <c r="E911" t="str">
        <f>IF('Boletins Nuppa Site'!G911&lt;&gt;0,'Boletins Nuppa Site'!G911,"NULL")</f>
        <v>NULL</v>
      </c>
      <c r="F911" t="str">
        <f>IF('Boletins Nuppa Site'!H911&lt;&gt;0,'Boletins Nuppa Site'!H911,"NULL")</f>
        <v>NULL</v>
      </c>
      <c r="G911" t="str">
        <f>IF('Boletins Nuppa Site'!I911&lt;&gt;0,'Boletins Nuppa Site'!I911,"NULL")</f>
        <v>NULL</v>
      </c>
      <c r="H911" t="str">
        <f>IF('Boletins Nuppa Site'!J911&lt;&gt;0,'Boletins Nuppa Site'!J911,"NULL")</f>
        <v>NULL</v>
      </c>
      <c r="J911" t="str">
        <f t="shared" si="14"/>
        <v>INSERT INTO COTACAO (blt_id, pap_id, cot_prc_comum, cot_prc_min, cot_prc_max, cot_prc_med, cot_prc_mediana) VALUES (23, 38, NULL, NULL, NULL, NULL, NULL);</v>
      </c>
    </row>
    <row r="912" spans="1:10" x14ac:dyDescent="0.3">
      <c r="A912">
        <v>911</v>
      </c>
      <c r="B912">
        <v>23</v>
      </c>
      <c r="C912">
        <v>39</v>
      </c>
      <c r="D912" t="str">
        <f>IF('Boletins Nuppa Site'!F912&lt;&gt;0,'Boletins Nuppa Site'!F912,"NULL")</f>
        <v>NULL</v>
      </c>
      <c r="E912">
        <f>IF('Boletins Nuppa Site'!G912&lt;&gt;0,'Boletins Nuppa Site'!G912,"NULL")</f>
        <v>50</v>
      </c>
      <c r="F912">
        <f>IF('Boletins Nuppa Site'!H912&lt;&gt;0,'Boletins Nuppa Site'!H912,"NULL")</f>
        <v>50</v>
      </c>
      <c r="G912">
        <f>IF('Boletins Nuppa Site'!I912&lt;&gt;0,'Boletins Nuppa Site'!I912,"NULL")</f>
        <v>50</v>
      </c>
      <c r="H912">
        <f>IF('Boletins Nuppa Site'!J912&lt;&gt;0,'Boletins Nuppa Site'!J912,"NULL")</f>
        <v>50</v>
      </c>
      <c r="J912" t="str">
        <f t="shared" si="14"/>
        <v>INSERT INTO COTACAO (blt_id, pap_id, cot_prc_comum, cot_prc_min, cot_prc_max, cot_prc_med, cot_prc_mediana) VALUES (23, 39, NULL, 50, 50, 50, 50);</v>
      </c>
    </row>
    <row r="913" spans="1:10" x14ac:dyDescent="0.3">
      <c r="A913">
        <v>912</v>
      </c>
      <c r="B913">
        <v>23</v>
      </c>
      <c r="C913">
        <v>40</v>
      </c>
      <c r="D913" t="str">
        <f>IF('Boletins Nuppa Site'!F913&lt;&gt;0,'Boletins Nuppa Site'!F913,"NULL")</f>
        <v>NULL</v>
      </c>
      <c r="E913">
        <f>IF('Boletins Nuppa Site'!G913&lt;&gt;0,'Boletins Nuppa Site'!G913,"NULL")</f>
        <v>65</v>
      </c>
      <c r="F913">
        <f>IF('Boletins Nuppa Site'!H913&lt;&gt;0,'Boletins Nuppa Site'!H913,"NULL")</f>
        <v>65</v>
      </c>
      <c r="G913">
        <f>IF('Boletins Nuppa Site'!I913&lt;&gt;0,'Boletins Nuppa Site'!I913,"NULL")</f>
        <v>65</v>
      </c>
      <c r="H913">
        <f>IF('Boletins Nuppa Site'!J913&lt;&gt;0,'Boletins Nuppa Site'!J913,"NULL")</f>
        <v>65</v>
      </c>
      <c r="J913" t="str">
        <f t="shared" si="14"/>
        <v>INSERT INTO COTACAO (blt_id, pap_id, cot_prc_comum, cot_prc_min, cot_prc_max, cot_prc_med, cot_prc_mediana) VALUES (23, 40, NULL, 65, 65, 65, 65);</v>
      </c>
    </row>
    <row r="914" spans="1:10" x14ac:dyDescent="0.3">
      <c r="A914">
        <v>913</v>
      </c>
      <c r="B914">
        <v>24</v>
      </c>
      <c r="C914">
        <v>1</v>
      </c>
      <c r="D914">
        <f>IF('Boletins Nuppa Site'!F914&lt;&gt;0,'Boletins Nuppa Site'!F914,"NULL")</f>
        <v>48</v>
      </c>
      <c r="E914">
        <f>IF('Boletins Nuppa Site'!G914&lt;&gt;0,'Boletins Nuppa Site'!G914,"NULL")</f>
        <v>48</v>
      </c>
      <c r="F914">
        <f>IF('Boletins Nuppa Site'!H914&lt;&gt;0,'Boletins Nuppa Site'!H914,"NULL")</f>
        <v>60</v>
      </c>
      <c r="G914">
        <f>IF('Boletins Nuppa Site'!I914&lt;&gt;0,'Boletins Nuppa Site'!I914,"NULL")</f>
        <v>54</v>
      </c>
      <c r="H914">
        <f>IF('Boletins Nuppa Site'!J914&lt;&gt;0,'Boletins Nuppa Site'!J914,"NULL")</f>
        <v>54</v>
      </c>
      <c r="J914" t="str">
        <f t="shared" si="14"/>
        <v>INSERT INTO COTACAO (blt_id, pap_id, cot_prc_comum, cot_prc_min, cot_prc_max, cot_prc_med, cot_prc_mediana) VALUES (24, 1, 48, 48, 60, 54, 54);</v>
      </c>
    </row>
    <row r="915" spans="1:10" x14ac:dyDescent="0.3">
      <c r="A915">
        <v>914</v>
      </c>
      <c r="B915">
        <v>24</v>
      </c>
      <c r="C915">
        <v>2</v>
      </c>
      <c r="D915">
        <f>IF('Boletins Nuppa Site'!F915&lt;&gt;0,'Boletins Nuppa Site'!F915,"NULL")</f>
        <v>72</v>
      </c>
      <c r="E915">
        <f>IF('Boletins Nuppa Site'!G915&lt;&gt;0,'Boletins Nuppa Site'!G915,"NULL")</f>
        <v>72</v>
      </c>
      <c r="F915">
        <f>IF('Boletins Nuppa Site'!H915&lt;&gt;0,'Boletins Nuppa Site'!H915,"NULL")</f>
        <v>84</v>
      </c>
      <c r="G915">
        <f>IF('Boletins Nuppa Site'!I915&lt;&gt;0,'Boletins Nuppa Site'!I915,"NULL")</f>
        <v>78</v>
      </c>
      <c r="H915">
        <f>IF('Boletins Nuppa Site'!J915&lt;&gt;0,'Boletins Nuppa Site'!J915,"NULL")</f>
        <v>78</v>
      </c>
      <c r="J915" t="str">
        <f t="shared" si="14"/>
        <v>INSERT INTO COTACAO (blt_id, pap_id, cot_prc_comum, cot_prc_min, cot_prc_max, cot_prc_med, cot_prc_mediana) VALUES (24, 2, 72, 72, 84, 78, 78);</v>
      </c>
    </row>
    <row r="916" spans="1:10" x14ac:dyDescent="0.3">
      <c r="A916">
        <v>915</v>
      </c>
      <c r="B916">
        <v>24</v>
      </c>
      <c r="C916">
        <v>3</v>
      </c>
      <c r="D916">
        <f>IF('Boletins Nuppa Site'!F916&lt;&gt;0,'Boletins Nuppa Site'!F916,"NULL")</f>
        <v>36</v>
      </c>
      <c r="E916">
        <f>IF('Boletins Nuppa Site'!G916&lt;&gt;0,'Boletins Nuppa Site'!G916,"NULL")</f>
        <v>36</v>
      </c>
      <c r="F916">
        <f>IF('Boletins Nuppa Site'!H916&lt;&gt;0,'Boletins Nuppa Site'!H916,"NULL")</f>
        <v>48</v>
      </c>
      <c r="G916">
        <f>IF('Boletins Nuppa Site'!I916&lt;&gt;0,'Boletins Nuppa Site'!I916,"NULL")</f>
        <v>40</v>
      </c>
      <c r="H916">
        <f>IF('Boletins Nuppa Site'!J916&lt;&gt;0,'Boletins Nuppa Site'!J916,"NULL")</f>
        <v>38</v>
      </c>
      <c r="J916" t="str">
        <f t="shared" si="14"/>
        <v>INSERT INTO COTACAO (blt_id, pap_id, cot_prc_comum, cot_prc_min, cot_prc_max, cot_prc_med, cot_prc_mediana) VALUES (24, 3, 36, 36, 48, 40, 38);</v>
      </c>
    </row>
    <row r="917" spans="1:10" x14ac:dyDescent="0.3">
      <c r="A917">
        <v>916</v>
      </c>
      <c r="B917">
        <v>24</v>
      </c>
      <c r="C917">
        <v>4</v>
      </c>
      <c r="D917">
        <f>IF('Boletins Nuppa Site'!F917&lt;&gt;0,'Boletins Nuppa Site'!F917,"NULL")</f>
        <v>24</v>
      </c>
      <c r="E917">
        <f>IF('Boletins Nuppa Site'!G917&lt;&gt;0,'Boletins Nuppa Site'!G917,"NULL")</f>
        <v>20</v>
      </c>
      <c r="F917">
        <f>IF('Boletins Nuppa Site'!H917&lt;&gt;0,'Boletins Nuppa Site'!H917,"NULL")</f>
        <v>24</v>
      </c>
      <c r="G917">
        <f>IF('Boletins Nuppa Site'!I917&lt;&gt;0,'Boletins Nuppa Site'!I917,"NULL")</f>
        <v>23</v>
      </c>
      <c r="H917">
        <f>IF('Boletins Nuppa Site'!J917&lt;&gt;0,'Boletins Nuppa Site'!J917,"NULL")</f>
        <v>24</v>
      </c>
      <c r="J917" t="str">
        <f t="shared" si="14"/>
        <v>INSERT INTO COTACAO (blt_id, pap_id, cot_prc_comum, cot_prc_min, cot_prc_max, cot_prc_med, cot_prc_mediana) VALUES (24, 4, 24, 20, 24, 23, 24);</v>
      </c>
    </row>
    <row r="918" spans="1:10" x14ac:dyDescent="0.3">
      <c r="A918">
        <v>917</v>
      </c>
      <c r="B918">
        <v>24</v>
      </c>
      <c r="C918">
        <v>5</v>
      </c>
      <c r="D918">
        <f>IF('Boletins Nuppa Site'!F918&lt;&gt;0,'Boletins Nuppa Site'!F918,"NULL")</f>
        <v>24</v>
      </c>
      <c r="E918">
        <f>IF('Boletins Nuppa Site'!G918&lt;&gt;0,'Boletins Nuppa Site'!G918,"NULL")</f>
        <v>20</v>
      </c>
      <c r="F918">
        <f>IF('Boletins Nuppa Site'!H918&lt;&gt;0,'Boletins Nuppa Site'!H918,"NULL")</f>
        <v>24</v>
      </c>
      <c r="G918">
        <f>IF('Boletins Nuppa Site'!I918&lt;&gt;0,'Boletins Nuppa Site'!I918,"NULL")</f>
        <v>23</v>
      </c>
      <c r="H918">
        <f>IF('Boletins Nuppa Site'!J918&lt;&gt;0,'Boletins Nuppa Site'!J918,"NULL")</f>
        <v>24</v>
      </c>
      <c r="J918" t="str">
        <f t="shared" si="14"/>
        <v>INSERT INTO COTACAO (blt_id, pap_id, cot_prc_comum, cot_prc_min, cot_prc_max, cot_prc_med, cot_prc_mediana) VALUES (24, 5, 24, 20, 24, 23, 24);</v>
      </c>
    </row>
    <row r="919" spans="1:10" x14ac:dyDescent="0.3">
      <c r="A919">
        <v>918</v>
      </c>
      <c r="B919">
        <v>24</v>
      </c>
      <c r="C919">
        <v>6</v>
      </c>
      <c r="D919">
        <f>IF('Boletins Nuppa Site'!F919&lt;&gt;0,'Boletins Nuppa Site'!F919,"NULL")</f>
        <v>60</v>
      </c>
      <c r="E919">
        <f>IF('Boletins Nuppa Site'!G919&lt;&gt;0,'Boletins Nuppa Site'!G919,"NULL")</f>
        <v>60</v>
      </c>
      <c r="F919">
        <f>IF('Boletins Nuppa Site'!H919&lt;&gt;0,'Boletins Nuppa Site'!H919,"NULL")</f>
        <v>60</v>
      </c>
      <c r="G919">
        <f>IF('Boletins Nuppa Site'!I919&lt;&gt;0,'Boletins Nuppa Site'!I919,"NULL")</f>
        <v>60</v>
      </c>
      <c r="H919">
        <f>IF('Boletins Nuppa Site'!J919&lt;&gt;0,'Boletins Nuppa Site'!J919,"NULL")</f>
        <v>60</v>
      </c>
      <c r="J919" t="str">
        <f t="shared" si="14"/>
        <v>INSERT INTO COTACAO (blt_id, pap_id, cot_prc_comum, cot_prc_min, cot_prc_max, cot_prc_med, cot_prc_mediana) VALUES (24, 6, 60, 60, 60, 60, 60);</v>
      </c>
    </row>
    <row r="920" spans="1:10" x14ac:dyDescent="0.3">
      <c r="A920">
        <v>919</v>
      </c>
      <c r="B920">
        <v>24</v>
      </c>
      <c r="C920">
        <v>7</v>
      </c>
      <c r="D920">
        <f>IF('Boletins Nuppa Site'!F920&lt;&gt;0,'Boletins Nuppa Site'!F920,"NULL")</f>
        <v>60</v>
      </c>
      <c r="E920">
        <f>IF('Boletins Nuppa Site'!G920&lt;&gt;0,'Boletins Nuppa Site'!G920,"NULL")</f>
        <v>54</v>
      </c>
      <c r="F920">
        <f>IF('Boletins Nuppa Site'!H920&lt;&gt;0,'Boletins Nuppa Site'!H920,"NULL")</f>
        <v>60</v>
      </c>
      <c r="G920" t="str">
        <f>IF('Boletins Nuppa Site'!I920&lt;&gt;0,'Boletins Nuppa Site'!I920,"NULL")</f>
        <v>58.5</v>
      </c>
      <c r="H920">
        <f>IF('Boletins Nuppa Site'!J920&lt;&gt;0,'Boletins Nuppa Site'!J920,"NULL")</f>
        <v>60</v>
      </c>
      <c r="J920" t="str">
        <f t="shared" si="14"/>
        <v>INSERT INTO COTACAO (blt_id, pap_id, cot_prc_comum, cot_prc_min, cot_prc_max, cot_prc_med, cot_prc_mediana) VALUES (24, 7, 60, 54, 60, 58.5, 60);</v>
      </c>
    </row>
    <row r="921" spans="1:10" x14ac:dyDescent="0.3">
      <c r="A921">
        <v>920</v>
      </c>
      <c r="B921">
        <v>24</v>
      </c>
      <c r="C921">
        <v>8</v>
      </c>
      <c r="D921">
        <f>IF('Boletins Nuppa Site'!F921&lt;&gt;0,'Boletins Nuppa Site'!F921,"NULL")</f>
        <v>84</v>
      </c>
      <c r="E921">
        <f>IF('Boletins Nuppa Site'!G921&lt;&gt;0,'Boletins Nuppa Site'!G921,"NULL")</f>
        <v>72</v>
      </c>
      <c r="F921">
        <f>IF('Boletins Nuppa Site'!H921&lt;&gt;0,'Boletins Nuppa Site'!H921,"NULL")</f>
        <v>96</v>
      </c>
      <c r="G921">
        <f>IF('Boletins Nuppa Site'!I921&lt;&gt;0,'Boletins Nuppa Site'!I921,"NULL")</f>
        <v>84</v>
      </c>
      <c r="H921">
        <f>IF('Boletins Nuppa Site'!J921&lt;&gt;0,'Boletins Nuppa Site'!J921,"NULL")</f>
        <v>84</v>
      </c>
      <c r="J921" t="str">
        <f t="shared" si="14"/>
        <v>INSERT INTO COTACAO (blt_id, pap_id, cot_prc_comum, cot_prc_min, cot_prc_max, cot_prc_med, cot_prc_mediana) VALUES (24, 8, 84, 72, 96, 84, 84);</v>
      </c>
    </row>
    <row r="922" spans="1:10" x14ac:dyDescent="0.3">
      <c r="A922">
        <v>921</v>
      </c>
      <c r="B922">
        <v>24</v>
      </c>
      <c r="C922">
        <v>9</v>
      </c>
      <c r="D922">
        <f>IF('Boletins Nuppa Site'!F922&lt;&gt;0,'Boletins Nuppa Site'!F922,"NULL")</f>
        <v>24</v>
      </c>
      <c r="E922">
        <f>IF('Boletins Nuppa Site'!G922&lt;&gt;0,'Boletins Nuppa Site'!G922,"NULL")</f>
        <v>24</v>
      </c>
      <c r="F922">
        <f>IF('Boletins Nuppa Site'!H922&lt;&gt;0,'Boletins Nuppa Site'!H922,"NULL")</f>
        <v>30</v>
      </c>
      <c r="G922" t="str">
        <f>IF('Boletins Nuppa Site'!I922&lt;&gt;0,'Boletins Nuppa Site'!I922,"NULL")</f>
        <v>25.5</v>
      </c>
      <c r="H922">
        <f>IF('Boletins Nuppa Site'!J922&lt;&gt;0,'Boletins Nuppa Site'!J922,"NULL")</f>
        <v>24</v>
      </c>
      <c r="J922" t="str">
        <f t="shared" si="14"/>
        <v>INSERT INTO COTACAO (blt_id, pap_id, cot_prc_comum, cot_prc_min, cot_prc_max, cot_prc_med, cot_prc_mediana) VALUES (24, 9, 24, 24, 30, 25.5, 24);</v>
      </c>
    </row>
    <row r="923" spans="1:10" x14ac:dyDescent="0.3">
      <c r="A923">
        <v>922</v>
      </c>
      <c r="B923">
        <v>24</v>
      </c>
      <c r="C923">
        <v>10</v>
      </c>
      <c r="D923">
        <f>IF('Boletins Nuppa Site'!F923&lt;&gt;0,'Boletins Nuppa Site'!F923,"NULL")</f>
        <v>60</v>
      </c>
      <c r="E923">
        <f>IF('Boletins Nuppa Site'!G923&lt;&gt;0,'Boletins Nuppa Site'!G923,"NULL")</f>
        <v>60</v>
      </c>
      <c r="F923">
        <f>IF('Boletins Nuppa Site'!H923&lt;&gt;0,'Boletins Nuppa Site'!H923,"NULL")</f>
        <v>72</v>
      </c>
      <c r="G923">
        <f>IF('Boletins Nuppa Site'!I923&lt;&gt;0,'Boletins Nuppa Site'!I923,"NULL")</f>
        <v>63</v>
      </c>
      <c r="H923">
        <f>IF('Boletins Nuppa Site'!J923&lt;&gt;0,'Boletins Nuppa Site'!J923,"NULL")</f>
        <v>60</v>
      </c>
      <c r="J923" t="str">
        <f t="shared" si="14"/>
        <v>INSERT INTO COTACAO (blt_id, pap_id, cot_prc_comum, cot_prc_min, cot_prc_max, cot_prc_med, cot_prc_mediana) VALUES (24, 10, 60, 60, 72, 63, 60);</v>
      </c>
    </row>
    <row r="924" spans="1:10" x14ac:dyDescent="0.3">
      <c r="A924">
        <v>923</v>
      </c>
      <c r="B924">
        <v>24</v>
      </c>
      <c r="C924">
        <v>11</v>
      </c>
      <c r="D924">
        <f>IF('Boletins Nuppa Site'!F924&lt;&gt;0,'Boletins Nuppa Site'!F924,"NULL")</f>
        <v>24</v>
      </c>
      <c r="E924">
        <f>IF('Boletins Nuppa Site'!G924&lt;&gt;0,'Boletins Nuppa Site'!G924,"NULL")</f>
        <v>20</v>
      </c>
      <c r="F924">
        <f>IF('Boletins Nuppa Site'!H924&lt;&gt;0,'Boletins Nuppa Site'!H924,"NULL")</f>
        <v>24</v>
      </c>
      <c r="G924">
        <f>IF('Boletins Nuppa Site'!I924&lt;&gt;0,'Boletins Nuppa Site'!I924,"NULL")</f>
        <v>23</v>
      </c>
      <c r="H924">
        <f>IF('Boletins Nuppa Site'!J924&lt;&gt;0,'Boletins Nuppa Site'!J924,"NULL")</f>
        <v>24</v>
      </c>
      <c r="J924" t="str">
        <f t="shared" si="14"/>
        <v>INSERT INTO COTACAO (blt_id, pap_id, cot_prc_comum, cot_prc_min, cot_prc_max, cot_prc_med, cot_prc_mediana) VALUES (24, 11, 24, 20, 24, 23, 24);</v>
      </c>
    </row>
    <row r="925" spans="1:10" x14ac:dyDescent="0.3">
      <c r="A925">
        <v>924</v>
      </c>
      <c r="B925">
        <v>24</v>
      </c>
      <c r="C925">
        <v>12</v>
      </c>
      <c r="D925">
        <f>IF('Boletins Nuppa Site'!F925&lt;&gt;0,'Boletins Nuppa Site'!F925,"NULL")</f>
        <v>60</v>
      </c>
      <c r="E925">
        <f>IF('Boletins Nuppa Site'!G925&lt;&gt;0,'Boletins Nuppa Site'!G925,"NULL")</f>
        <v>60</v>
      </c>
      <c r="F925">
        <f>IF('Boletins Nuppa Site'!H925&lt;&gt;0,'Boletins Nuppa Site'!H925,"NULL")</f>
        <v>78</v>
      </c>
      <c r="G925" t="str">
        <f>IF('Boletins Nuppa Site'!I925&lt;&gt;0,'Boletins Nuppa Site'!I925,"NULL")</f>
        <v>64.5</v>
      </c>
      <c r="H925">
        <f>IF('Boletins Nuppa Site'!J925&lt;&gt;0,'Boletins Nuppa Site'!J925,"NULL")</f>
        <v>60</v>
      </c>
      <c r="J925" t="str">
        <f t="shared" si="14"/>
        <v>INSERT INTO COTACAO (blt_id, pap_id, cot_prc_comum, cot_prc_min, cot_prc_max, cot_prc_med, cot_prc_mediana) VALUES (24, 12, 60, 60, 78, 64.5, 60);</v>
      </c>
    </row>
    <row r="926" spans="1:10" x14ac:dyDescent="0.3">
      <c r="A926">
        <v>925</v>
      </c>
      <c r="B926">
        <v>24</v>
      </c>
      <c r="C926">
        <v>13</v>
      </c>
      <c r="D926">
        <f>IF('Boletins Nuppa Site'!F926&lt;&gt;0,'Boletins Nuppa Site'!F926,"NULL")</f>
        <v>60</v>
      </c>
      <c r="E926">
        <f>IF('Boletins Nuppa Site'!G926&lt;&gt;0,'Boletins Nuppa Site'!G926,"NULL")</f>
        <v>60</v>
      </c>
      <c r="F926">
        <f>IF('Boletins Nuppa Site'!H926&lt;&gt;0,'Boletins Nuppa Site'!H926,"NULL")</f>
        <v>60</v>
      </c>
      <c r="G926">
        <f>IF('Boletins Nuppa Site'!I926&lt;&gt;0,'Boletins Nuppa Site'!I926,"NULL")</f>
        <v>60</v>
      </c>
      <c r="H926">
        <f>IF('Boletins Nuppa Site'!J926&lt;&gt;0,'Boletins Nuppa Site'!J926,"NULL")</f>
        <v>60</v>
      </c>
      <c r="J926" t="str">
        <f t="shared" si="14"/>
        <v>INSERT INTO COTACAO (blt_id, pap_id, cot_prc_comum, cot_prc_min, cot_prc_max, cot_prc_med, cot_prc_mediana) VALUES (24, 13, 60, 60, 60, 60, 60);</v>
      </c>
    </row>
    <row r="927" spans="1:10" x14ac:dyDescent="0.3">
      <c r="A927">
        <v>926</v>
      </c>
      <c r="B927">
        <v>24</v>
      </c>
      <c r="C927">
        <v>14</v>
      </c>
      <c r="D927" t="str">
        <f>IF('Boletins Nuppa Site'!F927&lt;&gt;0,'Boletins Nuppa Site'!F927,"NULL")</f>
        <v>NULL</v>
      </c>
      <c r="E927">
        <f>IF('Boletins Nuppa Site'!G927&lt;&gt;0,'Boletins Nuppa Site'!G927,"NULL")</f>
        <v>50</v>
      </c>
      <c r="F927">
        <f>IF('Boletins Nuppa Site'!H927&lt;&gt;0,'Boletins Nuppa Site'!H927,"NULL")</f>
        <v>84</v>
      </c>
      <c r="G927" t="str">
        <f>IF('Boletins Nuppa Site'!I927&lt;&gt;0,'Boletins Nuppa Site'!I927,"NULL")</f>
        <v>66.5</v>
      </c>
      <c r="H927">
        <f>IF('Boletins Nuppa Site'!J927&lt;&gt;0,'Boletins Nuppa Site'!J927,"NULL")</f>
        <v>66</v>
      </c>
      <c r="J927" t="str">
        <f t="shared" si="14"/>
        <v>INSERT INTO COTACAO (blt_id, pap_id, cot_prc_comum, cot_prc_min, cot_prc_max, cot_prc_med, cot_prc_mediana) VALUES (24, 14, NULL, 50, 84, 66.5, 66);</v>
      </c>
    </row>
    <row r="928" spans="1:10" x14ac:dyDescent="0.3">
      <c r="A928">
        <v>927</v>
      </c>
      <c r="B928">
        <v>24</v>
      </c>
      <c r="C928">
        <v>15</v>
      </c>
      <c r="D928">
        <f>IF('Boletins Nuppa Site'!F928&lt;&gt;0,'Boletins Nuppa Site'!F928,"NULL")</f>
        <v>45</v>
      </c>
      <c r="E928">
        <f>IF('Boletins Nuppa Site'!G928&lt;&gt;0,'Boletins Nuppa Site'!G928,"NULL")</f>
        <v>40</v>
      </c>
      <c r="F928">
        <f>IF('Boletins Nuppa Site'!H928&lt;&gt;0,'Boletins Nuppa Site'!H928,"NULL")</f>
        <v>48</v>
      </c>
      <c r="G928" t="str">
        <f>IF('Boletins Nuppa Site'!I928&lt;&gt;0,'Boletins Nuppa Site'!I928,"NULL")</f>
        <v>44.5</v>
      </c>
      <c r="H928">
        <f>IF('Boletins Nuppa Site'!J928&lt;&gt;0,'Boletins Nuppa Site'!J928,"NULL")</f>
        <v>45</v>
      </c>
      <c r="J928" t="str">
        <f t="shared" si="14"/>
        <v>INSERT INTO COTACAO (blt_id, pap_id, cot_prc_comum, cot_prc_min, cot_prc_max, cot_prc_med, cot_prc_mediana) VALUES (24, 15, 45, 40, 48, 44.5, 45);</v>
      </c>
    </row>
    <row r="929" spans="1:10" x14ac:dyDescent="0.3">
      <c r="A929">
        <v>928</v>
      </c>
      <c r="B929">
        <v>24</v>
      </c>
      <c r="C929">
        <v>16</v>
      </c>
      <c r="D929">
        <f>IF('Boletins Nuppa Site'!F929&lt;&gt;0,'Boletins Nuppa Site'!F929,"NULL")</f>
        <v>48</v>
      </c>
      <c r="E929">
        <f>IF('Boletins Nuppa Site'!G929&lt;&gt;0,'Boletins Nuppa Site'!G929,"NULL")</f>
        <v>48</v>
      </c>
      <c r="F929">
        <f>IF('Boletins Nuppa Site'!H929&lt;&gt;0,'Boletins Nuppa Site'!H929,"NULL")</f>
        <v>54</v>
      </c>
      <c r="G929" t="str">
        <f>IF('Boletins Nuppa Site'!I929&lt;&gt;0,'Boletins Nuppa Site'!I929,"NULL")</f>
        <v>49.5</v>
      </c>
      <c r="H929">
        <f>IF('Boletins Nuppa Site'!J929&lt;&gt;0,'Boletins Nuppa Site'!J929,"NULL")</f>
        <v>48</v>
      </c>
      <c r="J929" t="str">
        <f t="shared" si="14"/>
        <v>INSERT INTO COTACAO (blt_id, pap_id, cot_prc_comum, cot_prc_min, cot_prc_max, cot_prc_med, cot_prc_mediana) VALUES (24, 16, 48, 48, 54, 49.5, 48);</v>
      </c>
    </row>
    <row r="930" spans="1:10" x14ac:dyDescent="0.3">
      <c r="A930">
        <v>929</v>
      </c>
      <c r="B930">
        <v>24</v>
      </c>
      <c r="C930">
        <v>17</v>
      </c>
      <c r="D930">
        <f>IF('Boletins Nuppa Site'!F930&lt;&gt;0,'Boletins Nuppa Site'!F930,"NULL")</f>
        <v>5</v>
      </c>
      <c r="E930">
        <f>IF('Boletins Nuppa Site'!G930&lt;&gt;0,'Boletins Nuppa Site'!G930,"NULL")</f>
        <v>5</v>
      </c>
      <c r="F930">
        <f>IF('Boletins Nuppa Site'!H930&lt;&gt;0,'Boletins Nuppa Site'!H930,"NULL")</f>
        <v>5</v>
      </c>
      <c r="G930">
        <f>IF('Boletins Nuppa Site'!I930&lt;&gt;0,'Boletins Nuppa Site'!I930,"NULL")</f>
        <v>5</v>
      </c>
      <c r="H930">
        <f>IF('Boletins Nuppa Site'!J930&lt;&gt;0,'Boletins Nuppa Site'!J930,"NULL")</f>
        <v>5</v>
      </c>
      <c r="J930" t="str">
        <f t="shared" si="14"/>
        <v>INSERT INTO COTACAO (blt_id, pap_id, cot_prc_comum, cot_prc_min, cot_prc_max, cot_prc_med, cot_prc_mediana) VALUES (24, 17, 5, 5, 5, 5, 5);</v>
      </c>
    </row>
    <row r="931" spans="1:10" x14ac:dyDescent="0.3">
      <c r="A931">
        <v>930</v>
      </c>
      <c r="B931">
        <v>24</v>
      </c>
      <c r="C931">
        <v>18</v>
      </c>
      <c r="D931">
        <f>IF('Boletins Nuppa Site'!F931&lt;&gt;0,'Boletins Nuppa Site'!F931,"NULL")</f>
        <v>15</v>
      </c>
      <c r="E931">
        <f>IF('Boletins Nuppa Site'!G931&lt;&gt;0,'Boletins Nuppa Site'!G931,"NULL")</f>
        <v>10</v>
      </c>
      <c r="F931">
        <f>IF('Boletins Nuppa Site'!H931&lt;&gt;0,'Boletins Nuppa Site'!H931,"NULL")</f>
        <v>15</v>
      </c>
      <c r="G931">
        <f>IF('Boletins Nuppa Site'!I931&lt;&gt;0,'Boletins Nuppa Site'!I931,"NULL")</f>
        <v>13</v>
      </c>
      <c r="H931" t="str">
        <f>IF('Boletins Nuppa Site'!J931&lt;&gt;0,'Boletins Nuppa Site'!J931,"NULL")</f>
        <v>13.5</v>
      </c>
      <c r="J931" t="str">
        <f t="shared" si="14"/>
        <v>INSERT INTO COTACAO (blt_id, pap_id, cot_prc_comum, cot_prc_min, cot_prc_max, cot_prc_med, cot_prc_mediana) VALUES (24, 18, 15, 10, 15, 13, 13.5);</v>
      </c>
    </row>
    <row r="932" spans="1:10" x14ac:dyDescent="0.3">
      <c r="A932">
        <v>931</v>
      </c>
      <c r="B932">
        <v>24</v>
      </c>
      <c r="C932">
        <v>19</v>
      </c>
      <c r="D932">
        <f>IF('Boletins Nuppa Site'!F932&lt;&gt;0,'Boletins Nuppa Site'!F932,"NULL")</f>
        <v>25</v>
      </c>
      <c r="E932">
        <f>IF('Boletins Nuppa Site'!G932&lt;&gt;0,'Boletins Nuppa Site'!G932,"NULL")</f>
        <v>20</v>
      </c>
      <c r="F932">
        <f>IF('Boletins Nuppa Site'!H932&lt;&gt;0,'Boletins Nuppa Site'!H932,"NULL")</f>
        <v>30</v>
      </c>
      <c r="G932">
        <f>IF('Boletins Nuppa Site'!I932&lt;&gt;0,'Boletins Nuppa Site'!I932,"NULL")</f>
        <v>25</v>
      </c>
      <c r="H932">
        <f>IF('Boletins Nuppa Site'!J932&lt;&gt;0,'Boletins Nuppa Site'!J932,"NULL")</f>
        <v>25</v>
      </c>
      <c r="J932" t="str">
        <f t="shared" si="14"/>
        <v>INSERT INTO COTACAO (blt_id, pap_id, cot_prc_comum, cot_prc_min, cot_prc_max, cot_prc_med, cot_prc_mediana) VALUES (24, 19, 25, 20, 30, 25, 25);</v>
      </c>
    </row>
    <row r="933" spans="1:10" x14ac:dyDescent="0.3">
      <c r="A933">
        <v>932</v>
      </c>
      <c r="B933">
        <v>24</v>
      </c>
      <c r="C933">
        <v>20</v>
      </c>
      <c r="D933" t="str">
        <f>IF('Boletins Nuppa Site'!F933&lt;&gt;0,'Boletins Nuppa Site'!F933,"NULL")</f>
        <v>NULL</v>
      </c>
      <c r="E933">
        <f>IF('Boletins Nuppa Site'!G933&lt;&gt;0,'Boletins Nuppa Site'!G933,"NULL")</f>
        <v>65</v>
      </c>
      <c r="F933">
        <f>IF('Boletins Nuppa Site'!H933&lt;&gt;0,'Boletins Nuppa Site'!H933,"NULL")</f>
        <v>80</v>
      </c>
      <c r="G933" t="str">
        <f>IF('Boletins Nuppa Site'!I933&lt;&gt;0,'Boletins Nuppa Site'!I933,"NULL")</f>
        <v>71.67</v>
      </c>
      <c r="H933">
        <f>IF('Boletins Nuppa Site'!J933&lt;&gt;0,'Boletins Nuppa Site'!J933,"NULL")</f>
        <v>70</v>
      </c>
      <c r="J933" t="str">
        <f t="shared" si="14"/>
        <v>INSERT INTO COTACAO (blt_id, pap_id, cot_prc_comum, cot_prc_min, cot_prc_max, cot_prc_med, cot_prc_mediana) VALUES (24, 20, NULL, 65, 80, 71.67, 70);</v>
      </c>
    </row>
    <row r="934" spans="1:10" x14ac:dyDescent="0.3">
      <c r="A934">
        <v>933</v>
      </c>
      <c r="B934">
        <v>24</v>
      </c>
      <c r="C934">
        <v>21</v>
      </c>
      <c r="D934">
        <f>IF('Boletins Nuppa Site'!F934&lt;&gt;0,'Boletins Nuppa Site'!F934,"NULL")</f>
        <v>60</v>
      </c>
      <c r="E934">
        <f>IF('Boletins Nuppa Site'!G934&lt;&gt;0,'Boletins Nuppa Site'!G934,"NULL")</f>
        <v>45</v>
      </c>
      <c r="F934">
        <f>IF('Boletins Nuppa Site'!H934&lt;&gt;0,'Boletins Nuppa Site'!H934,"NULL")</f>
        <v>70</v>
      </c>
      <c r="G934">
        <f>IF('Boletins Nuppa Site'!I934&lt;&gt;0,'Boletins Nuppa Site'!I934,"NULL")</f>
        <v>59</v>
      </c>
      <c r="H934">
        <f>IF('Boletins Nuppa Site'!J934&lt;&gt;0,'Boletins Nuppa Site'!J934,"NULL")</f>
        <v>60</v>
      </c>
      <c r="J934" t="str">
        <f t="shared" si="14"/>
        <v>INSERT INTO COTACAO (blt_id, pap_id, cot_prc_comum, cot_prc_min, cot_prc_max, cot_prc_med, cot_prc_mediana) VALUES (24, 21, 60, 45, 70, 59, 60);</v>
      </c>
    </row>
    <row r="935" spans="1:10" x14ac:dyDescent="0.3">
      <c r="A935">
        <v>934</v>
      </c>
      <c r="B935">
        <v>24</v>
      </c>
      <c r="C935">
        <v>22</v>
      </c>
      <c r="D935">
        <f>IF('Boletins Nuppa Site'!F935&lt;&gt;0,'Boletins Nuppa Site'!F935,"NULL")</f>
        <v>70</v>
      </c>
      <c r="E935">
        <f>IF('Boletins Nuppa Site'!G935&lt;&gt;0,'Boletins Nuppa Site'!G935,"NULL")</f>
        <v>45</v>
      </c>
      <c r="F935">
        <f>IF('Boletins Nuppa Site'!H935&lt;&gt;0,'Boletins Nuppa Site'!H935,"NULL")</f>
        <v>70</v>
      </c>
      <c r="G935">
        <f>IF('Boletins Nuppa Site'!I935&lt;&gt;0,'Boletins Nuppa Site'!I935,"NULL")</f>
        <v>64</v>
      </c>
      <c r="H935">
        <f>IF('Boletins Nuppa Site'!J935&lt;&gt;0,'Boletins Nuppa Site'!J935,"NULL")</f>
        <v>70</v>
      </c>
      <c r="J935" t="str">
        <f t="shared" si="14"/>
        <v>INSERT INTO COTACAO (blt_id, pap_id, cot_prc_comum, cot_prc_min, cot_prc_max, cot_prc_med, cot_prc_mediana) VALUES (24, 22, 70, 45, 70, 64, 70);</v>
      </c>
    </row>
    <row r="936" spans="1:10" x14ac:dyDescent="0.3">
      <c r="A936">
        <v>935</v>
      </c>
      <c r="B936">
        <v>24</v>
      </c>
      <c r="C936">
        <v>23</v>
      </c>
      <c r="D936">
        <f>IF('Boletins Nuppa Site'!F936&lt;&gt;0,'Boletins Nuppa Site'!F936,"NULL")</f>
        <v>50</v>
      </c>
      <c r="E936">
        <f>IF('Boletins Nuppa Site'!G936&lt;&gt;0,'Boletins Nuppa Site'!G936,"NULL")</f>
        <v>30</v>
      </c>
      <c r="F936">
        <f>IF('Boletins Nuppa Site'!H936&lt;&gt;0,'Boletins Nuppa Site'!H936,"NULL")</f>
        <v>50</v>
      </c>
      <c r="G936">
        <f>IF('Boletins Nuppa Site'!I936&lt;&gt;0,'Boletins Nuppa Site'!I936,"NULL")</f>
        <v>45</v>
      </c>
      <c r="H936">
        <f>IF('Boletins Nuppa Site'!J936&lt;&gt;0,'Boletins Nuppa Site'!J936,"NULL")</f>
        <v>50</v>
      </c>
      <c r="J936" t="str">
        <f t="shared" si="14"/>
        <v>INSERT INTO COTACAO (blt_id, pap_id, cot_prc_comum, cot_prc_min, cot_prc_max, cot_prc_med, cot_prc_mediana) VALUES (24, 23, 50, 30, 50, 45, 50);</v>
      </c>
    </row>
    <row r="937" spans="1:10" x14ac:dyDescent="0.3">
      <c r="A937">
        <v>936</v>
      </c>
      <c r="B937">
        <v>24</v>
      </c>
      <c r="C937">
        <v>24</v>
      </c>
      <c r="D937" t="str">
        <f>IF('Boletins Nuppa Site'!F937&lt;&gt;0,'Boletins Nuppa Site'!F937,"NULL")</f>
        <v>NULL</v>
      </c>
      <c r="E937">
        <f>IF('Boletins Nuppa Site'!G937&lt;&gt;0,'Boletins Nuppa Site'!G937,"NULL")</f>
        <v>40</v>
      </c>
      <c r="F937">
        <f>IF('Boletins Nuppa Site'!H937&lt;&gt;0,'Boletins Nuppa Site'!H937,"NULL")</f>
        <v>110</v>
      </c>
      <c r="G937">
        <f>IF('Boletins Nuppa Site'!I937&lt;&gt;0,'Boletins Nuppa Site'!I937,"NULL")</f>
        <v>85</v>
      </c>
      <c r="H937">
        <f>IF('Boletins Nuppa Site'!J937&lt;&gt;0,'Boletins Nuppa Site'!J937,"NULL")</f>
        <v>95</v>
      </c>
      <c r="J937" t="str">
        <f t="shared" si="14"/>
        <v>INSERT INTO COTACAO (blt_id, pap_id, cot_prc_comum, cot_prc_min, cot_prc_max, cot_prc_med, cot_prc_mediana) VALUES (24, 24, NULL, 40, 110, 85, 95);</v>
      </c>
    </row>
    <row r="938" spans="1:10" x14ac:dyDescent="0.3">
      <c r="A938">
        <v>937</v>
      </c>
      <c r="B938">
        <v>24</v>
      </c>
      <c r="C938">
        <v>25</v>
      </c>
      <c r="D938">
        <f>IF('Boletins Nuppa Site'!F938&lt;&gt;0,'Boletins Nuppa Site'!F938,"NULL")</f>
        <v>70</v>
      </c>
      <c r="E938">
        <f>IF('Boletins Nuppa Site'!G938&lt;&gt;0,'Boletins Nuppa Site'!G938,"NULL")</f>
        <v>70</v>
      </c>
      <c r="F938">
        <f>IF('Boletins Nuppa Site'!H938&lt;&gt;0,'Boletins Nuppa Site'!H938,"NULL")</f>
        <v>90</v>
      </c>
      <c r="G938">
        <f>IF('Boletins Nuppa Site'!I938&lt;&gt;0,'Boletins Nuppa Site'!I938,"NULL")</f>
        <v>79</v>
      </c>
      <c r="H938">
        <f>IF('Boletins Nuppa Site'!J938&lt;&gt;0,'Boletins Nuppa Site'!J938,"NULL")</f>
        <v>80</v>
      </c>
      <c r="J938" t="str">
        <f t="shared" si="14"/>
        <v>INSERT INTO COTACAO (blt_id, pap_id, cot_prc_comum, cot_prc_min, cot_prc_max, cot_prc_med, cot_prc_mediana) VALUES (24, 25, 70, 70, 90, 79, 80);</v>
      </c>
    </row>
    <row r="939" spans="1:10" x14ac:dyDescent="0.3">
      <c r="A939">
        <v>938</v>
      </c>
      <c r="B939">
        <v>24</v>
      </c>
      <c r="C939">
        <v>26</v>
      </c>
      <c r="D939">
        <f>IF('Boletins Nuppa Site'!F939&lt;&gt;0,'Boletins Nuppa Site'!F939,"NULL")</f>
        <v>60</v>
      </c>
      <c r="E939">
        <f>IF('Boletins Nuppa Site'!G939&lt;&gt;0,'Boletins Nuppa Site'!G939,"NULL")</f>
        <v>40</v>
      </c>
      <c r="F939">
        <f>IF('Boletins Nuppa Site'!H939&lt;&gt;0,'Boletins Nuppa Site'!H939,"NULL")</f>
        <v>80</v>
      </c>
      <c r="G939" t="str">
        <f>IF('Boletins Nuppa Site'!I939&lt;&gt;0,'Boletins Nuppa Site'!I939,"NULL")</f>
        <v>63.33</v>
      </c>
      <c r="H939" t="str">
        <f>IF('Boletins Nuppa Site'!J939&lt;&gt;0,'Boletins Nuppa Site'!J939,"NULL")</f>
        <v>62.5</v>
      </c>
      <c r="J939" t="str">
        <f t="shared" si="14"/>
        <v>INSERT INTO COTACAO (blt_id, pap_id, cot_prc_comum, cot_prc_min, cot_prc_max, cot_prc_med, cot_prc_mediana) VALUES (24, 26, 60, 40, 80, 63.33, 62.5);</v>
      </c>
    </row>
    <row r="940" spans="1:10" x14ac:dyDescent="0.3">
      <c r="A940">
        <v>939</v>
      </c>
      <c r="B940">
        <v>24</v>
      </c>
      <c r="C940">
        <v>27</v>
      </c>
      <c r="D940">
        <f>IF('Boletins Nuppa Site'!F940&lt;&gt;0,'Boletins Nuppa Site'!F940,"NULL")</f>
        <v>65</v>
      </c>
      <c r="E940">
        <f>IF('Boletins Nuppa Site'!G940&lt;&gt;0,'Boletins Nuppa Site'!G940,"NULL")</f>
        <v>45</v>
      </c>
      <c r="F940">
        <f>IF('Boletins Nuppa Site'!H940&lt;&gt;0,'Boletins Nuppa Site'!H940,"NULL")</f>
        <v>65</v>
      </c>
      <c r="G940">
        <f>IF('Boletins Nuppa Site'!I940&lt;&gt;0,'Boletins Nuppa Site'!I940,"NULL")</f>
        <v>57</v>
      </c>
      <c r="H940">
        <f>IF('Boletins Nuppa Site'!J940&lt;&gt;0,'Boletins Nuppa Site'!J940,"NULL")</f>
        <v>60</v>
      </c>
      <c r="J940" t="str">
        <f t="shared" si="14"/>
        <v>INSERT INTO COTACAO (blt_id, pap_id, cot_prc_comum, cot_prc_min, cot_prc_max, cot_prc_med, cot_prc_mediana) VALUES (24, 27, 65, 45, 65, 57, 60);</v>
      </c>
    </row>
    <row r="941" spans="1:10" x14ac:dyDescent="0.3">
      <c r="A941">
        <v>940</v>
      </c>
      <c r="B941">
        <v>24</v>
      </c>
      <c r="C941">
        <v>28</v>
      </c>
      <c r="D941">
        <f>IF('Boletins Nuppa Site'!F941&lt;&gt;0,'Boletins Nuppa Site'!F941,"NULL")</f>
        <v>90</v>
      </c>
      <c r="E941">
        <f>IF('Boletins Nuppa Site'!G941&lt;&gt;0,'Boletins Nuppa Site'!G941,"NULL")</f>
        <v>60</v>
      </c>
      <c r="F941">
        <f>IF('Boletins Nuppa Site'!H941&lt;&gt;0,'Boletins Nuppa Site'!H941,"NULL")</f>
        <v>100</v>
      </c>
      <c r="G941" t="str">
        <f>IF('Boletins Nuppa Site'!I941&lt;&gt;0,'Boletins Nuppa Site'!I941,"NULL")</f>
        <v>83.33</v>
      </c>
      <c r="H941">
        <f>IF('Boletins Nuppa Site'!J941&lt;&gt;0,'Boletins Nuppa Site'!J941,"NULL")</f>
        <v>85</v>
      </c>
      <c r="J941" t="str">
        <f t="shared" si="14"/>
        <v>INSERT INTO COTACAO (blt_id, pap_id, cot_prc_comum, cot_prc_min, cot_prc_max, cot_prc_med, cot_prc_mediana) VALUES (24, 28, 90, 60, 100, 83.33, 85);</v>
      </c>
    </row>
    <row r="942" spans="1:10" x14ac:dyDescent="0.3">
      <c r="A942">
        <v>941</v>
      </c>
      <c r="B942">
        <v>24</v>
      </c>
      <c r="C942">
        <v>29</v>
      </c>
      <c r="D942">
        <f>IF('Boletins Nuppa Site'!F942&lt;&gt;0,'Boletins Nuppa Site'!F942,"NULL")</f>
        <v>50</v>
      </c>
      <c r="E942">
        <f>IF('Boletins Nuppa Site'!G942&lt;&gt;0,'Boletins Nuppa Site'!G942,"NULL")</f>
        <v>50</v>
      </c>
      <c r="F942">
        <f>IF('Boletins Nuppa Site'!H942&lt;&gt;0,'Boletins Nuppa Site'!H942,"NULL")</f>
        <v>60</v>
      </c>
      <c r="G942" t="str">
        <f>IF('Boletins Nuppa Site'!I942&lt;&gt;0,'Boletins Nuppa Site'!I942,"NULL")</f>
        <v>53.75</v>
      </c>
      <c r="H942" t="str">
        <f>IF('Boletins Nuppa Site'!J942&lt;&gt;0,'Boletins Nuppa Site'!J942,"NULL")</f>
        <v>52.5</v>
      </c>
      <c r="J942" t="str">
        <f t="shared" si="14"/>
        <v>INSERT INTO COTACAO (blt_id, pap_id, cot_prc_comum, cot_prc_min, cot_prc_max, cot_prc_med, cot_prc_mediana) VALUES (24, 29, 50, 50, 60, 53.75, 52.5);</v>
      </c>
    </row>
    <row r="943" spans="1:10" x14ac:dyDescent="0.3">
      <c r="A943">
        <v>942</v>
      </c>
      <c r="B943">
        <v>24</v>
      </c>
      <c r="C943">
        <v>30</v>
      </c>
      <c r="D943">
        <f>IF('Boletins Nuppa Site'!F943&lt;&gt;0,'Boletins Nuppa Site'!F943,"NULL")</f>
        <v>60</v>
      </c>
      <c r="E943">
        <f>IF('Boletins Nuppa Site'!G943&lt;&gt;0,'Boletins Nuppa Site'!G943,"NULL")</f>
        <v>40</v>
      </c>
      <c r="F943">
        <f>IF('Boletins Nuppa Site'!H943&lt;&gt;0,'Boletins Nuppa Site'!H943,"NULL")</f>
        <v>60</v>
      </c>
      <c r="G943" t="str">
        <f>IF('Boletins Nuppa Site'!I943&lt;&gt;0,'Boletins Nuppa Site'!I943,"NULL")</f>
        <v>52.5</v>
      </c>
      <c r="H943">
        <f>IF('Boletins Nuppa Site'!J943&lt;&gt;0,'Boletins Nuppa Site'!J943,"NULL")</f>
        <v>55</v>
      </c>
      <c r="J943" t="str">
        <f t="shared" si="14"/>
        <v>INSERT INTO COTACAO (blt_id, pap_id, cot_prc_comum, cot_prc_min, cot_prc_max, cot_prc_med, cot_prc_mediana) VALUES (24, 30, 60, 40, 60, 52.5, 55);</v>
      </c>
    </row>
    <row r="944" spans="1:10" x14ac:dyDescent="0.3">
      <c r="A944">
        <v>943</v>
      </c>
      <c r="B944">
        <v>24</v>
      </c>
      <c r="C944">
        <v>31</v>
      </c>
      <c r="D944">
        <f>IF('Boletins Nuppa Site'!F944&lt;&gt;0,'Boletins Nuppa Site'!F944,"NULL")</f>
        <v>80</v>
      </c>
      <c r="E944">
        <f>IF('Boletins Nuppa Site'!G944&lt;&gt;0,'Boletins Nuppa Site'!G944,"NULL")</f>
        <v>70</v>
      </c>
      <c r="F944">
        <f>IF('Boletins Nuppa Site'!H944&lt;&gt;0,'Boletins Nuppa Site'!H944,"NULL")</f>
        <v>80</v>
      </c>
      <c r="G944">
        <f>IF('Boletins Nuppa Site'!I944&lt;&gt;0,'Boletins Nuppa Site'!I944,"NULL")</f>
        <v>77</v>
      </c>
      <c r="H944">
        <f>IF('Boletins Nuppa Site'!J944&lt;&gt;0,'Boletins Nuppa Site'!J944,"NULL")</f>
        <v>80</v>
      </c>
      <c r="J944" t="str">
        <f t="shared" si="14"/>
        <v>INSERT INTO COTACAO (blt_id, pap_id, cot_prc_comum, cot_prc_min, cot_prc_max, cot_prc_med, cot_prc_mediana) VALUES (24, 31, 80, 70, 80, 77, 80);</v>
      </c>
    </row>
    <row r="945" spans="1:10" x14ac:dyDescent="0.3">
      <c r="A945">
        <v>944</v>
      </c>
      <c r="B945">
        <v>24</v>
      </c>
      <c r="C945">
        <v>32</v>
      </c>
      <c r="D945">
        <f>IF('Boletins Nuppa Site'!F945&lt;&gt;0,'Boletins Nuppa Site'!F945,"NULL")</f>
        <v>50</v>
      </c>
      <c r="E945">
        <f>IF('Boletins Nuppa Site'!G945&lt;&gt;0,'Boletins Nuppa Site'!G945,"NULL")</f>
        <v>50</v>
      </c>
      <c r="F945">
        <f>IF('Boletins Nuppa Site'!H945&lt;&gt;0,'Boletins Nuppa Site'!H945,"NULL")</f>
        <v>60</v>
      </c>
      <c r="G945">
        <f>IF('Boletins Nuppa Site'!I945&lt;&gt;0,'Boletins Nuppa Site'!I945,"NULL")</f>
        <v>53</v>
      </c>
      <c r="H945">
        <f>IF('Boletins Nuppa Site'!J945&lt;&gt;0,'Boletins Nuppa Site'!J945,"NULL")</f>
        <v>50</v>
      </c>
      <c r="J945" t="str">
        <f t="shared" si="14"/>
        <v>INSERT INTO COTACAO (blt_id, pap_id, cot_prc_comum, cot_prc_min, cot_prc_max, cot_prc_med, cot_prc_mediana) VALUES (24, 32, 50, 50, 60, 53, 50);</v>
      </c>
    </row>
    <row r="946" spans="1:10" x14ac:dyDescent="0.3">
      <c r="A946">
        <v>945</v>
      </c>
      <c r="B946">
        <v>24</v>
      </c>
      <c r="C946">
        <v>33</v>
      </c>
      <c r="D946">
        <f>IF('Boletins Nuppa Site'!F946&lt;&gt;0,'Boletins Nuppa Site'!F946,"NULL")</f>
        <v>100</v>
      </c>
      <c r="E946">
        <f>IF('Boletins Nuppa Site'!G946&lt;&gt;0,'Boletins Nuppa Site'!G946,"NULL")</f>
        <v>90</v>
      </c>
      <c r="F946">
        <f>IF('Boletins Nuppa Site'!H946&lt;&gt;0,'Boletins Nuppa Site'!H946,"NULL")</f>
        <v>120</v>
      </c>
      <c r="G946" t="str">
        <f>IF('Boletins Nuppa Site'!I946&lt;&gt;0,'Boletins Nuppa Site'!I946,"NULL")</f>
        <v>102.5</v>
      </c>
      <c r="H946">
        <f>IF('Boletins Nuppa Site'!J946&lt;&gt;0,'Boletins Nuppa Site'!J946,"NULL")</f>
        <v>100</v>
      </c>
      <c r="J946" t="str">
        <f t="shared" si="14"/>
        <v>INSERT INTO COTACAO (blt_id, pap_id, cot_prc_comum, cot_prc_min, cot_prc_max, cot_prc_med, cot_prc_mediana) VALUES (24, 33, 100, 90, 120, 102.5, 100);</v>
      </c>
    </row>
    <row r="947" spans="1:10" x14ac:dyDescent="0.3">
      <c r="A947">
        <v>946</v>
      </c>
      <c r="B947">
        <v>24</v>
      </c>
      <c r="C947">
        <v>34</v>
      </c>
      <c r="D947" t="str">
        <f>IF('Boletins Nuppa Site'!F947&lt;&gt;0,'Boletins Nuppa Site'!F947,"NULL")</f>
        <v>NULL</v>
      </c>
      <c r="E947">
        <f>IF('Boletins Nuppa Site'!G947&lt;&gt;0,'Boletins Nuppa Site'!G947,"NULL")</f>
        <v>30</v>
      </c>
      <c r="F947">
        <f>IF('Boletins Nuppa Site'!H947&lt;&gt;0,'Boletins Nuppa Site'!H947,"NULL")</f>
        <v>90</v>
      </c>
      <c r="G947" t="str">
        <f>IF('Boletins Nuppa Site'!I947&lt;&gt;0,'Boletins Nuppa Site'!I947,"NULL")</f>
        <v>67.5</v>
      </c>
      <c r="H947" t="str">
        <f>IF('Boletins Nuppa Site'!J947&lt;&gt;0,'Boletins Nuppa Site'!J947,"NULL")</f>
        <v>72.5</v>
      </c>
      <c r="J947" t="str">
        <f t="shared" si="14"/>
        <v>INSERT INTO COTACAO (blt_id, pap_id, cot_prc_comum, cot_prc_min, cot_prc_max, cot_prc_med, cot_prc_mediana) VALUES (24, 34, NULL, 30, 90, 67.5, 72.5);</v>
      </c>
    </row>
    <row r="948" spans="1:10" x14ac:dyDescent="0.3">
      <c r="A948">
        <v>947</v>
      </c>
      <c r="B948">
        <v>24</v>
      </c>
      <c r="C948">
        <v>35</v>
      </c>
      <c r="D948">
        <f>IF('Boletins Nuppa Site'!F948&lt;&gt;0,'Boletins Nuppa Site'!F948,"NULL")</f>
        <v>120</v>
      </c>
      <c r="E948">
        <f>IF('Boletins Nuppa Site'!G948&lt;&gt;0,'Boletins Nuppa Site'!G948,"NULL")</f>
        <v>120</v>
      </c>
      <c r="F948">
        <f>IF('Boletins Nuppa Site'!H948&lt;&gt;0,'Boletins Nuppa Site'!H948,"NULL")</f>
        <v>150</v>
      </c>
      <c r="G948">
        <f>IF('Boletins Nuppa Site'!I948&lt;&gt;0,'Boletins Nuppa Site'!I948,"NULL")</f>
        <v>130</v>
      </c>
      <c r="H948">
        <f>IF('Boletins Nuppa Site'!J948&lt;&gt;0,'Boletins Nuppa Site'!J948,"NULL")</f>
        <v>125</v>
      </c>
      <c r="J948" t="str">
        <f t="shared" si="14"/>
        <v>INSERT INTO COTACAO (blt_id, pap_id, cot_prc_comum, cot_prc_min, cot_prc_max, cot_prc_med, cot_prc_mediana) VALUES (24, 35, 120, 120, 150, 130, 125);</v>
      </c>
    </row>
    <row r="949" spans="1:10" x14ac:dyDescent="0.3">
      <c r="A949">
        <v>948</v>
      </c>
      <c r="B949">
        <v>24</v>
      </c>
      <c r="C949">
        <v>36</v>
      </c>
      <c r="D949" t="str">
        <f>IF('Boletins Nuppa Site'!F949&lt;&gt;0,'Boletins Nuppa Site'!F949,"NULL")</f>
        <v>NULL</v>
      </c>
      <c r="E949" t="str">
        <f>IF('Boletins Nuppa Site'!G949&lt;&gt;0,'Boletins Nuppa Site'!G949,"NULL")</f>
        <v>NULL</v>
      </c>
      <c r="F949" t="str">
        <f>IF('Boletins Nuppa Site'!H949&lt;&gt;0,'Boletins Nuppa Site'!H949,"NULL")</f>
        <v>NULL</v>
      </c>
      <c r="G949" t="str">
        <f>IF('Boletins Nuppa Site'!I949&lt;&gt;0,'Boletins Nuppa Site'!I949,"NULL")</f>
        <v>NULL</v>
      </c>
      <c r="H949" t="str">
        <f>IF('Boletins Nuppa Site'!J949&lt;&gt;0,'Boletins Nuppa Site'!J949,"NULL")</f>
        <v>NULL</v>
      </c>
      <c r="J949" t="str">
        <f t="shared" si="14"/>
        <v>INSERT INTO COTACAO (blt_id, pap_id, cot_prc_comum, cot_prc_min, cot_prc_max, cot_prc_med, cot_prc_mediana) VALUES (24, 36, NULL, NULL, NULL, NULL, NULL);</v>
      </c>
    </row>
    <row r="950" spans="1:10" x14ac:dyDescent="0.3">
      <c r="A950">
        <v>949</v>
      </c>
      <c r="B950">
        <v>24</v>
      </c>
      <c r="C950">
        <v>37</v>
      </c>
      <c r="D950" t="str">
        <f>IF('Boletins Nuppa Site'!F950&lt;&gt;0,'Boletins Nuppa Site'!F950,"NULL")</f>
        <v>NULL</v>
      </c>
      <c r="E950" t="str">
        <f>IF('Boletins Nuppa Site'!G950&lt;&gt;0,'Boletins Nuppa Site'!G950,"NULL")</f>
        <v>NULL</v>
      </c>
      <c r="F950" t="str">
        <f>IF('Boletins Nuppa Site'!H950&lt;&gt;0,'Boletins Nuppa Site'!H950,"NULL")</f>
        <v>NULL</v>
      </c>
      <c r="G950" t="str">
        <f>IF('Boletins Nuppa Site'!I950&lt;&gt;0,'Boletins Nuppa Site'!I950,"NULL")</f>
        <v>NULL</v>
      </c>
      <c r="H950" t="str">
        <f>IF('Boletins Nuppa Site'!J950&lt;&gt;0,'Boletins Nuppa Site'!J950,"NULL")</f>
        <v>NULL</v>
      </c>
      <c r="J950" t="str">
        <f t="shared" si="14"/>
        <v>INSERT INTO COTACAO (blt_id, pap_id, cot_prc_comum, cot_prc_min, cot_prc_max, cot_prc_med, cot_prc_mediana) VALUES (24, 37, NULL, NULL, NULL, NULL, NULL);</v>
      </c>
    </row>
    <row r="951" spans="1:10" x14ac:dyDescent="0.3">
      <c r="A951">
        <v>950</v>
      </c>
      <c r="B951">
        <v>24</v>
      </c>
      <c r="C951">
        <v>38</v>
      </c>
      <c r="D951" t="str">
        <f>IF('Boletins Nuppa Site'!F951&lt;&gt;0,'Boletins Nuppa Site'!F951,"NULL")</f>
        <v>NULL</v>
      </c>
      <c r="E951" t="str">
        <f>IF('Boletins Nuppa Site'!G951&lt;&gt;0,'Boletins Nuppa Site'!G951,"NULL")</f>
        <v>NULL</v>
      </c>
      <c r="F951" t="str">
        <f>IF('Boletins Nuppa Site'!H951&lt;&gt;0,'Boletins Nuppa Site'!H951,"NULL")</f>
        <v>NULL</v>
      </c>
      <c r="G951" t="str">
        <f>IF('Boletins Nuppa Site'!I951&lt;&gt;0,'Boletins Nuppa Site'!I951,"NULL")</f>
        <v>NULL</v>
      </c>
      <c r="H951" t="str">
        <f>IF('Boletins Nuppa Site'!J951&lt;&gt;0,'Boletins Nuppa Site'!J951,"NULL")</f>
        <v>NULL</v>
      </c>
      <c r="J951" t="str">
        <f t="shared" si="14"/>
        <v>INSERT INTO COTACAO (blt_id, pap_id, cot_prc_comum, cot_prc_min, cot_prc_max, cot_prc_med, cot_prc_mediana) VALUES (24, 38, NULL, NULL, NULL, NULL, NULL);</v>
      </c>
    </row>
    <row r="952" spans="1:10" x14ac:dyDescent="0.3">
      <c r="A952">
        <v>951</v>
      </c>
      <c r="B952">
        <v>24</v>
      </c>
      <c r="C952">
        <v>39</v>
      </c>
      <c r="D952">
        <f>IF('Boletins Nuppa Site'!F952&lt;&gt;0,'Boletins Nuppa Site'!F952,"NULL")</f>
        <v>48</v>
      </c>
      <c r="E952">
        <f>IF('Boletins Nuppa Site'!G952&lt;&gt;0,'Boletins Nuppa Site'!G952,"NULL")</f>
        <v>48</v>
      </c>
      <c r="F952">
        <f>IF('Boletins Nuppa Site'!H952&lt;&gt;0,'Boletins Nuppa Site'!H952,"NULL")</f>
        <v>48</v>
      </c>
      <c r="G952">
        <f>IF('Boletins Nuppa Site'!I952&lt;&gt;0,'Boletins Nuppa Site'!I952,"NULL")</f>
        <v>48</v>
      </c>
      <c r="H952">
        <f>IF('Boletins Nuppa Site'!J952&lt;&gt;0,'Boletins Nuppa Site'!J952,"NULL")</f>
        <v>48</v>
      </c>
      <c r="J952" t="str">
        <f t="shared" si="14"/>
        <v>INSERT INTO COTACAO (blt_id, pap_id, cot_prc_comum, cot_prc_min, cot_prc_max, cot_prc_med, cot_prc_mediana) VALUES (24, 39, 48, 48, 48, 48, 48);</v>
      </c>
    </row>
    <row r="953" spans="1:10" x14ac:dyDescent="0.3">
      <c r="A953">
        <v>952</v>
      </c>
      <c r="B953">
        <v>24</v>
      </c>
      <c r="C953">
        <v>40</v>
      </c>
      <c r="D953">
        <f>IF('Boletins Nuppa Site'!F953&lt;&gt;0,'Boletins Nuppa Site'!F953,"NULL")</f>
        <v>70</v>
      </c>
      <c r="E953">
        <f>IF('Boletins Nuppa Site'!G953&lt;&gt;0,'Boletins Nuppa Site'!G953,"NULL")</f>
        <v>65</v>
      </c>
      <c r="F953">
        <f>IF('Boletins Nuppa Site'!H953&lt;&gt;0,'Boletins Nuppa Site'!H953,"NULL")</f>
        <v>70</v>
      </c>
      <c r="G953" t="str">
        <f>IF('Boletins Nuppa Site'!I953&lt;&gt;0,'Boletins Nuppa Site'!I953,"NULL")</f>
        <v>68.33</v>
      </c>
      <c r="H953">
        <f>IF('Boletins Nuppa Site'!J953&lt;&gt;0,'Boletins Nuppa Site'!J953,"NULL")</f>
        <v>70</v>
      </c>
      <c r="J953" t="str">
        <f t="shared" si="14"/>
        <v>INSERT INTO COTACAO (blt_id, pap_id, cot_prc_comum, cot_prc_min, cot_prc_max, cot_prc_med, cot_prc_mediana) VALUES (24, 40, 70, 65, 70, 68.33, 70);</v>
      </c>
    </row>
    <row r="954" spans="1:10" x14ac:dyDescent="0.3">
      <c r="A954">
        <v>953</v>
      </c>
      <c r="B954">
        <v>26</v>
      </c>
      <c r="C954">
        <v>1</v>
      </c>
      <c r="D954">
        <f>IF('Boletins Nuppa Site'!F954&lt;&gt;0,'Boletins Nuppa Site'!F954,"NULL")</f>
        <v>60</v>
      </c>
      <c r="E954">
        <f>IF('Boletins Nuppa Site'!G954&lt;&gt;0,'Boletins Nuppa Site'!G954,"NULL")</f>
        <v>48</v>
      </c>
      <c r="F954">
        <f>IF('Boletins Nuppa Site'!H954&lt;&gt;0,'Boletins Nuppa Site'!H954,"NULL")</f>
        <v>60</v>
      </c>
      <c r="G954">
        <f>IF('Boletins Nuppa Site'!I954&lt;&gt;0,'Boletins Nuppa Site'!I954,"NULL")</f>
        <v>54</v>
      </c>
      <c r="H954">
        <f>IF('Boletins Nuppa Site'!J954&lt;&gt;0,'Boletins Nuppa Site'!J954,"NULL")</f>
        <v>54</v>
      </c>
      <c r="J954" t="str">
        <f t="shared" si="14"/>
        <v>INSERT INTO COTACAO (blt_id, pap_id, cot_prc_comum, cot_prc_min, cot_prc_max, cot_prc_med, cot_prc_mediana) VALUES (26, 1, 60, 48, 60, 54, 54);</v>
      </c>
    </row>
    <row r="955" spans="1:10" x14ac:dyDescent="0.3">
      <c r="A955">
        <v>954</v>
      </c>
      <c r="B955">
        <v>26</v>
      </c>
      <c r="C955">
        <v>2</v>
      </c>
      <c r="D955">
        <f>IF('Boletins Nuppa Site'!F955&lt;&gt;0,'Boletins Nuppa Site'!F955,"NULL")</f>
        <v>84</v>
      </c>
      <c r="E955">
        <f>IF('Boletins Nuppa Site'!G955&lt;&gt;0,'Boletins Nuppa Site'!G955,"NULL")</f>
        <v>60</v>
      </c>
      <c r="F955">
        <f>IF('Boletins Nuppa Site'!H955&lt;&gt;0,'Boletins Nuppa Site'!H955,"NULL")</f>
        <v>84</v>
      </c>
      <c r="G955" t="str">
        <f>IF('Boletins Nuppa Site'!I955&lt;&gt;0,'Boletins Nuppa Site'!I955,"NULL")</f>
        <v>74.4</v>
      </c>
      <c r="H955">
        <f>IF('Boletins Nuppa Site'!J955&lt;&gt;0,'Boletins Nuppa Site'!J955,"NULL")</f>
        <v>72</v>
      </c>
      <c r="J955" t="str">
        <f t="shared" si="14"/>
        <v>INSERT INTO COTACAO (blt_id, pap_id, cot_prc_comum, cot_prc_min, cot_prc_max, cot_prc_med, cot_prc_mediana) VALUES (26, 2, 84, 60, 84, 74.4, 72);</v>
      </c>
    </row>
    <row r="956" spans="1:10" x14ac:dyDescent="0.3">
      <c r="A956">
        <v>955</v>
      </c>
      <c r="B956">
        <v>26</v>
      </c>
      <c r="C956">
        <v>3</v>
      </c>
      <c r="D956">
        <f>IF('Boletins Nuppa Site'!F956&lt;&gt;0,'Boletins Nuppa Site'!F956,"NULL")</f>
        <v>36</v>
      </c>
      <c r="E956">
        <f>IF('Boletins Nuppa Site'!G956&lt;&gt;0,'Boletins Nuppa Site'!G956,"NULL")</f>
        <v>30</v>
      </c>
      <c r="F956">
        <f>IF('Boletins Nuppa Site'!H956&lt;&gt;0,'Boletins Nuppa Site'!H956,"NULL")</f>
        <v>48</v>
      </c>
      <c r="G956">
        <f>IF('Boletins Nuppa Site'!I956&lt;&gt;0,'Boletins Nuppa Site'!I956,"NULL")</f>
        <v>36</v>
      </c>
      <c r="H956">
        <f>IF('Boletins Nuppa Site'!J956&lt;&gt;0,'Boletins Nuppa Site'!J956,"NULL")</f>
        <v>36</v>
      </c>
      <c r="J956" t="str">
        <f t="shared" si="14"/>
        <v>INSERT INTO COTACAO (blt_id, pap_id, cot_prc_comum, cot_prc_min, cot_prc_max, cot_prc_med, cot_prc_mediana) VALUES (26, 3, 36, 30, 48, 36, 36);</v>
      </c>
    </row>
    <row r="957" spans="1:10" x14ac:dyDescent="0.3">
      <c r="A957">
        <v>956</v>
      </c>
      <c r="B957">
        <v>26</v>
      </c>
      <c r="C957">
        <v>4</v>
      </c>
      <c r="D957">
        <f>IF('Boletins Nuppa Site'!F957&lt;&gt;0,'Boletins Nuppa Site'!F957,"NULL")</f>
        <v>24</v>
      </c>
      <c r="E957">
        <f>IF('Boletins Nuppa Site'!G957&lt;&gt;0,'Boletins Nuppa Site'!G957,"NULL")</f>
        <v>18</v>
      </c>
      <c r="F957">
        <f>IF('Boletins Nuppa Site'!H957&lt;&gt;0,'Boletins Nuppa Site'!H957,"NULL")</f>
        <v>30</v>
      </c>
      <c r="G957" t="str">
        <f>IF('Boletins Nuppa Site'!I957&lt;&gt;0,'Boletins Nuppa Site'!I957,"NULL")</f>
        <v>22.8</v>
      </c>
      <c r="H957">
        <f>IF('Boletins Nuppa Site'!J957&lt;&gt;0,'Boletins Nuppa Site'!J957,"NULL")</f>
        <v>24</v>
      </c>
      <c r="J957" t="str">
        <f t="shared" si="14"/>
        <v>INSERT INTO COTACAO (blt_id, pap_id, cot_prc_comum, cot_prc_min, cot_prc_max, cot_prc_med, cot_prc_mediana) VALUES (26, 4, 24, 18, 30, 22.8, 24);</v>
      </c>
    </row>
    <row r="958" spans="1:10" x14ac:dyDescent="0.3">
      <c r="A958">
        <v>957</v>
      </c>
      <c r="B958">
        <v>26</v>
      </c>
      <c r="C958">
        <v>5</v>
      </c>
      <c r="D958">
        <f>IF('Boletins Nuppa Site'!F958&lt;&gt;0,'Boletins Nuppa Site'!F958,"NULL")</f>
        <v>30</v>
      </c>
      <c r="E958">
        <f>IF('Boletins Nuppa Site'!G958&lt;&gt;0,'Boletins Nuppa Site'!G958,"NULL")</f>
        <v>18</v>
      </c>
      <c r="F958">
        <f>IF('Boletins Nuppa Site'!H958&lt;&gt;0,'Boletins Nuppa Site'!H958,"NULL")</f>
        <v>30</v>
      </c>
      <c r="G958" t="str">
        <f>IF('Boletins Nuppa Site'!I958&lt;&gt;0,'Boletins Nuppa Site'!I958,"NULL")</f>
        <v>25.2</v>
      </c>
      <c r="H958">
        <f>IF('Boletins Nuppa Site'!J958&lt;&gt;0,'Boletins Nuppa Site'!J958,"NULL")</f>
        <v>24</v>
      </c>
      <c r="J958" t="str">
        <f t="shared" si="14"/>
        <v>INSERT INTO COTACAO (blt_id, pap_id, cot_prc_comum, cot_prc_min, cot_prc_max, cot_prc_med, cot_prc_mediana) VALUES (26, 5, 30, 18, 30, 25.2, 24);</v>
      </c>
    </row>
    <row r="959" spans="1:10" x14ac:dyDescent="0.3">
      <c r="A959">
        <v>958</v>
      </c>
      <c r="B959">
        <v>26</v>
      </c>
      <c r="C959">
        <v>6</v>
      </c>
      <c r="D959">
        <f>IF('Boletins Nuppa Site'!F959&lt;&gt;0,'Boletins Nuppa Site'!F959,"NULL")</f>
        <v>60</v>
      </c>
      <c r="E959">
        <f>IF('Boletins Nuppa Site'!G959&lt;&gt;0,'Boletins Nuppa Site'!G959,"NULL")</f>
        <v>60</v>
      </c>
      <c r="F959">
        <f>IF('Boletins Nuppa Site'!H959&lt;&gt;0,'Boletins Nuppa Site'!H959,"NULL")</f>
        <v>60</v>
      </c>
      <c r="G959">
        <f>IF('Boletins Nuppa Site'!I959&lt;&gt;0,'Boletins Nuppa Site'!I959,"NULL")</f>
        <v>60</v>
      </c>
      <c r="H959">
        <f>IF('Boletins Nuppa Site'!J959&lt;&gt;0,'Boletins Nuppa Site'!J959,"NULL")</f>
        <v>60</v>
      </c>
      <c r="J959" t="str">
        <f t="shared" si="14"/>
        <v>INSERT INTO COTACAO (blt_id, pap_id, cot_prc_comum, cot_prc_min, cot_prc_max, cot_prc_med, cot_prc_mediana) VALUES (26, 6, 60, 60, 60, 60, 60);</v>
      </c>
    </row>
    <row r="960" spans="1:10" x14ac:dyDescent="0.3">
      <c r="A960">
        <v>959</v>
      </c>
      <c r="B960">
        <v>26</v>
      </c>
      <c r="C960">
        <v>7</v>
      </c>
      <c r="D960">
        <f>IF('Boletins Nuppa Site'!F960&lt;&gt;0,'Boletins Nuppa Site'!F960,"NULL")</f>
        <v>60</v>
      </c>
      <c r="E960">
        <f>IF('Boletins Nuppa Site'!G960&lt;&gt;0,'Boletins Nuppa Site'!G960,"NULL")</f>
        <v>60</v>
      </c>
      <c r="F960">
        <f>IF('Boletins Nuppa Site'!H960&lt;&gt;0,'Boletins Nuppa Site'!H960,"NULL")</f>
        <v>72</v>
      </c>
      <c r="G960" t="str">
        <f>IF('Boletins Nuppa Site'!I960&lt;&gt;0,'Boletins Nuppa Site'!I960,"NULL")</f>
        <v>62.4</v>
      </c>
      <c r="H960">
        <f>IF('Boletins Nuppa Site'!J960&lt;&gt;0,'Boletins Nuppa Site'!J960,"NULL")</f>
        <v>60</v>
      </c>
      <c r="J960" t="str">
        <f t="shared" si="14"/>
        <v>INSERT INTO COTACAO (blt_id, pap_id, cot_prc_comum, cot_prc_min, cot_prc_max, cot_prc_med, cot_prc_mediana) VALUES (26, 7, 60, 60, 72, 62.4, 60);</v>
      </c>
    </row>
    <row r="961" spans="1:10" x14ac:dyDescent="0.3">
      <c r="A961">
        <v>960</v>
      </c>
      <c r="B961">
        <v>26</v>
      </c>
      <c r="C961">
        <v>8</v>
      </c>
      <c r="D961">
        <f>IF('Boletins Nuppa Site'!F961&lt;&gt;0,'Boletins Nuppa Site'!F961,"NULL")</f>
        <v>84</v>
      </c>
      <c r="E961">
        <f>IF('Boletins Nuppa Site'!G961&lt;&gt;0,'Boletins Nuppa Site'!G961,"NULL")</f>
        <v>72</v>
      </c>
      <c r="F961">
        <f>IF('Boletins Nuppa Site'!H961&lt;&gt;0,'Boletins Nuppa Site'!H961,"NULL")</f>
        <v>96</v>
      </c>
      <c r="G961">
        <f>IF('Boletins Nuppa Site'!I961&lt;&gt;0,'Boletins Nuppa Site'!I961,"NULL")</f>
        <v>84</v>
      </c>
      <c r="H961">
        <f>IF('Boletins Nuppa Site'!J961&lt;&gt;0,'Boletins Nuppa Site'!J961,"NULL")</f>
        <v>84</v>
      </c>
      <c r="J961" t="str">
        <f t="shared" si="14"/>
        <v>INSERT INTO COTACAO (blt_id, pap_id, cot_prc_comum, cot_prc_min, cot_prc_max, cot_prc_med, cot_prc_mediana) VALUES (26, 8, 84, 72, 96, 84, 84);</v>
      </c>
    </row>
    <row r="962" spans="1:10" x14ac:dyDescent="0.3">
      <c r="A962">
        <v>961</v>
      </c>
      <c r="B962">
        <v>26</v>
      </c>
      <c r="C962">
        <v>9</v>
      </c>
      <c r="D962">
        <f>IF('Boletins Nuppa Site'!F962&lt;&gt;0,'Boletins Nuppa Site'!F962,"NULL")</f>
        <v>24</v>
      </c>
      <c r="E962">
        <f>IF('Boletins Nuppa Site'!G962&lt;&gt;0,'Boletins Nuppa Site'!G962,"NULL")</f>
        <v>18</v>
      </c>
      <c r="F962">
        <f>IF('Boletins Nuppa Site'!H962&lt;&gt;0,'Boletins Nuppa Site'!H962,"NULL")</f>
        <v>30</v>
      </c>
      <c r="G962" t="str">
        <f>IF('Boletins Nuppa Site'!I962&lt;&gt;0,'Boletins Nuppa Site'!I962,"NULL")</f>
        <v>22.8</v>
      </c>
      <c r="H962">
        <f>IF('Boletins Nuppa Site'!J962&lt;&gt;0,'Boletins Nuppa Site'!J962,"NULL")</f>
        <v>24</v>
      </c>
      <c r="J962" t="str">
        <f t="shared" si="14"/>
        <v>INSERT INTO COTACAO (blt_id, pap_id, cot_prc_comum, cot_prc_min, cot_prc_max, cot_prc_med, cot_prc_mediana) VALUES (26, 9, 24, 18, 30, 22.8, 24);</v>
      </c>
    </row>
    <row r="963" spans="1:10" x14ac:dyDescent="0.3">
      <c r="A963">
        <v>962</v>
      </c>
      <c r="B963">
        <v>26</v>
      </c>
      <c r="C963">
        <v>10</v>
      </c>
      <c r="D963">
        <f>IF('Boletins Nuppa Site'!F963&lt;&gt;0,'Boletins Nuppa Site'!F963,"NULL")</f>
        <v>72</v>
      </c>
      <c r="E963">
        <f>IF('Boletins Nuppa Site'!G963&lt;&gt;0,'Boletins Nuppa Site'!G963,"NULL")</f>
        <v>72</v>
      </c>
      <c r="F963">
        <f>IF('Boletins Nuppa Site'!H963&lt;&gt;0,'Boletins Nuppa Site'!H963,"NULL")</f>
        <v>84</v>
      </c>
      <c r="G963">
        <f>IF('Boletins Nuppa Site'!I963&lt;&gt;0,'Boletins Nuppa Site'!I963,"NULL")</f>
        <v>75</v>
      </c>
      <c r="H963">
        <f>IF('Boletins Nuppa Site'!J963&lt;&gt;0,'Boletins Nuppa Site'!J963,"NULL")</f>
        <v>72</v>
      </c>
      <c r="J963" t="str">
        <f t="shared" ref="J963:J1026" si="15">"INSERT INTO COTACAO (blt_id, pap_id, cot_prc_comum, cot_prc_min, cot_prc_max, cot_prc_med, cot_prc_mediana) VALUES ("&amp;B963&amp;", "&amp;C963&amp;", "&amp;D963&amp;", "&amp;E963&amp;", "&amp;F963&amp;", "&amp;G963&amp;", "&amp;H963&amp;");"</f>
        <v>INSERT INTO COTACAO (blt_id, pap_id, cot_prc_comum, cot_prc_min, cot_prc_max, cot_prc_med, cot_prc_mediana) VALUES (26, 10, 72, 72, 84, 75, 72);</v>
      </c>
    </row>
    <row r="964" spans="1:10" x14ac:dyDescent="0.3">
      <c r="A964">
        <v>963</v>
      </c>
      <c r="B964">
        <v>26</v>
      </c>
      <c r="C964">
        <v>11</v>
      </c>
      <c r="D964">
        <f>IF('Boletins Nuppa Site'!F964&lt;&gt;0,'Boletins Nuppa Site'!F964,"NULL")</f>
        <v>30</v>
      </c>
      <c r="E964">
        <f>IF('Boletins Nuppa Site'!G964&lt;&gt;0,'Boletins Nuppa Site'!G964,"NULL")</f>
        <v>18</v>
      </c>
      <c r="F964">
        <f>IF('Boletins Nuppa Site'!H964&lt;&gt;0,'Boletins Nuppa Site'!H964,"NULL")</f>
        <v>30</v>
      </c>
      <c r="G964" t="str">
        <f>IF('Boletins Nuppa Site'!I964&lt;&gt;0,'Boletins Nuppa Site'!I964,"NULL")</f>
        <v>25.2</v>
      </c>
      <c r="H964">
        <f>IF('Boletins Nuppa Site'!J964&lt;&gt;0,'Boletins Nuppa Site'!J964,"NULL")</f>
        <v>24</v>
      </c>
      <c r="J964" t="str">
        <f t="shared" si="15"/>
        <v>INSERT INTO COTACAO (blt_id, pap_id, cot_prc_comum, cot_prc_min, cot_prc_max, cot_prc_med, cot_prc_mediana) VALUES (26, 11, 30, 18, 30, 25.2, 24);</v>
      </c>
    </row>
    <row r="965" spans="1:10" x14ac:dyDescent="0.3">
      <c r="A965">
        <v>964</v>
      </c>
      <c r="B965">
        <v>26</v>
      </c>
      <c r="C965">
        <v>12</v>
      </c>
      <c r="D965">
        <f>IF('Boletins Nuppa Site'!F965&lt;&gt;0,'Boletins Nuppa Site'!F965,"NULL")</f>
        <v>60</v>
      </c>
      <c r="E965">
        <f>IF('Boletins Nuppa Site'!G965&lt;&gt;0,'Boletins Nuppa Site'!G965,"NULL")</f>
        <v>60</v>
      </c>
      <c r="F965">
        <f>IF('Boletins Nuppa Site'!H965&lt;&gt;0,'Boletins Nuppa Site'!H965,"NULL")</f>
        <v>60</v>
      </c>
      <c r="G965">
        <f>IF('Boletins Nuppa Site'!I965&lt;&gt;0,'Boletins Nuppa Site'!I965,"NULL")</f>
        <v>60</v>
      </c>
      <c r="H965">
        <f>IF('Boletins Nuppa Site'!J965&lt;&gt;0,'Boletins Nuppa Site'!J965,"NULL")</f>
        <v>60</v>
      </c>
      <c r="J965" t="str">
        <f t="shared" si="15"/>
        <v>INSERT INTO COTACAO (blt_id, pap_id, cot_prc_comum, cot_prc_min, cot_prc_max, cot_prc_med, cot_prc_mediana) VALUES (26, 12, 60, 60, 60, 60, 60);</v>
      </c>
    </row>
    <row r="966" spans="1:10" x14ac:dyDescent="0.3">
      <c r="A966">
        <v>965</v>
      </c>
      <c r="B966">
        <v>26</v>
      </c>
      <c r="C966">
        <v>13</v>
      </c>
      <c r="D966">
        <f>IF('Boletins Nuppa Site'!F966&lt;&gt;0,'Boletins Nuppa Site'!F966,"NULL")</f>
        <v>60</v>
      </c>
      <c r="E966">
        <f>IF('Boletins Nuppa Site'!G966&lt;&gt;0,'Boletins Nuppa Site'!G966,"NULL")</f>
        <v>48</v>
      </c>
      <c r="F966">
        <f>IF('Boletins Nuppa Site'!H966&lt;&gt;0,'Boletins Nuppa Site'!H966,"NULL")</f>
        <v>60</v>
      </c>
      <c r="G966">
        <f>IF('Boletins Nuppa Site'!I966&lt;&gt;0,'Boletins Nuppa Site'!I966,"NULL")</f>
        <v>54</v>
      </c>
      <c r="H966">
        <f>IF('Boletins Nuppa Site'!J966&lt;&gt;0,'Boletins Nuppa Site'!J966,"NULL")</f>
        <v>54</v>
      </c>
      <c r="J966" t="str">
        <f t="shared" si="15"/>
        <v>INSERT INTO COTACAO (blt_id, pap_id, cot_prc_comum, cot_prc_min, cot_prc_max, cot_prc_med, cot_prc_mediana) VALUES (26, 13, 60, 48, 60, 54, 54);</v>
      </c>
    </row>
    <row r="967" spans="1:10" x14ac:dyDescent="0.3">
      <c r="A967">
        <v>966</v>
      </c>
      <c r="B967">
        <v>26</v>
      </c>
      <c r="C967">
        <v>14</v>
      </c>
      <c r="D967">
        <f>IF('Boletins Nuppa Site'!F967&lt;&gt;0,'Boletins Nuppa Site'!F967,"NULL")</f>
        <v>60</v>
      </c>
      <c r="E967">
        <f>IF('Boletins Nuppa Site'!G967&lt;&gt;0,'Boletins Nuppa Site'!G967,"NULL")</f>
        <v>60</v>
      </c>
      <c r="F967">
        <f>IF('Boletins Nuppa Site'!H967&lt;&gt;0,'Boletins Nuppa Site'!H967,"NULL")</f>
        <v>96</v>
      </c>
      <c r="G967">
        <f>IF('Boletins Nuppa Site'!I967&lt;&gt;0,'Boletins Nuppa Site'!I967,"NULL")</f>
        <v>75</v>
      </c>
      <c r="H967">
        <f>IF('Boletins Nuppa Site'!J967&lt;&gt;0,'Boletins Nuppa Site'!J967,"NULL")</f>
        <v>72</v>
      </c>
      <c r="J967" t="str">
        <f t="shared" si="15"/>
        <v>INSERT INTO COTACAO (blt_id, pap_id, cot_prc_comum, cot_prc_min, cot_prc_max, cot_prc_med, cot_prc_mediana) VALUES (26, 14, 60, 60, 96, 75, 72);</v>
      </c>
    </row>
    <row r="968" spans="1:10" x14ac:dyDescent="0.3">
      <c r="A968">
        <v>967</v>
      </c>
      <c r="B968">
        <v>26</v>
      </c>
      <c r="C968">
        <v>15</v>
      </c>
      <c r="D968">
        <f>IF('Boletins Nuppa Site'!F968&lt;&gt;0,'Boletins Nuppa Site'!F968,"NULL")</f>
        <v>48</v>
      </c>
      <c r="E968">
        <f>IF('Boletins Nuppa Site'!G968&lt;&gt;0,'Boletins Nuppa Site'!G968,"NULL")</f>
        <v>25</v>
      </c>
      <c r="F968">
        <f>IF('Boletins Nuppa Site'!H968&lt;&gt;0,'Boletins Nuppa Site'!H968,"NULL")</f>
        <v>60</v>
      </c>
      <c r="G968" t="str">
        <f>IF('Boletins Nuppa Site'!I968&lt;&gt;0,'Boletins Nuppa Site'!I968,"NULL")</f>
        <v>43.4</v>
      </c>
      <c r="H968">
        <f>IF('Boletins Nuppa Site'!J968&lt;&gt;0,'Boletins Nuppa Site'!J968,"NULL")</f>
        <v>48</v>
      </c>
      <c r="J968" t="str">
        <f t="shared" si="15"/>
        <v>INSERT INTO COTACAO (blt_id, pap_id, cot_prc_comum, cot_prc_min, cot_prc_max, cot_prc_med, cot_prc_mediana) VALUES (26, 15, 48, 25, 60, 43.4, 48);</v>
      </c>
    </row>
    <row r="969" spans="1:10" x14ac:dyDescent="0.3">
      <c r="A969">
        <v>968</v>
      </c>
      <c r="B969">
        <v>26</v>
      </c>
      <c r="C969">
        <v>16</v>
      </c>
      <c r="D969">
        <f>IF('Boletins Nuppa Site'!F969&lt;&gt;0,'Boletins Nuppa Site'!F969,"NULL")</f>
        <v>54</v>
      </c>
      <c r="E969">
        <f>IF('Boletins Nuppa Site'!G969&lt;&gt;0,'Boletins Nuppa Site'!G969,"NULL")</f>
        <v>48</v>
      </c>
      <c r="F969">
        <f>IF('Boletins Nuppa Site'!H969&lt;&gt;0,'Boletins Nuppa Site'!H969,"NULL")</f>
        <v>54</v>
      </c>
      <c r="G969">
        <f>IF('Boletins Nuppa Site'!I969&lt;&gt;0,'Boletins Nuppa Site'!I969,"NULL")</f>
        <v>51</v>
      </c>
      <c r="H969">
        <f>IF('Boletins Nuppa Site'!J969&lt;&gt;0,'Boletins Nuppa Site'!J969,"NULL")</f>
        <v>51</v>
      </c>
      <c r="J969" t="str">
        <f t="shared" si="15"/>
        <v>INSERT INTO COTACAO (blt_id, pap_id, cot_prc_comum, cot_prc_min, cot_prc_max, cot_prc_med, cot_prc_mediana) VALUES (26, 16, 54, 48, 54, 51, 51);</v>
      </c>
    </row>
    <row r="970" spans="1:10" x14ac:dyDescent="0.3">
      <c r="A970">
        <v>969</v>
      </c>
      <c r="B970">
        <v>26</v>
      </c>
      <c r="C970">
        <v>17</v>
      </c>
      <c r="D970">
        <f>IF('Boletins Nuppa Site'!F970&lt;&gt;0,'Boletins Nuppa Site'!F970,"NULL")</f>
        <v>5</v>
      </c>
      <c r="E970">
        <f>IF('Boletins Nuppa Site'!G970&lt;&gt;0,'Boletins Nuppa Site'!G970,"NULL")</f>
        <v>5</v>
      </c>
      <c r="F970">
        <f>IF('Boletins Nuppa Site'!H970&lt;&gt;0,'Boletins Nuppa Site'!H970,"NULL")</f>
        <v>5</v>
      </c>
      <c r="G970">
        <f>IF('Boletins Nuppa Site'!I970&lt;&gt;0,'Boletins Nuppa Site'!I970,"NULL")</f>
        <v>5</v>
      </c>
      <c r="H970">
        <f>IF('Boletins Nuppa Site'!J970&lt;&gt;0,'Boletins Nuppa Site'!J970,"NULL")</f>
        <v>5</v>
      </c>
      <c r="J970" t="str">
        <f t="shared" si="15"/>
        <v>INSERT INTO COTACAO (blt_id, pap_id, cot_prc_comum, cot_prc_min, cot_prc_max, cot_prc_med, cot_prc_mediana) VALUES (26, 17, 5, 5, 5, 5, 5);</v>
      </c>
    </row>
    <row r="971" spans="1:10" x14ac:dyDescent="0.3">
      <c r="A971">
        <v>970</v>
      </c>
      <c r="B971">
        <v>26</v>
      </c>
      <c r="C971">
        <v>18</v>
      </c>
      <c r="D971">
        <f>IF('Boletins Nuppa Site'!F971&lt;&gt;0,'Boletins Nuppa Site'!F971,"NULL")</f>
        <v>15</v>
      </c>
      <c r="E971">
        <f>IF('Boletins Nuppa Site'!G971&lt;&gt;0,'Boletins Nuppa Site'!G971,"NULL")</f>
        <v>10</v>
      </c>
      <c r="F971">
        <f>IF('Boletins Nuppa Site'!H971&lt;&gt;0,'Boletins Nuppa Site'!H971,"NULL")</f>
        <v>15</v>
      </c>
      <c r="G971" t="str">
        <f>IF('Boletins Nuppa Site'!I971&lt;&gt;0,'Boletins Nuppa Site'!I971,"NULL")</f>
        <v>12.4</v>
      </c>
      <c r="H971">
        <f>IF('Boletins Nuppa Site'!J971&lt;&gt;0,'Boletins Nuppa Site'!J971,"NULL")</f>
        <v>12</v>
      </c>
      <c r="J971" t="str">
        <f t="shared" si="15"/>
        <v>INSERT INTO COTACAO (blt_id, pap_id, cot_prc_comum, cot_prc_min, cot_prc_max, cot_prc_med, cot_prc_mediana) VALUES (26, 18, 15, 10, 15, 12.4, 12);</v>
      </c>
    </row>
    <row r="972" spans="1:10" x14ac:dyDescent="0.3">
      <c r="A972">
        <v>971</v>
      </c>
      <c r="B972">
        <v>26</v>
      </c>
      <c r="C972">
        <v>19</v>
      </c>
      <c r="D972">
        <f>IF('Boletins Nuppa Site'!F972&lt;&gt;0,'Boletins Nuppa Site'!F972,"NULL")</f>
        <v>20</v>
      </c>
      <c r="E972">
        <f>IF('Boletins Nuppa Site'!G972&lt;&gt;0,'Boletins Nuppa Site'!G972,"NULL")</f>
        <v>20</v>
      </c>
      <c r="F972">
        <f>IF('Boletins Nuppa Site'!H972&lt;&gt;0,'Boletins Nuppa Site'!H972,"NULL")</f>
        <v>35</v>
      </c>
      <c r="G972">
        <f>IF('Boletins Nuppa Site'!I972&lt;&gt;0,'Boletins Nuppa Site'!I972,"NULL")</f>
        <v>26</v>
      </c>
      <c r="H972">
        <f>IF('Boletins Nuppa Site'!J972&lt;&gt;0,'Boletins Nuppa Site'!J972,"NULL")</f>
        <v>25</v>
      </c>
      <c r="J972" t="str">
        <f t="shared" si="15"/>
        <v>INSERT INTO COTACAO (blt_id, pap_id, cot_prc_comum, cot_prc_min, cot_prc_max, cot_prc_med, cot_prc_mediana) VALUES (26, 19, 20, 20, 35, 26, 25);</v>
      </c>
    </row>
    <row r="973" spans="1:10" x14ac:dyDescent="0.3">
      <c r="A973">
        <v>972</v>
      </c>
      <c r="B973">
        <v>26</v>
      </c>
      <c r="C973">
        <v>20</v>
      </c>
      <c r="D973" t="str">
        <f>IF('Boletins Nuppa Site'!F973&lt;&gt;0,'Boletins Nuppa Site'!F973,"NULL")</f>
        <v>NULL</v>
      </c>
      <c r="E973">
        <f>IF('Boletins Nuppa Site'!G973&lt;&gt;0,'Boletins Nuppa Site'!G973,"NULL")</f>
        <v>85</v>
      </c>
      <c r="F973">
        <f>IF('Boletins Nuppa Site'!H973&lt;&gt;0,'Boletins Nuppa Site'!H973,"NULL")</f>
        <v>85</v>
      </c>
      <c r="G973">
        <f>IF('Boletins Nuppa Site'!I973&lt;&gt;0,'Boletins Nuppa Site'!I973,"NULL")</f>
        <v>85</v>
      </c>
      <c r="H973">
        <f>IF('Boletins Nuppa Site'!J973&lt;&gt;0,'Boletins Nuppa Site'!J973,"NULL")</f>
        <v>85</v>
      </c>
      <c r="J973" t="str">
        <f t="shared" si="15"/>
        <v>INSERT INTO COTACAO (blt_id, pap_id, cot_prc_comum, cot_prc_min, cot_prc_max, cot_prc_med, cot_prc_mediana) VALUES (26, 20, NULL, 85, 85, 85, 85);</v>
      </c>
    </row>
    <row r="974" spans="1:10" x14ac:dyDescent="0.3">
      <c r="A974">
        <v>973</v>
      </c>
      <c r="B974">
        <v>26</v>
      </c>
      <c r="C974">
        <v>21</v>
      </c>
      <c r="D974">
        <f>IF('Boletins Nuppa Site'!F974&lt;&gt;0,'Boletins Nuppa Site'!F974,"NULL")</f>
        <v>60</v>
      </c>
      <c r="E974">
        <f>IF('Boletins Nuppa Site'!G974&lt;&gt;0,'Boletins Nuppa Site'!G974,"NULL")</f>
        <v>50</v>
      </c>
      <c r="F974">
        <f>IF('Boletins Nuppa Site'!H974&lt;&gt;0,'Boletins Nuppa Site'!H974,"NULL")</f>
        <v>60</v>
      </c>
      <c r="G974" t="str">
        <f>IF('Boletins Nuppa Site'!I974&lt;&gt;0,'Boletins Nuppa Site'!I974,"NULL")</f>
        <v>56.25</v>
      </c>
      <c r="H974" t="str">
        <f>IF('Boletins Nuppa Site'!J974&lt;&gt;0,'Boletins Nuppa Site'!J974,"NULL")</f>
        <v>57.5</v>
      </c>
      <c r="J974" t="str">
        <f t="shared" si="15"/>
        <v>INSERT INTO COTACAO (blt_id, pap_id, cot_prc_comum, cot_prc_min, cot_prc_max, cot_prc_med, cot_prc_mediana) VALUES (26, 21, 60, 50, 60, 56.25, 57.5);</v>
      </c>
    </row>
    <row r="975" spans="1:10" x14ac:dyDescent="0.3">
      <c r="A975">
        <v>974</v>
      </c>
      <c r="B975">
        <v>26</v>
      </c>
      <c r="C975">
        <v>22</v>
      </c>
      <c r="D975">
        <f>IF('Boletins Nuppa Site'!F975&lt;&gt;0,'Boletins Nuppa Site'!F975,"NULL")</f>
        <v>70</v>
      </c>
      <c r="E975">
        <f>IF('Boletins Nuppa Site'!G975&lt;&gt;0,'Boletins Nuppa Site'!G975,"NULL")</f>
        <v>45</v>
      </c>
      <c r="F975">
        <f>IF('Boletins Nuppa Site'!H975&lt;&gt;0,'Boletins Nuppa Site'!H975,"NULL")</f>
        <v>70</v>
      </c>
      <c r="G975" t="str">
        <f>IF('Boletins Nuppa Site'!I975&lt;&gt;0,'Boletins Nuppa Site'!I975,"NULL")</f>
        <v>63.75</v>
      </c>
      <c r="H975">
        <f>IF('Boletins Nuppa Site'!J975&lt;&gt;0,'Boletins Nuppa Site'!J975,"NULL")</f>
        <v>70</v>
      </c>
      <c r="J975" t="str">
        <f t="shared" si="15"/>
        <v>INSERT INTO COTACAO (blt_id, pap_id, cot_prc_comum, cot_prc_min, cot_prc_max, cot_prc_med, cot_prc_mediana) VALUES (26, 22, 70, 45, 70, 63.75, 70);</v>
      </c>
    </row>
    <row r="976" spans="1:10" x14ac:dyDescent="0.3">
      <c r="A976">
        <v>975</v>
      </c>
      <c r="B976">
        <v>26</v>
      </c>
      <c r="C976">
        <v>23</v>
      </c>
      <c r="D976">
        <f>IF('Boletins Nuppa Site'!F976&lt;&gt;0,'Boletins Nuppa Site'!F976,"NULL")</f>
        <v>45</v>
      </c>
      <c r="E976">
        <f>IF('Boletins Nuppa Site'!G976&lt;&gt;0,'Boletins Nuppa Site'!G976,"NULL")</f>
        <v>40</v>
      </c>
      <c r="F976">
        <f>IF('Boletins Nuppa Site'!H976&lt;&gt;0,'Boletins Nuppa Site'!H976,"NULL")</f>
        <v>50</v>
      </c>
      <c r="G976">
        <f>IF('Boletins Nuppa Site'!I976&lt;&gt;0,'Boletins Nuppa Site'!I976,"NULL")</f>
        <v>46</v>
      </c>
      <c r="H976">
        <f>IF('Boletins Nuppa Site'!J976&lt;&gt;0,'Boletins Nuppa Site'!J976,"NULL")</f>
        <v>45</v>
      </c>
      <c r="J976" t="str">
        <f t="shared" si="15"/>
        <v>INSERT INTO COTACAO (blt_id, pap_id, cot_prc_comum, cot_prc_min, cot_prc_max, cot_prc_med, cot_prc_mediana) VALUES (26, 23, 45, 40, 50, 46, 45);</v>
      </c>
    </row>
    <row r="977" spans="1:10" x14ac:dyDescent="0.3">
      <c r="A977">
        <v>976</v>
      </c>
      <c r="B977">
        <v>26</v>
      </c>
      <c r="C977">
        <v>24</v>
      </c>
      <c r="D977" t="str">
        <f>IF('Boletins Nuppa Site'!F977&lt;&gt;0,'Boletins Nuppa Site'!F977,"NULL")</f>
        <v>NULL</v>
      </c>
      <c r="E977">
        <f>IF('Boletins Nuppa Site'!G977&lt;&gt;0,'Boletins Nuppa Site'!G977,"NULL")</f>
        <v>90</v>
      </c>
      <c r="F977">
        <f>IF('Boletins Nuppa Site'!H977&lt;&gt;0,'Boletins Nuppa Site'!H977,"NULL")</f>
        <v>90</v>
      </c>
      <c r="G977">
        <f>IF('Boletins Nuppa Site'!I977&lt;&gt;0,'Boletins Nuppa Site'!I977,"NULL")</f>
        <v>90</v>
      </c>
      <c r="H977">
        <f>IF('Boletins Nuppa Site'!J977&lt;&gt;0,'Boletins Nuppa Site'!J977,"NULL")</f>
        <v>90</v>
      </c>
      <c r="J977" t="str">
        <f t="shared" si="15"/>
        <v>INSERT INTO COTACAO (blt_id, pap_id, cot_prc_comum, cot_prc_min, cot_prc_max, cot_prc_med, cot_prc_mediana) VALUES (26, 24, NULL, 90, 90, 90, 90);</v>
      </c>
    </row>
    <row r="978" spans="1:10" x14ac:dyDescent="0.3">
      <c r="A978">
        <v>977</v>
      </c>
      <c r="B978">
        <v>26</v>
      </c>
      <c r="C978">
        <v>25</v>
      </c>
      <c r="D978">
        <f>IF('Boletins Nuppa Site'!F978&lt;&gt;0,'Boletins Nuppa Site'!F978,"NULL")</f>
        <v>65</v>
      </c>
      <c r="E978">
        <f>IF('Boletins Nuppa Site'!G978&lt;&gt;0,'Boletins Nuppa Site'!G978,"NULL")</f>
        <v>60</v>
      </c>
      <c r="F978">
        <f>IF('Boletins Nuppa Site'!H978&lt;&gt;0,'Boletins Nuppa Site'!H978,"NULL")</f>
        <v>65</v>
      </c>
      <c r="G978" t="str">
        <f>IF('Boletins Nuppa Site'!I978&lt;&gt;0,'Boletins Nuppa Site'!I978,"NULL")</f>
        <v>62.5</v>
      </c>
      <c r="H978" t="str">
        <f>IF('Boletins Nuppa Site'!J978&lt;&gt;0,'Boletins Nuppa Site'!J978,"NULL")</f>
        <v>62.5</v>
      </c>
      <c r="J978" t="str">
        <f t="shared" si="15"/>
        <v>INSERT INTO COTACAO (blt_id, pap_id, cot_prc_comum, cot_prc_min, cot_prc_max, cot_prc_med, cot_prc_mediana) VALUES (26, 25, 65, 60, 65, 62.5, 62.5);</v>
      </c>
    </row>
    <row r="979" spans="1:10" x14ac:dyDescent="0.3">
      <c r="A979">
        <v>978</v>
      </c>
      <c r="B979">
        <v>26</v>
      </c>
      <c r="C979">
        <v>26</v>
      </c>
      <c r="D979" t="str">
        <f>IF('Boletins Nuppa Site'!F979&lt;&gt;0,'Boletins Nuppa Site'!F979,"NULL")</f>
        <v>NULL</v>
      </c>
      <c r="E979">
        <f>IF('Boletins Nuppa Site'!G979&lt;&gt;0,'Boletins Nuppa Site'!G979,"NULL")</f>
        <v>40</v>
      </c>
      <c r="F979">
        <f>IF('Boletins Nuppa Site'!H979&lt;&gt;0,'Boletins Nuppa Site'!H979,"NULL")</f>
        <v>65</v>
      </c>
      <c r="G979" t="str">
        <f>IF('Boletins Nuppa Site'!I979&lt;&gt;0,'Boletins Nuppa Site'!I979,"NULL")</f>
        <v>52.5</v>
      </c>
      <c r="H979" t="str">
        <f>IF('Boletins Nuppa Site'!J979&lt;&gt;0,'Boletins Nuppa Site'!J979,"NULL")</f>
        <v>52.5</v>
      </c>
      <c r="J979" t="str">
        <f t="shared" si="15"/>
        <v>INSERT INTO COTACAO (blt_id, pap_id, cot_prc_comum, cot_prc_min, cot_prc_max, cot_prc_med, cot_prc_mediana) VALUES (26, 26, NULL, 40, 65, 52.5, 52.5);</v>
      </c>
    </row>
    <row r="980" spans="1:10" x14ac:dyDescent="0.3">
      <c r="A980">
        <v>979</v>
      </c>
      <c r="B980">
        <v>26</v>
      </c>
      <c r="C980">
        <v>27</v>
      </c>
      <c r="D980">
        <f>IF('Boletins Nuppa Site'!F980&lt;&gt;0,'Boletins Nuppa Site'!F980,"NULL")</f>
        <v>40</v>
      </c>
      <c r="E980">
        <f>IF('Boletins Nuppa Site'!G980&lt;&gt;0,'Boletins Nuppa Site'!G980,"NULL")</f>
        <v>40</v>
      </c>
      <c r="F980">
        <f>IF('Boletins Nuppa Site'!H980&lt;&gt;0,'Boletins Nuppa Site'!H980,"NULL")</f>
        <v>60</v>
      </c>
      <c r="G980">
        <f>IF('Boletins Nuppa Site'!I980&lt;&gt;0,'Boletins Nuppa Site'!I980,"NULL")</f>
        <v>46</v>
      </c>
      <c r="H980">
        <f>IF('Boletins Nuppa Site'!J980&lt;&gt;0,'Boletins Nuppa Site'!J980,"NULL")</f>
        <v>40</v>
      </c>
      <c r="J980" t="str">
        <f t="shared" si="15"/>
        <v>INSERT INTO COTACAO (blt_id, pap_id, cot_prc_comum, cot_prc_min, cot_prc_max, cot_prc_med, cot_prc_mediana) VALUES (26, 27, 40, 40, 60, 46, 40);</v>
      </c>
    </row>
    <row r="981" spans="1:10" x14ac:dyDescent="0.3">
      <c r="A981">
        <v>980</v>
      </c>
      <c r="B981">
        <v>26</v>
      </c>
      <c r="C981">
        <v>28</v>
      </c>
      <c r="D981" t="str">
        <f>IF('Boletins Nuppa Site'!F981&lt;&gt;0,'Boletins Nuppa Site'!F981,"NULL")</f>
        <v>NULL</v>
      </c>
      <c r="E981">
        <f>IF('Boletins Nuppa Site'!G981&lt;&gt;0,'Boletins Nuppa Site'!G981,"NULL")</f>
        <v>85</v>
      </c>
      <c r="F981">
        <f>IF('Boletins Nuppa Site'!H981&lt;&gt;0,'Boletins Nuppa Site'!H981,"NULL")</f>
        <v>100</v>
      </c>
      <c r="G981" t="str">
        <f>IF('Boletins Nuppa Site'!I981&lt;&gt;0,'Boletins Nuppa Site'!I981,"NULL")</f>
        <v>91.67</v>
      </c>
      <c r="H981">
        <f>IF('Boletins Nuppa Site'!J981&lt;&gt;0,'Boletins Nuppa Site'!J981,"NULL")</f>
        <v>90</v>
      </c>
      <c r="J981" t="str">
        <f t="shared" si="15"/>
        <v>INSERT INTO COTACAO (blt_id, pap_id, cot_prc_comum, cot_prc_min, cot_prc_max, cot_prc_med, cot_prc_mediana) VALUES (26, 28, NULL, 85, 100, 91.67, 90);</v>
      </c>
    </row>
    <row r="982" spans="1:10" x14ac:dyDescent="0.3">
      <c r="A982">
        <v>981</v>
      </c>
      <c r="B982">
        <v>26</v>
      </c>
      <c r="C982">
        <v>29</v>
      </c>
      <c r="D982" t="str">
        <f>IF('Boletins Nuppa Site'!F982&lt;&gt;0,'Boletins Nuppa Site'!F982,"NULL")</f>
        <v>NULL</v>
      </c>
      <c r="E982">
        <f>IF('Boletins Nuppa Site'!G982&lt;&gt;0,'Boletins Nuppa Site'!G982,"NULL")</f>
        <v>45</v>
      </c>
      <c r="F982">
        <f>IF('Boletins Nuppa Site'!H982&lt;&gt;0,'Boletins Nuppa Site'!H982,"NULL")</f>
        <v>60</v>
      </c>
      <c r="G982" t="str">
        <f>IF('Boletins Nuppa Site'!I982&lt;&gt;0,'Boletins Nuppa Site'!I982,"NULL")</f>
        <v>52.5</v>
      </c>
      <c r="H982" t="str">
        <f>IF('Boletins Nuppa Site'!J982&lt;&gt;0,'Boletins Nuppa Site'!J982,"NULL")</f>
        <v>52.5</v>
      </c>
      <c r="J982" t="str">
        <f t="shared" si="15"/>
        <v>INSERT INTO COTACAO (blt_id, pap_id, cot_prc_comum, cot_prc_min, cot_prc_max, cot_prc_med, cot_prc_mediana) VALUES (26, 29, NULL, 45, 60, 52.5, 52.5);</v>
      </c>
    </row>
    <row r="983" spans="1:10" x14ac:dyDescent="0.3">
      <c r="A983">
        <v>982</v>
      </c>
      <c r="B983">
        <v>26</v>
      </c>
      <c r="C983">
        <v>30</v>
      </c>
      <c r="D983">
        <f>IF('Boletins Nuppa Site'!F983&lt;&gt;0,'Boletins Nuppa Site'!F983,"NULL")</f>
        <v>50</v>
      </c>
      <c r="E983">
        <f>IF('Boletins Nuppa Site'!G983&lt;&gt;0,'Boletins Nuppa Site'!G983,"NULL")</f>
        <v>50</v>
      </c>
      <c r="F983">
        <f>IF('Boletins Nuppa Site'!H983&lt;&gt;0,'Boletins Nuppa Site'!H983,"NULL")</f>
        <v>60</v>
      </c>
      <c r="G983" t="str">
        <f>IF('Boletins Nuppa Site'!I983&lt;&gt;0,'Boletins Nuppa Site'!I983,"NULL")</f>
        <v>53.33</v>
      </c>
      <c r="H983">
        <f>IF('Boletins Nuppa Site'!J983&lt;&gt;0,'Boletins Nuppa Site'!J983,"NULL")</f>
        <v>50</v>
      </c>
      <c r="J983" t="str">
        <f t="shared" si="15"/>
        <v>INSERT INTO COTACAO (blt_id, pap_id, cot_prc_comum, cot_prc_min, cot_prc_max, cot_prc_med, cot_prc_mediana) VALUES (26, 30, 50, 50, 60, 53.33, 50);</v>
      </c>
    </row>
    <row r="984" spans="1:10" x14ac:dyDescent="0.3">
      <c r="A984">
        <v>983</v>
      </c>
      <c r="B984">
        <v>26</v>
      </c>
      <c r="C984">
        <v>31</v>
      </c>
      <c r="D984">
        <f>IF('Boletins Nuppa Site'!F984&lt;&gt;0,'Boletins Nuppa Site'!F984,"NULL")</f>
        <v>80</v>
      </c>
      <c r="E984">
        <f>IF('Boletins Nuppa Site'!G984&lt;&gt;0,'Boletins Nuppa Site'!G984,"NULL")</f>
        <v>70</v>
      </c>
      <c r="F984">
        <f>IF('Boletins Nuppa Site'!H984&lt;&gt;0,'Boletins Nuppa Site'!H984,"NULL")</f>
        <v>80</v>
      </c>
      <c r="G984">
        <f>IF('Boletins Nuppa Site'!I984&lt;&gt;0,'Boletins Nuppa Site'!I984,"NULL")</f>
        <v>75</v>
      </c>
      <c r="H984">
        <f>IF('Boletins Nuppa Site'!J984&lt;&gt;0,'Boletins Nuppa Site'!J984,"NULL")</f>
        <v>75</v>
      </c>
      <c r="J984" t="str">
        <f t="shared" si="15"/>
        <v>INSERT INTO COTACAO (blt_id, pap_id, cot_prc_comum, cot_prc_min, cot_prc_max, cot_prc_med, cot_prc_mediana) VALUES (26, 31, 80, 70, 80, 75, 75);</v>
      </c>
    </row>
    <row r="985" spans="1:10" x14ac:dyDescent="0.3">
      <c r="A985">
        <v>984</v>
      </c>
      <c r="B985">
        <v>26</v>
      </c>
      <c r="C985">
        <v>32</v>
      </c>
      <c r="D985" t="str">
        <f>IF('Boletins Nuppa Site'!F985&lt;&gt;0,'Boletins Nuppa Site'!F985,"NULL")</f>
        <v>NULL</v>
      </c>
      <c r="E985">
        <f>IF('Boletins Nuppa Site'!G985&lt;&gt;0,'Boletins Nuppa Site'!G985,"NULL")</f>
        <v>40</v>
      </c>
      <c r="F985">
        <f>IF('Boletins Nuppa Site'!H985&lt;&gt;0,'Boletins Nuppa Site'!H985,"NULL")</f>
        <v>60</v>
      </c>
      <c r="G985" t="str">
        <f>IF('Boletins Nuppa Site'!I985&lt;&gt;0,'Boletins Nuppa Site'!I985,"NULL")</f>
        <v>51.25</v>
      </c>
      <c r="H985" t="str">
        <f>IF('Boletins Nuppa Site'!J985&lt;&gt;0,'Boletins Nuppa Site'!J985,"NULL")</f>
        <v>52.5</v>
      </c>
      <c r="J985" t="str">
        <f t="shared" si="15"/>
        <v>INSERT INTO COTACAO (blt_id, pap_id, cot_prc_comum, cot_prc_min, cot_prc_max, cot_prc_med, cot_prc_mediana) VALUES (26, 32, NULL, 40, 60, 51.25, 52.5);</v>
      </c>
    </row>
    <row r="986" spans="1:10" x14ac:dyDescent="0.3">
      <c r="A986">
        <v>985</v>
      </c>
      <c r="B986">
        <v>26</v>
      </c>
      <c r="C986">
        <v>33</v>
      </c>
      <c r="D986" t="str">
        <f>IF('Boletins Nuppa Site'!F986&lt;&gt;0,'Boletins Nuppa Site'!F986,"NULL")</f>
        <v>NULL</v>
      </c>
      <c r="E986">
        <f>IF('Boletins Nuppa Site'!G986&lt;&gt;0,'Boletins Nuppa Site'!G986,"NULL")</f>
        <v>130</v>
      </c>
      <c r="F986">
        <f>IF('Boletins Nuppa Site'!H986&lt;&gt;0,'Boletins Nuppa Site'!H986,"NULL")</f>
        <v>150</v>
      </c>
      <c r="G986">
        <f>IF('Boletins Nuppa Site'!I986&lt;&gt;0,'Boletins Nuppa Site'!I986,"NULL")</f>
        <v>140</v>
      </c>
      <c r="H986">
        <f>IF('Boletins Nuppa Site'!J986&lt;&gt;0,'Boletins Nuppa Site'!J986,"NULL")</f>
        <v>140</v>
      </c>
      <c r="J986" t="str">
        <f t="shared" si="15"/>
        <v>INSERT INTO COTACAO (blt_id, pap_id, cot_prc_comum, cot_prc_min, cot_prc_max, cot_prc_med, cot_prc_mediana) VALUES (26, 33, NULL, 130, 150, 140, 140);</v>
      </c>
    </row>
    <row r="987" spans="1:10" x14ac:dyDescent="0.3">
      <c r="A987">
        <v>986</v>
      </c>
      <c r="B987">
        <v>26</v>
      </c>
      <c r="C987">
        <v>34</v>
      </c>
      <c r="D987">
        <f>IF('Boletins Nuppa Site'!F987&lt;&gt;0,'Boletins Nuppa Site'!F987,"NULL")</f>
        <v>70</v>
      </c>
      <c r="E987">
        <f>IF('Boletins Nuppa Site'!G987&lt;&gt;0,'Boletins Nuppa Site'!G987,"NULL")</f>
        <v>70</v>
      </c>
      <c r="F987">
        <f>IF('Boletins Nuppa Site'!H987&lt;&gt;0,'Boletins Nuppa Site'!H987,"NULL")</f>
        <v>100</v>
      </c>
      <c r="G987">
        <f>IF('Boletins Nuppa Site'!I987&lt;&gt;0,'Boletins Nuppa Site'!I987,"NULL")</f>
        <v>84</v>
      </c>
      <c r="H987">
        <f>IF('Boletins Nuppa Site'!J987&lt;&gt;0,'Boletins Nuppa Site'!J987,"NULL")</f>
        <v>90</v>
      </c>
      <c r="J987" t="str">
        <f t="shared" si="15"/>
        <v>INSERT INTO COTACAO (blt_id, pap_id, cot_prc_comum, cot_prc_min, cot_prc_max, cot_prc_med, cot_prc_mediana) VALUES (26, 34, 70, 70, 100, 84, 90);</v>
      </c>
    </row>
    <row r="988" spans="1:10" x14ac:dyDescent="0.3">
      <c r="A988">
        <v>987</v>
      </c>
      <c r="B988">
        <v>26</v>
      </c>
      <c r="C988">
        <v>35</v>
      </c>
      <c r="D988">
        <f>IF('Boletins Nuppa Site'!F988&lt;&gt;0,'Boletins Nuppa Site'!F988,"NULL")</f>
        <v>140</v>
      </c>
      <c r="E988">
        <f>IF('Boletins Nuppa Site'!G988&lt;&gt;0,'Boletins Nuppa Site'!G988,"NULL")</f>
        <v>120</v>
      </c>
      <c r="F988">
        <f>IF('Boletins Nuppa Site'!H988&lt;&gt;0,'Boletins Nuppa Site'!H988,"NULL")</f>
        <v>140</v>
      </c>
      <c r="G988" t="str">
        <f>IF('Boletins Nuppa Site'!I988&lt;&gt;0,'Boletins Nuppa Site'!I988,"NULL")</f>
        <v>133.33</v>
      </c>
      <c r="H988">
        <f>IF('Boletins Nuppa Site'!J988&lt;&gt;0,'Boletins Nuppa Site'!J988,"NULL")</f>
        <v>140</v>
      </c>
      <c r="J988" t="str">
        <f t="shared" si="15"/>
        <v>INSERT INTO COTACAO (blt_id, pap_id, cot_prc_comum, cot_prc_min, cot_prc_max, cot_prc_med, cot_prc_mediana) VALUES (26, 35, 140, 120, 140, 133.33, 140);</v>
      </c>
    </row>
    <row r="989" spans="1:10" x14ac:dyDescent="0.3">
      <c r="A989">
        <v>988</v>
      </c>
      <c r="B989">
        <v>26</v>
      </c>
      <c r="C989">
        <v>36</v>
      </c>
      <c r="D989" t="str">
        <f>IF('Boletins Nuppa Site'!F989&lt;&gt;0,'Boletins Nuppa Site'!F989,"NULL")</f>
        <v>NULL</v>
      </c>
      <c r="E989" t="str">
        <f>IF('Boletins Nuppa Site'!G989&lt;&gt;0,'Boletins Nuppa Site'!G989,"NULL")</f>
        <v>NULL</v>
      </c>
      <c r="F989" t="str">
        <f>IF('Boletins Nuppa Site'!H989&lt;&gt;0,'Boletins Nuppa Site'!H989,"NULL")</f>
        <v>NULL</v>
      </c>
      <c r="G989" t="str">
        <f>IF('Boletins Nuppa Site'!I989&lt;&gt;0,'Boletins Nuppa Site'!I989,"NULL")</f>
        <v>NULL</v>
      </c>
      <c r="H989" t="str">
        <f>IF('Boletins Nuppa Site'!J989&lt;&gt;0,'Boletins Nuppa Site'!J989,"NULL")</f>
        <v>NULL</v>
      </c>
      <c r="J989" t="str">
        <f t="shared" si="15"/>
        <v>INSERT INTO COTACAO (blt_id, pap_id, cot_prc_comum, cot_prc_min, cot_prc_max, cot_prc_med, cot_prc_mediana) VALUES (26, 36, NULL, NULL, NULL, NULL, NULL);</v>
      </c>
    </row>
    <row r="990" spans="1:10" x14ac:dyDescent="0.3">
      <c r="A990">
        <v>989</v>
      </c>
      <c r="B990">
        <v>26</v>
      </c>
      <c r="C990">
        <v>37</v>
      </c>
      <c r="D990" t="str">
        <f>IF('Boletins Nuppa Site'!F990&lt;&gt;0,'Boletins Nuppa Site'!F990,"NULL")</f>
        <v>NULL</v>
      </c>
      <c r="E990" t="str">
        <f>IF('Boletins Nuppa Site'!G990&lt;&gt;0,'Boletins Nuppa Site'!G990,"NULL")</f>
        <v>NULL</v>
      </c>
      <c r="F990" t="str">
        <f>IF('Boletins Nuppa Site'!H990&lt;&gt;0,'Boletins Nuppa Site'!H990,"NULL")</f>
        <v>NULL</v>
      </c>
      <c r="G990" t="str">
        <f>IF('Boletins Nuppa Site'!I990&lt;&gt;0,'Boletins Nuppa Site'!I990,"NULL")</f>
        <v>NULL</v>
      </c>
      <c r="H990" t="str">
        <f>IF('Boletins Nuppa Site'!J990&lt;&gt;0,'Boletins Nuppa Site'!J990,"NULL")</f>
        <v>NULL</v>
      </c>
      <c r="J990" t="str">
        <f t="shared" si="15"/>
        <v>INSERT INTO COTACAO (blt_id, pap_id, cot_prc_comum, cot_prc_min, cot_prc_max, cot_prc_med, cot_prc_mediana) VALUES (26, 37, NULL, NULL, NULL, NULL, NULL);</v>
      </c>
    </row>
    <row r="991" spans="1:10" x14ac:dyDescent="0.3">
      <c r="A991">
        <v>990</v>
      </c>
      <c r="B991">
        <v>26</v>
      </c>
      <c r="C991">
        <v>38</v>
      </c>
      <c r="D991" t="str">
        <f>IF('Boletins Nuppa Site'!F991&lt;&gt;0,'Boletins Nuppa Site'!F991,"NULL")</f>
        <v>NULL</v>
      </c>
      <c r="E991" t="str">
        <f>IF('Boletins Nuppa Site'!G991&lt;&gt;0,'Boletins Nuppa Site'!G991,"NULL")</f>
        <v>NULL</v>
      </c>
      <c r="F991" t="str">
        <f>IF('Boletins Nuppa Site'!H991&lt;&gt;0,'Boletins Nuppa Site'!H991,"NULL")</f>
        <v>NULL</v>
      </c>
      <c r="G991" t="str">
        <f>IF('Boletins Nuppa Site'!I991&lt;&gt;0,'Boletins Nuppa Site'!I991,"NULL")</f>
        <v>NULL</v>
      </c>
      <c r="H991" t="str">
        <f>IF('Boletins Nuppa Site'!J991&lt;&gt;0,'Boletins Nuppa Site'!J991,"NULL")</f>
        <v>NULL</v>
      </c>
      <c r="J991" t="str">
        <f t="shared" si="15"/>
        <v>INSERT INTO COTACAO (blt_id, pap_id, cot_prc_comum, cot_prc_min, cot_prc_max, cot_prc_med, cot_prc_mediana) VALUES (26, 38, NULL, NULL, NULL, NULL, NULL);</v>
      </c>
    </row>
    <row r="992" spans="1:10" x14ac:dyDescent="0.3">
      <c r="A992">
        <v>991</v>
      </c>
      <c r="B992">
        <v>26</v>
      </c>
      <c r="C992">
        <v>39</v>
      </c>
      <c r="D992" t="str">
        <f>IF('Boletins Nuppa Site'!F992&lt;&gt;0,'Boletins Nuppa Site'!F992,"NULL")</f>
        <v>NULL</v>
      </c>
      <c r="E992">
        <f>IF('Boletins Nuppa Site'!G992&lt;&gt;0,'Boletins Nuppa Site'!G992,"NULL")</f>
        <v>60</v>
      </c>
      <c r="F992">
        <f>IF('Boletins Nuppa Site'!H992&lt;&gt;0,'Boletins Nuppa Site'!H992,"NULL")</f>
        <v>60</v>
      </c>
      <c r="G992">
        <f>IF('Boletins Nuppa Site'!I992&lt;&gt;0,'Boletins Nuppa Site'!I992,"NULL")</f>
        <v>60</v>
      </c>
      <c r="H992">
        <f>IF('Boletins Nuppa Site'!J992&lt;&gt;0,'Boletins Nuppa Site'!J992,"NULL")</f>
        <v>60</v>
      </c>
      <c r="J992" t="str">
        <f t="shared" si="15"/>
        <v>INSERT INTO COTACAO (blt_id, pap_id, cot_prc_comum, cot_prc_min, cot_prc_max, cot_prc_med, cot_prc_mediana) VALUES (26, 39, NULL, 60, 60, 60, 60);</v>
      </c>
    </row>
    <row r="993" spans="1:10" x14ac:dyDescent="0.3">
      <c r="A993">
        <v>992</v>
      </c>
      <c r="B993">
        <v>26</v>
      </c>
      <c r="C993">
        <v>40</v>
      </c>
      <c r="D993" t="str">
        <f>IF('Boletins Nuppa Site'!F993&lt;&gt;0,'Boletins Nuppa Site'!F993,"NULL")</f>
        <v>NULL</v>
      </c>
      <c r="E993">
        <f>IF('Boletins Nuppa Site'!G993&lt;&gt;0,'Boletins Nuppa Site'!G993,"NULL")</f>
        <v>80</v>
      </c>
      <c r="F993">
        <f>IF('Boletins Nuppa Site'!H993&lt;&gt;0,'Boletins Nuppa Site'!H993,"NULL")</f>
        <v>80</v>
      </c>
      <c r="G993">
        <f>IF('Boletins Nuppa Site'!I993&lt;&gt;0,'Boletins Nuppa Site'!I993,"NULL")</f>
        <v>80</v>
      </c>
      <c r="H993">
        <f>IF('Boletins Nuppa Site'!J993&lt;&gt;0,'Boletins Nuppa Site'!J993,"NULL")</f>
        <v>80</v>
      </c>
      <c r="J993" t="str">
        <f t="shared" si="15"/>
        <v>INSERT INTO COTACAO (blt_id, pap_id, cot_prc_comum, cot_prc_min, cot_prc_max, cot_prc_med, cot_prc_mediana) VALUES (26, 40, NULL, 80, 80, 80, 80);</v>
      </c>
    </row>
    <row r="994" spans="1:10" x14ac:dyDescent="0.3">
      <c r="A994">
        <v>993</v>
      </c>
      <c r="B994">
        <v>27</v>
      </c>
      <c r="C994">
        <v>1</v>
      </c>
      <c r="D994">
        <f>IF('Boletins Nuppa Site'!F994&lt;&gt;0,'Boletins Nuppa Site'!F994,"NULL")</f>
        <v>60</v>
      </c>
      <c r="E994">
        <f>IF('Boletins Nuppa Site'!G994&lt;&gt;0,'Boletins Nuppa Site'!G994,"NULL")</f>
        <v>48</v>
      </c>
      <c r="F994">
        <f>IF('Boletins Nuppa Site'!H994&lt;&gt;0,'Boletins Nuppa Site'!H994,"NULL")</f>
        <v>48</v>
      </c>
      <c r="G994">
        <f>IF('Boletins Nuppa Site'!I994&lt;&gt;0,'Boletins Nuppa Site'!I994,"NULL")</f>
        <v>60</v>
      </c>
      <c r="H994" t="str">
        <f>IF('Boletins Nuppa Site'!J994&lt;&gt;0,'Boletins Nuppa Site'!J994,"NULL")</f>
        <v>52.8</v>
      </c>
      <c r="J994" t="str">
        <f t="shared" si="15"/>
        <v>INSERT INTO COTACAO (blt_id, pap_id, cot_prc_comum, cot_prc_min, cot_prc_max, cot_prc_med, cot_prc_mediana) VALUES (27, 1, 60, 48, 48, 60, 52.8);</v>
      </c>
    </row>
    <row r="995" spans="1:10" x14ac:dyDescent="0.3">
      <c r="A995">
        <v>994</v>
      </c>
      <c r="B995">
        <v>27</v>
      </c>
      <c r="C995">
        <v>2</v>
      </c>
      <c r="D995">
        <f>IF('Boletins Nuppa Site'!F995&lt;&gt;0,'Boletins Nuppa Site'!F995,"NULL")</f>
        <v>84</v>
      </c>
      <c r="E995">
        <f>IF('Boletins Nuppa Site'!G995&lt;&gt;0,'Boletins Nuppa Site'!G995,"NULL")</f>
        <v>72</v>
      </c>
      <c r="F995">
        <f>IF('Boletins Nuppa Site'!H995&lt;&gt;0,'Boletins Nuppa Site'!H995,"NULL")</f>
        <v>72</v>
      </c>
      <c r="G995">
        <f>IF('Boletins Nuppa Site'!I995&lt;&gt;0,'Boletins Nuppa Site'!I995,"NULL")</f>
        <v>84</v>
      </c>
      <c r="H995">
        <f>IF('Boletins Nuppa Site'!J995&lt;&gt;0,'Boletins Nuppa Site'!J995,"NULL")</f>
        <v>78</v>
      </c>
      <c r="J995" t="str">
        <f t="shared" si="15"/>
        <v>INSERT INTO COTACAO (blt_id, pap_id, cot_prc_comum, cot_prc_min, cot_prc_max, cot_prc_med, cot_prc_mediana) VALUES (27, 2, 84, 72, 72, 84, 78);</v>
      </c>
    </row>
    <row r="996" spans="1:10" x14ac:dyDescent="0.3">
      <c r="A996">
        <v>995</v>
      </c>
      <c r="B996">
        <v>27</v>
      </c>
      <c r="C996">
        <v>3</v>
      </c>
      <c r="D996">
        <f>IF('Boletins Nuppa Site'!F996&lt;&gt;0,'Boletins Nuppa Site'!F996,"NULL")</f>
        <v>36</v>
      </c>
      <c r="E996">
        <f>IF('Boletins Nuppa Site'!G996&lt;&gt;0,'Boletins Nuppa Site'!G996,"NULL")</f>
        <v>36</v>
      </c>
      <c r="F996">
        <f>IF('Boletins Nuppa Site'!H996&lt;&gt;0,'Boletins Nuppa Site'!H996,"NULL")</f>
        <v>30</v>
      </c>
      <c r="G996">
        <f>IF('Boletins Nuppa Site'!I996&lt;&gt;0,'Boletins Nuppa Site'!I996,"NULL")</f>
        <v>42</v>
      </c>
      <c r="H996" t="str">
        <f>IF('Boletins Nuppa Site'!J996&lt;&gt;0,'Boletins Nuppa Site'!J996,"NULL")</f>
        <v>35.8</v>
      </c>
      <c r="J996" t="str">
        <f t="shared" si="15"/>
        <v>INSERT INTO COTACAO (blt_id, pap_id, cot_prc_comum, cot_prc_min, cot_prc_max, cot_prc_med, cot_prc_mediana) VALUES (27, 3, 36, 36, 30, 42, 35.8);</v>
      </c>
    </row>
    <row r="997" spans="1:10" x14ac:dyDescent="0.3">
      <c r="A997">
        <v>996</v>
      </c>
      <c r="B997">
        <v>27</v>
      </c>
      <c r="C997">
        <v>4</v>
      </c>
      <c r="D997">
        <f>IF('Boletins Nuppa Site'!F997&lt;&gt;0,'Boletins Nuppa Site'!F997,"NULL")</f>
        <v>24</v>
      </c>
      <c r="E997">
        <f>IF('Boletins Nuppa Site'!G997&lt;&gt;0,'Boletins Nuppa Site'!G997,"NULL")</f>
        <v>18</v>
      </c>
      <c r="F997">
        <f>IF('Boletins Nuppa Site'!H997&lt;&gt;0,'Boletins Nuppa Site'!H997,"NULL")</f>
        <v>18</v>
      </c>
      <c r="G997">
        <f>IF('Boletins Nuppa Site'!I997&lt;&gt;0,'Boletins Nuppa Site'!I997,"NULL")</f>
        <v>24</v>
      </c>
      <c r="H997" t="str">
        <f>IF('Boletins Nuppa Site'!J997&lt;&gt;0,'Boletins Nuppa Site'!J997,"NULL")</f>
        <v>20.8</v>
      </c>
      <c r="J997" t="str">
        <f t="shared" si="15"/>
        <v>INSERT INTO COTACAO (blt_id, pap_id, cot_prc_comum, cot_prc_min, cot_prc_max, cot_prc_med, cot_prc_mediana) VALUES (27, 4, 24, 18, 18, 24, 20.8);</v>
      </c>
    </row>
    <row r="998" spans="1:10" x14ac:dyDescent="0.3">
      <c r="A998">
        <v>997</v>
      </c>
      <c r="B998">
        <v>27</v>
      </c>
      <c r="C998">
        <v>5</v>
      </c>
      <c r="D998">
        <f>IF('Boletins Nuppa Site'!F998&lt;&gt;0,'Boletins Nuppa Site'!F998,"NULL")</f>
        <v>30</v>
      </c>
      <c r="E998">
        <f>IF('Boletins Nuppa Site'!G998&lt;&gt;0,'Boletins Nuppa Site'!G998,"NULL")</f>
        <v>24</v>
      </c>
      <c r="F998">
        <f>IF('Boletins Nuppa Site'!H998&lt;&gt;0,'Boletins Nuppa Site'!H998,"NULL")</f>
        <v>18</v>
      </c>
      <c r="G998">
        <f>IF('Boletins Nuppa Site'!I998&lt;&gt;0,'Boletins Nuppa Site'!I998,"NULL")</f>
        <v>24</v>
      </c>
      <c r="H998" t="str">
        <f>IF('Boletins Nuppa Site'!J998&lt;&gt;0,'Boletins Nuppa Site'!J998,"NULL")</f>
        <v>21.5</v>
      </c>
      <c r="J998" t="str">
        <f t="shared" si="15"/>
        <v>INSERT INTO COTACAO (blt_id, pap_id, cot_prc_comum, cot_prc_min, cot_prc_max, cot_prc_med, cot_prc_mediana) VALUES (27, 5, 30, 24, 18, 24, 21.5);</v>
      </c>
    </row>
    <row r="999" spans="1:10" x14ac:dyDescent="0.3">
      <c r="A999">
        <v>998</v>
      </c>
      <c r="B999">
        <v>27</v>
      </c>
      <c r="C999">
        <v>6</v>
      </c>
      <c r="D999">
        <f>IF('Boletins Nuppa Site'!F999&lt;&gt;0,'Boletins Nuppa Site'!F999,"NULL")</f>
        <v>60</v>
      </c>
      <c r="E999">
        <f>IF('Boletins Nuppa Site'!G999&lt;&gt;0,'Boletins Nuppa Site'!G999,"NULL")</f>
        <v>60</v>
      </c>
      <c r="F999">
        <f>IF('Boletins Nuppa Site'!H999&lt;&gt;0,'Boletins Nuppa Site'!H999,"NULL")</f>
        <v>60</v>
      </c>
      <c r="G999">
        <f>IF('Boletins Nuppa Site'!I999&lt;&gt;0,'Boletins Nuppa Site'!I999,"NULL")</f>
        <v>60</v>
      </c>
      <c r="H999">
        <f>IF('Boletins Nuppa Site'!J999&lt;&gt;0,'Boletins Nuppa Site'!J999,"NULL")</f>
        <v>60</v>
      </c>
      <c r="J999" t="str">
        <f t="shared" si="15"/>
        <v>INSERT INTO COTACAO (blt_id, pap_id, cot_prc_comum, cot_prc_min, cot_prc_max, cot_prc_med, cot_prc_mediana) VALUES (27, 6, 60, 60, 60, 60, 60);</v>
      </c>
    </row>
    <row r="1000" spans="1:10" x14ac:dyDescent="0.3">
      <c r="A1000">
        <v>999</v>
      </c>
      <c r="B1000">
        <v>27</v>
      </c>
      <c r="C1000">
        <v>7</v>
      </c>
      <c r="D1000">
        <f>IF('Boletins Nuppa Site'!F1000&lt;&gt;0,'Boletins Nuppa Site'!F1000,"NULL")</f>
        <v>60</v>
      </c>
      <c r="E1000">
        <f>IF('Boletins Nuppa Site'!G1000&lt;&gt;0,'Boletins Nuppa Site'!G1000,"NULL")</f>
        <v>48</v>
      </c>
      <c r="F1000">
        <f>IF('Boletins Nuppa Site'!H1000&lt;&gt;0,'Boletins Nuppa Site'!H1000,"NULL")</f>
        <v>48</v>
      </c>
      <c r="G1000">
        <f>IF('Boletins Nuppa Site'!I1000&lt;&gt;0,'Boletins Nuppa Site'!I1000,"NULL")</f>
        <v>60</v>
      </c>
      <c r="H1000">
        <f>IF('Boletins Nuppa Site'!J1000&lt;&gt;0,'Boletins Nuppa Site'!J1000,"NULL")</f>
        <v>54</v>
      </c>
      <c r="J1000" t="str">
        <f t="shared" si="15"/>
        <v>INSERT INTO COTACAO (blt_id, pap_id, cot_prc_comum, cot_prc_min, cot_prc_max, cot_prc_med, cot_prc_mediana) VALUES (27, 7, 60, 48, 48, 60, 54);</v>
      </c>
    </row>
    <row r="1001" spans="1:10" x14ac:dyDescent="0.3">
      <c r="A1001">
        <v>1000</v>
      </c>
      <c r="B1001">
        <v>27</v>
      </c>
      <c r="C1001">
        <v>8</v>
      </c>
      <c r="D1001">
        <f>IF('Boletins Nuppa Site'!F1001&lt;&gt;0,'Boletins Nuppa Site'!F1001,"NULL")</f>
        <v>84</v>
      </c>
      <c r="E1001">
        <f>IF('Boletins Nuppa Site'!G1001&lt;&gt;0,'Boletins Nuppa Site'!G1001,"NULL")</f>
        <v>60</v>
      </c>
      <c r="F1001">
        <f>IF('Boletins Nuppa Site'!H1001&lt;&gt;0,'Boletins Nuppa Site'!H1001,"NULL")</f>
        <v>60</v>
      </c>
      <c r="G1001">
        <f>IF('Boletins Nuppa Site'!I1001&lt;&gt;0,'Boletins Nuppa Site'!I1001,"NULL")</f>
        <v>84</v>
      </c>
      <c r="H1001">
        <f>IF('Boletins Nuppa Site'!J1001&lt;&gt;0,'Boletins Nuppa Site'!J1001,"NULL")</f>
        <v>72</v>
      </c>
      <c r="J1001" t="str">
        <f t="shared" si="15"/>
        <v>INSERT INTO COTACAO (blt_id, pap_id, cot_prc_comum, cot_prc_min, cot_prc_max, cot_prc_med, cot_prc_mediana) VALUES (27, 8, 84, 60, 60, 84, 72);</v>
      </c>
    </row>
    <row r="1002" spans="1:10" x14ac:dyDescent="0.3">
      <c r="A1002">
        <v>1001</v>
      </c>
      <c r="B1002">
        <v>27</v>
      </c>
      <c r="C1002">
        <v>9</v>
      </c>
      <c r="D1002">
        <f>IF('Boletins Nuppa Site'!F1002&lt;&gt;0,'Boletins Nuppa Site'!F1002,"NULL")</f>
        <v>24</v>
      </c>
      <c r="E1002">
        <f>IF('Boletins Nuppa Site'!G1002&lt;&gt;0,'Boletins Nuppa Site'!G1002,"NULL")</f>
        <v>18</v>
      </c>
      <c r="F1002">
        <f>IF('Boletins Nuppa Site'!H1002&lt;&gt;0,'Boletins Nuppa Site'!H1002,"NULL")</f>
        <v>18</v>
      </c>
      <c r="G1002">
        <f>IF('Boletins Nuppa Site'!I1002&lt;&gt;0,'Boletins Nuppa Site'!I1002,"NULL")</f>
        <v>25</v>
      </c>
      <c r="H1002" t="str">
        <f>IF('Boletins Nuppa Site'!J1002&lt;&gt;0,'Boletins Nuppa Site'!J1002,"NULL")</f>
        <v>21.8</v>
      </c>
      <c r="J1002" t="str">
        <f t="shared" si="15"/>
        <v>INSERT INTO COTACAO (blt_id, pap_id, cot_prc_comum, cot_prc_min, cot_prc_max, cot_prc_med, cot_prc_mediana) VALUES (27, 9, 24, 18, 18, 25, 21.8);</v>
      </c>
    </row>
    <row r="1003" spans="1:10" x14ac:dyDescent="0.3">
      <c r="A1003">
        <v>1002</v>
      </c>
      <c r="B1003">
        <v>27</v>
      </c>
      <c r="C1003">
        <v>10</v>
      </c>
      <c r="D1003">
        <f>IF('Boletins Nuppa Site'!F1003&lt;&gt;0,'Boletins Nuppa Site'!F1003,"NULL")</f>
        <v>72</v>
      </c>
      <c r="E1003">
        <f>IF('Boletins Nuppa Site'!G1003&lt;&gt;0,'Boletins Nuppa Site'!G1003,"NULL")</f>
        <v>60</v>
      </c>
      <c r="F1003">
        <f>IF('Boletins Nuppa Site'!H1003&lt;&gt;0,'Boletins Nuppa Site'!H1003,"NULL")</f>
        <v>60</v>
      </c>
      <c r="G1003">
        <f>IF('Boletins Nuppa Site'!I1003&lt;&gt;0,'Boletins Nuppa Site'!I1003,"NULL")</f>
        <v>84</v>
      </c>
      <c r="H1003">
        <f>IF('Boletins Nuppa Site'!J1003&lt;&gt;0,'Boletins Nuppa Site'!J1003,"NULL")</f>
        <v>72</v>
      </c>
      <c r="J1003" t="str">
        <f t="shared" si="15"/>
        <v>INSERT INTO COTACAO (blt_id, pap_id, cot_prc_comum, cot_prc_min, cot_prc_max, cot_prc_med, cot_prc_mediana) VALUES (27, 10, 72, 60, 60, 84, 72);</v>
      </c>
    </row>
    <row r="1004" spans="1:10" x14ac:dyDescent="0.3">
      <c r="A1004">
        <v>1003</v>
      </c>
      <c r="B1004">
        <v>27</v>
      </c>
      <c r="C1004">
        <v>11</v>
      </c>
      <c r="D1004">
        <f>IF('Boletins Nuppa Site'!F1004&lt;&gt;0,'Boletins Nuppa Site'!F1004,"NULL")</f>
        <v>30</v>
      </c>
      <c r="E1004">
        <f>IF('Boletins Nuppa Site'!G1004&lt;&gt;0,'Boletins Nuppa Site'!G1004,"NULL")</f>
        <v>24</v>
      </c>
      <c r="F1004">
        <f>IF('Boletins Nuppa Site'!H1004&lt;&gt;0,'Boletins Nuppa Site'!H1004,"NULL")</f>
        <v>18</v>
      </c>
      <c r="G1004">
        <f>IF('Boletins Nuppa Site'!I1004&lt;&gt;0,'Boletins Nuppa Site'!I1004,"NULL")</f>
        <v>24</v>
      </c>
      <c r="H1004">
        <f>IF('Boletins Nuppa Site'!J1004&lt;&gt;0,'Boletins Nuppa Site'!J1004,"NULL")</f>
        <v>22</v>
      </c>
      <c r="J1004" t="str">
        <f t="shared" si="15"/>
        <v>INSERT INTO COTACAO (blt_id, pap_id, cot_prc_comum, cot_prc_min, cot_prc_max, cot_prc_med, cot_prc_mediana) VALUES (27, 11, 30, 24, 18, 24, 22);</v>
      </c>
    </row>
    <row r="1005" spans="1:10" x14ac:dyDescent="0.3">
      <c r="A1005">
        <v>1004</v>
      </c>
      <c r="B1005">
        <v>27</v>
      </c>
      <c r="C1005">
        <v>12</v>
      </c>
      <c r="D1005">
        <f>IF('Boletins Nuppa Site'!F1005&lt;&gt;0,'Boletins Nuppa Site'!F1005,"NULL")</f>
        <v>60</v>
      </c>
      <c r="E1005">
        <f>IF('Boletins Nuppa Site'!G1005&lt;&gt;0,'Boletins Nuppa Site'!G1005,"NULL")</f>
        <v>60</v>
      </c>
      <c r="F1005">
        <f>IF('Boletins Nuppa Site'!H1005&lt;&gt;0,'Boletins Nuppa Site'!H1005,"NULL")</f>
        <v>60</v>
      </c>
      <c r="G1005">
        <f>IF('Boletins Nuppa Site'!I1005&lt;&gt;0,'Boletins Nuppa Site'!I1005,"NULL")</f>
        <v>72</v>
      </c>
      <c r="H1005">
        <f>IF('Boletins Nuppa Site'!J1005&lt;&gt;0,'Boletins Nuppa Site'!J1005,"NULL")</f>
        <v>66</v>
      </c>
      <c r="J1005" t="str">
        <f t="shared" si="15"/>
        <v>INSERT INTO COTACAO (blt_id, pap_id, cot_prc_comum, cot_prc_min, cot_prc_max, cot_prc_med, cot_prc_mediana) VALUES (27, 12, 60, 60, 60, 72, 66);</v>
      </c>
    </row>
    <row r="1006" spans="1:10" x14ac:dyDescent="0.3">
      <c r="A1006">
        <v>1005</v>
      </c>
      <c r="B1006">
        <v>27</v>
      </c>
      <c r="C1006">
        <v>13</v>
      </c>
      <c r="D1006">
        <f>IF('Boletins Nuppa Site'!F1006&lt;&gt;0,'Boletins Nuppa Site'!F1006,"NULL")</f>
        <v>60</v>
      </c>
      <c r="E1006">
        <f>IF('Boletins Nuppa Site'!G1006&lt;&gt;0,'Boletins Nuppa Site'!G1006,"NULL")</f>
        <v>60</v>
      </c>
      <c r="F1006">
        <f>IF('Boletins Nuppa Site'!H1006&lt;&gt;0,'Boletins Nuppa Site'!H1006,"NULL")</f>
        <v>48</v>
      </c>
      <c r="G1006">
        <f>IF('Boletins Nuppa Site'!I1006&lt;&gt;0,'Boletins Nuppa Site'!I1006,"NULL")</f>
        <v>60</v>
      </c>
      <c r="H1006" t="str">
        <f>IF('Boletins Nuppa Site'!J1006&lt;&gt;0,'Boletins Nuppa Site'!J1006,"NULL")</f>
        <v>55.2</v>
      </c>
      <c r="J1006" t="str">
        <f t="shared" si="15"/>
        <v>INSERT INTO COTACAO (blt_id, pap_id, cot_prc_comum, cot_prc_min, cot_prc_max, cot_prc_med, cot_prc_mediana) VALUES (27, 13, 60, 60, 48, 60, 55.2);</v>
      </c>
    </row>
    <row r="1007" spans="1:10" x14ac:dyDescent="0.3">
      <c r="A1007">
        <v>1006</v>
      </c>
      <c r="B1007">
        <v>27</v>
      </c>
      <c r="C1007">
        <v>14</v>
      </c>
      <c r="D1007">
        <f>IF('Boletins Nuppa Site'!F1007&lt;&gt;0,'Boletins Nuppa Site'!F1007,"NULL")</f>
        <v>60</v>
      </c>
      <c r="E1007" t="str">
        <f>IF('Boletins Nuppa Site'!G1007&lt;&gt;0,'Boletins Nuppa Site'!G1007,"NULL")</f>
        <v>NULL</v>
      </c>
      <c r="F1007">
        <f>IF('Boletins Nuppa Site'!H1007&lt;&gt;0,'Boletins Nuppa Site'!H1007,"NULL")</f>
        <v>48</v>
      </c>
      <c r="G1007">
        <f>IF('Boletins Nuppa Site'!I1007&lt;&gt;0,'Boletins Nuppa Site'!I1007,"NULL")</f>
        <v>78</v>
      </c>
      <c r="H1007">
        <f>IF('Boletins Nuppa Site'!J1007&lt;&gt;0,'Boletins Nuppa Site'!J1007,"NULL")</f>
        <v>59</v>
      </c>
      <c r="J1007" t="str">
        <f t="shared" si="15"/>
        <v>INSERT INTO COTACAO (blt_id, pap_id, cot_prc_comum, cot_prc_min, cot_prc_max, cot_prc_med, cot_prc_mediana) VALUES (27, 14, 60, NULL, 48, 78, 59);</v>
      </c>
    </row>
    <row r="1008" spans="1:10" x14ac:dyDescent="0.3">
      <c r="A1008">
        <v>1007</v>
      </c>
      <c r="B1008">
        <v>27</v>
      </c>
      <c r="C1008">
        <v>15</v>
      </c>
      <c r="D1008">
        <f>IF('Boletins Nuppa Site'!F1008&lt;&gt;0,'Boletins Nuppa Site'!F1008,"NULL")</f>
        <v>48</v>
      </c>
      <c r="E1008">
        <f>IF('Boletins Nuppa Site'!G1008&lt;&gt;0,'Boletins Nuppa Site'!G1008,"NULL")</f>
        <v>48</v>
      </c>
      <c r="F1008">
        <f>IF('Boletins Nuppa Site'!H1008&lt;&gt;0,'Boletins Nuppa Site'!H1008,"NULL")</f>
        <v>36</v>
      </c>
      <c r="G1008">
        <f>IF('Boletins Nuppa Site'!I1008&lt;&gt;0,'Boletins Nuppa Site'!I1008,"NULL")</f>
        <v>48</v>
      </c>
      <c r="H1008" t="str">
        <f>IF('Boletins Nuppa Site'!J1008&lt;&gt;0,'Boletins Nuppa Site'!J1008,"NULL")</f>
        <v>41.6</v>
      </c>
      <c r="J1008" t="str">
        <f t="shared" si="15"/>
        <v>INSERT INTO COTACAO (blt_id, pap_id, cot_prc_comum, cot_prc_min, cot_prc_max, cot_prc_med, cot_prc_mediana) VALUES (27, 15, 48, 48, 36, 48, 41.6);</v>
      </c>
    </row>
    <row r="1009" spans="1:10" x14ac:dyDescent="0.3">
      <c r="A1009">
        <v>1008</v>
      </c>
      <c r="B1009">
        <v>27</v>
      </c>
      <c r="C1009">
        <v>16</v>
      </c>
      <c r="D1009">
        <f>IF('Boletins Nuppa Site'!F1009&lt;&gt;0,'Boletins Nuppa Site'!F1009,"NULL")</f>
        <v>54</v>
      </c>
      <c r="E1009">
        <f>IF('Boletins Nuppa Site'!G1009&lt;&gt;0,'Boletins Nuppa Site'!G1009,"NULL")</f>
        <v>48</v>
      </c>
      <c r="F1009">
        <f>IF('Boletins Nuppa Site'!H1009&lt;&gt;0,'Boletins Nuppa Site'!H1009,"NULL")</f>
        <v>48</v>
      </c>
      <c r="G1009">
        <f>IF('Boletins Nuppa Site'!I1009&lt;&gt;0,'Boletins Nuppa Site'!I1009,"NULL")</f>
        <v>54</v>
      </c>
      <c r="H1009" t="str">
        <f>IF('Boletins Nuppa Site'!J1009&lt;&gt;0,'Boletins Nuppa Site'!J1009,"NULL")</f>
        <v>50.4</v>
      </c>
      <c r="J1009" t="str">
        <f t="shared" si="15"/>
        <v>INSERT INTO COTACAO (blt_id, pap_id, cot_prc_comum, cot_prc_min, cot_prc_max, cot_prc_med, cot_prc_mediana) VALUES (27, 16, 54, 48, 48, 54, 50.4);</v>
      </c>
    </row>
    <row r="1010" spans="1:10" x14ac:dyDescent="0.3">
      <c r="A1010">
        <v>1009</v>
      </c>
      <c r="B1010">
        <v>27</v>
      </c>
      <c r="C1010">
        <v>17</v>
      </c>
      <c r="D1010">
        <f>IF('Boletins Nuppa Site'!F1010&lt;&gt;0,'Boletins Nuppa Site'!F1010,"NULL")</f>
        <v>5</v>
      </c>
      <c r="E1010">
        <f>IF('Boletins Nuppa Site'!G1010&lt;&gt;0,'Boletins Nuppa Site'!G1010,"NULL")</f>
        <v>4</v>
      </c>
      <c r="F1010">
        <f>IF('Boletins Nuppa Site'!H1010&lt;&gt;0,'Boletins Nuppa Site'!H1010,"NULL")</f>
        <v>5</v>
      </c>
      <c r="G1010" t="str">
        <f>IF('Boletins Nuppa Site'!I1010&lt;&gt;0,'Boletins Nuppa Site'!I1010,"NULL")</f>
        <v>4.8</v>
      </c>
      <c r="H1010">
        <f>IF('Boletins Nuppa Site'!J1010&lt;&gt;0,'Boletins Nuppa Site'!J1010,"NULL")</f>
        <v>5</v>
      </c>
      <c r="J1010" t="str">
        <f t="shared" si="15"/>
        <v>INSERT INTO COTACAO (blt_id, pap_id, cot_prc_comum, cot_prc_min, cot_prc_max, cot_prc_med, cot_prc_mediana) VALUES (27, 17, 5, 4, 5, 4.8, 5);</v>
      </c>
    </row>
    <row r="1011" spans="1:10" x14ac:dyDescent="0.3">
      <c r="A1011">
        <v>1010</v>
      </c>
      <c r="B1011">
        <v>27</v>
      </c>
      <c r="C1011">
        <v>18</v>
      </c>
      <c r="D1011">
        <f>IF('Boletins Nuppa Site'!F1011&lt;&gt;0,'Boletins Nuppa Site'!F1011,"NULL")</f>
        <v>12</v>
      </c>
      <c r="E1011">
        <f>IF('Boletins Nuppa Site'!G1011&lt;&gt;0,'Boletins Nuppa Site'!G1011,"NULL")</f>
        <v>10</v>
      </c>
      <c r="F1011">
        <f>IF('Boletins Nuppa Site'!H1011&lt;&gt;0,'Boletins Nuppa Site'!H1011,"NULL")</f>
        <v>12</v>
      </c>
      <c r="G1011" t="str">
        <f>IF('Boletins Nuppa Site'!I1011&lt;&gt;0,'Boletins Nuppa Site'!I1011,"NULL")</f>
        <v>11.2</v>
      </c>
      <c r="H1011">
        <f>IF('Boletins Nuppa Site'!J1011&lt;&gt;0,'Boletins Nuppa Site'!J1011,"NULL")</f>
        <v>12</v>
      </c>
      <c r="J1011" t="str">
        <f t="shared" si="15"/>
        <v>INSERT INTO COTACAO (blt_id, pap_id, cot_prc_comum, cot_prc_min, cot_prc_max, cot_prc_med, cot_prc_mediana) VALUES (27, 18, 12, 10, 12, 11.2, 12);</v>
      </c>
    </row>
    <row r="1012" spans="1:10" x14ac:dyDescent="0.3">
      <c r="A1012">
        <v>1011</v>
      </c>
      <c r="B1012">
        <v>27</v>
      </c>
      <c r="C1012">
        <v>19</v>
      </c>
      <c r="D1012">
        <f>IF('Boletins Nuppa Site'!F1012&lt;&gt;0,'Boletins Nuppa Site'!F1012,"NULL")</f>
        <v>20</v>
      </c>
      <c r="E1012">
        <f>IF('Boletins Nuppa Site'!G1012&lt;&gt;0,'Boletins Nuppa Site'!G1012,"NULL")</f>
        <v>20</v>
      </c>
      <c r="F1012">
        <f>IF('Boletins Nuppa Site'!H1012&lt;&gt;0,'Boletins Nuppa Site'!H1012,"NULL")</f>
        <v>30</v>
      </c>
      <c r="G1012">
        <f>IF('Boletins Nuppa Site'!I1012&lt;&gt;0,'Boletins Nuppa Site'!I1012,"NULL")</f>
        <v>24</v>
      </c>
      <c r="H1012">
        <f>IF('Boletins Nuppa Site'!J1012&lt;&gt;0,'Boletins Nuppa Site'!J1012,"NULL")</f>
        <v>20</v>
      </c>
      <c r="J1012" t="str">
        <f t="shared" si="15"/>
        <v>INSERT INTO COTACAO (blt_id, pap_id, cot_prc_comum, cot_prc_min, cot_prc_max, cot_prc_med, cot_prc_mediana) VALUES (27, 19, 20, 20, 30, 24, 20);</v>
      </c>
    </row>
    <row r="1013" spans="1:10" x14ac:dyDescent="0.3">
      <c r="A1013">
        <v>1012</v>
      </c>
      <c r="B1013">
        <v>27</v>
      </c>
      <c r="C1013">
        <v>20</v>
      </c>
      <c r="D1013" t="str">
        <f>IF('Boletins Nuppa Site'!F1013&lt;&gt;0,'Boletins Nuppa Site'!F1013,"NULL")</f>
        <v>NULL</v>
      </c>
      <c r="E1013">
        <f>IF('Boletins Nuppa Site'!G1013&lt;&gt;0,'Boletins Nuppa Site'!G1013,"NULL")</f>
        <v>80</v>
      </c>
      <c r="F1013">
        <f>IF('Boletins Nuppa Site'!H1013&lt;&gt;0,'Boletins Nuppa Site'!H1013,"NULL")</f>
        <v>80</v>
      </c>
      <c r="G1013">
        <f>IF('Boletins Nuppa Site'!I1013&lt;&gt;0,'Boletins Nuppa Site'!I1013,"NULL")</f>
        <v>80</v>
      </c>
      <c r="H1013">
        <f>IF('Boletins Nuppa Site'!J1013&lt;&gt;0,'Boletins Nuppa Site'!J1013,"NULL")</f>
        <v>80</v>
      </c>
      <c r="J1013" t="str">
        <f t="shared" si="15"/>
        <v>INSERT INTO COTACAO (blt_id, pap_id, cot_prc_comum, cot_prc_min, cot_prc_max, cot_prc_med, cot_prc_mediana) VALUES (27, 20, NULL, 80, 80, 80, 80);</v>
      </c>
    </row>
    <row r="1014" spans="1:10" x14ac:dyDescent="0.3">
      <c r="A1014">
        <v>1013</v>
      </c>
      <c r="B1014">
        <v>27</v>
      </c>
      <c r="C1014">
        <v>21</v>
      </c>
      <c r="D1014">
        <f>IF('Boletins Nuppa Site'!F1014&lt;&gt;0,'Boletins Nuppa Site'!F1014,"NULL")</f>
        <v>60</v>
      </c>
      <c r="E1014">
        <f>IF('Boletins Nuppa Site'!G1014&lt;&gt;0,'Boletins Nuppa Site'!G1014,"NULL")</f>
        <v>40</v>
      </c>
      <c r="F1014">
        <f>IF('Boletins Nuppa Site'!H1014&lt;&gt;0,'Boletins Nuppa Site'!H1014,"NULL")</f>
        <v>75</v>
      </c>
      <c r="G1014" t="str">
        <f>IF('Boletins Nuppa Site'!I1014&lt;&gt;0,'Boletins Nuppa Site'!I1014,"NULL")</f>
        <v>58.33</v>
      </c>
      <c r="H1014">
        <f>IF('Boletins Nuppa Site'!J1014&lt;&gt;0,'Boletins Nuppa Site'!J1014,"NULL")</f>
        <v>60</v>
      </c>
      <c r="J1014" t="str">
        <f t="shared" si="15"/>
        <v>INSERT INTO COTACAO (blt_id, pap_id, cot_prc_comum, cot_prc_min, cot_prc_max, cot_prc_med, cot_prc_mediana) VALUES (27, 21, 60, 40, 75, 58.33, 60);</v>
      </c>
    </row>
    <row r="1015" spans="1:10" x14ac:dyDescent="0.3">
      <c r="A1015">
        <v>1014</v>
      </c>
      <c r="B1015">
        <v>27</v>
      </c>
      <c r="C1015">
        <v>22</v>
      </c>
      <c r="D1015">
        <f>IF('Boletins Nuppa Site'!F1015&lt;&gt;0,'Boletins Nuppa Site'!F1015,"NULL")</f>
        <v>70</v>
      </c>
      <c r="E1015">
        <f>IF('Boletins Nuppa Site'!G1015&lt;&gt;0,'Boletins Nuppa Site'!G1015,"NULL")</f>
        <v>45</v>
      </c>
      <c r="F1015">
        <f>IF('Boletins Nuppa Site'!H1015&lt;&gt;0,'Boletins Nuppa Site'!H1015,"NULL")</f>
        <v>75</v>
      </c>
      <c r="G1015" t="str">
        <f>IF('Boletins Nuppa Site'!I1015&lt;&gt;0,'Boletins Nuppa Site'!I1015,"NULL")</f>
        <v>61.67</v>
      </c>
      <c r="H1015">
        <f>IF('Boletins Nuppa Site'!J1015&lt;&gt;0,'Boletins Nuppa Site'!J1015,"NULL")</f>
        <v>65</v>
      </c>
      <c r="J1015" t="str">
        <f t="shared" si="15"/>
        <v>INSERT INTO COTACAO (blt_id, pap_id, cot_prc_comum, cot_prc_min, cot_prc_max, cot_prc_med, cot_prc_mediana) VALUES (27, 22, 70, 45, 75, 61.67, 65);</v>
      </c>
    </row>
    <row r="1016" spans="1:10" x14ac:dyDescent="0.3">
      <c r="A1016">
        <v>1015</v>
      </c>
      <c r="B1016">
        <v>27</v>
      </c>
      <c r="C1016">
        <v>23</v>
      </c>
      <c r="D1016">
        <f>IF('Boletins Nuppa Site'!F1016&lt;&gt;0,'Boletins Nuppa Site'!F1016,"NULL")</f>
        <v>40</v>
      </c>
      <c r="E1016">
        <f>IF('Boletins Nuppa Site'!G1016&lt;&gt;0,'Boletins Nuppa Site'!G1016,"NULL")</f>
        <v>40</v>
      </c>
      <c r="F1016">
        <f>IF('Boletins Nuppa Site'!H1016&lt;&gt;0,'Boletins Nuppa Site'!H1016,"NULL")</f>
        <v>50</v>
      </c>
      <c r="G1016" t="str">
        <f>IF('Boletins Nuppa Site'!I1016&lt;&gt;0,'Boletins Nuppa Site'!I1016,"NULL")</f>
        <v>43.75</v>
      </c>
      <c r="H1016" t="str">
        <f>IF('Boletins Nuppa Site'!J1016&lt;&gt;0,'Boletins Nuppa Site'!J1016,"NULL")</f>
        <v>42.5</v>
      </c>
      <c r="J1016" t="str">
        <f t="shared" si="15"/>
        <v>INSERT INTO COTACAO (blt_id, pap_id, cot_prc_comum, cot_prc_min, cot_prc_max, cot_prc_med, cot_prc_mediana) VALUES (27, 23, 40, 40, 50, 43.75, 42.5);</v>
      </c>
    </row>
    <row r="1017" spans="1:10" x14ac:dyDescent="0.3">
      <c r="A1017">
        <v>1016</v>
      </c>
      <c r="B1017">
        <v>27</v>
      </c>
      <c r="C1017">
        <v>24</v>
      </c>
      <c r="D1017" t="str">
        <f>IF('Boletins Nuppa Site'!F1017&lt;&gt;0,'Boletins Nuppa Site'!F1017,"NULL")</f>
        <v>NULL</v>
      </c>
      <c r="E1017">
        <f>IF('Boletins Nuppa Site'!G1017&lt;&gt;0,'Boletins Nuppa Site'!G1017,"NULL")</f>
        <v>90</v>
      </c>
      <c r="F1017">
        <f>IF('Boletins Nuppa Site'!H1017&lt;&gt;0,'Boletins Nuppa Site'!H1017,"NULL")</f>
        <v>105</v>
      </c>
      <c r="G1017" t="str">
        <f>IF('Boletins Nuppa Site'!I1017&lt;&gt;0,'Boletins Nuppa Site'!I1017,"NULL")</f>
        <v>97.5</v>
      </c>
      <c r="H1017" t="str">
        <f>IF('Boletins Nuppa Site'!J1017&lt;&gt;0,'Boletins Nuppa Site'!J1017,"NULL")</f>
        <v>97.5</v>
      </c>
      <c r="J1017" t="str">
        <f t="shared" si="15"/>
        <v>INSERT INTO COTACAO (blt_id, pap_id, cot_prc_comum, cot_prc_min, cot_prc_max, cot_prc_med, cot_prc_mediana) VALUES (27, 24, NULL, 90, 105, 97.5, 97.5);</v>
      </c>
    </row>
    <row r="1018" spans="1:10" x14ac:dyDescent="0.3">
      <c r="A1018">
        <v>1017</v>
      </c>
      <c r="B1018">
        <v>27</v>
      </c>
      <c r="C1018">
        <v>25</v>
      </c>
      <c r="D1018">
        <f>IF('Boletins Nuppa Site'!F1018&lt;&gt;0,'Boletins Nuppa Site'!F1018,"NULL")</f>
        <v>55</v>
      </c>
      <c r="E1018">
        <f>IF('Boletins Nuppa Site'!G1018&lt;&gt;0,'Boletins Nuppa Site'!G1018,"NULL")</f>
        <v>55</v>
      </c>
      <c r="F1018">
        <f>IF('Boletins Nuppa Site'!H1018&lt;&gt;0,'Boletins Nuppa Site'!H1018,"NULL")</f>
        <v>60</v>
      </c>
      <c r="G1018" t="str">
        <f>IF('Boletins Nuppa Site'!I1018&lt;&gt;0,'Boletins Nuppa Site'!I1018,"NULL")</f>
        <v>56.67</v>
      </c>
      <c r="H1018">
        <f>IF('Boletins Nuppa Site'!J1018&lt;&gt;0,'Boletins Nuppa Site'!J1018,"NULL")</f>
        <v>55</v>
      </c>
      <c r="J1018" t="str">
        <f t="shared" si="15"/>
        <v>INSERT INTO COTACAO (blt_id, pap_id, cot_prc_comum, cot_prc_min, cot_prc_max, cot_prc_med, cot_prc_mediana) VALUES (27, 25, 55, 55, 60, 56.67, 55);</v>
      </c>
    </row>
    <row r="1019" spans="1:10" x14ac:dyDescent="0.3">
      <c r="A1019">
        <v>1018</v>
      </c>
      <c r="B1019">
        <v>27</v>
      </c>
      <c r="C1019">
        <v>26</v>
      </c>
      <c r="D1019">
        <f>IF('Boletins Nuppa Site'!F1019&lt;&gt;0,'Boletins Nuppa Site'!F1019,"NULL")</f>
        <v>60</v>
      </c>
      <c r="E1019">
        <f>IF('Boletins Nuppa Site'!G1019&lt;&gt;0,'Boletins Nuppa Site'!G1019,"NULL")</f>
        <v>45</v>
      </c>
      <c r="F1019">
        <f>IF('Boletins Nuppa Site'!H1019&lt;&gt;0,'Boletins Nuppa Site'!H1019,"NULL")</f>
        <v>60</v>
      </c>
      <c r="G1019" t="str">
        <f>IF('Boletins Nuppa Site'!I1019&lt;&gt;0,'Boletins Nuppa Site'!I1019,"NULL")</f>
        <v>53.33</v>
      </c>
      <c r="H1019">
        <f>IF('Boletins Nuppa Site'!J1019&lt;&gt;0,'Boletins Nuppa Site'!J1019,"NULL")</f>
        <v>55</v>
      </c>
      <c r="J1019" t="str">
        <f t="shared" si="15"/>
        <v>INSERT INTO COTACAO (blt_id, pap_id, cot_prc_comum, cot_prc_min, cot_prc_max, cot_prc_med, cot_prc_mediana) VALUES (27, 26, 60, 45, 60, 53.33, 55);</v>
      </c>
    </row>
    <row r="1020" spans="1:10" x14ac:dyDescent="0.3">
      <c r="A1020">
        <v>1019</v>
      </c>
      <c r="B1020">
        <v>27</v>
      </c>
      <c r="C1020">
        <v>27</v>
      </c>
      <c r="D1020">
        <f>IF('Boletins Nuppa Site'!F1020&lt;&gt;0,'Boletins Nuppa Site'!F1020,"NULL")</f>
        <v>60</v>
      </c>
      <c r="E1020">
        <f>IF('Boletins Nuppa Site'!G1020&lt;&gt;0,'Boletins Nuppa Site'!G1020,"NULL")</f>
        <v>45</v>
      </c>
      <c r="F1020">
        <f>IF('Boletins Nuppa Site'!H1020&lt;&gt;0,'Boletins Nuppa Site'!H1020,"NULL")</f>
        <v>65</v>
      </c>
      <c r="G1020" t="str">
        <f>IF('Boletins Nuppa Site'!I1020&lt;&gt;0,'Boletins Nuppa Site'!I1020,"NULL")</f>
        <v>58.33</v>
      </c>
      <c r="H1020">
        <f>IF('Boletins Nuppa Site'!J1020&lt;&gt;0,'Boletins Nuppa Site'!J1020,"NULL")</f>
        <v>60</v>
      </c>
      <c r="J1020" t="str">
        <f t="shared" si="15"/>
        <v>INSERT INTO COTACAO (blt_id, pap_id, cot_prc_comum, cot_prc_min, cot_prc_max, cot_prc_med, cot_prc_mediana) VALUES (27, 27, 60, 45, 65, 58.33, 60);</v>
      </c>
    </row>
    <row r="1021" spans="1:10" x14ac:dyDescent="0.3">
      <c r="A1021">
        <v>1020</v>
      </c>
      <c r="B1021">
        <v>27</v>
      </c>
      <c r="C1021">
        <v>28</v>
      </c>
      <c r="D1021">
        <f>IF('Boletins Nuppa Site'!F1021&lt;&gt;0,'Boletins Nuppa Site'!F1021,"NULL")</f>
        <v>90</v>
      </c>
      <c r="E1021">
        <f>IF('Boletins Nuppa Site'!G1021&lt;&gt;0,'Boletins Nuppa Site'!G1021,"NULL")</f>
        <v>60</v>
      </c>
      <c r="F1021">
        <f>IF('Boletins Nuppa Site'!H1021&lt;&gt;0,'Boletins Nuppa Site'!H1021,"NULL")</f>
        <v>100</v>
      </c>
      <c r="G1021">
        <f>IF('Boletins Nuppa Site'!I1021&lt;&gt;0,'Boletins Nuppa Site'!I1021,"NULL")</f>
        <v>86</v>
      </c>
      <c r="H1021">
        <f>IF('Boletins Nuppa Site'!J1021&lt;&gt;0,'Boletins Nuppa Site'!J1021,"NULL")</f>
        <v>90</v>
      </c>
      <c r="J1021" t="str">
        <f t="shared" si="15"/>
        <v>INSERT INTO COTACAO (blt_id, pap_id, cot_prc_comum, cot_prc_min, cot_prc_max, cot_prc_med, cot_prc_mediana) VALUES (27, 28, 90, 60, 100, 86, 90);</v>
      </c>
    </row>
    <row r="1022" spans="1:10" x14ac:dyDescent="0.3">
      <c r="A1022">
        <v>1021</v>
      </c>
      <c r="B1022">
        <v>27</v>
      </c>
      <c r="C1022">
        <v>29</v>
      </c>
      <c r="D1022">
        <f>IF('Boletins Nuppa Site'!F1022&lt;&gt;0,'Boletins Nuppa Site'!F1022,"NULL")</f>
        <v>60</v>
      </c>
      <c r="E1022">
        <f>IF('Boletins Nuppa Site'!G1022&lt;&gt;0,'Boletins Nuppa Site'!G1022,"NULL")</f>
        <v>60</v>
      </c>
      <c r="F1022">
        <f>IF('Boletins Nuppa Site'!H1022&lt;&gt;0,'Boletins Nuppa Site'!H1022,"NULL")</f>
        <v>60</v>
      </c>
      <c r="G1022">
        <f>IF('Boletins Nuppa Site'!I1022&lt;&gt;0,'Boletins Nuppa Site'!I1022,"NULL")</f>
        <v>60</v>
      </c>
      <c r="H1022">
        <f>IF('Boletins Nuppa Site'!J1022&lt;&gt;0,'Boletins Nuppa Site'!J1022,"NULL")</f>
        <v>60</v>
      </c>
      <c r="J1022" t="str">
        <f t="shared" si="15"/>
        <v>INSERT INTO COTACAO (blt_id, pap_id, cot_prc_comum, cot_prc_min, cot_prc_max, cot_prc_med, cot_prc_mediana) VALUES (27, 29, 60, 60, 60, 60, 60);</v>
      </c>
    </row>
    <row r="1023" spans="1:10" x14ac:dyDescent="0.3">
      <c r="A1023">
        <v>1022</v>
      </c>
      <c r="B1023">
        <v>27</v>
      </c>
      <c r="C1023">
        <v>30</v>
      </c>
      <c r="D1023">
        <f>IF('Boletins Nuppa Site'!F1023&lt;&gt;0,'Boletins Nuppa Site'!F1023,"NULL")</f>
        <v>65</v>
      </c>
      <c r="E1023">
        <f>IF('Boletins Nuppa Site'!G1023&lt;&gt;0,'Boletins Nuppa Site'!G1023,"NULL")</f>
        <v>50</v>
      </c>
      <c r="F1023">
        <f>IF('Boletins Nuppa Site'!H1023&lt;&gt;0,'Boletins Nuppa Site'!H1023,"NULL")</f>
        <v>65</v>
      </c>
      <c r="G1023">
        <f>IF('Boletins Nuppa Site'!I1023&lt;&gt;0,'Boletins Nuppa Site'!I1023,"NULL")</f>
        <v>60</v>
      </c>
      <c r="H1023" t="str">
        <f>IF('Boletins Nuppa Site'!J1023&lt;&gt;0,'Boletins Nuppa Site'!J1023,"NULL")</f>
        <v>62.5</v>
      </c>
      <c r="J1023" t="str">
        <f t="shared" si="15"/>
        <v>INSERT INTO COTACAO (blt_id, pap_id, cot_prc_comum, cot_prc_min, cot_prc_max, cot_prc_med, cot_prc_mediana) VALUES (27, 30, 65, 50, 65, 60, 62.5);</v>
      </c>
    </row>
    <row r="1024" spans="1:10" x14ac:dyDescent="0.3">
      <c r="A1024">
        <v>1023</v>
      </c>
      <c r="B1024">
        <v>27</v>
      </c>
      <c r="C1024">
        <v>31</v>
      </c>
      <c r="D1024">
        <f>IF('Boletins Nuppa Site'!F1024&lt;&gt;0,'Boletins Nuppa Site'!F1024,"NULL")</f>
        <v>90</v>
      </c>
      <c r="E1024">
        <f>IF('Boletins Nuppa Site'!G1024&lt;&gt;0,'Boletins Nuppa Site'!G1024,"NULL")</f>
        <v>50</v>
      </c>
      <c r="F1024">
        <f>IF('Boletins Nuppa Site'!H1024&lt;&gt;0,'Boletins Nuppa Site'!H1024,"NULL")</f>
        <v>90</v>
      </c>
      <c r="G1024" t="str">
        <f>IF('Boletins Nuppa Site'!I1024&lt;&gt;0,'Boletins Nuppa Site'!I1024,"NULL")</f>
        <v>76.67</v>
      </c>
      <c r="H1024">
        <f>IF('Boletins Nuppa Site'!J1024&lt;&gt;0,'Boletins Nuppa Site'!J1024,"NULL")</f>
        <v>80</v>
      </c>
      <c r="J1024" t="str">
        <f t="shared" si="15"/>
        <v>INSERT INTO COTACAO (blt_id, pap_id, cot_prc_comum, cot_prc_min, cot_prc_max, cot_prc_med, cot_prc_mediana) VALUES (27, 31, 90, 50, 90, 76.67, 80);</v>
      </c>
    </row>
    <row r="1025" spans="1:10" x14ac:dyDescent="0.3">
      <c r="A1025">
        <v>1024</v>
      </c>
      <c r="B1025">
        <v>27</v>
      </c>
      <c r="C1025">
        <v>32</v>
      </c>
      <c r="D1025">
        <f>IF('Boletins Nuppa Site'!F1025&lt;&gt;0,'Boletins Nuppa Site'!F1025,"NULL")</f>
        <v>50</v>
      </c>
      <c r="E1025">
        <f>IF('Boletins Nuppa Site'!G1025&lt;&gt;0,'Boletins Nuppa Site'!G1025,"NULL")</f>
        <v>40</v>
      </c>
      <c r="F1025">
        <f>IF('Boletins Nuppa Site'!H1025&lt;&gt;0,'Boletins Nuppa Site'!H1025,"NULL")</f>
        <v>80</v>
      </c>
      <c r="G1025">
        <f>IF('Boletins Nuppa Site'!I1025&lt;&gt;0,'Boletins Nuppa Site'!I1025,"NULL")</f>
        <v>55</v>
      </c>
      <c r="H1025">
        <f>IF('Boletins Nuppa Site'!J1025&lt;&gt;0,'Boletins Nuppa Site'!J1025,"NULL")</f>
        <v>50</v>
      </c>
      <c r="J1025" t="str">
        <f t="shared" si="15"/>
        <v>INSERT INTO COTACAO (blt_id, pap_id, cot_prc_comum, cot_prc_min, cot_prc_max, cot_prc_med, cot_prc_mediana) VALUES (27, 32, 50, 40, 80, 55, 50);</v>
      </c>
    </row>
    <row r="1026" spans="1:10" x14ac:dyDescent="0.3">
      <c r="A1026">
        <v>1025</v>
      </c>
      <c r="B1026">
        <v>27</v>
      </c>
      <c r="C1026">
        <v>33</v>
      </c>
      <c r="D1026">
        <f>IF('Boletins Nuppa Site'!F1026&lt;&gt;0,'Boletins Nuppa Site'!F1026,"NULL")</f>
        <v>120</v>
      </c>
      <c r="E1026">
        <f>IF('Boletins Nuppa Site'!G1026&lt;&gt;0,'Boletins Nuppa Site'!G1026,"NULL")</f>
        <v>100</v>
      </c>
      <c r="F1026">
        <f>IF('Boletins Nuppa Site'!H1026&lt;&gt;0,'Boletins Nuppa Site'!H1026,"NULL")</f>
        <v>150</v>
      </c>
      <c r="G1026">
        <f>IF('Boletins Nuppa Site'!I1026&lt;&gt;0,'Boletins Nuppa Site'!I1026,"NULL")</f>
        <v>125</v>
      </c>
      <c r="H1026">
        <f>IF('Boletins Nuppa Site'!J1026&lt;&gt;0,'Boletins Nuppa Site'!J1026,"NULL")</f>
        <v>125</v>
      </c>
      <c r="J1026" t="str">
        <f t="shared" si="15"/>
        <v>INSERT INTO COTACAO (blt_id, pap_id, cot_prc_comum, cot_prc_min, cot_prc_max, cot_prc_med, cot_prc_mediana) VALUES (27, 33, 120, 100, 150, 125, 125);</v>
      </c>
    </row>
    <row r="1027" spans="1:10" x14ac:dyDescent="0.3">
      <c r="A1027">
        <v>1026</v>
      </c>
      <c r="B1027">
        <v>27</v>
      </c>
      <c r="C1027">
        <v>34</v>
      </c>
      <c r="D1027">
        <f>IF('Boletins Nuppa Site'!F1027&lt;&gt;0,'Boletins Nuppa Site'!F1027,"NULL")</f>
        <v>80</v>
      </c>
      <c r="E1027">
        <f>IF('Boletins Nuppa Site'!G1027&lt;&gt;0,'Boletins Nuppa Site'!G1027,"NULL")</f>
        <v>50</v>
      </c>
      <c r="F1027">
        <f>IF('Boletins Nuppa Site'!H1027&lt;&gt;0,'Boletins Nuppa Site'!H1027,"NULL")</f>
        <v>90</v>
      </c>
      <c r="G1027" t="str">
        <f>IF('Boletins Nuppa Site'!I1027&lt;&gt;0,'Boletins Nuppa Site'!I1027,"NULL")</f>
        <v>72.14</v>
      </c>
      <c r="H1027">
        <f>IF('Boletins Nuppa Site'!J1027&lt;&gt;0,'Boletins Nuppa Site'!J1027,"NULL")</f>
        <v>75</v>
      </c>
      <c r="J1027" t="str">
        <f t="shared" ref="J1027:J1090" si="16">"INSERT INTO COTACAO (blt_id, pap_id, cot_prc_comum, cot_prc_min, cot_prc_max, cot_prc_med, cot_prc_mediana) VALUES ("&amp;B1027&amp;", "&amp;C1027&amp;", "&amp;D1027&amp;", "&amp;E1027&amp;", "&amp;F1027&amp;", "&amp;G1027&amp;", "&amp;H1027&amp;");"</f>
        <v>INSERT INTO COTACAO (blt_id, pap_id, cot_prc_comum, cot_prc_min, cot_prc_max, cot_prc_med, cot_prc_mediana) VALUES (27, 34, 80, 50, 90, 72.14, 75);</v>
      </c>
    </row>
    <row r="1028" spans="1:10" x14ac:dyDescent="0.3">
      <c r="A1028">
        <v>1027</v>
      </c>
      <c r="B1028">
        <v>27</v>
      </c>
      <c r="C1028">
        <v>35</v>
      </c>
      <c r="D1028" t="str">
        <f>IF('Boletins Nuppa Site'!F1028&lt;&gt;0,'Boletins Nuppa Site'!F1028,"NULL")</f>
        <v>NULL</v>
      </c>
      <c r="E1028">
        <f>IF('Boletins Nuppa Site'!G1028&lt;&gt;0,'Boletins Nuppa Site'!G1028,"NULL")</f>
        <v>85</v>
      </c>
      <c r="F1028">
        <f>IF('Boletins Nuppa Site'!H1028&lt;&gt;0,'Boletins Nuppa Site'!H1028,"NULL")</f>
        <v>190</v>
      </c>
      <c r="G1028" t="str">
        <f>IF('Boletins Nuppa Site'!I1028&lt;&gt;0,'Boletins Nuppa Site'!I1028,"NULL")</f>
        <v>143.75</v>
      </c>
      <c r="H1028">
        <f>IF('Boletins Nuppa Site'!J1028&lt;&gt;0,'Boletins Nuppa Site'!J1028,"NULL")</f>
        <v>150</v>
      </c>
      <c r="J1028" t="str">
        <f t="shared" si="16"/>
        <v>INSERT INTO COTACAO (blt_id, pap_id, cot_prc_comum, cot_prc_min, cot_prc_max, cot_prc_med, cot_prc_mediana) VALUES (27, 35, NULL, 85, 190, 143.75, 150);</v>
      </c>
    </row>
    <row r="1029" spans="1:10" x14ac:dyDescent="0.3">
      <c r="A1029">
        <v>1028</v>
      </c>
      <c r="B1029">
        <v>27</v>
      </c>
      <c r="C1029">
        <v>36</v>
      </c>
      <c r="D1029" t="str">
        <f>IF('Boletins Nuppa Site'!F1029&lt;&gt;0,'Boletins Nuppa Site'!F1029,"NULL")</f>
        <v>NULL</v>
      </c>
      <c r="E1029" t="str">
        <f>IF('Boletins Nuppa Site'!G1029&lt;&gt;0,'Boletins Nuppa Site'!G1029,"NULL")</f>
        <v>NULL</v>
      </c>
      <c r="F1029" t="str">
        <f>IF('Boletins Nuppa Site'!H1029&lt;&gt;0,'Boletins Nuppa Site'!H1029,"NULL")</f>
        <v>NULL</v>
      </c>
      <c r="G1029" t="str">
        <f>IF('Boletins Nuppa Site'!I1029&lt;&gt;0,'Boletins Nuppa Site'!I1029,"NULL")</f>
        <v>NULL</v>
      </c>
      <c r="H1029" t="str">
        <f>IF('Boletins Nuppa Site'!J1029&lt;&gt;0,'Boletins Nuppa Site'!J1029,"NULL")</f>
        <v>NULL</v>
      </c>
      <c r="J1029" t="str">
        <f t="shared" si="16"/>
        <v>INSERT INTO COTACAO (blt_id, pap_id, cot_prc_comum, cot_prc_min, cot_prc_max, cot_prc_med, cot_prc_mediana) VALUES (27, 36, NULL, NULL, NULL, NULL, NULL);</v>
      </c>
    </row>
    <row r="1030" spans="1:10" x14ac:dyDescent="0.3">
      <c r="A1030">
        <v>1029</v>
      </c>
      <c r="B1030">
        <v>27</v>
      </c>
      <c r="C1030">
        <v>37</v>
      </c>
      <c r="D1030" t="str">
        <f>IF('Boletins Nuppa Site'!F1030&lt;&gt;0,'Boletins Nuppa Site'!F1030,"NULL")</f>
        <v>NULL</v>
      </c>
      <c r="E1030" t="str">
        <f>IF('Boletins Nuppa Site'!G1030&lt;&gt;0,'Boletins Nuppa Site'!G1030,"NULL")</f>
        <v>NULL</v>
      </c>
      <c r="F1030" t="str">
        <f>IF('Boletins Nuppa Site'!H1030&lt;&gt;0,'Boletins Nuppa Site'!H1030,"NULL")</f>
        <v>NULL</v>
      </c>
      <c r="G1030" t="str">
        <f>IF('Boletins Nuppa Site'!I1030&lt;&gt;0,'Boletins Nuppa Site'!I1030,"NULL")</f>
        <v>NULL</v>
      </c>
      <c r="H1030" t="str">
        <f>IF('Boletins Nuppa Site'!J1030&lt;&gt;0,'Boletins Nuppa Site'!J1030,"NULL")</f>
        <v>NULL</v>
      </c>
      <c r="J1030" t="str">
        <f t="shared" si="16"/>
        <v>INSERT INTO COTACAO (blt_id, pap_id, cot_prc_comum, cot_prc_min, cot_prc_max, cot_prc_med, cot_prc_mediana) VALUES (27, 37, NULL, NULL, NULL, NULL, NULL);</v>
      </c>
    </row>
    <row r="1031" spans="1:10" x14ac:dyDescent="0.3">
      <c r="A1031">
        <v>1030</v>
      </c>
      <c r="B1031">
        <v>27</v>
      </c>
      <c r="C1031">
        <v>38</v>
      </c>
      <c r="D1031" t="str">
        <f>IF('Boletins Nuppa Site'!F1031&lt;&gt;0,'Boletins Nuppa Site'!F1031,"NULL")</f>
        <v>NULL</v>
      </c>
      <c r="E1031" t="str">
        <f>IF('Boletins Nuppa Site'!G1031&lt;&gt;0,'Boletins Nuppa Site'!G1031,"NULL")</f>
        <v>NULL</v>
      </c>
      <c r="F1031" t="str">
        <f>IF('Boletins Nuppa Site'!H1031&lt;&gt;0,'Boletins Nuppa Site'!H1031,"NULL")</f>
        <v>NULL</v>
      </c>
      <c r="G1031" t="str">
        <f>IF('Boletins Nuppa Site'!I1031&lt;&gt;0,'Boletins Nuppa Site'!I1031,"NULL")</f>
        <v>NULL</v>
      </c>
      <c r="H1031" t="str">
        <f>IF('Boletins Nuppa Site'!J1031&lt;&gt;0,'Boletins Nuppa Site'!J1031,"NULL")</f>
        <v>NULL</v>
      </c>
      <c r="J1031" t="str">
        <f t="shared" si="16"/>
        <v>INSERT INTO COTACAO (blt_id, pap_id, cot_prc_comum, cot_prc_min, cot_prc_max, cot_prc_med, cot_prc_mediana) VALUES (27, 38, NULL, NULL, NULL, NULL, NULL);</v>
      </c>
    </row>
    <row r="1032" spans="1:10" x14ac:dyDescent="0.3">
      <c r="A1032">
        <v>1031</v>
      </c>
      <c r="B1032">
        <v>27</v>
      </c>
      <c r="C1032">
        <v>39</v>
      </c>
      <c r="D1032" t="str">
        <f>IF('Boletins Nuppa Site'!F1032&lt;&gt;0,'Boletins Nuppa Site'!F1032,"NULL")</f>
        <v>NULL</v>
      </c>
      <c r="E1032">
        <f>IF('Boletins Nuppa Site'!G1032&lt;&gt;0,'Boletins Nuppa Site'!G1032,"NULL")</f>
        <v>65</v>
      </c>
      <c r="F1032">
        <f>IF('Boletins Nuppa Site'!H1032&lt;&gt;0,'Boletins Nuppa Site'!H1032,"NULL")</f>
        <v>65</v>
      </c>
      <c r="G1032">
        <f>IF('Boletins Nuppa Site'!I1032&lt;&gt;0,'Boletins Nuppa Site'!I1032,"NULL")</f>
        <v>65</v>
      </c>
      <c r="H1032">
        <f>IF('Boletins Nuppa Site'!J1032&lt;&gt;0,'Boletins Nuppa Site'!J1032,"NULL")</f>
        <v>65</v>
      </c>
      <c r="J1032" t="str">
        <f t="shared" si="16"/>
        <v>INSERT INTO COTACAO (blt_id, pap_id, cot_prc_comum, cot_prc_min, cot_prc_max, cot_prc_med, cot_prc_mediana) VALUES (27, 39, NULL, 65, 65, 65, 65);</v>
      </c>
    </row>
    <row r="1033" spans="1:10" x14ac:dyDescent="0.3">
      <c r="A1033">
        <v>1032</v>
      </c>
      <c r="B1033">
        <v>27</v>
      </c>
      <c r="C1033">
        <v>40</v>
      </c>
      <c r="D1033" t="str">
        <f>IF('Boletins Nuppa Site'!F1033&lt;&gt;0,'Boletins Nuppa Site'!F1033,"NULL")</f>
        <v>NULL</v>
      </c>
      <c r="E1033">
        <f>IF('Boletins Nuppa Site'!G1033&lt;&gt;0,'Boletins Nuppa Site'!G1033,"NULL")</f>
        <v>50</v>
      </c>
      <c r="F1033">
        <f>IF('Boletins Nuppa Site'!H1033&lt;&gt;0,'Boletins Nuppa Site'!H1033,"NULL")</f>
        <v>50</v>
      </c>
      <c r="G1033">
        <f>IF('Boletins Nuppa Site'!I1033&lt;&gt;0,'Boletins Nuppa Site'!I1033,"NULL")</f>
        <v>50</v>
      </c>
      <c r="H1033">
        <f>IF('Boletins Nuppa Site'!J1033&lt;&gt;0,'Boletins Nuppa Site'!J1033,"NULL")</f>
        <v>50</v>
      </c>
      <c r="J1033" t="str">
        <f t="shared" si="16"/>
        <v>INSERT INTO COTACAO (blt_id, pap_id, cot_prc_comum, cot_prc_min, cot_prc_max, cot_prc_med, cot_prc_mediana) VALUES (27, 40, NULL, 50, 50, 50, 50);</v>
      </c>
    </row>
    <row r="1034" spans="1:10" x14ac:dyDescent="0.3">
      <c r="A1034">
        <v>1033</v>
      </c>
      <c r="B1034">
        <v>28</v>
      </c>
      <c r="C1034">
        <v>1</v>
      </c>
      <c r="D1034" t="str">
        <f>IF('Boletins Nuppa Site'!F1034&lt;&gt;0,'Boletins Nuppa Site'!F1034,"NULL")</f>
        <v>NULL</v>
      </c>
      <c r="E1034">
        <f>IF('Boletins Nuppa Site'!G1034&lt;&gt;0,'Boletins Nuppa Site'!G1034,"NULL")</f>
        <v>48</v>
      </c>
      <c r="F1034">
        <f>IF('Boletins Nuppa Site'!H1034&lt;&gt;0,'Boletins Nuppa Site'!H1034,"NULL")</f>
        <v>60</v>
      </c>
      <c r="G1034">
        <f>IF('Boletins Nuppa Site'!I1034&lt;&gt;0,'Boletins Nuppa Site'!I1034,"NULL")</f>
        <v>54</v>
      </c>
      <c r="H1034">
        <f>IF('Boletins Nuppa Site'!J1034&lt;&gt;0,'Boletins Nuppa Site'!J1034,"NULL")</f>
        <v>54</v>
      </c>
      <c r="J1034" t="str">
        <f t="shared" si="16"/>
        <v>INSERT INTO COTACAO (blt_id, pap_id, cot_prc_comum, cot_prc_min, cot_prc_max, cot_prc_med, cot_prc_mediana) VALUES (28, 1, NULL, 48, 60, 54, 54);</v>
      </c>
    </row>
    <row r="1035" spans="1:10" x14ac:dyDescent="0.3">
      <c r="A1035">
        <v>1034</v>
      </c>
      <c r="B1035">
        <v>28</v>
      </c>
      <c r="C1035">
        <v>2</v>
      </c>
      <c r="D1035" t="str">
        <f>IF('Boletins Nuppa Site'!F1035&lt;&gt;0,'Boletins Nuppa Site'!F1035,"NULL")</f>
        <v>NULL</v>
      </c>
      <c r="E1035">
        <f>IF('Boletins Nuppa Site'!G1035&lt;&gt;0,'Boletins Nuppa Site'!G1035,"NULL")</f>
        <v>60</v>
      </c>
      <c r="F1035">
        <f>IF('Boletins Nuppa Site'!H1035&lt;&gt;0,'Boletins Nuppa Site'!H1035,"NULL")</f>
        <v>84</v>
      </c>
      <c r="G1035">
        <f>IF('Boletins Nuppa Site'!I1035&lt;&gt;0,'Boletins Nuppa Site'!I1035,"NULL")</f>
        <v>72</v>
      </c>
      <c r="H1035">
        <f>IF('Boletins Nuppa Site'!J1035&lt;&gt;0,'Boletins Nuppa Site'!J1035,"NULL")</f>
        <v>72</v>
      </c>
      <c r="J1035" t="str">
        <f t="shared" si="16"/>
        <v>INSERT INTO COTACAO (blt_id, pap_id, cot_prc_comum, cot_prc_min, cot_prc_max, cot_prc_med, cot_prc_mediana) VALUES (28, 2, NULL, 60, 84, 72, 72);</v>
      </c>
    </row>
    <row r="1036" spans="1:10" x14ac:dyDescent="0.3">
      <c r="A1036">
        <v>1035</v>
      </c>
      <c r="B1036">
        <v>28</v>
      </c>
      <c r="C1036">
        <v>3</v>
      </c>
      <c r="D1036" t="str">
        <f>IF('Boletins Nuppa Site'!F1036&lt;&gt;0,'Boletins Nuppa Site'!F1036,"NULL")</f>
        <v>NULL</v>
      </c>
      <c r="E1036">
        <f>IF('Boletins Nuppa Site'!G1036&lt;&gt;0,'Boletins Nuppa Site'!G1036,"NULL")</f>
        <v>30</v>
      </c>
      <c r="F1036">
        <f>IF('Boletins Nuppa Site'!H1036&lt;&gt;0,'Boletins Nuppa Site'!H1036,"NULL")</f>
        <v>36</v>
      </c>
      <c r="G1036" t="str">
        <f>IF('Boletins Nuppa Site'!I1036&lt;&gt;0,'Boletins Nuppa Site'!I1036,"NULL")</f>
        <v>33.67</v>
      </c>
      <c r="H1036">
        <f>IF('Boletins Nuppa Site'!J1036&lt;&gt;0,'Boletins Nuppa Site'!J1036,"NULL")</f>
        <v>35</v>
      </c>
      <c r="J1036" t="str">
        <f t="shared" si="16"/>
        <v>INSERT INTO COTACAO (blt_id, pap_id, cot_prc_comum, cot_prc_min, cot_prc_max, cot_prc_med, cot_prc_mediana) VALUES (28, 3, NULL, 30, 36, 33.67, 35);</v>
      </c>
    </row>
    <row r="1037" spans="1:10" x14ac:dyDescent="0.3">
      <c r="A1037">
        <v>1036</v>
      </c>
      <c r="B1037">
        <v>28</v>
      </c>
      <c r="C1037">
        <v>4</v>
      </c>
      <c r="D1037">
        <f>IF('Boletins Nuppa Site'!F1037&lt;&gt;0,'Boletins Nuppa Site'!F1037,"NULL")</f>
        <v>18</v>
      </c>
      <c r="E1037">
        <f>IF('Boletins Nuppa Site'!G1037&lt;&gt;0,'Boletins Nuppa Site'!G1037,"NULL")</f>
        <v>15</v>
      </c>
      <c r="F1037">
        <f>IF('Boletins Nuppa Site'!H1037&lt;&gt;0,'Boletins Nuppa Site'!H1037,"NULL")</f>
        <v>18</v>
      </c>
      <c r="G1037">
        <f>IF('Boletins Nuppa Site'!I1037&lt;&gt;0,'Boletins Nuppa Site'!I1037,"NULL")</f>
        <v>17</v>
      </c>
      <c r="H1037">
        <f>IF('Boletins Nuppa Site'!J1037&lt;&gt;0,'Boletins Nuppa Site'!J1037,"NULL")</f>
        <v>18</v>
      </c>
      <c r="J1037" t="str">
        <f t="shared" si="16"/>
        <v>INSERT INTO COTACAO (blt_id, pap_id, cot_prc_comum, cot_prc_min, cot_prc_max, cot_prc_med, cot_prc_mediana) VALUES (28, 4, 18, 15, 18, 17, 18);</v>
      </c>
    </row>
    <row r="1038" spans="1:10" x14ac:dyDescent="0.3">
      <c r="A1038">
        <v>1037</v>
      </c>
      <c r="B1038">
        <v>28</v>
      </c>
      <c r="C1038">
        <v>5</v>
      </c>
      <c r="D1038" t="str">
        <f>IF('Boletins Nuppa Site'!F1038&lt;&gt;0,'Boletins Nuppa Site'!F1038,"NULL")</f>
        <v>NULL</v>
      </c>
      <c r="E1038">
        <f>IF('Boletins Nuppa Site'!G1038&lt;&gt;0,'Boletins Nuppa Site'!G1038,"NULL")</f>
        <v>15</v>
      </c>
      <c r="F1038">
        <f>IF('Boletins Nuppa Site'!H1038&lt;&gt;0,'Boletins Nuppa Site'!H1038,"NULL")</f>
        <v>60</v>
      </c>
      <c r="G1038" t="str">
        <f>IF('Boletins Nuppa Site'!I1038&lt;&gt;0,'Boletins Nuppa Site'!I1038,"NULL")</f>
        <v>37.5</v>
      </c>
      <c r="H1038" t="str">
        <f>IF('Boletins Nuppa Site'!J1038&lt;&gt;0,'Boletins Nuppa Site'!J1038,"NULL")</f>
        <v>37.5</v>
      </c>
      <c r="J1038" t="str">
        <f t="shared" si="16"/>
        <v>INSERT INTO COTACAO (blt_id, pap_id, cot_prc_comum, cot_prc_min, cot_prc_max, cot_prc_med, cot_prc_mediana) VALUES (28, 5, NULL, 15, 60, 37.5, 37.5);</v>
      </c>
    </row>
    <row r="1039" spans="1:10" x14ac:dyDescent="0.3">
      <c r="A1039">
        <v>1038</v>
      </c>
      <c r="B1039">
        <v>28</v>
      </c>
      <c r="C1039">
        <v>6</v>
      </c>
      <c r="D1039">
        <f>IF('Boletins Nuppa Site'!F1039&lt;&gt;0,'Boletins Nuppa Site'!F1039,"NULL")</f>
        <v>60</v>
      </c>
      <c r="E1039">
        <f>IF('Boletins Nuppa Site'!G1039&lt;&gt;0,'Boletins Nuppa Site'!G1039,"NULL")</f>
        <v>60</v>
      </c>
      <c r="F1039">
        <f>IF('Boletins Nuppa Site'!H1039&lt;&gt;0,'Boletins Nuppa Site'!H1039,"NULL")</f>
        <v>60</v>
      </c>
      <c r="G1039">
        <f>IF('Boletins Nuppa Site'!I1039&lt;&gt;0,'Boletins Nuppa Site'!I1039,"NULL")</f>
        <v>60</v>
      </c>
      <c r="H1039">
        <f>IF('Boletins Nuppa Site'!J1039&lt;&gt;0,'Boletins Nuppa Site'!J1039,"NULL")</f>
        <v>60</v>
      </c>
      <c r="J1039" t="str">
        <f t="shared" si="16"/>
        <v>INSERT INTO COTACAO (blt_id, pap_id, cot_prc_comum, cot_prc_min, cot_prc_max, cot_prc_med, cot_prc_mediana) VALUES (28, 6, 60, 60, 60, 60, 60);</v>
      </c>
    </row>
    <row r="1040" spans="1:10" x14ac:dyDescent="0.3">
      <c r="A1040">
        <v>1039</v>
      </c>
      <c r="B1040">
        <v>28</v>
      </c>
      <c r="C1040">
        <v>7</v>
      </c>
      <c r="D1040" t="str">
        <f>IF('Boletins Nuppa Site'!F1040&lt;&gt;0,'Boletins Nuppa Site'!F1040,"NULL")</f>
        <v>NULL</v>
      </c>
      <c r="E1040">
        <f>IF('Boletins Nuppa Site'!G1040&lt;&gt;0,'Boletins Nuppa Site'!G1040,"NULL")</f>
        <v>60</v>
      </c>
      <c r="F1040">
        <f>IF('Boletins Nuppa Site'!H1040&lt;&gt;0,'Boletins Nuppa Site'!H1040,"NULL")</f>
        <v>72</v>
      </c>
      <c r="G1040">
        <f>IF('Boletins Nuppa Site'!I1040&lt;&gt;0,'Boletins Nuppa Site'!I1040,"NULL")</f>
        <v>66</v>
      </c>
      <c r="H1040">
        <f>IF('Boletins Nuppa Site'!J1040&lt;&gt;0,'Boletins Nuppa Site'!J1040,"NULL")</f>
        <v>66</v>
      </c>
      <c r="J1040" t="str">
        <f t="shared" si="16"/>
        <v>INSERT INTO COTACAO (blt_id, pap_id, cot_prc_comum, cot_prc_min, cot_prc_max, cot_prc_med, cot_prc_mediana) VALUES (28, 7, NULL, 60, 72, 66, 66);</v>
      </c>
    </row>
    <row r="1041" spans="1:10" x14ac:dyDescent="0.3">
      <c r="A1041">
        <v>1040</v>
      </c>
      <c r="B1041">
        <v>28</v>
      </c>
      <c r="C1041">
        <v>8</v>
      </c>
      <c r="D1041">
        <f>IF('Boletins Nuppa Site'!F1041&lt;&gt;0,'Boletins Nuppa Site'!F1041,"NULL")</f>
        <v>72</v>
      </c>
      <c r="E1041">
        <f>IF('Boletins Nuppa Site'!G1041&lt;&gt;0,'Boletins Nuppa Site'!G1041,"NULL")</f>
        <v>72</v>
      </c>
      <c r="F1041">
        <f>IF('Boletins Nuppa Site'!H1041&lt;&gt;0,'Boletins Nuppa Site'!H1041,"NULL")</f>
        <v>72</v>
      </c>
      <c r="G1041">
        <f>IF('Boletins Nuppa Site'!I1041&lt;&gt;0,'Boletins Nuppa Site'!I1041,"NULL")</f>
        <v>72</v>
      </c>
      <c r="H1041">
        <f>IF('Boletins Nuppa Site'!J1041&lt;&gt;0,'Boletins Nuppa Site'!J1041,"NULL")</f>
        <v>72</v>
      </c>
      <c r="J1041" t="str">
        <f t="shared" si="16"/>
        <v>INSERT INTO COTACAO (blt_id, pap_id, cot_prc_comum, cot_prc_min, cot_prc_max, cot_prc_med, cot_prc_mediana) VALUES (28, 8, 72, 72, 72, 72, 72);</v>
      </c>
    </row>
    <row r="1042" spans="1:10" x14ac:dyDescent="0.3">
      <c r="A1042">
        <v>1041</v>
      </c>
      <c r="B1042">
        <v>28</v>
      </c>
      <c r="C1042">
        <v>9</v>
      </c>
      <c r="D1042">
        <f>IF('Boletins Nuppa Site'!F1042&lt;&gt;0,'Boletins Nuppa Site'!F1042,"NULL")</f>
        <v>18</v>
      </c>
      <c r="E1042">
        <f>IF('Boletins Nuppa Site'!G1042&lt;&gt;0,'Boletins Nuppa Site'!G1042,"NULL")</f>
        <v>18</v>
      </c>
      <c r="F1042">
        <f>IF('Boletins Nuppa Site'!H1042&lt;&gt;0,'Boletins Nuppa Site'!H1042,"NULL")</f>
        <v>24</v>
      </c>
      <c r="G1042">
        <f>IF('Boletins Nuppa Site'!I1042&lt;&gt;0,'Boletins Nuppa Site'!I1042,"NULL")</f>
        <v>20</v>
      </c>
      <c r="H1042">
        <f>IF('Boletins Nuppa Site'!J1042&lt;&gt;0,'Boletins Nuppa Site'!J1042,"NULL")</f>
        <v>18</v>
      </c>
      <c r="J1042" t="str">
        <f t="shared" si="16"/>
        <v>INSERT INTO COTACAO (blt_id, pap_id, cot_prc_comum, cot_prc_min, cot_prc_max, cot_prc_med, cot_prc_mediana) VALUES (28, 9, 18, 18, 24, 20, 18);</v>
      </c>
    </row>
    <row r="1043" spans="1:10" x14ac:dyDescent="0.3">
      <c r="A1043">
        <v>1042</v>
      </c>
      <c r="B1043">
        <v>28</v>
      </c>
      <c r="C1043">
        <v>10</v>
      </c>
      <c r="D1043" t="str">
        <f>IF('Boletins Nuppa Site'!F1043&lt;&gt;0,'Boletins Nuppa Site'!F1043,"NULL")</f>
        <v>NULL</v>
      </c>
      <c r="E1043">
        <f>IF('Boletins Nuppa Site'!G1043&lt;&gt;0,'Boletins Nuppa Site'!G1043,"NULL")</f>
        <v>72</v>
      </c>
      <c r="F1043">
        <f>IF('Boletins Nuppa Site'!H1043&lt;&gt;0,'Boletins Nuppa Site'!H1043,"NULL")</f>
        <v>84</v>
      </c>
      <c r="G1043">
        <f>IF('Boletins Nuppa Site'!I1043&lt;&gt;0,'Boletins Nuppa Site'!I1043,"NULL")</f>
        <v>78</v>
      </c>
      <c r="H1043">
        <f>IF('Boletins Nuppa Site'!J1043&lt;&gt;0,'Boletins Nuppa Site'!J1043,"NULL")</f>
        <v>78</v>
      </c>
      <c r="J1043" t="str">
        <f t="shared" si="16"/>
        <v>INSERT INTO COTACAO (blt_id, pap_id, cot_prc_comum, cot_prc_min, cot_prc_max, cot_prc_med, cot_prc_mediana) VALUES (28, 10, NULL, 72, 84, 78, 78);</v>
      </c>
    </row>
    <row r="1044" spans="1:10" x14ac:dyDescent="0.3">
      <c r="A1044">
        <v>1043</v>
      </c>
      <c r="B1044">
        <v>28</v>
      </c>
      <c r="C1044">
        <v>11</v>
      </c>
      <c r="D1044" t="str">
        <f>IF('Boletins Nuppa Site'!F1044&lt;&gt;0,'Boletins Nuppa Site'!F1044,"NULL")</f>
        <v>NULL</v>
      </c>
      <c r="E1044">
        <f>IF('Boletins Nuppa Site'!G1044&lt;&gt;0,'Boletins Nuppa Site'!G1044,"NULL")</f>
        <v>15</v>
      </c>
      <c r="F1044">
        <f>IF('Boletins Nuppa Site'!H1044&lt;&gt;0,'Boletins Nuppa Site'!H1044,"NULL")</f>
        <v>24</v>
      </c>
      <c r="G1044">
        <f>IF('Boletins Nuppa Site'!I1044&lt;&gt;0,'Boletins Nuppa Site'!I1044,"NULL")</f>
        <v>19</v>
      </c>
      <c r="H1044">
        <f>IF('Boletins Nuppa Site'!J1044&lt;&gt;0,'Boletins Nuppa Site'!J1044,"NULL")</f>
        <v>18</v>
      </c>
      <c r="J1044" t="str">
        <f t="shared" si="16"/>
        <v>INSERT INTO COTACAO (blt_id, pap_id, cot_prc_comum, cot_prc_min, cot_prc_max, cot_prc_med, cot_prc_mediana) VALUES (28, 11, NULL, 15, 24, 19, 18);</v>
      </c>
    </row>
    <row r="1045" spans="1:10" x14ac:dyDescent="0.3">
      <c r="A1045">
        <v>1044</v>
      </c>
      <c r="B1045">
        <v>28</v>
      </c>
      <c r="C1045">
        <v>12</v>
      </c>
      <c r="D1045" t="str">
        <f>IF('Boletins Nuppa Site'!F1045&lt;&gt;0,'Boletins Nuppa Site'!F1045,"NULL")</f>
        <v>NULL</v>
      </c>
      <c r="E1045">
        <f>IF('Boletins Nuppa Site'!G1045&lt;&gt;0,'Boletins Nuppa Site'!G1045,"NULL")</f>
        <v>48</v>
      </c>
      <c r="F1045">
        <f>IF('Boletins Nuppa Site'!H1045&lt;&gt;0,'Boletins Nuppa Site'!H1045,"NULL")</f>
        <v>72</v>
      </c>
      <c r="G1045">
        <f>IF('Boletins Nuppa Site'!I1045&lt;&gt;0,'Boletins Nuppa Site'!I1045,"NULL")</f>
        <v>60</v>
      </c>
      <c r="H1045">
        <f>IF('Boletins Nuppa Site'!J1045&lt;&gt;0,'Boletins Nuppa Site'!J1045,"NULL")</f>
        <v>60</v>
      </c>
      <c r="J1045" t="str">
        <f t="shared" si="16"/>
        <v>INSERT INTO COTACAO (blt_id, pap_id, cot_prc_comum, cot_prc_min, cot_prc_max, cot_prc_med, cot_prc_mediana) VALUES (28, 12, NULL, 48, 72, 60, 60);</v>
      </c>
    </row>
    <row r="1046" spans="1:10" x14ac:dyDescent="0.3">
      <c r="A1046">
        <v>1045</v>
      </c>
      <c r="B1046">
        <v>28</v>
      </c>
      <c r="C1046">
        <v>13</v>
      </c>
      <c r="D1046">
        <f>IF('Boletins Nuppa Site'!F1046&lt;&gt;0,'Boletins Nuppa Site'!F1046,"NULL")</f>
        <v>60</v>
      </c>
      <c r="E1046">
        <f>IF('Boletins Nuppa Site'!G1046&lt;&gt;0,'Boletins Nuppa Site'!G1046,"NULL")</f>
        <v>48</v>
      </c>
      <c r="F1046">
        <f>IF('Boletins Nuppa Site'!H1046&lt;&gt;0,'Boletins Nuppa Site'!H1046,"NULL")</f>
        <v>60</v>
      </c>
      <c r="G1046">
        <f>IF('Boletins Nuppa Site'!I1046&lt;&gt;0,'Boletins Nuppa Site'!I1046,"NULL")</f>
        <v>56</v>
      </c>
      <c r="H1046">
        <f>IF('Boletins Nuppa Site'!J1046&lt;&gt;0,'Boletins Nuppa Site'!J1046,"NULL")</f>
        <v>60</v>
      </c>
      <c r="J1046" t="str">
        <f t="shared" si="16"/>
        <v>INSERT INTO COTACAO (blt_id, pap_id, cot_prc_comum, cot_prc_min, cot_prc_max, cot_prc_med, cot_prc_mediana) VALUES (28, 13, 60, 48, 60, 56, 60);</v>
      </c>
    </row>
    <row r="1047" spans="1:10" x14ac:dyDescent="0.3">
      <c r="A1047">
        <v>1046</v>
      </c>
      <c r="B1047">
        <v>28</v>
      </c>
      <c r="C1047">
        <v>14</v>
      </c>
      <c r="D1047" t="str">
        <f>IF('Boletins Nuppa Site'!F1047&lt;&gt;0,'Boletins Nuppa Site'!F1047,"NULL")</f>
        <v>NULL</v>
      </c>
      <c r="E1047">
        <f>IF('Boletins Nuppa Site'!G1047&lt;&gt;0,'Boletins Nuppa Site'!G1047,"NULL")</f>
        <v>45</v>
      </c>
      <c r="F1047">
        <f>IF('Boletins Nuppa Site'!H1047&lt;&gt;0,'Boletins Nuppa Site'!H1047,"NULL")</f>
        <v>60</v>
      </c>
      <c r="G1047" t="str">
        <f>IF('Boletins Nuppa Site'!I1047&lt;&gt;0,'Boletins Nuppa Site'!I1047,"NULL")</f>
        <v>52.5</v>
      </c>
      <c r="H1047" t="str">
        <f>IF('Boletins Nuppa Site'!J1047&lt;&gt;0,'Boletins Nuppa Site'!J1047,"NULL")</f>
        <v>52.5</v>
      </c>
      <c r="J1047" t="str">
        <f t="shared" si="16"/>
        <v>INSERT INTO COTACAO (blt_id, pap_id, cot_prc_comum, cot_prc_min, cot_prc_max, cot_prc_med, cot_prc_mediana) VALUES (28, 14, NULL, 45, 60, 52.5, 52.5);</v>
      </c>
    </row>
    <row r="1048" spans="1:10" x14ac:dyDescent="0.3">
      <c r="A1048">
        <v>1047</v>
      </c>
      <c r="B1048">
        <v>28</v>
      </c>
      <c r="C1048">
        <v>15</v>
      </c>
      <c r="D1048" t="str">
        <f>IF('Boletins Nuppa Site'!F1048&lt;&gt;0,'Boletins Nuppa Site'!F1048,"NULL")</f>
        <v>NULL</v>
      </c>
      <c r="E1048">
        <f>IF('Boletins Nuppa Site'!G1048&lt;&gt;0,'Boletins Nuppa Site'!G1048,"NULL")</f>
        <v>36</v>
      </c>
      <c r="F1048">
        <f>IF('Boletins Nuppa Site'!H1048&lt;&gt;0,'Boletins Nuppa Site'!H1048,"NULL")</f>
        <v>40</v>
      </c>
      <c r="G1048">
        <f>IF('Boletins Nuppa Site'!I1048&lt;&gt;0,'Boletins Nuppa Site'!I1048,"NULL")</f>
        <v>38</v>
      </c>
      <c r="H1048">
        <f>IF('Boletins Nuppa Site'!J1048&lt;&gt;0,'Boletins Nuppa Site'!J1048,"NULL")</f>
        <v>38</v>
      </c>
      <c r="J1048" t="str">
        <f t="shared" si="16"/>
        <v>INSERT INTO COTACAO (blt_id, pap_id, cot_prc_comum, cot_prc_min, cot_prc_max, cot_prc_med, cot_prc_mediana) VALUES (28, 15, NULL, 36, 40, 38, 38);</v>
      </c>
    </row>
    <row r="1049" spans="1:10" x14ac:dyDescent="0.3">
      <c r="A1049">
        <v>1048</v>
      </c>
      <c r="B1049">
        <v>28</v>
      </c>
      <c r="C1049">
        <v>16</v>
      </c>
      <c r="D1049" t="str">
        <f>IF('Boletins Nuppa Site'!F1049&lt;&gt;0,'Boletins Nuppa Site'!F1049,"NULL")</f>
        <v>NULL</v>
      </c>
      <c r="E1049">
        <f>IF('Boletins Nuppa Site'!G1049&lt;&gt;0,'Boletins Nuppa Site'!G1049,"NULL")</f>
        <v>42</v>
      </c>
      <c r="F1049">
        <f>IF('Boletins Nuppa Site'!H1049&lt;&gt;0,'Boletins Nuppa Site'!H1049,"NULL")</f>
        <v>54</v>
      </c>
      <c r="G1049">
        <f>IF('Boletins Nuppa Site'!I1049&lt;&gt;0,'Boletins Nuppa Site'!I1049,"NULL")</f>
        <v>48</v>
      </c>
      <c r="H1049">
        <f>IF('Boletins Nuppa Site'!J1049&lt;&gt;0,'Boletins Nuppa Site'!J1049,"NULL")</f>
        <v>48</v>
      </c>
      <c r="J1049" t="str">
        <f t="shared" si="16"/>
        <v>INSERT INTO COTACAO (blt_id, pap_id, cot_prc_comum, cot_prc_min, cot_prc_max, cot_prc_med, cot_prc_mediana) VALUES (28, 16, NULL, 42, 54, 48, 48);</v>
      </c>
    </row>
    <row r="1050" spans="1:10" x14ac:dyDescent="0.3">
      <c r="A1050">
        <v>1049</v>
      </c>
      <c r="B1050">
        <v>28</v>
      </c>
      <c r="C1050">
        <v>17</v>
      </c>
      <c r="D1050">
        <f>IF('Boletins Nuppa Site'!F1050&lt;&gt;0,'Boletins Nuppa Site'!F1050,"NULL")</f>
        <v>5</v>
      </c>
      <c r="E1050">
        <f>IF('Boletins Nuppa Site'!G1050&lt;&gt;0,'Boletins Nuppa Site'!G1050,"NULL")</f>
        <v>5</v>
      </c>
      <c r="F1050">
        <f>IF('Boletins Nuppa Site'!H1050&lt;&gt;0,'Boletins Nuppa Site'!H1050,"NULL")</f>
        <v>5</v>
      </c>
      <c r="G1050">
        <f>IF('Boletins Nuppa Site'!I1050&lt;&gt;0,'Boletins Nuppa Site'!I1050,"NULL")</f>
        <v>5</v>
      </c>
      <c r="H1050">
        <f>IF('Boletins Nuppa Site'!J1050&lt;&gt;0,'Boletins Nuppa Site'!J1050,"NULL")</f>
        <v>5</v>
      </c>
      <c r="J1050" t="str">
        <f t="shared" si="16"/>
        <v>INSERT INTO COTACAO (blt_id, pap_id, cot_prc_comum, cot_prc_min, cot_prc_max, cot_prc_med, cot_prc_mediana) VALUES (28, 17, 5, 5, 5, 5, 5);</v>
      </c>
    </row>
    <row r="1051" spans="1:10" x14ac:dyDescent="0.3">
      <c r="A1051">
        <v>1050</v>
      </c>
      <c r="B1051">
        <v>28</v>
      </c>
      <c r="C1051">
        <v>18</v>
      </c>
      <c r="D1051">
        <f>IF('Boletins Nuppa Site'!F1051&lt;&gt;0,'Boletins Nuppa Site'!F1051,"NULL")</f>
        <v>12</v>
      </c>
      <c r="E1051">
        <f>IF('Boletins Nuppa Site'!G1051&lt;&gt;0,'Boletins Nuppa Site'!G1051,"NULL")</f>
        <v>10</v>
      </c>
      <c r="F1051">
        <f>IF('Boletins Nuppa Site'!H1051&lt;&gt;0,'Boletins Nuppa Site'!H1051,"NULL")</f>
        <v>12</v>
      </c>
      <c r="G1051" t="str">
        <f>IF('Boletins Nuppa Site'!I1051&lt;&gt;0,'Boletins Nuppa Site'!I1051,"NULL")</f>
        <v>11.33</v>
      </c>
      <c r="H1051">
        <f>IF('Boletins Nuppa Site'!J1051&lt;&gt;0,'Boletins Nuppa Site'!J1051,"NULL")</f>
        <v>12</v>
      </c>
      <c r="J1051" t="str">
        <f t="shared" si="16"/>
        <v>INSERT INTO COTACAO (blt_id, pap_id, cot_prc_comum, cot_prc_min, cot_prc_max, cot_prc_med, cot_prc_mediana) VALUES (28, 18, 12, 10, 12, 11.33, 12);</v>
      </c>
    </row>
    <row r="1052" spans="1:10" x14ac:dyDescent="0.3">
      <c r="A1052">
        <v>1051</v>
      </c>
      <c r="B1052">
        <v>28</v>
      </c>
      <c r="C1052">
        <v>19</v>
      </c>
      <c r="D1052" t="str">
        <f>IF('Boletins Nuppa Site'!F1052&lt;&gt;0,'Boletins Nuppa Site'!F1052,"NULL")</f>
        <v>NULL</v>
      </c>
      <c r="E1052">
        <f>IF('Boletins Nuppa Site'!G1052&lt;&gt;0,'Boletins Nuppa Site'!G1052,"NULL")</f>
        <v>15</v>
      </c>
      <c r="F1052">
        <f>IF('Boletins Nuppa Site'!H1052&lt;&gt;0,'Boletins Nuppa Site'!H1052,"NULL")</f>
        <v>30</v>
      </c>
      <c r="G1052" t="str">
        <f>IF('Boletins Nuppa Site'!I1052&lt;&gt;0,'Boletins Nuppa Site'!I1052,"NULL")</f>
        <v>21.67</v>
      </c>
      <c r="H1052">
        <f>IF('Boletins Nuppa Site'!J1052&lt;&gt;0,'Boletins Nuppa Site'!J1052,"NULL")</f>
        <v>20</v>
      </c>
      <c r="J1052" t="str">
        <f t="shared" si="16"/>
        <v>INSERT INTO COTACAO (blt_id, pap_id, cot_prc_comum, cot_prc_min, cot_prc_max, cot_prc_med, cot_prc_mediana) VALUES (28, 19, NULL, 15, 30, 21.67, 20);</v>
      </c>
    </row>
    <row r="1053" spans="1:10" x14ac:dyDescent="0.3">
      <c r="A1053">
        <v>1052</v>
      </c>
      <c r="B1053">
        <v>28</v>
      </c>
      <c r="C1053">
        <v>20</v>
      </c>
      <c r="D1053" t="str">
        <f>IF('Boletins Nuppa Site'!F1053&lt;&gt;0,'Boletins Nuppa Site'!F1053,"NULL")</f>
        <v>NULL</v>
      </c>
      <c r="E1053">
        <f>IF('Boletins Nuppa Site'!G1053&lt;&gt;0,'Boletins Nuppa Site'!G1053,"NULL")</f>
        <v>75</v>
      </c>
      <c r="F1053">
        <f>IF('Boletins Nuppa Site'!H1053&lt;&gt;0,'Boletins Nuppa Site'!H1053,"NULL")</f>
        <v>80</v>
      </c>
      <c r="G1053" t="str">
        <f>IF('Boletins Nuppa Site'!I1053&lt;&gt;0,'Boletins Nuppa Site'!I1053,"NULL")</f>
        <v>77.5</v>
      </c>
      <c r="H1053" t="str">
        <f>IF('Boletins Nuppa Site'!J1053&lt;&gt;0,'Boletins Nuppa Site'!J1053,"NULL")</f>
        <v>77.5</v>
      </c>
      <c r="J1053" t="str">
        <f t="shared" si="16"/>
        <v>INSERT INTO COTACAO (blt_id, pap_id, cot_prc_comum, cot_prc_min, cot_prc_max, cot_prc_med, cot_prc_mediana) VALUES (28, 20, NULL, 75, 80, 77.5, 77.5);</v>
      </c>
    </row>
    <row r="1054" spans="1:10" x14ac:dyDescent="0.3">
      <c r="A1054">
        <v>1053</v>
      </c>
      <c r="B1054">
        <v>28</v>
      </c>
      <c r="C1054">
        <v>21</v>
      </c>
      <c r="D1054">
        <f>IF('Boletins Nuppa Site'!F1054&lt;&gt;0,'Boletins Nuppa Site'!F1054,"NULL")</f>
        <v>50</v>
      </c>
      <c r="E1054">
        <f>IF('Boletins Nuppa Site'!G1054&lt;&gt;0,'Boletins Nuppa Site'!G1054,"NULL")</f>
        <v>40</v>
      </c>
      <c r="F1054">
        <f>IF('Boletins Nuppa Site'!H1054&lt;&gt;0,'Boletins Nuppa Site'!H1054,"NULL")</f>
        <v>60</v>
      </c>
      <c r="G1054">
        <f>IF('Boletins Nuppa Site'!I1054&lt;&gt;0,'Boletins Nuppa Site'!I1054,"NULL")</f>
        <v>51</v>
      </c>
      <c r="H1054">
        <f>IF('Boletins Nuppa Site'!J1054&lt;&gt;0,'Boletins Nuppa Site'!J1054,"NULL")</f>
        <v>50</v>
      </c>
      <c r="J1054" t="str">
        <f t="shared" si="16"/>
        <v>INSERT INTO COTACAO (blt_id, pap_id, cot_prc_comum, cot_prc_min, cot_prc_max, cot_prc_med, cot_prc_mediana) VALUES (28, 21, 50, 40, 60, 51, 50);</v>
      </c>
    </row>
    <row r="1055" spans="1:10" x14ac:dyDescent="0.3">
      <c r="A1055">
        <v>1054</v>
      </c>
      <c r="B1055">
        <v>28</v>
      </c>
      <c r="C1055">
        <v>22</v>
      </c>
      <c r="D1055">
        <f>IF('Boletins Nuppa Site'!F1055&lt;&gt;0,'Boletins Nuppa Site'!F1055,"NULL")</f>
        <v>70</v>
      </c>
      <c r="E1055">
        <f>IF('Boletins Nuppa Site'!G1055&lt;&gt;0,'Boletins Nuppa Site'!G1055,"NULL")</f>
        <v>40</v>
      </c>
      <c r="F1055">
        <f>IF('Boletins Nuppa Site'!H1055&lt;&gt;0,'Boletins Nuppa Site'!H1055,"NULL")</f>
        <v>70</v>
      </c>
      <c r="G1055">
        <f>IF('Boletins Nuppa Site'!I1055&lt;&gt;0,'Boletins Nuppa Site'!I1055,"NULL")</f>
        <v>55</v>
      </c>
      <c r="H1055">
        <f>IF('Boletins Nuppa Site'!J1055&lt;&gt;0,'Boletins Nuppa Site'!J1055,"NULL")</f>
        <v>50</v>
      </c>
      <c r="J1055" t="str">
        <f t="shared" si="16"/>
        <v>INSERT INTO COTACAO (blt_id, pap_id, cot_prc_comum, cot_prc_min, cot_prc_max, cot_prc_med, cot_prc_mediana) VALUES (28, 22, 70, 40, 70, 55, 50);</v>
      </c>
    </row>
    <row r="1056" spans="1:10" x14ac:dyDescent="0.3">
      <c r="A1056">
        <v>1055</v>
      </c>
      <c r="B1056">
        <v>28</v>
      </c>
      <c r="C1056">
        <v>23</v>
      </c>
      <c r="D1056">
        <f>IF('Boletins Nuppa Site'!F1056&lt;&gt;0,'Boletins Nuppa Site'!F1056,"NULL")</f>
        <v>50</v>
      </c>
      <c r="E1056">
        <f>IF('Boletins Nuppa Site'!G1056&lt;&gt;0,'Boletins Nuppa Site'!G1056,"NULL")</f>
        <v>35</v>
      </c>
      <c r="F1056">
        <f>IF('Boletins Nuppa Site'!H1056&lt;&gt;0,'Boletins Nuppa Site'!H1056,"NULL")</f>
        <v>50</v>
      </c>
      <c r="G1056">
        <f>IF('Boletins Nuppa Site'!I1056&lt;&gt;0,'Boletins Nuppa Site'!I1056,"NULL")</f>
        <v>44</v>
      </c>
      <c r="H1056">
        <f>IF('Boletins Nuppa Site'!J1056&lt;&gt;0,'Boletins Nuppa Site'!J1056,"NULL")</f>
        <v>45</v>
      </c>
      <c r="J1056" t="str">
        <f t="shared" si="16"/>
        <v>INSERT INTO COTACAO (blt_id, pap_id, cot_prc_comum, cot_prc_min, cot_prc_max, cot_prc_med, cot_prc_mediana) VALUES (28, 23, 50, 35, 50, 44, 45);</v>
      </c>
    </row>
    <row r="1057" spans="1:10" x14ac:dyDescent="0.3">
      <c r="A1057">
        <v>1056</v>
      </c>
      <c r="B1057">
        <v>28</v>
      </c>
      <c r="C1057">
        <v>24</v>
      </c>
      <c r="D1057" t="str">
        <f>IF('Boletins Nuppa Site'!F1057&lt;&gt;0,'Boletins Nuppa Site'!F1057,"NULL")</f>
        <v>NULL</v>
      </c>
      <c r="E1057">
        <f>IF('Boletins Nuppa Site'!G1057&lt;&gt;0,'Boletins Nuppa Site'!G1057,"NULL")</f>
        <v>90</v>
      </c>
      <c r="F1057">
        <f>IF('Boletins Nuppa Site'!H1057&lt;&gt;0,'Boletins Nuppa Site'!H1057,"NULL")</f>
        <v>100</v>
      </c>
      <c r="G1057">
        <f>IF('Boletins Nuppa Site'!I1057&lt;&gt;0,'Boletins Nuppa Site'!I1057,"NULL")</f>
        <v>95</v>
      </c>
      <c r="H1057">
        <f>IF('Boletins Nuppa Site'!J1057&lt;&gt;0,'Boletins Nuppa Site'!J1057,"NULL")</f>
        <v>95</v>
      </c>
      <c r="J1057" t="str">
        <f t="shared" si="16"/>
        <v>INSERT INTO COTACAO (blt_id, pap_id, cot_prc_comum, cot_prc_min, cot_prc_max, cot_prc_med, cot_prc_mediana) VALUES (28, 24, NULL, 90, 100, 95, 95);</v>
      </c>
    </row>
    <row r="1058" spans="1:10" x14ac:dyDescent="0.3">
      <c r="A1058">
        <v>1057</v>
      </c>
      <c r="B1058">
        <v>28</v>
      </c>
      <c r="C1058">
        <v>25</v>
      </c>
      <c r="D1058">
        <f>IF('Boletins Nuppa Site'!F1058&lt;&gt;0,'Boletins Nuppa Site'!F1058,"NULL")</f>
        <v>60</v>
      </c>
      <c r="E1058">
        <f>IF('Boletins Nuppa Site'!G1058&lt;&gt;0,'Boletins Nuppa Site'!G1058,"NULL")</f>
        <v>57</v>
      </c>
      <c r="F1058">
        <f>IF('Boletins Nuppa Site'!H1058&lt;&gt;0,'Boletins Nuppa Site'!H1058,"NULL")</f>
        <v>60</v>
      </c>
      <c r="G1058" t="str">
        <f>IF('Boletins Nuppa Site'!I1058&lt;&gt;0,'Boletins Nuppa Site'!I1058,"NULL")</f>
        <v>59.4</v>
      </c>
      <c r="H1058">
        <f>IF('Boletins Nuppa Site'!J1058&lt;&gt;0,'Boletins Nuppa Site'!J1058,"NULL")</f>
        <v>60</v>
      </c>
      <c r="J1058" t="str">
        <f t="shared" si="16"/>
        <v>INSERT INTO COTACAO (blt_id, pap_id, cot_prc_comum, cot_prc_min, cot_prc_max, cot_prc_med, cot_prc_mediana) VALUES (28, 25, 60, 57, 60, 59.4, 60);</v>
      </c>
    </row>
    <row r="1059" spans="1:10" x14ac:dyDescent="0.3">
      <c r="A1059">
        <v>1058</v>
      </c>
      <c r="B1059">
        <v>28</v>
      </c>
      <c r="C1059">
        <v>26</v>
      </c>
      <c r="D1059">
        <f>IF('Boletins Nuppa Site'!F1059&lt;&gt;0,'Boletins Nuppa Site'!F1059,"NULL")</f>
        <v>60</v>
      </c>
      <c r="E1059">
        <f>IF('Boletins Nuppa Site'!G1059&lt;&gt;0,'Boletins Nuppa Site'!G1059,"NULL")</f>
        <v>40</v>
      </c>
      <c r="F1059">
        <f>IF('Boletins Nuppa Site'!H1059&lt;&gt;0,'Boletins Nuppa Site'!H1059,"NULL")</f>
        <v>60</v>
      </c>
      <c r="G1059">
        <f>IF('Boletins Nuppa Site'!I1059&lt;&gt;0,'Boletins Nuppa Site'!I1059,"NULL")</f>
        <v>55</v>
      </c>
      <c r="H1059">
        <f>IF('Boletins Nuppa Site'!J1059&lt;&gt;0,'Boletins Nuppa Site'!J1059,"NULL")</f>
        <v>60</v>
      </c>
      <c r="J1059" t="str">
        <f t="shared" si="16"/>
        <v>INSERT INTO COTACAO (blt_id, pap_id, cot_prc_comum, cot_prc_min, cot_prc_max, cot_prc_med, cot_prc_mediana) VALUES (28, 26, 60, 40, 60, 55, 60);</v>
      </c>
    </row>
    <row r="1060" spans="1:10" x14ac:dyDescent="0.3">
      <c r="A1060">
        <v>1059</v>
      </c>
      <c r="B1060">
        <v>28</v>
      </c>
      <c r="C1060">
        <v>27</v>
      </c>
      <c r="D1060">
        <f>IF('Boletins Nuppa Site'!F1060&lt;&gt;0,'Boletins Nuppa Site'!F1060,"NULL")</f>
        <v>45</v>
      </c>
      <c r="E1060">
        <f>IF('Boletins Nuppa Site'!G1060&lt;&gt;0,'Boletins Nuppa Site'!G1060,"NULL")</f>
        <v>45</v>
      </c>
      <c r="F1060">
        <f>IF('Boletins Nuppa Site'!H1060&lt;&gt;0,'Boletins Nuppa Site'!H1060,"NULL")</f>
        <v>75</v>
      </c>
      <c r="G1060">
        <f>IF('Boletins Nuppa Site'!I1060&lt;&gt;0,'Boletins Nuppa Site'!I1060,"NULL")</f>
        <v>57</v>
      </c>
      <c r="H1060">
        <f>IF('Boletins Nuppa Site'!J1060&lt;&gt;0,'Boletins Nuppa Site'!J1060,"NULL")</f>
        <v>60</v>
      </c>
      <c r="J1060" t="str">
        <f t="shared" si="16"/>
        <v>INSERT INTO COTACAO (blt_id, pap_id, cot_prc_comum, cot_prc_min, cot_prc_max, cot_prc_med, cot_prc_mediana) VALUES (28, 27, 45, 45, 75, 57, 60);</v>
      </c>
    </row>
    <row r="1061" spans="1:10" x14ac:dyDescent="0.3">
      <c r="A1061">
        <v>1060</v>
      </c>
      <c r="B1061">
        <v>28</v>
      </c>
      <c r="C1061">
        <v>28</v>
      </c>
      <c r="D1061" t="str">
        <f>IF('Boletins Nuppa Site'!F1061&lt;&gt;0,'Boletins Nuppa Site'!F1061,"NULL")</f>
        <v>NULL</v>
      </c>
      <c r="E1061">
        <f>IF('Boletins Nuppa Site'!G1061&lt;&gt;0,'Boletins Nuppa Site'!G1061,"NULL")</f>
        <v>70</v>
      </c>
      <c r="F1061">
        <f>IF('Boletins Nuppa Site'!H1061&lt;&gt;0,'Boletins Nuppa Site'!H1061,"NULL")</f>
        <v>100</v>
      </c>
      <c r="G1061">
        <f>IF('Boletins Nuppa Site'!I1061&lt;&gt;0,'Boletins Nuppa Site'!I1061,"NULL")</f>
        <v>85</v>
      </c>
      <c r="H1061">
        <f>IF('Boletins Nuppa Site'!J1061&lt;&gt;0,'Boletins Nuppa Site'!J1061,"NULL")</f>
        <v>85</v>
      </c>
      <c r="J1061" t="str">
        <f t="shared" si="16"/>
        <v>INSERT INTO COTACAO (blt_id, pap_id, cot_prc_comum, cot_prc_min, cot_prc_max, cot_prc_med, cot_prc_mediana) VALUES (28, 28, NULL, 70, 100, 85, 85);</v>
      </c>
    </row>
    <row r="1062" spans="1:10" x14ac:dyDescent="0.3">
      <c r="A1062">
        <v>1061</v>
      </c>
      <c r="B1062">
        <v>28</v>
      </c>
      <c r="C1062">
        <v>29</v>
      </c>
      <c r="D1062" t="str">
        <f>IF('Boletins Nuppa Site'!F1062&lt;&gt;0,'Boletins Nuppa Site'!F1062,"NULL")</f>
        <v>NULL</v>
      </c>
      <c r="E1062">
        <f>IF('Boletins Nuppa Site'!G1062&lt;&gt;0,'Boletins Nuppa Site'!G1062,"NULL")</f>
        <v>60</v>
      </c>
      <c r="F1062">
        <f>IF('Boletins Nuppa Site'!H1062&lt;&gt;0,'Boletins Nuppa Site'!H1062,"NULL")</f>
        <v>65</v>
      </c>
      <c r="G1062" t="str">
        <f>IF('Boletins Nuppa Site'!I1062&lt;&gt;0,'Boletins Nuppa Site'!I1062,"NULL")</f>
        <v>62.5</v>
      </c>
      <c r="H1062" t="str">
        <f>IF('Boletins Nuppa Site'!J1062&lt;&gt;0,'Boletins Nuppa Site'!J1062,"NULL")</f>
        <v>62.5</v>
      </c>
      <c r="J1062" t="str">
        <f t="shared" si="16"/>
        <v>INSERT INTO COTACAO (blt_id, pap_id, cot_prc_comum, cot_prc_min, cot_prc_max, cot_prc_med, cot_prc_mediana) VALUES (28, 29, NULL, 60, 65, 62.5, 62.5);</v>
      </c>
    </row>
    <row r="1063" spans="1:10" x14ac:dyDescent="0.3">
      <c r="A1063">
        <v>1062</v>
      </c>
      <c r="B1063">
        <v>28</v>
      </c>
      <c r="C1063">
        <v>30</v>
      </c>
      <c r="D1063">
        <f>IF('Boletins Nuppa Site'!F1063&lt;&gt;0,'Boletins Nuppa Site'!F1063,"NULL")</f>
        <v>50</v>
      </c>
      <c r="E1063">
        <f>IF('Boletins Nuppa Site'!G1063&lt;&gt;0,'Boletins Nuppa Site'!G1063,"NULL")</f>
        <v>50</v>
      </c>
      <c r="F1063">
        <f>IF('Boletins Nuppa Site'!H1063&lt;&gt;0,'Boletins Nuppa Site'!H1063,"NULL")</f>
        <v>60</v>
      </c>
      <c r="G1063" t="str">
        <f>IF('Boletins Nuppa Site'!I1063&lt;&gt;0,'Boletins Nuppa Site'!I1063,"NULL")</f>
        <v>53.75</v>
      </c>
      <c r="H1063" t="str">
        <f>IF('Boletins Nuppa Site'!J1063&lt;&gt;0,'Boletins Nuppa Site'!J1063,"NULL")</f>
        <v>52.5</v>
      </c>
      <c r="J1063" t="str">
        <f t="shared" si="16"/>
        <v>INSERT INTO COTACAO (blt_id, pap_id, cot_prc_comum, cot_prc_min, cot_prc_max, cot_prc_med, cot_prc_mediana) VALUES (28, 30, 50, 50, 60, 53.75, 52.5);</v>
      </c>
    </row>
    <row r="1064" spans="1:10" x14ac:dyDescent="0.3">
      <c r="A1064">
        <v>1063</v>
      </c>
      <c r="B1064">
        <v>28</v>
      </c>
      <c r="C1064">
        <v>31</v>
      </c>
      <c r="D1064">
        <f>IF('Boletins Nuppa Site'!F1064&lt;&gt;0,'Boletins Nuppa Site'!F1064,"NULL")</f>
        <v>80</v>
      </c>
      <c r="E1064">
        <f>IF('Boletins Nuppa Site'!G1064&lt;&gt;0,'Boletins Nuppa Site'!G1064,"NULL")</f>
        <v>70</v>
      </c>
      <c r="F1064">
        <f>IF('Boletins Nuppa Site'!H1064&lt;&gt;0,'Boletins Nuppa Site'!H1064,"NULL")</f>
        <v>80</v>
      </c>
      <c r="G1064">
        <f>IF('Boletins Nuppa Site'!I1064&lt;&gt;0,'Boletins Nuppa Site'!I1064,"NULL")</f>
        <v>77</v>
      </c>
      <c r="H1064">
        <f>IF('Boletins Nuppa Site'!J1064&lt;&gt;0,'Boletins Nuppa Site'!J1064,"NULL")</f>
        <v>80</v>
      </c>
      <c r="J1064" t="str">
        <f t="shared" si="16"/>
        <v>INSERT INTO COTACAO (blt_id, pap_id, cot_prc_comum, cot_prc_min, cot_prc_max, cot_prc_med, cot_prc_mediana) VALUES (28, 31, 80, 70, 80, 77, 80);</v>
      </c>
    </row>
    <row r="1065" spans="1:10" x14ac:dyDescent="0.3">
      <c r="A1065">
        <v>1064</v>
      </c>
      <c r="B1065">
        <v>28</v>
      </c>
      <c r="C1065">
        <v>32</v>
      </c>
      <c r="D1065">
        <f>IF('Boletins Nuppa Site'!F1065&lt;&gt;0,'Boletins Nuppa Site'!F1065,"NULL")</f>
        <v>50</v>
      </c>
      <c r="E1065">
        <f>IF('Boletins Nuppa Site'!G1065&lt;&gt;0,'Boletins Nuppa Site'!G1065,"NULL")</f>
        <v>45</v>
      </c>
      <c r="F1065">
        <f>IF('Boletins Nuppa Site'!H1065&lt;&gt;0,'Boletins Nuppa Site'!H1065,"NULL")</f>
        <v>70</v>
      </c>
      <c r="G1065">
        <f>IF('Boletins Nuppa Site'!I1065&lt;&gt;0,'Boletins Nuppa Site'!I1065,"NULL")</f>
        <v>54</v>
      </c>
      <c r="H1065">
        <f>IF('Boletins Nuppa Site'!J1065&lt;&gt;0,'Boletins Nuppa Site'!J1065,"NULL")</f>
        <v>50</v>
      </c>
      <c r="J1065" t="str">
        <f t="shared" si="16"/>
        <v>INSERT INTO COTACAO (blt_id, pap_id, cot_prc_comum, cot_prc_min, cot_prc_max, cot_prc_med, cot_prc_mediana) VALUES (28, 32, 50, 45, 70, 54, 50);</v>
      </c>
    </row>
    <row r="1066" spans="1:10" x14ac:dyDescent="0.3">
      <c r="A1066">
        <v>1065</v>
      </c>
      <c r="B1066">
        <v>28</v>
      </c>
      <c r="C1066">
        <v>33</v>
      </c>
      <c r="D1066">
        <f>IF('Boletins Nuppa Site'!F1066&lt;&gt;0,'Boletins Nuppa Site'!F1066,"NULL")</f>
        <v>110</v>
      </c>
      <c r="E1066">
        <f>IF('Boletins Nuppa Site'!G1066&lt;&gt;0,'Boletins Nuppa Site'!G1066,"NULL")</f>
        <v>100</v>
      </c>
      <c r="F1066">
        <f>IF('Boletins Nuppa Site'!H1066&lt;&gt;0,'Boletins Nuppa Site'!H1066,"NULL")</f>
        <v>155</v>
      </c>
      <c r="G1066" t="str">
        <f>IF('Boletins Nuppa Site'!I1066&lt;&gt;0,'Boletins Nuppa Site'!I1066,"NULL")</f>
        <v>118.75</v>
      </c>
      <c r="H1066">
        <f>IF('Boletins Nuppa Site'!J1066&lt;&gt;0,'Boletins Nuppa Site'!J1066,"NULL")</f>
        <v>110</v>
      </c>
      <c r="J1066" t="str">
        <f t="shared" si="16"/>
        <v>INSERT INTO COTACAO (blt_id, pap_id, cot_prc_comum, cot_prc_min, cot_prc_max, cot_prc_med, cot_prc_mediana) VALUES (28, 33, 110, 100, 155, 118.75, 110);</v>
      </c>
    </row>
    <row r="1067" spans="1:10" x14ac:dyDescent="0.3">
      <c r="A1067">
        <v>1066</v>
      </c>
      <c r="B1067">
        <v>28</v>
      </c>
      <c r="C1067">
        <v>34</v>
      </c>
      <c r="D1067">
        <f>IF('Boletins Nuppa Site'!F1067&lt;&gt;0,'Boletins Nuppa Site'!F1067,"NULL")</f>
        <v>60</v>
      </c>
      <c r="E1067">
        <f>IF('Boletins Nuppa Site'!G1067&lt;&gt;0,'Boletins Nuppa Site'!G1067,"NULL")</f>
        <v>60</v>
      </c>
      <c r="F1067">
        <f>IF('Boletins Nuppa Site'!H1067&lt;&gt;0,'Boletins Nuppa Site'!H1067,"NULL")</f>
        <v>80</v>
      </c>
      <c r="G1067">
        <f>IF('Boletins Nuppa Site'!I1067&lt;&gt;0,'Boletins Nuppa Site'!I1067,"NULL")</f>
        <v>66</v>
      </c>
      <c r="H1067">
        <f>IF('Boletins Nuppa Site'!J1067&lt;&gt;0,'Boletins Nuppa Site'!J1067,"NULL")</f>
        <v>60</v>
      </c>
      <c r="J1067" t="str">
        <f t="shared" si="16"/>
        <v>INSERT INTO COTACAO (blt_id, pap_id, cot_prc_comum, cot_prc_min, cot_prc_max, cot_prc_med, cot_prc_mediana) VALUES (28, 34, 60, 60, 80, 66, 60);</v>
      </c>
    </row>
    <row r="1068" spans="1:10" x14ac:dyDescent="0.3">
      <c r="A1068">
        <v>1067</v>
      </c>
      <c r="B1068">
        <v>28</v>
      </c>
      <c r="C1068">
        <v>35</v>
      </c>
      <c r="D1068" t="str">
        <f>IF('Boletins Nuppa Site'!F1068&lt;&gt;0,'Boletins Nuppa Site'!F1068,"NULL")</f>
        <v>NULL</v>
      </c>
      <c r="E1068">
        <f>IF('Boletins Nuppa Site'!G1068&lt;&gt;0,'Boletins Nuppa Site'!G1068,"NULL")</f>
        <v>150</v>
      </c>
      <c r="F1068">
        <f>IF('Boletins Nuppa Site'!H1068&lt;&gt;0,'Boletins Nuppa Site'!H1068,"NULL")</f>
        <v>160</v>
      </c>
      <c r="G1068">
        <f>IF('Boletins Nuppa Site'!I1068&lt;&gt;0,'Boletins Nuppa Site'!I1068,"NULL")</f>
        <v>155</v>
      </c>
      <c r="H1068">
        <f>IF('Boletins Nuppa Site'!J1068&lt;&gt;0,'Boletins Nuppa Site'!J1068,"NULL")</f>
        <v>155</v>
      </c>
      <c r="J1068" t="str">
        <f t="shared" si="16"/>
        <v>INSERT INTO COTACAO (blt_id, pap_id, cot_prc_comum, cot_prc_min, cot_prc_max, cot_prc_med, cot_prc_mediana) VALUES (28, 35, NULL, 150, 160, 155, 155);</v>
      </c>
    </row>
    <row r="1069" spans="1:10" x14ac:dyDescent="0.3">
      <c r="A1069">
        <v>1068</v>
      </c>
      <c r="B1069">
        <v>28</v>
      </c>
      <c r="C1069">
        <v>36</v>
      </c>
      <c r="D1069" t="str">
        <f>IF('Boletins Nuppa Site'!F1069&lt;&gt;0,'Boletins Nuppa Site'!F1069,"NULL")</f>
        <v>NULL</v>
      </c>
      <c r="E1069" t="str">
        <f>IF('Boletins Nuppa Site'!G1069&lt;&gt;0,'Boletins Nuppa Site'!G1069,"NULL")</f>
        <v>NULL</v>
      </c>
      <c r="F1069" t="str">
        <f>IF('Boletins Nuppa Site'!H1069&lt;&gt;0,'Boletins Nuppa Site'!H1069,"NULL")</f>
        <v>NULL</v>
      </c>
      <c r="G1069" t="str">
        <f>IF('Boletins Nuppa Site'!I1069&lt;&gt;0,'Boletins Nuppa Site'!I1069,"NULL")</f>
        <v>NULL</v>
      </c>
      <c r="H1069" t="str">
        <f>IF('Boletins Nuppa Site'!J1069&lt;&gt;0,'Boletins Nuppa Site'!J1069,"NULL")</f>
        <v>NULL</v>
      </c>
      <c r="J1069" t="str">
        <f t="shared" si="16"/>
        <v>INSERT INTO COTACAO (blt_id, pap_id, cot_prc_comum, cot_prc_min, cot_prc_max, cot_prc_med, cot_prc_mediana) VALUES (28, 36, NULL, NULL, NULL, NULL, NULL);</v>
      </c>
    </row>
    <row r="1070" spans="1:10" x14ac:dyDescent="0.3">
      <c r="A1070">
        <v>1069</v>
      </c>
      <c r="B1070">
        <v>28</v>
      </c>
      <c r="C1070">
        <v>37</v>
      </c>
      <c r="D1070" t="str">
        <f>IF('Boletins Nuppa Site'!F1070&lt;&gt;0,'Boletins Nuppa Site'!F1070,"NULL")</f>
        <v>NULL</v>
      </c>
      <c r="E1070" t="str">
        <f>IF('Boletins Nuppa Site'!G1070&lt;&gt;0,'Boletins Nuppa Site'!G1070,"NULL")</f>
        <v>NULL</v>
      </c>
      <c r="F1070" t="str">
        <f>IF('Boletins Nuppa Site'!H1070&lt;&gt;0,'Boletins Nuppa Site'!H1070,"NULL")</f>
        <v>NULL</v>
      </c>
      <c r="G1070" t="str">
        <f>IF('Boletins Nuppa Site'!I1070&lt;&gt;0,'Boletins Nuppa Site'!I1070,"NULL")</f>
        <v>NULL</v>
      </c>
      <c r="H1070" t="str">
        <f>IF('Boletins Nuppa Site'!J1070&lt;&gt;0,'Boletins Nuppa Site'!J1070,"NULL")</f>
        <v>NULL</v>
      </c>
      <c r="J1070" t="str">
        <f t="shared" si="16"/>
        <v>INSERT INTO COTACAO (blt_id, pap_id, cot_prc_comum, cot_prc_min, cot_prc_max, cot_prc_med, cot_prc_mediana) VALUES (28, 37, NULL, NULL, NULL, NULL, NULL);</v>
      </c>
    </row>
    <row r="1071" spans="1:10" x14ac:dyDescent="0.3">
      <c r="A1071">
        <v>1070</v>
      </c>
      <c r="B1071">
        <v>28</v>
      </c>
      <c r="C1071">
        <v>38</v>
      </c>
      <c r="D1071" t="str">
        <f>IF('Boletins Nuppa Site'!F1071&lt;&gt;0,'Boletins Nuppa Site'!F1071,"NULL")</f>
        <v>NULL</v>
      </c>
      <c r="E1071" t="str">
        <f>IF('Boletins Nuppa Site'!G1071&lt;&gt;0,'Boletins Nuppa Site'!G1071,"NULL")</f>
        <v>NULL</v>
      </c>
      <c r="F1071" t="str">
        <f>IF('Boletins Nuppa Site'!H1071&lt;&gt;0,'Boletins Nuppa Site'!H1071,"NULL")</f>
        <v>NULL</v>
      </c>
      <c r="G1071" t="str">
        <f>IF('Boletins Nuppa Site'!I1071&lt;&gt;0,'Boletins Nuppa Site'!I1071,"NULL")</f>
        <v>NULL</v>
      </c>
      <c r="H1071" t="str">
        <f>IF('Boletins Nuppa Site'!J1071&lt;&gt;0,'Boletins Nuppa Site'!J1071,"NULL")</f>
        <v>NULL</v>
      </c>
      <c r="J1071" t="str">
        <f t="shared" si="16"/>
        <v>INSERT INTO COTACAO (blt_id, pap_id, cot_prc_comum, cot_prc_min, cot_prc_max, cot_prc_med, cot_prc_mediana) VALUES (28, 38, NULL, NULL, NULL, NULL, NULL);</v>
      </c>
    </row>
    <row r="1072" spans="1:10" x14ac:dyDescent="0.3">
      <c r="A1072">
        <v>1071</v>
      </c>
      <c r="B1072">
        <v>28</v>
      </c>
      <c r="C1072">
        <v>39</v>
      </c>
      <c r="D1072" t="str">
        <f>IF('Boletins Nuppa Site'!F1072&lt;&gt;0,'Boletins Nuppa Site'!F1072,"NULL")</f>
        <v>NULL</v>
      </c>
      <c r="E1072">
        <f>IF('Boletins Nuppa Site'!G1072&lt;&gt;0,'Boletins Nuppa Site'!G1072,"NULL")</f>
        <v>60</v>
      </c>
      <c r="F1072">
        <f>IF('Boletins Nuppa Site'!H1072&lt;&gt;0,'Boletins Nuppa Site'!H1072,"NULL")</f>
        <v>60</v>
      </c>
      <c r="G1072">
        <f>IF('Boletins Nuppa Site'!I1072&lt;&gt;0,'Boletins Nuppa Site'!I1072,"NULL")</f>
        <v>60</v>
      </c>
      <c r="H1072">
        <f>IF('Boletins Nuppa Site'!J1072&lt;&gt;0,'Boletins Nuppa Site'!J1072,"NULL")</f>
        <v>60</v>
      </c>
      <c r="J1072" t="str">
        <f t="shared" si="16"/>
        <v>INSERT INTO COTACAO (blt_id, pap_id, cot_prc_comum, cot_prc_min, cot_prc_max, cot_prc_med, cot_prc_mediana) VALUES (28, 39, NULL, 60, 60, 60, 60);</v>
      </c>
    </row>
    <row r="1073" spans="1:10" x14ac:dyDescent="0.3">
      <c r="A1073">
        <v>1072</v>
      </c>
      <c r="B1073">
        <v>28</v>
      </c>
      <c r="C1073">
        <v>40</v>
      </c>
      <c r="D1073" t="str">
        <f>IF('Boletins Nuppa Site'!F1073&lt;&gt;0,'Boletins Nuppa Site'!F1073,"NULL")</f>
        <v>NULL</v>
      </c>
      <c r="E1073" t="str">
        <f>IF('Boletins Nuppa Site'!G1073&lt;&gt;0,'Boletins Nuppa Site'!G1073,"NULL")</f>
        <v>NULL</v>
      </c>
      <c r="F1073" t="str">
        <f>IF('Boletins Nuppa Site'!H1073&lt;&gt;0,'Boletins Nuppa Site'!H1073,"NULL")</f>
        <v>NULL</v>
      </c>
      <c r="G1073" t="str">
        <f>IF('Boletins Nuppa Site'!I1073&lt;&gt;0,'Boletins Nuppa Site'!I1073,"NULL")</f>
        <v>NULL</v>
      </c>
      <c r="H1073" t="str">
        <f>IF('Boletins Nuppa Site'!J1073&lt;&gt;0,'Boletins Nuppa Site'!J1073,"NULL")</f>
        <v>NULL</v>
      </c>
      <c r="J1073" t="str">
        <f t="shared" si="16"/>
        <v>INSERT INTO COTACAO (blt_id, pap_id, cot_prc_comum, cot_prc_min, cot_prc_max, cot_prc_med, cot_prc_mediana) VALUES (28, 40, NULL, NULL, NULL, NULL, NULL);</v>
      </c>
    </row>
    <row r="1074" spans="1:10" x14ac:dyDescent="0.3">
      <c r="A1074">
        <v>1073</v>
      </c>
      <c r="B1074">
        <v>29</v>
      </c>
      <c r="C1074">
        <v>1</v>
      </c>
      <c r="D1074">
        <f>IF('Boletins Nuppa Site'!F1074&lt;&gt;0,'Boletins Nuppa Site'!F1074,"NULL")</f>
        <v>48</v>
      </c>
      <c r="E1074">
        <f>IF('Boletins Nuppa Site'!G1074&lt;&gt;0,'Boletins Nuppa Site'!G1074,"NULL")</f>
        <v>48</v>
      </c>
      <c r="F1074">
        <f>IF('Boletins Nuppa Site'!H1074&lt;&gt;0,'Boletins Nuppa Site'!H1074,"NULL")</f>
        <v>80</v>
      </c>
      <c r="G1074">
        <f>IF('Boletins Nuppa Site'!I1074&lt;&gt;0,'Boletins Nuppa Site'!I1074,"NULL")</f>
        <v>56</v>
      </c>
      <c r="H1074">
        <f>IF('Boletins Nuppa Site'!J1074&lt;&gt;0,'Boletins Nuppa Site'!J1074,"NULL")</f>
        <v>48</v>
      </c>
      <c r="J1074" t="str">
        <f t="shared" si="16"/>
        <v>INSERT INTO COTACAO (blt_id, pap_id, cot_prc_comum, cot_prc_min, cot_prc_max, cot_prc_med, cot_prc_mediana) VALUES (29, 1, 48, 48, 80, 56, 48);</v>
      </c>
    </row>
    <row r="1075" spans="1:10" x14ac:dyDescent="0.3">
      <c r="A1075">
        <v>1074</v>
      </c>
      <c r="B1075">
        <v>29</v>
      </c>
      <c r="C1075">
        <v>2</v>
      </c>
      <c r="D1075">
        <f>IF('Boletins Nuppa Site'!F1075&lt;&gt;0,'Boletins Nuppa Site'!F1075,"NULL")</f>
        <v>72</v>
      </c>
      <c r="E1075">
        <f>IF('Boletins Nuppa Site'!G1075&lt;&gt;0,'Boletins Nuppa Site'!G1075,"NULL")</f>
        <v>72</v>
      </c>
      <c r="F1075">
        <f>IF('Boletins Nuppa Site'!H1075&lt;&gt;0,'Boletins Nuppa Site'!H1075,"NULL")</f>
        <v>84</v>
      </c>
      <c r="G1075">
        <f>IF('Boletins Nuppa Site'!I1075&lt;&gt;0,'Boletins Nuppa Site'!I1075,"NULL")</f>
        <v>77</v>
      </c>
      <c r="H1075">
        <f>IF('Boletins Nuppa Site'!J1075&lt;&gt;0,'Boletins Nuppa Site'!J1075,"NULL")</f>
        <v>76</v>
      </c>
      <c r="J1075" t="str">
        <f t="shared" si="16"/>
        <v>INSERT INTO COTACAO (blt_id, pap_id, cot_prc_comum, cot_prc_min, cot_prc_max, cot_prc_med, cot_prc_mediana) VALUES (29, 2, 72, 72, 84, 77, 76);</v>
      </c>
    </row>
    <row r="1076" spans="1:10" x14ac:dyDescent="0.3">
      <c r="A1076">
        <v>1075</v>
      </c>
      <c r="B1076">
        <v>29</v>
      </c>
      <c r="C1076">
        <v>3</v>
      </c>
      <c r="D1076">
        <f>IF('Boletins Nuppa Site'!F1076&lt;&gt;0,'Boletins Nuppa Site'!F1076,"NULL")</f>
        <v>36</v>
      </c>
      <c r="E1076">
        <f>IF('Boletins Nuppa Site'!G1076&lt;&gt;0,'Boletins Nuppa Site'!G1076,"NULL")</f>
        <v>30</v>
      </c>
      <c r="F1076">
        <f>IF('Boletins Nuppa Site'!H1076&lt;&gt;0,'Boletins Nuppa Site'!H1076,"NULL")</f>
        <v>142</v>
      </c>
      <c r="G1076" t="str">
        <f>IF('Boletins Nuppa Site'!I1076&lt;&gt;0,'Boletins Nuppa Site'!I1076,"NULL")</f>
        <v>55.8</v>
      </c>
      <c r="H1076">
        <f>IF('Boletins Nuppa Site'!J1076&lt;&gt;0,'Boletins Nuppa Site'!J1076,"NULL")</f>
        <v>36</v>
      </c>
      <c r="J1076" t="str">
        <f t="shared" si="16"/>
        <v>INSERT INTO COTACAO (blt_id, pap_id, cot_prc_comum, cot_prc_min, cot_prc_max, cot_prc_med, cot_prc_mediana) VALUES (29, 3, 36, 30, 142, 55.8, 36);</v>
      </c>
    </row>
    <row r="1077" spans="1:10" x14ac:dyDescent="0.3">
      <c r="A1077">
        <v>1076</v>
      </c>
      <c r="B1077">
        <v>29</v>
      </c>
      <c r="C1077">
        <v>4</v>
      </c>
      <c r="D1077">
        <f>IF('Boletins Nuppa Site'!F1077&lt;&gt;0,'Boletins Nuppa Site'!F1077,"NULL")</f>
        <v>24</v>
      </c>
      <c r="E1077">
        <f>IF('Boletins Nuppa Site'!G1077&lt;&gt;0,'Boletins Nuppa Site'!G1077,"NULL")</f>
        <v>18</v>
      </c>
      <c r="F1077">
        <f>IF('Boletins Nuppa Site'!H1077&lt;&gt;0,'Boletins Nuppa Site'!H1077,"NULL")</f>
        <v>36</v>
      </c>
      <c r="G1077" t="str">
        <f>IF('Boletins Nuppa Site'!I1077&lt;&gt;0,'Boletins Nuppa Site'!I1077,"NULL")</f>
        <v>25.2</v>
      </c>
      <c r="H1077">
        <f>IF('Boletins Nuppa Site'!J1077&lt;&gt;0,'Boletins Nuppa Site'!J1077,"NULL")</f>
        <v>24</v>
      </c>
      <c r="J1077" t="str">
        <f t="shared" si="16"/>
        <v>INSERT INTO COTACAO (blt_id, pap_id, cot_prc_comum, cot_prc_min, cot_prc_max, cot_prc_med, cot_prc_mediana) VALUES (29, 4, 24, 18, 36, 25.2, 24);</v>
      </c>
    </row>
    <row r="1078" spans="1:10" x14ac:dyDescent="0.3">
      <c r="A1078">
        <v>1077</v>
      </c>
      <c r="B1078">
        <v>29</v>
      </c>
      <c r="C1078">
        <v>5</v>
      </c>
      <c r="D1078">
        <f>IF('Boletins Nuppa Site'!F1078&lt;&gt;0,'Boletins Nuppa Site'!F1078,"NULL")</f>
        <v>24</v>
      </c>
      <c r="E1078">
        <f>IF('Boletins Nuppa Site'!G1078&lt;&gt;0,'Boletins Nuppa Site'!G1078,"NULL")</f>
        <v>18</v>
      </c>
      <c r="F1078">
        <f>IF('Boletins Nuppa Site'!H1078&lt;&gt;0,'Boletins Nuppa Site'!H1078,"NULL")</f>
        <v>24</v>
      </c>
      <c r="G1078" t="str">
        <f>IF('Boletins Nuppa Site'!I1078&lt;&gt;0,'Boletins Nuppa Site'!I1078,"NULL")</f>
        <v>22.8</v>
      </c>
      <c r="H1078">
        <f>IF('Boletins Nuppa Site'!J1078&lt;&gt;0,'Boletins Nuppa Site'!J1078,"NULL")</f>
        <v>24</v>
      </c>
      <c r="J1078" t="str">
        <f t="shared" si="16"/>
        <v>INSERT INTO COTACAO (blt_id, pap_id, cot_prc_comum, cot_prc_min, cot_prc_max, cot_prc_med, cot_prc_mediana) VALUES (29, 5, 24, 18, 24, 22.8, 24);</v>
      </c>
    </row>
    <row r="1079" spans="1:10" x14ac:dyDescent="0.3">
      <c r="A1079">
        <v>1078</v>
      </c>
      <c r="B1079">
        <v>29</v>
      </c>
      <c r="C1079">
        <v>6</v>
      </c>
      <c r="D1079">
        <f>IF('Boletins Nuppa Site'!F1079&lt;&gt;0,'Boletins Nuppa Site'!F1079,"NULL")</f>
        <v>60</v>
      </c>
      <c r="E1079">
        <f>IF('Boletins Nuppa Site'!G1079&lt;&gt;0,'Boletins Nuppa Site'!G1079,"NULL")</f>
        <v>60</v>
      </c>
      <c r="F1079">
        <f>IF('Boletins Nuppa Site'!H1079&lt;&gt;0,'Boletins Nuppa Site'!H1079,"NULL")</f>
        <v>60</v>
      </c>
      <c r="G1079">
        <f>IF('Boletins Nuppa Site'!I1079&lt;&gt;0,'Boletins Nuppa Site'!I1079,"NULL")</f>
        <v>60</v>
      </c>
      <c r="H1079">
        <f>IF('Boletins Nuppa Site'!J1079&lt;&gt;0,'Boletins Nuppa Site'!J1079,"NULL")</f>
        <v>60</v>
      </c>
      <c r="J1079" t="str">
        <f t="shared" si="16"/>
        <v>INSERT INTO COTACAO (blt_id, pap_id, cot_prc_comum, cot_prc_min, cot_prc_max, cot_prc_med, cot_prc_mediana) VALUES (29, 6, 60, 60, 60, 60, 60);</v>
      </c>
    </row>
    <row r="1080" spans="1:10" x14ac:dyDescent="0.3">
      <c r="A1080">
        <v>1079</v>
      </c>
      <c r="B1080">
        <v>29</v>
      </c>
      <c r="C1080">
        <v>7</v>
      </c>
      <c r="D1080">
        <f>IF('Boletins Nuppa Site'!F1080&lt;&gt;0,'Boletins Nuppa Site'!F1080,"NULL")</f>
        <v>72</v>
      </c>
      <c r="E1080">
        <f>IF('Boletins Nuppa Site'!G1080&lt;&gt;0,'Boletins Nuppa Site'!G1080,"NULL")</f>
        <v>60</v>
      </c>
      <c r="F1080">
        <f>IF('Boletins Nuppa Site'!H1080&lt;&gt;0,'Boletins Nuppa Site'!H1080,"NULL")</f>
        <v>84</v>
      </c>
      <c r="G1080">
        <f>IF('Boletins Nuppa Site'!I1080&lt;&gt;0,'Boletins Nuppa Site'!I1080,"NULL")</f>
        <v>72</v>
      </c>
      <c r="H1080">
        <f>IF('Boletins Nuppa Site'!J1080&lt;&gt;0,'Boletins Nuppa Site'!J1080,"NULL")</f>
        <v>72</v>
      </c>
      <c r="J1080" t="str">
        <f t="shared" si="16"/>
        <v>INSERT INTO COTACAO (blt_id, pap_id, cot_prc_comum, cot_prc_min, cot_prc_max, cot_prc_med, cot_prc_mediana) VALUES (29, 7, 72, 60, 84, 72, 72);</v>
      </c>
    </row>
    <row r="1081" spans="1:10" x14ac:dyDescent="0.3">
      <c r="A1081">
        <v>1080</v>
      </c>
      <c r="B1081">
        <v>29</v>
      </c>
      <c r="C1081">
        <v>8</v>
      </c>
      <c r="D1081">
        <f>IF('Boletins Nuppa Site'!F1081&lt;&gt;0,'Boletins Nuppa Site'!F1081,"NULL")</f>
        <v>84</v>
      </c>
      <c r="E1081">
        <f>IF('Boletins Nuppa Site'!G1081&lt;&gt;0,'Boletins Nuppa Site'!G1081,"NULL")</f>
        <v>60</v>
      </c>
      <c r="F1081">
        <f>IF('Boletins Nuppa Site'!H1081&lt;&gt;0,'Boletins Nuppa Site'!H1081,"NULL")</f>
        <v>84</v>
      </c>
      <c r="G1081" t="str">
        <f>IF('Boletins Nuppa Site'!I1081&lt;&gt;0,'Boletins Nuppa Site'!I1081,"NULL")</f>
        <v>74.4</v>
      </c>
      <c r="H1081">
        <f>IF('Boletins Nuppa Site'!J1081&lt;&gt;0,'Boletins Nuppa Site'!J1081,"NULL")</f>
        <v>72</v>
      </c>
      <c r="J1081" t="str">
        <f t="shared" si="16"/>
        <v>INSERT INTO COTACAO (blt_id, pap_id, cot_prc_comum, cot_prc_min, cot_prc_max, cot_prc_med, cot_prc_mediana) VALUES (29, 8, 84, 60, 84, 74.4, 72);</v>
      </c>
    </row>
    <row r="1082" spans="1:10" x14ac:dyDescent="0.3">
      <c r="A1082">
        <v>1081</v>
      </c>
      <c r="B1082">
        <v>29</v>
      </c>
      <c r="C1082">
        <v>9</v>
      </c>
      <c r="D1082">
        <f>IF('Boletins Nuppa Site'!F1082&lt;&gt;0,'Boletins Nuppa Site'!F1082,"NULL")</f>
        <v>24</v>
      </c>
      <c r="E1082">
        <f>IF('Boletins Nuppa Site'!G1082&lt;&gt;0,'Boletins Nuppa Site'!G1082,"NULL")</f>
        <v>18</v>
      </c>
      <c r="F1082">
        <f>IF('Boletins Nuppa Site'!H1082&lt;&gt;0,'Boletins Nuppa Site'!H1082,"NULL")</f>
        <v>25</v>
      </c>
      <c r="G1082" t="str">
        <f>IF('Boletins Nuppa Site'!I1082&lt;&gt;0,'Boletins Nuppa Site'!I1082,"NULL")</f>
        <v>21.8</v>
      </c>
      <c r="H1082">
        <f>IF('Boletins Nuppa Site'!J1082&lt;&gt;0,'Boletins Nuppa Site'!J1082,"NULL")</f>
        <v>24</v>
      </c>
      <c r="J1082" t="str">
        <f t="shared" si="16"/>
        <v>INSERT INTO COTACAO (blt_id, pap_id, cot_prc_comum, cot_prc_min, cot_prc_max, cot_prc_med, cot_prc_mediana) VALUES (29, 9, 24, 18, 25, 21.8, 24);</v>
      </c>
    </row>
    <row r="1083" spans="1:10" x14ac:dyDescent="0.3">
      <c r="A1083">
        <v>1082</v>
      </c>
      <c r="B1083">
        <v>29</v>
      </c>
      <c r="C1083">
        <v>10</v>
      </c>
      <c r="D1083">
        <f>IF('Boletins Nuppa Site'!F1083&lt;&gt;0,'Boletins Nuppa Site'!F1083,"NULL")</f>
        <v>72</v>
      </c>
      <c r="E1083">
        <f>IF('Boletins Nuppa Site'!G1083&lt;&gt;0,'Boletins Nuppa Site'!G1083,"NULL")</f>
        <v>72</v>
      </c>
      <c r="F1083">
        <f>IF('Boletins Nuppa Site'!H1083&lt;&gt;0,'Boletins Nuppa Site'!H1083,"NULL")</f>
        <v>84</v>
      </c>
      <c r="G1083">
        <f>IF('Boletins Nuppa Site'!I1083&lt;&gt;0,'Boletins Nuppa Site'!I1083,"NULL")</f>
        <v>75</v>
      </c>
      <c r="H1083">
        <f>IF('Boletins Nuppa Site'!J1083&lt;&gt;0,'Boletins Nuppa Site'!J1083,"NULL")</f>
        <v>72</v>
      </c>
      <c r="J1083" t="str">
        <f t="shared" si="16"/>
        <v>INSERT INTO COTACAO (blt_id, pap_id, cot_prc_comum, cot_prc_min, cot_prc_max, cot_prc_med, cot_prc_mediana) VALUES (29, 10, 72, 72, 84, 75, 72);</v>
      </c>
    </row>
    <row r="1084" spans="1:10" x14ac:dyDescent="0.3">
      <c r="A1084">
        <v>1083</v>
      </c>
      <c r="B1084">
        <v>29</v>
      </c>
      <c r="C1084">
        <v>11</v>
      </c>
      <c r="D1084">
        <f>IF('Boletins Nuppa Site'!F1084&lt;&gt;0,'Boletins Nuppa Site'!F1084,"NULL")</f>
        <v>24</v>
      </c>
      <c r="E1084">
        <f>IF('Boletins Nuppa Site'!G1084&lt;&gt;0,'Boletins Nuppa Site'!G1084,"NULL")</f>
        <v>18</v>
      </c>
      <c r="F1084">
        <f>IF('Boletins Nuppa Site'!H1084&lt;&gt;0,'Boletins Nuppa Site'!H1084,"NULL")</f>
        <v>24</v>
      </c>
      <c r="G1084" t="str">
        <f>IF('Boletins Nuppa Site'!I1084&lt;&gt;0,'Boletins Nuppa Site'!I1084,"NULL")</f>
        <v>22.8</v>
      </c>
      <c r="H1084">
        <f>IF('Boletins Nuppa Site'!J1084&lt;&gt;0,'Boletins Nuppa Site'!J1084,"NULL")</f>
        <v>24</v>
      </c>
      <c r="J1084" t="str">
        <f t="shared" si="16"/>
        <v>INSERT INTO COTACAO (blt_id, pap_id, cot_prc_comum, cot_prc_min, cot_prc_max, cot_prc_med, cot_prc_mediana) VALUES (29, 11, 24, 18, 24, 22.8, 24);</v>
      </c>
    </row>
    <row r="1085" spans="1:10" x14ac:dyDescent="0.3">
      <c r="A1085">
        <v>1084</v>
      </c>
      <c r="B1085">
        <v>29</v>
      </c>
      <c r="C1085">
        <v>12</v>
      </c>
      <c r="D1085">
        <f>IF('Boletins Nuppa Site'!F1085&lt;&gt;0,'Boletins Nuppa Site'!F1085,"NULL")</f>
        <v>60</v>
      </c>
      <c r="E1085">
        <f>IF('Boletins Nuppa Site'!G1085&lt;&gt;0,'Boletins Nuppa Site'!G1085,"NULL")</f>
        <v>60</v>
      </c>
      <c r="F1085">
        <f>IF('Boletins Nuppa Site'!H1085&lt;&gt;0,'Boletins Nuppa Site'!H1085,"NULL")</f>
        <v>72</v>
      </c>
      <c r="G1085">
        <f>IF('Boletins Nuppa Site'!I1085&lt;&gt;0,'Boletins Nuppa Site'!I1085,"NULL")</f>
        <v>63</v>
      </c>
      <c r="H1085">
        <f>IF('Boletins Nuppa Site'!J1085&lt;&gt;0,'Boletins Nuppa Site'!J1085,"NULL")</f>
        <v>60</v>
      </c>
      <c r="J1085" t="str">
        <f t="shared" si="16"/>
        <v>INSERT INTO COTACAO (blt_id, pap_id, cot_prc_comum, cot_prc_min, cot_prc_max, cot_prc_med, cot_prc_mediana) VALUES (29, 12, 60, 60, 72, 63, 60);</v>
      </c>
    </row>
    <row r="1086" spans="1:10" x14ac:dyDescent="0.3">
      <c r="A1086">
        <v>1085</v>
      </c>
      <c r="B1086">
        <v>29</v>
      </c>
      <c r="C1086">
        <v>13</v>
      </c>
      <c r="D1086">
        <f>IF('Boletins Nuppa Site'!F1086&lt;&gt;0,'Boletins Nuppa Site'!F1086,"NULL")</f>
        <v>60</v>
      </c>
      <c r="E1086">
        <f>IF('Boletins Nuppa Site'!G1086&lt;&gt;0,'Boletins Nuppa Site'!G1086,"NULL")</f>
        <v>48</v>
      </c>
      <c r="F1086">
        <f>IF('Boletins Nuppa Site'!H1086&lt;&gt;0,'Boletins Nuppa Site'!H1086,"NULL")</f>
        <v>60</v>
      </c>
      <c r="G1086" t="str">
        <f>IF('Boletins Nuppa Site'!I1086&lt;&gt;0,'Boletins Nuppa Site'!I1086,"NULL")</f>
        <v>55.2</v>
      </c>
      <c r="H1086">
        <f>IF('Boletins Nuppa Site'!J1086&lt;&gt;0,'Boletins Nuppa Site'!J1086,"NULL")</f>
        <v>60</v>
      </c>
      <c r="J1086" t="str">
        <f t="shared" si="16"/>
        <v>INSERT INTO COTACAO (blt_id, pap_id, cot_prc_comum, cot_prc_min, cot_prc_max, cot_prc_med, cot_prc_mediana) VALUES (29, 13, 60, 48, 60, 55.2, 60);</v>
      </c>
    </row>
    <row r="1087" spans="1:10" x14ac:dyDescent="0.3">
      <c r="A1087">
        <v>1086</v>
      </c>
      <c r="B1087">
        <v>29</v>
      </c>
      <c r="C1087">
        <v>14</v>
      </c>
      <c r="D1087">
        <f>IF('Boletins Nuppa Site'!F1087&lt;&gt;0,'Boletins Nuppa Site'!F1087,"NULL")</f>
        <v>48</v>
      </c>
      <c r="E1087">
        <f>IF('Boletins Nuppa Site'!G1087&lt;&gt;0,'Boletins Nuppa Site'!G1087,"NULL")</f>
        <v>45</v>
      </c>
      <c r="F1087">
        <f>IF('Boletins Nuppa Site'!H1087&lt;&gt;0,'Boletins Nuppa Site'!H1087,"NULL")</f>
        <v>72</v>
      </c>
      <c r="G1087" t="str">
        <f>IF('Boletins Nuppa Site'!I1087&lt;&gt;0,'Boletins Nuppa Site'!I1087,"NULL")</f>
        <v>53.25</v>
      </c>
      <c r="H1087">
        <f>IF('Boletins Nuppa Site'!J1087&lt;&gt;0,'Boletins Nuppa Site'!J1087,"NULL")</f>
        <v>48</v>
      </c>
      <c r="J1087" t="str">
        <f t="shared" si="16"/>
        <v>INSERT INTO COTACAO (blt_id, pap_id, cot_prc_comum, cot_prc_min, cot_prc_max, cot_prc_med, cot_prc_mediana) VALUES (29, 14, 48, 45, 72, 53.25, 48);</v>
      </c>
    </row>
    <row r="1088" spans="1:10" x14ac:dyDescent="0.3">
      <c r="A1088">
        <v>1087</v>
      </c>
      <c r="B1088">
        <v>29</v>
      </c>
      <c r="C1088">
        <v>15</v>
      </c>
      <c r="D1088">
        <f>IF('Boletins Nuppa Site'!F1088&lt;&gt;0,'Boletins Nuppa Site'!F1088,"NULL")</f>
        <v>40</v>
      </c>
      <c r="E1088">
        <f>IF('Boletins Nuppa Site'!G1088&lt;&gt;0,'Boletins Nuppa Site'!G1088,"NULL")</f>
        <v>36</v>
      </c>
      <c r="F1088">
        <f>IF('Boletins Nuppa Site'!H1088&lt;&gt;0,'Boletins Nuppa Site'!H1088,"NULL")</f>
        <v>42</v>
      </c>
      <c r="G1088" t="str">
        <f>IF('Boletins Nuppa Site'!I1088&lt;&gt;0,'Boletins Nuppa Site'!I1088,"NULL")</f>
        <v>38.8</v>
      </c>
      <c r="H1088">
        <f>IF('Boletins Nuppa Site'!J1088&lt;&gt;0,'Boletins Nuppa Site'!J1088,"NULL")</f>
        <v>40</v>
      </c>
      <c r="J1088" t="str">
        <f t="shared" si="16"/>
        <v>INSERT INTO COTACAO (blt_id, pap_id, cot_prc_comum, cot_prc_min, cot_prc_max, cot_prc_med, cot_prc_mediana) VALUES (29, 15, 40, 36, 42, 38.8, 40);</v>
      </c>
    </row>
    <row r="1089" spans="1:10" x14ac:dyDescent="0.3">
      <c r="A1089">
        <v>1088</v>
      </c>
      <c r="B1089">
        <v>29</v>
      </c>
      <c r="C1089">
        <v>16</v>
      </c>
      <c r="D1089">
        <f>IF('Boletins Nuppa Site'!F1089&lt;&gt;0,'Boletins Nuppa Site'!F1089,"NULL")</f>
        <v>48</v>
      </c>
      <c r="E1089">
        <f>IF('Boletins Nuppa Site'!G1089&lt;&gt;0,'Boletins Nuppa Site'!G1089,"NULL")</f>
        <v>48</v>
      </c>
      <c r="F1089">
        <f>IF('Boletins Nuppa Site'!H1089&lt;&gt;0,'Boletins Nuppa Site'!H1089,"NULL")</f>
        <v>54</v>
      </c>
      <c r="G1089" t="str">
        <f>IF('Boletins Nuppa Site'!I1089&lt;&gt;0,'Boletins Nuppa Site'!I1089,"NULL")</f>
        <v>49.2</v>
      </c>
      <c r="H1089">
        <f>IF('Boletins Nuppa Site'!J1089&lt;&gt;0,'Boletins Nuppa Site'!J1089,"NULL")</f>
        <v>48</v>
      </c>
      <c r="J1089" t="str">
        <f t="shared" si="16"/>
        <v>INSERT INTO COTACAO (blt_id, pap_id, cot_prc_comum, cot_prc_min, cot_prc_max, cot_prc_med, cot_prc_mediana) VALUES (29, 16, 48, 48, 54, 49.2, 48);</v>
      </c>
    </row>
    <row r="1090" spans="1:10" x14ac:dyDescent="0.3">
      <c r="A1090">
        <v>1089</v>
      </c>
      <c r="B1090">
        <v>29</v>
      </c>
      <c r="C1090">
        <v>17</v>
      </c>
      <c r="D1090">
        <f>IF('Boletins Nuppa Site'!F1090&lt;&gt;0,'Boletins Nuppa Site'!F1090,"NULL")</f>
        <v>48</v>
      </c>
      <c r="E1090">
        <f>IF('Boletins Nuppa Site'!G1090&lt;&gt;0,'Boletins Nuppa Site'!G1090,"NULL")</f>
        <v>48</v>
      </c>
      <c r="F1090">
        <f>IF('Boletins Nuppa Site'!H1090&lt;&gt;0,'Boletins Nuppa Site'!H1090,"NULL")</f>
        <v>80</v>
      </c>
      <c r="G1090">
        <f>IF('Boletins Nuppa Site'!I1090&lt;&gt;0,'Boletins Nuppa Site'!I1090,"NULL")</f>
        <v>56</v>
      </c>
      <c r="H1090">
        <f>IF('Boletins Nuppa Site'!J1090&lt;&gt;0,'Boletins Nuppa Site'!J1090,"NULL")</f>
        <v>48</v>
      </c>
      <c r="J1090" t="str">
        <f t="shared" si="16"/>
        <v>INSERT INTO COTACAO (blt_id, pap_id, cot_prc_comum, cot_prc_min, cot_prc_max, cot_prc_med, cot_prc_mediana) VALUES (29, 17, 48, 48, 80, 56, 48);</v>
      </c>
    </row>
    <row r="1091" spans="1:10" x14ac:dyDescent="0.3">
      <c r="A1091">
        <v>1090</v>
      </c>
      <c r="B1091">
        <v>29</v>
      </c>
      <c r="C1091">
        <v>18</v>
      </c>
      <c r="D1091">
        <f>IF('Boletins Nuppa Site'!F1091&lt;&gt;0,'Boletins Nuppa Site'!F1091,"NULL")</f>
        <v>72</v>
      </c>
      <c r="E1091">
        <f>IF('Boletins Nuppa Site'!G1091&lt;&gt;0,'Boletins Nuppa Site'!G1091,"NULL")</f>
        <v>72</v>
      </c>
      <c r="F1091">
        <f>IF('Boletins Nuppa Site'!H1091&lt;&gt;0,'Boletins Nuppa Site'!H1091,"NULL")</f>
        <v>84</v>
      </c>
      <c r="G1091">
        <f>IF('Boletins Nuppa Site'!I1091&lt;&gt;0,'Boletins Nuppa Site'!I1091,"NULL")</f>
        <v>77</v>
      </c>
      <c r="H1091">
        <f>IF('Boletins Nuppa Site'!J1091&lt;&gt;0,'Boletins Nuppa Site'!J1091,"NULL")</f>
        <v>76</v>
      </c>
      <c r="J1091" t="str">
        <f t="shared" ref="J1091:J1154" si="17">"INSERT INTO COTACAO (blt_id, pap_id, cot_prc_comum, cot_prc_min, cot_prc_max, cot_prc_med, cot_prc_mediana) VALUES ("&amp;B1091&amp;", "&amp;C1091&amp;", "&amp;D1091&amp;", "&amp;E1091&amp;", "&amp;F1091&amp;", "&amp;G1091&amp;", "&amp;H1091&amp;");"</f>
        <v>INSERT INTO COTACAO (blt_id, pap_id, cot_prc_comum, cot_prc_min, cot_prc_max, cot_prc_med, cot_prc_mediana) VALUES (29, 18, 72, 72, 84, 77, 76);</v>
      </c>
    </row>
    <row r="1092" spans="1:10" x14ac:dyDescent="0.3">
      <c r="A1092">
        <v>1091</v>
      </c>
      <c r="B1092">
        <v>29</v>
      </c>
      <c r="C1092">
        <v>19</v>
      </c>
      <c r="D1092">
        <f>IF('Boletins Nuppa Site'!F1092&lt;&gt;0,'Boletins Nuppa Site'!F1092,"NULL")</f>
        <v>36</v>
      </c>
      <c r="E1092">
        <f>IF('Boletins Nuppa Site'!G1092&lt;&gt;0,'Boletins Nuppa Site'!G1092,"NULL")</f>
        <v>30</v>
      </c>
      <c r="F1092">
        <f>IF('Boletins Nuppa Site'!H1092&lt;&gt;0,'Boletins Nuppa Site'!H1092,"NULL")</f>
        <v>142</v>
      </c>
      <c r="G1092" t="str">
        <f>IF('Boletins Nuppa Site'!I1092&lt;&gt;0,'Boletins Nuppa Site'!I1092,"NULL")</f>
        <v>55.8</v>
      </c>
      <c r="H1092">
        <f>IF('Boletins Nuppa Site'!J1092&lt;&gt;0,'Boletins Nuppa Site'!J1092,"NULL")</f>
        <v>36</v>
      </c>
      <c r="J1092" t="str">
        <f t="shared" si="17"/>
        <v>INSERT INTO COTACAO (blt_id, pap_id, cot_prc_comum, cot_prc_min, cot_prc_max, cot_prc_med, cot_prc_mediana) VALUES (29, 19, 36, 30, 142, 55.8, 36);</v>
      </c>
    </row>
    <row r="1093" spans="1:10" x14ac:dyDescent="0.3">
      <c r="A1093">
        <v>1092</v>
      </c>
      <c r="B1093">
        <v>29</v>
      </c>
      <c r="C1093">
        <v>20</v>
      </c>
      <c r="D1093" t="str">
        <f>IF('Boletins Nuppa Site'!F1093&lt;&gt;0,'Boletins Nuppa Site'!F1093,"NULL")</f>
        <v>NULL</v>
      </c>
      <c r="E1093">
        <f>IF('Boletins Nuppa Site'!G1093&lt;&gt;0,'Boletins Nuppa Site'!G1093,"NULL")</f>
        <v>70</v>
      </c>
      <c r="F1093">
        <f>IF('Boletins Nuppa Site'!H1093&lt;&gt;0,'Boletins Nuppa Site'!H1093,"NULL")</f>
        <v>70</v>
      </c>
      <c r="G1093">
        <f>IF('Boletins Nuppa Site'!I1093&lt;&gt;0,'Boletins Nuppa Site'!I1093,"NULL")</f>
        <v>70</v>
      </c>
      <c r="H1093">
        <f>IF('Boletins Nuppa Site'!J1093&lt;&gt;0,'Boletins Nuppa Site'!J1093,"NULL")</f>
        <v>70</v>
      </c>
      <c r="J1093" t="str">
        <f t="shared" si="17"/>
        <v>INSERT INTO COTACAO (blt_id, pap_id, cot_prc_comum, cot_prc_min, cot_prc_max, cot_prc_med, cot_prc_mediana) VALUES (29, 20, NULL, 70, 70, 70, 70);</v>
      </c>
    </row>
    <row r="1094" spans="1:10" x14ac:dyDescent="0.3">
      <c r="A1094">
        <v>1093</v>
      </c>
      <c r="B1094">
        <v>29</v>
      </c>
      <c r="C1094">
        <v>21</v>
      </c>
      <c r="D1094">
        <f>IF('Boletins Nuppa Site'!F1094&lt;&gt;0,'Boletins Nuppa Site'!F1094,"NULL")</f>
        <v>80</v>
      </c>
      <c r="E1094">
        <f>IF('Boletins Nuppa Site'!G1094&lt;&gt;0,'Boletins Nuppa Site'!G1094,"NULL")</f>
        <v>70</v>
      </c>
      <c r="F1094">
        <f>IF('Boletins Nuppa Site'!H1094&lt;&gt;0,'Boletins Nuppa Site'!H1094,"NULL")</f>
        <v>80</v>
      </c>
      <c r="G1094">
        <f>IF('Boletins Nuppa Site'!I1094&lt;&gt;0,'Boletins Nuppa Site'!I1094,"NULL")</f>
        <v>75</v>
      </c>
      <c r="H1094">
        <f>IF('Boletins Nuppa Site'!J1094&lt;&gt;0,'Boletins Nuppa Site'!J1094,"NULL")</f>
        <v>75</v>
      </c>
      <c r="J1094" t="str">
        <f t="shared" si="17"/>
        <v>INSERT INTO COTACAO (blt_id, pap_id, cot_prc_comum, cot_prc_min, cot_prc_max, cot_prc_med, cot_prc_mediana) VALUES (29, 21, 80, 70, 80, 75, 75);</v>
      </c>
    </row>
    <row r="1095" spans="1:10" x14ac:dyDescent="0.3">
      <c r="A1095">
        <v>1094</v>
      </c>
      <c r="B1095">
        <v>29</v>
      </c>
      <c r="C1095">
        <v>22</v>
      </c>
      <c r="D1095">
        <f>IF('Boletins Nuppa Site'!F1095&lt;&gt;0,'Boletins Nuppa Site'!F1095,"NULL")</f>
        <v>70</v>
      </c>
      <c r="E1095">
        <f>IF('Boletins Nuppa Site'!G1095&lt;&gt;0,'Boletins Nuppa Site'!G1095,"NULL")</f>
        <v>30</v>
      </c>
      <c r="F1095">
        <f>IF('Boletins Nuppa Site'!H1095&lt;&gt;0,'Boletins Nuppa Site'!H1095,"NULL")</f>
        <v>70</v>
      </c>
      <c r="G1095">
        <f>IF('Boletins Nuppa Site'!I1095&lt;&gt;0,'Boletins Nuppa Site'!I1095,"NULL")</f>
        <v>53</v>
      </c>
      <c r="H1095">
        <f>IF('Boletins Nuppa Site'!J1095&lt;&gt;0,'Boletins Nuppa Site'!J1095,"NULL")</f>
        <v>50</v>
      </c>
      <c r="J1095" t="str">
        <f t="shared" si="17"/>
        <v>INSERT INTO COTACAO (blt_id, pap_id, cot_prc_comum, cot_prc_min, cot_prc_max, cot_prc_med, cot_prc_mediana) VALUES (29, 22, 70, 30, 70, 53, 50);</v>
      </c>
    </row>
    <row r="1096" spans="1:10" x14ac:dyDescent="0.3">
      <c r="A1096">
        <v>1095</v>
      </c>
      <c r="B1096">
        <v>29</v>
      </c>
      <c r="C1096">
        <v>23</v>
      </c>
      <c r="D1096">
        <f>IF('Boletins Nuppa Site'!F1096&lt;&gt;0,'Boletins Nuppa Site'!F1096,"NULL")</f>
        <v>50</v>
      </c>
      <c r="E1096">
        <f>IF('Boletins Nuppa Site'!G1096&lt;&gt;0,'Boletins Nuppa Site'!G1096,"NULL")</f>
        <v>45</v>
      </c>
      <c r="F1096">
        <f>IF('Boletins Nuppa Site'!H1096&lt;&gt;0,'Boletins Nuppa Site'!H1096,"NULL")</f>
        <v>60</v>
      </c>
      <c r="G1096" t="str">
        <f>IF('Boletins Nuppa Site'!I1096&lt;&gt;0,'Boletins Nuppa Site'!I1096,"NULL")</f>
        <v>51.25</v>
      </c>
      <c r="H1096">
        <f>IF('Boletins Nuppa Site'!J1096&lt;&gt;0,'Boletins Nuppa Site'!J1096,"NULL")</f>
        <v>50</v>
      </c>
      <c r="J1096" t="str">
        <f t="shared" si="17"/>
        <v>INSERT INTO COTACAO (blt_id, pap_id, cot_prc_comum, cot_prc_min, cot_prc_max, cot_prc_med, cot_prc_mediana) VALUES (29, 23, 50, 45, 60, 51.25, 50);</v>
      </c>
    </row>
    <row r="1097" spans="1:10" x14ac:dyDescent="0.3">
      <c r="A1097">
        <v>1096</v>
      </c>
      <c r="B1097">
        <v>29</v>
      </c>
      <c r="C1097">
        <v>24</v>
      </c>
      <c r="D1097" t="str">
        <f>IF('Boletins Nuppa Site'!F1097&lt;&gt;0,'Boletins Nuppa Site'!F1097,"NULL")</f>
        <v>NULL</v>
      </c>
      <c r="E1097">
        <f>IF('Boletins Nuppa Site'!G1097&lt;&gt;0,'Boletins Nuppa Site'!G1097,"NULL")</f>
        <v>90</v>
      </c>
      <c r="F1097">
        <f>IF('Boletins Nuppa Site'!H1097&lt;&gt;0,'Boletins Nuppa Site'!H1097,"NULL")</f>
        <v>100</v>
      </c>
      <c r="G1097">
        <f>IF('Boletins Nuppa Site'!I1097&lt;&gt;0,'Boletins Nuppa Site'!I1097,"NULL")</f>
        <v>95</v>
      </c>
      <c r="H1097">
        <f>IF('Boletins Nuppa Site'!J1097&lt;&gt;0,'Boletins Nuppa Site'!J1097,"NULL")</f>
        <v>95</v>
      </c>
      <c r="J1097" t="str">
        <f t="shared" si="17"/>
        <v>INSERT INTO COTACAO (blt_id, pap_id, cot_prc_comum, cot_prc_min, cot_prc_max, cot_prc_med, cot_prc_mediana) VALUES (29, 24, NULL, 90, 100, 95, 95);</v>
      </c>
    </row>
    <row r="1098" spans="1:10" x14ac:dyDescent="0.3">
      <c r="A1098">
        <v>1097</v>
      </c>
      <c r="B1098">
        <v>29</v>
      </c>
      <c r="C1098">
        <v>25</v>
      </c>
      <c r="D1098">
        <f>IF('Boletins Nuppa Site'!F1098&lt;&gt;0,'Boletins Nuppa Site'!F1098,"NULL")</f>
        <v>70</v>
      </c>
      <c r="E1098">
        <f>IF('Boletins Nuppa Site'!G1098&lt;&gt;0,'Boletins Nuppa Site'!G1098,"NULL")</f>
        <v>60</v>
      </c>
      <c r="F1098">
        <f>IF('Boletins Nuppa Site'!H1098&lt;&gt;0,'Boletins Nuppa Site'!H1098,"NULL")</f>
        <v>70</v>
      </c>
      <c r="G1098">
        <f>IF('Boletins Nuppa Site'!I1098&lt;&gt;0,'Boletins Nuppa Site'!I1098,"NULL")</f>
        <v>65</v>
      </c>
      <c r="H1098">
        <f>IF('Boletins Nuppa Site'!J1098&lt;&gt;0,'Boletins Nuppa Site'!J1098,"NULL")</f>
        <v>65</v>
      </c>
      <c r="J1098" t="str">
        <f t="shared" si="17"/>
        <v>INSERT INTO COTACAO (blt_id, pap_id, cot_prc_comum, cot_prc_min, cot_prc_max, cot_prc_med, cot_prc_mediana) VALUES (29, 25, 70, 60, 70, 65, 65);</v>
      </c>
    </row>
    <row r="1099" spans="1:10" x14ac:dyDescent="0.3">
      <c r="A1099">
        <v>1098</v>
      </c>
      <c r="B1099">
        <v>29</v>
      </c>
      <c r="C1099">
        <v>26</v>
      </c>
      <c r="D1099">
        <f>IF('Boletins Nuppa Site'!F1099&lt;&gt;0,'Boletins Nuppa Site'!F1099,"NULL")</f>
        <v>60</v>
      </c>
      <c r="E1099">
        <f>IF('Boletins Nuppa Site'!G1099&lt;&gt;0,'Boletins Nuppa Site'!G1099,"NULL")</f>
        <v>45</v>
      </c>
      <c r="F1099">
        <f>IF('Boletins Nuppa Site'!H1099&lt;&gt;0,'Boletins Nuppa Site'!H1099,"NULL")</f>
        <v>60</v>
      </c>
      <c r="G1099" t="str">
        <f>IF('Boletins Nuppa Site'!I1099&lt;&gt;0,'Boletins Nuppa Site'!I1099,"NULL")</f>
        <v>53.75</v>
      </c>
      <c r="H1099">
        <f>IF('Boletins Nuppa Site'!J1099&lt;&gt;0,'Boletins Nuppa Site'!J1099,"NULL")</f>
        <v>55</v>
      </c>
      <c r="J1099" t="str">
        <f t="shared" si="17"/>
        <v>INSERT INTO COTACAO (blt_id, pap_id, cot_prc_comum, cot_prc_min, cot_prc_max, cot_prc_med, cot_prc_mediana) VALUES (29, 26, 60, 45, 60, 53.75, 55);</v>
      </c>
    </row>
    <row r="1100" spans="1:10" x14ac:dyDescent="0.3">
      <c r="A1100">
        <v>1099</v>
      </c>
      <c r="B1100">
        <v>29</v>
      </c>
      <c r="C1100">
        <v>27</v>
      </c>
      <c r="D1100" t="str">
        <f>IF('Boletins Nuppa Site'!F1100&lt;&gt;0,'Boletins Nuppa Site'!F1100,"NULL")</f>
        <v>NULL</v>
      </c>
      <c r="E1100">
        <f>IF('Boletins Nuppa Site'!G1100&lt;&gt;0,'Boletins Nuppa Site'!G1100,"NULL")</f>
        <v>50</v>
      </c>
      <c r="F1100">
        <f>IF('Boletins Nuppa Site'!H1100&lt;&gt;0,'Boletins Nuppa Site'!H1100,"NULL")</f>
        <v>70</v>
      </c>
      <c r="G1100" t="str">
        <f>IF('Boletins Nuppa Site'!I1100&lt;&gt;0,'Boletins Nuppa Site'!I1100,"NULL")</f>
        <v>61.25</v>
      </c>
      <c r="H1100" t="str">
        <f>IF('Boletins Nuppa Site'!J1100&lt;&gt;0,'Boletins Nuppa Site'!J1100,"NULL")</f>
        <v>62.5</v>
      </c>
      <c r="J1100" t="str">
        <f t="shared" si="17"/>
        <v>INSERT INTO COTACAO (blt_id, pap_id, cot_prc_comum, cot_prc_min, cot_prc_max, cot_prc_med, cot_prc_mediana) VALUES (29, 27, NULL, 50, 70, 61.25, 62.5);</v>
      </c>
    </row>
    <row r="1101" spans="1:10" x14ac:dyDescent="0.3">
      <c r="A1101">
        <v>1100</v>
      </c>
      <c r="B1101">
        <v>29</v>
      </c>
      <c r="C1101">
        <v>28</v>
      </c>
      <c r="D1101" t="str">
        <f>IF('Boletins Nuppa Site'!F1101&lt;&gt;0,'Boletins Nuppa Site'!F1101,"NULL")</f>
        <v>NULL</v>
      </c>
      <c r="E1101">
        <f>IF('Boletins Nuppa Site'!G1101&lt;&gt;0,'Boletins Nuppa Site'!G1101,"NULL")</f>
        <v>70</v>
      </c>
      <c r="F1101">
        <f>IF('Boletins Nuppa Site'!H1101&lt;&gt;0,'Boletins Nuppa Site'!H1101,"NULL")</f>
        <v>100</v>
      </c>
      <c r="G1101" t="str">
        <f>IF('Boletins Nuppa Site'!I1101&lt;&gt;0,'Boletins Nuppa Site'!I1101,"NULL")</f>
        <v>86.67</v>
      </c>
      <c r="H1101">
        <f>IF('Boletins Nuppa Site'!J1101&lt;&gt;0,'Boletins Nuppa Site'!J1101,"NULL")</f>
        <v>90</v>
      </c>
      <c r="J1101" t="str">
        <f t="shared" si="17"/>
        <v>INSERT INTO COTACAO (blt_id, pap_id, cot_prc_comum, cot_prc_min, cot_prc_max, cot_prc_med, cot_prc_mediana) VALUES (29, 28, NULL, 70, 100, 86.67, 90);</v>
      </c>
    </row>
    <row r="1102" spans="1:10" x14ac:dyDescent="0.3">
      <c r="A1102">
        <v>1101</v>
      </c>
      <c r="B1102">
        <v>29</v>
      </c>
      <c r="C1102">
        <v>29</v>
      </c>
      <c r="D1102" t="str">
        <f>IF('Boletins Nuppa Site'!F1102&lt;&gt;0,'Boletins Nuppa Site'!F1102,"NULL")</f>
        <v>NULL</v>
      </c>
      <c r="E1102">
        <f>IF('Boletins Nuppa Site'!G1102&lt;&gt;0,'Boletins Nuppa Site'!G1102,"NULL")</f>
        <v>60</v>
      </c>
      <c r="F1102">
        <f>IF('Boletins Nuppa Site'!H1102&lt;&gt;0,'Boletins Nuppa Site'!H1102,"NULL")</f>
        <v>65</v>
      </c>
      <c r="G1102" t="str">
        <f>IF('Boletins Nuppa Site'!I1102&lt;&gt;0,'Boletins Nuppa Site'!I1102,"NULL")</f>
        <v>62.5</v>
      </c>
      <c r="H1102" t="str">
        <f>IF('Boletins Nuppa Site'!J1102&lt;&gt;0,'Boletins Nuppa Site'!J1102,"NULL")</f>
        <v>62.5</v>
      </c>
      <c r="J1102" t="str">
        <f t="shared" si="17"/>
        <v>INSERT INTO COTACAO (blt_id, pap_id, cot_prc_comum, cot_prc_min, cot_prc_max, cot_prc_med, cot_prc_mediana) VALUES (29, 29, NULL, 60, 65, 62.5, 62.5);</v>
      </c>
    </row>
    <row r="1103" spans="1:10" x14ac:dyDescent="0.3">
      <c r="A1103">
        <v>1102</v>
      </c>
      <c r="B1103">
        <v>29</v>
      </c>
      <c r="C1103">
        <v>30</v>
      </c>
      <c r="D1103" t="str">
        <f>IF('Boletins Nuppa Site'!F1103&lt;&gt;0,'Boletins Nuppa Site'!F1103,"NULL")</f>
        <v>NULL</v>
      </c>
      <c r="E1103">
        <f>IF('Boletins Nuppa Site'!G1103&lt;&gt;0,'Boletins Nuppa Site'!G1103,"NULL")</f>
        <v>55</v>
      </c>
      <c r="F1103">
        <f>IF('Boletins Nuppa Site'!H1103&lt;&gt;0,'Boletins Nuppa Site'!H1103,"NULL")</f>
        <v>80</v>
      </c>
      <c r="G1103" t="str">
        <f>IF('Boletins Nuppa Site'!I1103&lt;&gt;0,'Boletins Nuppa Site'!I1103,"NULL")</f>
        <v>66.25</v>
      </c>
      <c r="H1103">
        <f>IF('Boletins Nuppa Site'!J1103&lt;&gt;0,'Boletins Nuppa Site'!J1103,"NULL")</f>
        <v>65</v>
      </c>
      <c r="J1103" t="str">
        <f t="shared" si="17"/>
        <v>INSERT INTO COTACAO (blt_id, pap_id, cot_prc_comum, cot_prc_min, cot_prc_max, cot_prc_med, cot_prc_mediana) VALUES (29, 30, NULL, 55, 80, 66.25, 65);</v>
      </c>
    </row>
    <row r="1104" spans="1:10" x14ac:dyDescent="0.3">
      <c r="A1104">
        <v>1103</v>
      </c>
      <c r="B1104">
        <v>29</v>
      </c>
      <c r="C1104">
        <v>31</v>
      </c>
      <c r="D1104">
        <f>IF('Boletins Nuppa Site'!F1104&lt;&gt;0,'Boletins Nuppa Site'!F1104,"NULL")</f>
        <v>90</v>
      </c>
      <c r="E1104">
        <f>IF('Boletins Nuppa Site'!G1104&lt;&gt;0,'Boletins Nuppa Site'!G1104,"NULL")</f>
        <v>70</v>
      </c>
      <c r="F1104">
        <f>IF('Boletins Nuppa Site'!H1104&lt;&gt;0,'Boletins Nuppa Site'!H1104,"NULL")</f>
        <v>100</v>
      </c>
      <c r="G1104">
        <f>IF('Boletins Nuppa Site'!I1104&lt;&gt;0,'Boletins Nuppa Site'!I1104,"NULL")</f>
        <v>86</v>
      </c>
      <c r="H1104">
        <f>IF('Boletins Nuppa Site'!J1104&lt;&gt;0,'Boletins Nuppa Site'!J1104,"NULL")</f>
        <v>90</v>
      </c>
      <c r="J1104" t="str">
        <f t="shared" si="17"/>
        <v>INSERT INTO COTACAO (blt_id, pap_id, cot_prc_comum, cot_prc_min, cot_prc_max, cot_prc_med, cot_prc_mediana) VALUES (29, 31, 90, 70, 100, 86, 90);</v>
      </c>
    </row>
    <row r="1105" spans="1:10" x14ac:dyDescent="0.3">
      <c r="A1105">
        <v>1104</v>
      </c>
      <c r="B1105">
        <v>29</v>
      </c>
      <c r="C1105">
        <v>32</v>
      </c>
      <c r="D1105">
        <f>IF('Boletins Nuppa Site'!F1105&lt;&gt;0,'Boletins Nuppa Site'!F1105,"NULL")</f>
        <v>50</v>
      </c>
      <c r="E1105">
        <f>IF('Boletins Nuppa Site'!G1105&lt;&gt;0,'Boletins Nuppa Site'!G1105,"NULL")</f>
        <v>30</v>
      </c>
      <c r="F1105">
        <f>IF('Boletins Nuppa Site'!H1105&lt;&gt;0,'Boletins Nuppa Site'!H1105,"NULL")</f>
        <v>50</v>
      </c>
      <c r="G1105">
        <f>IF('Boletins Nuppa Site'!I1105&lt;&gt;0,'Boletins Nuppa Site'!I1105,"NULL")</f>
        <v>45</v>
      </c>
      <c r="H1105">
        <f>IF('Boletins Nuppa Site'!J1105&lt;&gt;0,'Boletins Nuppa Site'!J1105,"NULL")</f>
        <v>50</v>
      </c>
      <c r="J1105" t="str">
        <f t="shared" si="17"/>
        <v>INSERT INTO COTACAO (blt_id, pap_id, cot_prc_comum, cot_prc_min, cot_prc_max, cot_prc_med, cot_prc_mediana) VALUES (29, 32, 50, 30, 50, 45, 50);</v>
      </c>
    </row>
    <row r="1106" spans="1:10" x14ac:dyDescent="0.3">
      <c r="A1106">
        <v>1105</v>
      </c>
      <c r="B1106">
        <v>29</v>
      </c>
      <c r="C1106">
        <v>33</v>
      </c>
      <c r="D1106" t="str">
        <f>IF('Boletins Nuppa Site'!F1106&lt;&gt;0,'Boletins Nuppa Site'!F1106,"NULL")</f>
        <v>NULL</v>
      </c>
      <c r="E1106">
        <f>IF('Boletins Nuppa Site'!G1106&lt;&gt;0,'Boletins Nuppa Site'!G1106,"NULL")</f>
        <v>100</v>
      </c>
      <c r="F1106">
        <f>IF('Boletins Nuppa Site'!H1106&lt;&gt;0,'Boletins Nuppa Site'!H1106,"NULL")</f>
        <v>200</v>
      </c>
      <c r="G1106" t="str">
        <f>IF('Boletins Nuppa Site'!I1106&lt;&gt;0,'Boletins Nuppa Site'!I1106,"NULL")</f>
        <v>157.5</v>
      </c>
      <c r="H1106">
        <f>IF('Boletins Nuppa Site'!J1106&lt;&gt;0,'Boletins Nuppa Site'!J1106,"NULL")</f>
        <v>165</v>
      </c>
      <c r="J1106" t="str">
        <f t="shared" si="17"/>
        <v>INSERT INTO COTACAO (blt_id, pap_id, cot_prc_comum, cot_prc_min, cot_prc_max, cot_prc_med, cot_prc_mediana) VALUES (29, 33, NULL, 100, 200, 157.5, 165);</v>
      </c>
    </row>
    <row r="1107" spans="1:10" x14ac:dyDescent="0.3">
      <c r="A1107">
        <v>1106</v>
      </c>
      <c r="B1107">
        <v>29</v>
      </c>
      <c r="C1107">
        <v>34</v>
      </c>
      <c r="D1107">
        <f>IF('Boletins Nuppa Site'!F1107&lt;&gt;0,'Boletins Nuppa Site'!F1107,"NULL")</f>
        <v>90</v>
      </c>
      <c r="E1107">
        <f>IF('Boletins Nuppa Site'!G1107&lt;&gt;0,'Boletins Nuppa Site'!G1107,"NULL")</f>
        <v>50</v>
      </c>
      <c r="F1107">
        <f>IF('Boletins Nuppa Site'!H1107&lt;&gt;0,'Boletins Nuppa Site'!H1107,"NULL")</f>
        <v>90</v>
      </c>
      <c r="G1107">
        <f>IF('Boletins Nuppa Site'!I1107&lt;&gt;0,'Boletins Nuppa Site'!I1107,"NULL")</f>
        <v>70</v>
      </c>
      <c r="H1107">
        <f>IF('Boletins Nuppa Site'!J1107&lt;&gt;0,'Boletins Nuppa Site'!J1107,"NULL")</f>
        <v>60</v>
      </c>
      <c r="J1107" t="str">
        <f t="shared" si="17"/>
        <v>INSERT INTO COTACAO (blt_id, pap_id, cot_prc_comum, cot_prc_min, cot_prc_max, cot_prc_med, cot_prc_mediana) VALUES (29, 34, 90, 50, 90, 70, 60);</v>
      </c>
    </row>
    <row r="1108" spans="1:10" x14ac:dyDescent="0.3">
      <c r="A1108">
        <v>1107</v>
      </c>
      <c r="B1108">
        <v>29</v>
      </c>
      <c r="C1108">
        <v>35</v>
      </c>
      <c r="D1108">
        <f>IF('Boletins Nuppa Site'!F1108&lt;&gt;0,'Boletins Nuppa Site'!F1108,"NULL")</f>
        <v>150</v>
      </c>
      <c r="E1108">
        <f>IF('Boletins Nuppa Site'!G1108&lt;&gt;0,'Boletins Nuppa Site'!G1108,"NULL")</f>
        <v>100</v>
      </c>
      <c r="F1108">
        <f>IF('Boletins Nuppa Site'!H1108&lt;&gt;0,'Boletins Nuppa Site'!H1108,"NULL")</f>
        <v>200</v>
      </c>
      <c r="G1108">
        <f>IF('Boletins Nuppa Site'!I1108&lt;&gt;0,'Boletins Nuppa Site'!I1108,"NULL")</f>
        <v>150</v>
      </c>
      <c r="H1108">
        <f>IF('Boletins Nuppa Site'!J1108&lt;&gt;0,'Boletins Nuppa Site'!J1108,"NULL")</f>
        <v>150</v>
      </c>
      <c r="J1108" t="str">
        <f t="shared" si="17"/>
        <v>INSERT INTO COTACAO (blt_id, pap_id, cot_prc_comum, cot_prc_min, cot_prc_max, cot_prc_med, cot_prc_mediana) VALUES (29, 35, 150, 100, 200, 150, 150);</v>
      </c>
    </row>
    <row r="1109" spans="1:10" x14ac:dyDescent="0.3">
      <c r="A1109">
        <v>1108</v>
      </c>
      <c r="B1109">
        <v>29</v>
      </c>
      <c r="C1109">
        <v>36</v>
      </c>
      <c r="D1109" t="str">
        <f>IF('Boletins Nuppa Site'!F1109&lt;&gt;0,'Boletins Nuppa Site'!F1109,"NULL")</f>
        <v>NULL</v>
      </c>
      <c r="E1109" t="str">
        <f>IF('Boletins Nuppa Site'!G1109&lt;&gt;0,'Boletins Nuppa Site'!G1109,"NULL")</f>
        <v>NULL</v>
      </c>
      <c r="F1109" t="str">
        <f>IF('Boletins Nuppa Site'!H1109&lt;&gt;0,'Boletins Nuppa Site'!H1109,"NULL")</f>
        <v>NULL</v>
      </c>
      <c r="G1109" t="str">
        <f>IF('Boletins Nuppa Site'!I1109&lt;&gt;0,'Boletins Nuppa Site'!I1109,"NULL")</f>
        <v>NULL</v>
      </c>
      <c r="H1109" t="str">
        <f>IF('Boletins Nuppa Site'!J1109&lt;&gt;0,'Boletins Nuppa Site'!J1109,"NULL")</f>
        <v>NULL</v>
      </c>
      <c r="J1109" t="str">
        <f t="shared" si="17"/>
        <v>INSERT INTO COTACAO (blt_id, pap_id, cot_prc_comum, cot_prc_min, cot_prc_max, cot_prc_med, cot_prc_mediana) VALUES (29, 36, NULL, NULL, NULL, NULL, NULL);</v>
      </c>
    </row>
    <row r="1110" spans="1:10" x14ac:dyDescent="0.3">
      <c r="A1110">
        <v>1109</v>
      </c>
      <c r="B1110">
        <v>29</v>
      </c>
      <c r="C1110">
        <v>37</v>
      </c>
      <c r="D1110" t="str">
        <f>IF('Boletins Nuppa Site'!F1110&lt;&gt;0,'Boletins Nuppa Site'!F1110,"NULL")</f>
        <v>NULL</v>
      </c>
      <c r="E1110" t="str">
        <f>IF('Boletins Nuppa Site'!G1110&lt;&gt;0,'Boletins Nuppa Site'!G1110,"NULL")</f>
        <v>NULL</v>
      </c>
      <c r="F1110" t="str">
        <f>IF('Boletins Nuppa Site'!H1110&lt;&gt;0,'Boletins Nuppa Site'!H1110,"NULL")</f>
        <v>NULL</v>
      </c>
      <c r="G1110" t="str">
        <f>IF('Boletins Nuppa Site'!I1110&lt;&gt;0,'Boletins Nuppa Site'!I1110,"NULL")</f>
        <v>NULL</v>
      </c>
      <c r="H1110" t="str">
        <f>IF('Boletins Nuppa Site'!J1110&lt;&gt;0,'Boletins Nuppa Site'!J1110,"NULL")</f>
        <v>NULL</v>
      </c>
      <c r="J1110" t="str">
        <f t="shared" si="17"/>
        <v>INSERT INTO COTACAO (blt_id, pap_id, cot_prc_comum, cot_prc_min, cot_prc_max, cot_prc_med, cot_prc_mediana) VALUES (29, 37, NULL, NULL, NULL, NULL, NULL);</v>
      </c>
    </row>
    <row r="1111" spans="1:10" x14ac:dyDescent="0.3">
      <c r="A1111">
        <v>1110</v>
      </c>
      <c r="B1111">
        <v>29</v>
      </c>
      <c r="C1111">
        <v>38</v>
      </c>
      <c r="D1111" t="str">
        <f>IF('Boletins Nuppa Site'!F1111&lt;&gt;0,'Boletins Nuppa Site'!F1111,"NULL")</f>
        <v>NULL</v>
      </c>
      <c r="E1111" t="str">
        <f>IF('Boletins Nuppa Site'!G1111&lt;&gt;0,'Boletins Nuppa Site'!G1111,"NULL")</f>
        <v>NULL</v>
      </c>
      <c r="F1111" t="str">
        <f>IF('Boletins Nuppa Site'!H1111&lt;&gt;0,'Boletins Nuppa Site'!H1111,"NULL")</f>
        <v>NULL</v>
      </c>
      <c r="G1111" t="str">
        <f>IF('Boletins Nuppa Site'!I1111&lt;&gt;0,'Boletins Nuppa Site'!I1111,"NULL")</f>
        <v>NULL</v>
      </c>
      <c r="H1111" t="str">
        <f>IF('Boletins Nuppa Site'!J1111&lt;&gt;0,'Boletins Nuppa Site'!J1111,"NULL")</f>
        <v>NULL</v>
      </c>
      <c r="J1111" t="str">
        <f t="shared" si="17"/>
        <v>INSERT INTO COTACAO (blt_id, pap_id, cot_prc_comum, cot_prc_min, cot_prc_max, cot_prc_med, cot_prc_mediana) VALUES (29, 38, NULL, NULL, NULL, NULL, NULL);</v>
      </c>
    </row>
    <row r="1112" spans="1:10" x14ac:dyDescent="0.3">
      <c r="A1112">
        <v>1111</v>
      </c>
      <c r="B1112">
        <v>29</v>
      </c>
      <c r="C1112">
        <v>39</v>
      </c>
      <c r="D1112" t="str">
        <f>IF('Boletins Nuppa Site'!F1112&lt;&gt;0,'Boletins Nuppa Site'!F1112,"NULL")</f>
        <v>NULL</v>
      </c>
      <c r="E1112">
        <f>IF('Boletins Nuppa Site'!G1112&lt;&gt;0,'Boletins Nuppa Site'!G1112,"NULL")</f>
        <v>60</v>
      </c>
      <c r="F1112">
        <f>IF('Boletins Nuppa Site'!H1112&lt;&gt;0,'Boletins Nuppa Site'!H1112,"NULL")</f>
        <v>60</v>
      </c>
      <c r="G1112">
        <f>IF('Boletins Nuppa Site'!I1112&lt;&gt;0,'Boletins Nuppa Site'!I1112,"NULL")</f>
        <v>60</v>
      </c>
      <c r="H1112">
        <f>IF('Boletins Nuppa Site'!J1112&lt;&gt;0,'Boletins Nuppa Site'!J1112,"NULL")</f>
        <v>60</v>
      </c>
      <c r="J1112" t="str">
        <f t="shared" si="17"/>
        <v>INSERT INTO COTACAO (blt_id, pap_id, cot_prc_comum, cot_prc_min, cot_prc_max, cot_prc_med, cot_prc_mediana) VALUES (29, 39, NULL, 60, 60, 60, 60);</v>
      </c>
    </row>
    <row r="1113" spans="1:10" x14ac:dyDescent="0.3">
      <c r="A1113">
        <v>1112</v>
      </c>
      <c r="B1113">
        <v>29</v>
      </c>
      <c r="C1113">
        <v>40</v>
      </c>
      <c r="D1113" t="str">
        <f>IF('Boletins Nuppa Site'!F1113&lt;&gt;0,'Boletins Nuppa Site'!F1113,"NULL")</f>
        <v>NULL</v>
      </c>
      <c r="E1113" t="str">
        <f>IF('Boletins Nuppa Site'!G1113&lt;&gt;0,'Boletins Nuppa Site'!G1113,"NULL")</f>
        <v>NULL</v>
      </c>
      <c r="F1113" t="str">
        <f>IF('Boletins Nuppa Site'!H1113&lt;&gt;0,'Boletins Nuppa Site'!H1113,"NULL")</f>
        <v>NULL</v>
      </c>
      <c r="G1113" t="str">
        <f>IF('Boletins Nuppa Site'!I1113&lt;&gt;0,'Boletins Nuppa Site'!I1113,"NULL")</f>
        <v>NULL</v>
      </c>
      <c r="H1113" t="str">
        <f>IF('Boletins Nuppa Site'!J1113&lt;&gt;0,'Boletins Nuppa Site'!J1113,"NULL")</f>
        <v>NULL</v>
      </c>
      <c r="J1113" t="str">
        <f t="shared" si="17"/>
        <v>INSERT INTO COTACAO (blt_id, pap_id, cot_prc_comum, cot_prc_min, cot_prc_max, cot_prc_med, cot_prc_mediana) VALUES (29, 40, NULL, NULL, NULL, NULL, NULL);</v>
      </c>
    </row>
    <row r="1114" spans="1:10" x14ac:dyDescent="0.3">
      <c r="A1114">
        <v>1113</v>
      </c>
      <c r="B1114">
        <v>30</v>
      </c>
      <c r="C1114">
        <v>1</v>
      </c>
      <c r="D1114" t="str">
        <f>IF('Boletins Nuppa Site'!F1114&lt;&gt;0,'Boletins Nuppa Site'!F1114,"NULL")</f>
        <v>NULL</v>
      </c>
      <c r="E1114">
        <f>IF('Boletins Nuppa Site'!G1114&lt;&gt;0,'Boletins Nuppa Site'!G1114,"NULL")</f>
        <v>36</v>
      </c>
      <c r="F1114">
        <f>IF('Boletins Nuppa Site'!H1114&lt;&gt;0,'Boletins Nuppa Site'!H1114,"NULL")</f>
        <v>60</v>
      </c>
      <c r="G1114">
        <f>IF('Boletins Nuppa Site'!I1114&lt;&gt;0,'Boletins Nuppa Site'!I1114,"NULL")</f>
        <v>48</v>
      </c>
      <c r="H1114">
        <f>IF('Boletins Nuppa Site'!J1114&lt;&gt;0,'Boletins Nuppa Site'!J1114,"NULL")</f>
        <v>48</v>
      </c>
      <c r="J1114" t="str">
        <f t="shared" si="17"/>
        <v>INSERT INTO COTACAO (blt_id, pap_id, cot_prc_comum, cot_prc_min, cot_prc_max, cot_prc_med, cot_prc_mediana) VALUES (30, 1, NULL, 36, 60, 48, 48);</v>
      </c>
    </row>
    <row r="1115" spans="1:10" x14ac:dyDescent="0.3">
      <c r="A1115">
        <v>1114</v>
      </c>
      <c r="B1115">
        <v>30</v>
      </c>
      <c r="C1115">
        <v>2</v>
      </c>
      <c r="D1115">
        <f>IF('Boletins Nuppa Site'!F1115&lt;&gt;0,'Boletins Nuppa Site'!F1115,"NULL")</f>
        <v>72</v>
      </c>
      <c r="E1115">
        <f>IF('Boletins Nuppa Site'!G1115&lt;&gt;0,'Boletins Nuppa Site'!G1115,"NULL")</f>
        <v>72</v>
      </c>
      <c r="F1115">
        <f>IF('Boletins Nuppa Site'!H1115&lt;&gt;0,'Boletins Nuppa Site'!H1115,"NULL")</f>
        <v>84</v>
      </c>
      <c r="G1115">
        <f>IF('Boletins Nuppa Site'!I1115&lt;&gt;0,'Boletins Nuppa Site'!I1115,"NULL")</f>
        <v>76</v>
      </c>
      <c r="H1115">
        <f>IF('Boletins Nuppa Site'!J1115&lt;&gt;0,'Boletins Nuppa Site'!J1115,"NULL")</f>
        <v>72</v>
      </c>
      <c r="J1115" t="str">
        <f t="shared" si="17"/>
        <v>INSERT INTO COTACAO (blt_id, pap_id, cot_prc_comum, cot_prc_min, cot_prc_max, cot_prc_med, cot_prc_mediana) VALUES (30, 2, 72, 72, 84, 76, 72);</v>
      </c>
    </row>
    <row r="1116" spans="1:10" x14ac:dyDescent="0.3">
      <c r="A1116">
        <v>1115</v>
      </c>
      <c r="B1116">
        <v>30</v>
      </c>
      <c r="C1116">
        <v>3</v>
      </c>
      <c r="D1116">
        <f>IF('Boletins Nuppa Site'!F1116&lt;&gt;0,'Boletins Nuppa Site'!F1116,"NULL")</f>
        <v>36</v>
      </c>
      <c r="E1116">
        <f>IF('Boletins Nuppa Site'!G1116&lt;&gt;0,'Boletins Nuppa Site'!G1116,"NULL")</f>
        <v>30</v>
      </c>
      <c r="F1116">
        <f>IF('Boletins Nuppa Site'!H1116&lt;&gt;0,'Boletins Nuppa Site'!H1116,"NULL")</f>
        <v>42</v>
      </c>
      <c r="G1116">
        <f>IF('Boletins Nuppa Site'!I1116&lt;&gt;0,'Boletins Nuppa Site'!I1116,"NULL")</f>
        <v>36</v>
      </c>
      <c r="H1116">
        <f>IF('Boletins Nuppa Site'!J1116&lt;&gt;0,'Boletins Nuppa Site'!J1116,"NULL")</f>
        <v>36</v>
      </c>
      <c r="J1116" t="str">
        <f t="shared" si="17"/>
        <v>INSERT INTO COTACAO (blt_id, pap_id, cot_prc_comum, cot_prc_min, cot_prc_max, cot_prc_med, cot_prc_mediana) VALUES (30, 3, 36, 30, 42, 36, 36);</v>
      </c>
    </row>
    <row r="1117" spans="1:10" x14ac:dyDescent="0.3">
      <c r="A1117">
        <v>1116</v>
      </c>
      <c r="B1117">
        <v>30</v>
      </c>
      <c r="C1117">
        <v>4</v>
      </c>
      <c r="D1117">
        <f>IF('Boletins Nuppa Site'!F1117&lt;&gt;0,'Boletins Nuppa Site'!F1117,"NULL")</f>
        <v>18</v>
      </c>
      <c r="E1117">
        <f>IF('Boletins Nuppa Site'!G1117&lt;&gt;0,'Boletins Nuppa Site'!G1117,"NULL")</f>
        <v>18</v>
      </c>
      <c r="F1117">
        <f>IF('Boletins Nuppa Site'!H1117&lt;&gt;0,'Boletins Nuppa Site'!H1117,"NULL")</f>
        <v>24</v>
      </c>
      <c r="G1117">
        <f>IF('Boletins Nuppa Site'!I1117&lt;&gt;0,'Boletins Nuppa Site'!I1117,"NULL")</f>
        <v>21</v>
      </c>
      <c r="H1117">
        <f>IF('Boletins Nuppa Site'!J1117&lt;&gt;0,'Boletins Nuppa Site'!J1117,"NULL")</f>
        <v>21</v>
      </c>
      <c r="J1117" t="str">
        <f t="shared" si="17"/>
        <v>INSERT INTO COTACAO (blt_id, pap_id, cot_prc_comum, cot_prc_min, cot_prc_max, cot_prc_med, cot_prc_mediana) VALUES (30, 4, 18, 18, 24, 21, 21);</v>
      </c>
    </row>
    <row r="1118" spans="1:10" x14ac:dyDescent="0.3">
      <c r="A1118">
        <v>1117</v>
      </c>
      <c r="B1118">
        <v>30</v>
      </c>
      <c r="C1118">
        <v>5</v>
      </c>
      <c r="D1118">
        <f>IF('Boletins Nuppa Site'!F1118&lt;&gt;0,'Boletins Nuppa Site'!F1118,"NULL")</f>
        <v>24</v>
      </c>
      <c r="E1118">
        <f>IF('Boletins Nuppa Site'!G1118&lt;&gt;0,'Boletins Nuppa Site'!G1118,"NULL")</f>
        <v>18</v>
      </c>
      <c r="F1118">
        <f>IF('Boletins Nuppa Site'!H1118&lt;&gt;0,'Boletins Nuppa Site'!H1118,"NULL")</f>
        <v>24</v>
      </c>
      <c r="G1118">
        <f>IF('Boletins Nuppa Site'!I1118&lt;&gt;0,'Boletins Nuppa Site'!I1118,"NULL")</f>
        <v>22</v>
      </c>
      <c r="H1118">
        <f>IF('Boletins Nuppa Site'!J1118&lt;&gt;0,'Boletins Nuppa Site'!J1118,"NULL")</f>
        <v>24</v>
      </c>
      <c r="J1118" t="str">
        <f t="shared" si="17"/>
        <v>INSERT INTO COTACAO (blt_id, pap_id, cot_prc_comum, cot_prc_min, cot_prc_max, cot_prc_med, cot_prc_mediana) VALUES (30, 5, 24, 18, 24, 22, 24);</v>
      </c>
    </row>
    <row r="1119" spans="1:10" x14ac:dyDescent="0.3">
      <c r="A1119">
        <v>1118</v>
      </c>
      <c r="B1119">
        <v>30</v>
      </c>
      <c r="C1119">
        <v>6</v>
      </c>
      <c r="D1119">
        <f>IF('Boletins Nuppa Site'!F1119&lt;&gt;0,'Boletins Nuppa Site'!F1119,"NULL")</f>
        <v>60</v>
      </c>
      <c r="E1119">
        <f>IF('Boletins Nuppa Site'!G1119&lt;&gt;0,'Boletins Nuppa Site'!G1119,"NULL")</f>
        <v>60</v>
      </c>
      <c r="F1119">
        <f>IF('Boletins Nuppa Site'!H1119&lt;&gt;0,'Boletins Nuppa Site'!H1119,"NULL")</f>
        <v>60</v>
      </c>
      <c r="G1119">
        <f>IF('Boletins Nuppa Site'!I1119&lt;&gt;0,'Boletins Nuppa Site'!I1119,"NULL")</f>
        <v>60</v>
      </c>
      <c r="H1119">
        <f>IF('Boletins Nuppa Site'!J1119&lt;&gt;0,'Boletins Nuppa Site'!J1119,"NULL")</f>
        <v>60</v>
      </c>
      <c r="J1119" t="str">
        <f t="shared" si="17"/>
        <v>INSERT INTO COTACAO (blt_id, pap_id, cot_prc_comum, cot_prc_min, cot_prc_max, cot_prc_med, cot_prc_mediana) VALUES (30, 6, 60, 60, 60, 60, 60);</v>
      </c>
    </row>
    <row r="1120" spans="1:10" x14ac:dyDescent="0.3">
      <c r="A1120">
        <v>1119</v>
      </c>
      <c r="B1120">
        <v>30</v>
      </c>
      <c r="C1120">
        <v>7</v>
      </c>
      <c r="D1120">
        <f>IF('Boletins Nuppa Site'!F1120&lt;&gt;0,'Boletins Nuppa Site'!F1120,"NULL")</f>
        <v>60</v>
      </c>
      <c r="E1120">
        <f>IF('Boletins Nuppa Site'!G1120&lt;&gt;0,'Boletins Nuppa Site'!G1120,"NULL")</f>
        <v>48</v>
      </c>
      <c r="F1120">
        <f>IF('Boletins Nuppa Site'!H1120&lt;&gt;0,'Boletins Nuppa Site'!H1120,"NULL")</f>
        <v>66</v>
      </c>
      <c r="G1120" t="str">
        <f>IF('Boletins Nuppa Site'!I1120&lt;&gt;0,'Boletins Nuppa Site'!I1120,"NULL")</f>
        <v>58.5</v>
      </c>
      <c r="H1120">
        <f>IF('Boletins Nuppa Site'!J1120&lt;&gt;0,'Boletins Nuppa Site'!J1120,"NULL")</f>
        <v>60</v>
      </c>
      <c r="J1120" t="str">
        <f t="shared" si="17"/>
        <v>INSERT INTO COTACAO (blt_id, pap_id, cot_prc_comum, cot_prc_min, cot_prc_max, cot_prc_med, cot_prc_mediana) VALUES (30, 7, 60, 48, 66, 58.5, 60);</v>
      </c>
    </row>
    <row r="1121" spans="1:10" x14ac:dyDescent="0.3">
      <c r="A1121">
        <v>1120</v>
      </c>
      <c r="B1121">
        <v>30</v>
      </c>
      <c r="C1121">
        <v>8</v>
      </c>
      <c r="D1121">
        <f>IF('Boletins Nuppa Site'!F1121&lt;&gt;0,'Boletins Nuppa Site'!F1121,"NULL")</f>
        <v>60</v>
      </c>
      <c r="E1121">
        <f>IF('Boletins Nuppa Site'!G1121&lt;&gt;0,'Boletins Nuppa Site'!G1121,"NULL")</f>
        <v>60</v>
      </c>
      <c r="F1121">
        <f>IF('Boletins Nuppa Site'!H1121&lt;&gt;0,'Boletins Nuppa Site'!H1121,"NULL")</f>
        <v>72</v>
      </c>
      <c r="G1121">
        <f>IF('Boletins Nuppa Site'!I1121&lt;&gt;0,'Boletins Nuppa Site'!I1121,"NULL")</f>
        <v>66</v>
      </c>
      <c r="H1121">
        <f>IF('Boletins Nuppa Site'!J1121&lt;&gt;0,'Boletins Nuppa Site'!J1121,"NULL")</f>
        <v>66</v>
      </c>
      <c r="J1121" t="str">
        <f t="shared" si="17"/>
        <v>INSERT INTO COTACAO (blt_id, pap_id, cot_prc_comum, cot_prc_min, cot_prc_max, cot_prc_med, cot_prc_mediana) VALUES (30, 8, 60, 60, 72, 66, 66);</v>
      </c>
    </row>
    <row r="1122" spans="1:10" x14ac:dyDescent="0.3">
      <c r="A1122">
        <v>1121</v>
      </c>
      <c r="B1122">
        <v>30</v>
      </c>
      <c r="C1122">
        <v>9</v>
      </c>
      <c r="D1122">
        <f>IF('Boletins Nuppa Site'!F1122&lt;&gt;0,'Boletins Nuppa Site'!F1122,"NULL")</f>
        <v>18</v>
      </c>
      <c r="E1122">
        <f>IF('Boletins Nuppa Site'!G1122&lt;&gt;0,'Boletins Nuppa Site'!G1122,"NULL")</f>
        <v>18</v>
      </c>
      <c r="F1122">
        <f>IF('Boletins Nuppa Site'!H1122&lt;&gt;0,'Boletins Nuppa Site'!H1122,"NULL")</f>
        <v>24</v>
      </c>
      <c r="G1122">
        <f>IF('Boletins Nuppa Site'!I1122&lt;&gt;0,'Boletins Nuppa Site'!I1122,"NULL")</f>
        <v>20</v>
      </c>
      <c r="H1122">
        <f>IF('Boletins Nuppa Site'!J1122&lt;&gt;0,'Boletins Nuppa Site'!J1122,"NULL")</f>
        <v>19</v>
      </c>
      <c r="J1122" t="str">
        <f t="shared" si="17"/>
        <v>INSERT INTO COTACAO (blt_id, pap_id, cot_prc_comum, cot_prc_min, cot_prc_max, cot_prc_med, cot_prc_mediana) VALUES (30, 9, 18, 18, 24, 20, 19);</v>
      </c>
    </row>
    <row r="1123" spans="1:10" x14ac:dyDescent="0.3">
      <c r="A1123">
        <v>1122</v>
      </c>
      <c r="B1123">
        <v>30</v>
      </c>
      <c r="C1123">
        <v>10</v>
      </c>
      <c r="D1123" t="str">
        <f>IF('Boletins Nuppa Site'!F1123&lt;&gt;0,'Boletins Nuppa Site'!F1123,"NULL")</f>
        <v>NULL</v>
      </c>
      <c r="E1123">
        <f>IF('Boletins Nuppa Site'!G1123&lt;&gt;0,'Boletins Nuppa Site'!G1123,"NULL")</f>
        <v>48</v>
      </c>
      <c r="F1123">
        <f>IF('Boletins Nuppa Site'!H1123&lt;&gt;0,'Boletins Nuppa Site'!H1123,"NULL")</f>
        <v>72</v>
      </c>
      <c r="G1123" t="str">
        <f>IF('Boletins Nuppa Site'!I1123&lt;&gt;0,'Boletins Nuppa Site'!I1123,"NULL")</f>
        <v>56.67</v>
      </c>
      <c r="H1123">
        <f>IF('Boletins Nuppa Site'!J1123&lt;&gt;0,'Boletins Nuppa Site'!J1123,"NULL")</f>
        <v>50</v>
      </c>
      <c r="J1123" t="str">
        <f t="shared" si="17"/>
        <v>INSERT INTO COTACAO (blt_id, pap_id, cot_prc_comum, cot_prc_min, cot_prc_max, cot_prc_med, cot_prc_mediana) VALUES (30, 10, NULL, 48, 72, 56.67, 50);</v>
      </c>
    </row>
    <row r="1124" spans="1:10" x14ac:dyDescent="0.3">
      <c r="A1124">
        <v>1123</v>
      </c>
      <c r="B1124">
        <v>30</v>
      </c>
      <c r="C1124">
        <v>11</v>
      </c>
      <c r="D1124">
        <f>IF('Boletins Nuppa Site'!F1124&lt;&gt;0,'Boletins Nuppa Site'!F1124,"NULL")</f>
        <v>18</v>
      </c>
      <c r="E1124">
        <f>IF('Boletins Nuppa Site'!G1124&lt;&gt;0,'Boletins Nuppa Site'!G1124,"NULL")</f>
        <v>18</v>
      </c>
      <c r="F1124">
        <f>IF('Boletins Nuppa Site'!H1124&lt;&gt;0,'Boletins Nuppa Site'!H1124,"NULL")</f>
        <v>24</v>
      </c>
      <c r="G1124">
        <f>IF('Boletins Nuppa Site'!I1124&lt;&gt;0,'Boletins Nuppa Site'!I1124,"NULL")</f>
        <v>21</v>
      </c>
      <c r="H1124">
        <f>IF('Boletins Nuppa Site'!J1124&lt;&gt;0,'Boletins Nuppa Site'!J1124,"NULL")</f>
        <v>21</v>
      </c>
      <c r="J1124" t="str">
        <f t="shared" si="17"/>
        <v>INSERT INTO COTACAO (blt_id, pap_id, cot_prc_comum, cot_prc_min, cot_prc_max, cot_prc_med, cot_prc_mediana) VALUES (30, 11, 18, 18, 24, 21, 21);</v>
      </c>
    </row>
    <row r="1125" spans="1:10" x14ac:dyDescent="0.3">
      <c r="A1125">
        <v>1124</v>
      </c>
      <c r="B1125">
        <v>30</v>
      </c>
      <c r="C1125">
        <v>12</v>
      </c>
      <c r="D1125">
        <f>IF('Boletins Nuppa Site'!F1125&lt;&gt;0,'Boletins Nuppa Site'!F1125,"NULL")</f>
        <v>60</v>
      </c>
      <c r="E1125">
        <f>IF('Boletins Nuppa Site'!G1125&lt;&gt;0,'Boletins Nuppa Site'!G1125,"NULL")</f>
        <v>48</v>
      </c>
      <c r="F1125">
        <f>IF('Boletins Nuppa Site'!H1125&lt;&gt;0,'Boletins Nuppa Site'!H1125,"NULL")</f>
        <v>60</v>
      </c>
      <c r="G1125">
        <f>IF('Boletins Nuppa Site'!I1125&lt;&gt;0,'Boletins Nuppa Site'!I1125,"NULL")</f>
        <v>56</v>
      </c>
      <c r="H1125">
        <f>IF('Boletins Nuppa Site'!J1125&lt;&gt;0,'Boletins Nuppa Site'!J1125,"NULL")</f>
        <v>60</v>
      </c>
      <c r="J1125" t="str">
        <f t="shared" si="17"/>
        <v>INSERT INTO COTACAO (blt_id, pap_id, cot_prc_comum, cot_prc_min, cot_prc_max, cot_prc_med, cot_prc_mediana) VALUES (30, 12, 60, 48, 60, 56, 60);</v>
      </c>
    </row>
    <row r="1126" spans="1:10" x14ac:dyDescent="0.3">
      <c r="A1126">
        <v>1125</v>
      </c>
      <c r="B1126">
        <v>30</v>
      </c>
      <c r="C1126">
        <v>13</v>
      </c>
      <c r="D1126">
        <f>IF('Boletins Nuppa Site'!F1126&lt;&gt;0,'Boletins Nuppa Site'!F1126,"NULL")</f>
        <v>48</v>
      </c>
      <c r="E1126">
        <f>IF('Boletins Nuppa Site'!G1126&lt;&gt;0,'Boletins Nuppa Site'!G1126,"NULL")</f>
        <v>48</v>
      </c>
      <c r="F1126">
        <f>IF('Boletins Nuppa Site'!H1126&lt;&gt;0,'Boletins Nuppa Site'!H1126,"NULL")</f>
        <v>60</v>
      </c>
      <c r="G1126">
        <f>IF('Boletins Nuppa Site'!I1126&lt;&gt;0,'Boletins Nuppa Site'!I1126,"NULL")</f>
        <v>54</v>
      </c>
      <c r="H1126">
        <f>IF('Boletins Nuppa Site'!J1126&lt;&gt;0,'Boletins Nuppa Site'!J1126,"NULL")</f>
        <v>54</v>
      </c>
      <c r="J1126" t="str">
        <f t="shared" si="17"/>
        <v>INSERT INTO COTACAO (blt_id, pap_id, cot_prc_comum, cot_prc_min, cot_prc_max, cot_prc_med, cot_prc_mediana) VALUES (30, 13, 48, 48, 60, 54, 54);</v>
      </c>
    </row>
    <row r="1127" spans="1:10" x14ac:dyDescent="0.3">
      <c r="A1127">
        <v>1126</v>
      </c>
      <c r="B1127">
        <v>30</v>
      </c>
      <c r="C1127">
        <v>14</v>
      </c>
      <c r="D1127">
        <f>IF('Boletins Nuppa Site'!F1127&lt;&gt;0,'Boletins Nuppa Site'!F1127,"NULL")</f>
        <v>60</v>
      </c>
      <c r="E1127">
        <f>IF('Boletins Nuppa Site'!G1127&lt;&gt;0,'Boletins Nuppa Site'!G1127,"NULL")</f>
        <v>48</v>
      </c>
      <c r="F1127">
        <f>IF('Boletins Nuppa Site'!H1127&lt;&gt;0,'Boletins Nuppa Site'!H1127,"NULL")</f>
        <v>60</v>
      </c>
      <c r="G1127">
        <f>IF('Boletins Nuppa Site'!I1127&lt;&gt;0,'Boletins Nuppa Site'!I1127,"NULL")</f>
        <v>56</v>
      </c>
      <c r="H1127">
        <f>IF('Boletins Nuppa Site'!J1127&lt;&gt;0,'Boletins Nuppa Site'!J1127,"NULL")</f>
        <v>60</v>
      </c>
      <c r="J1127" t="str">
        <f t="shared" si="17"/>
        <v>INSERT INTO COTACAO (blt_id, pap_id, cot_prc_comum, cot_prc_min, cot_prc_max, cot_prc_med, cot_prc_mediana) VALUES (30, 14, 60, 48, 60, 56, 60);</v>
      </c>
    </row>
    <row r="1128" spans="1:10" x14ac:dyDescent="0.3">
      <c r="A1128">
        <v>1127</v>
      </c>
      <c r="B1128">
        <v>30</v>
      </c>
      <c r="C1128">
        <v>15</v>
      </c>
      <c r="D1128">
        <f>IF('Boletins Nuppa Site'!F1128&lt;&gt;0,'Boletins Nuppa Site'!F1128,"NULL")</f>
        <v>36</v>
      </c>
      <c r="E1128">
        <f>IF('Boletins Nuppa Site'!G1128&lt;&gt;0,'Boletins Nuppa Site'!G1128,"NULL")</f>
        <v>36</v>
      </c>
      <c r="F1128">
        <f>IF('Boletins Nuppa Site'!H1128&lt;&gt;0,'Boletins Nuppa Site'!H1128,"NULL")</f>
        <v>45</v>
      </c>
      <c r="G1128" t="str">
        <f>IF('Boletins Nuppa Site'!I1128&lt;&gt;0,'Boletins Nuppa Site'!I1128,"NULL")</f>
        <v>39.25</v>
      </c>
      <c r="H1128">
        <f>IF('Boletins Nuppa Site'!J1128&lt;&gt;0,'Boletins Nuppa Site'!J1128,"NULL")</f>
        <v>38</v>
      </c>
      <c r="J1128" t="str">
        <f t="shared" si="17"/>
        <v>INSERT INTO COTACAO (blt_id, pap_id, cot_prc_comum, cot_prc_min, cot_prc_max, cot_prc_med, cot_prc_mediana) VALUES (30, 15, 36, 36, 45, 39.25, 38);</v>
      </c>
    </row>
    <row r="1129" spans="1:10" x14ac:dyDescent="0.3">
      <c r="A1129">
        <v>1128</v>
      </c>
      <c r="B1129">
        <v>30</v>
      </c>
      <c r="C1129">
        <v>16</v>
      </c>
      <c r="D1129">
        <f>IF('Boletins Nuppa Site'!F1129&lt;&gt;0,'Boletins Nuppa Site'!F1129,"NULL")</f>
        <v>48</v>
      </c>
      <c r="E1129">
        <f>IF('Boletins Nuppa Site'!G1129&lt;&gt;0,'Boletins Nuppa Site'!G1129,"NULL")</f>
        <v>42</v>
      </c>
      <c r="F1129">
        <f>IF('Boletins Nuppa Site'!H1129&lt;&gt;0,'Boletins Nuppa Site'!H1129,"NULL")</f>
        <v>48</v>
      </c>
      <c r="G1129" t="str">
        <f>IF('Boletins Nuppa Site'!I1129&lt;&gt;0,'Boletins Nuppa Site'!I1129,"NULL")</f>
        <v>46.5</v>
      </c>
      <c r="H1129">
        <f>IF('Boletins Nuppa Site'!J1129&lt;&gt;0,'Boletins Nuppa Site'!J1129,"NULL")</f>
        <v>48</v>
      </c>
      <c r="J1129" t="str">
        <f t="shared" si="17"/>
        <v>INSERT INTO COTACAO (blt_id, pap_id, cot_prc_comum, cot_prc_min, cot_prc_max, cot_prc_med, cot_prc_mediana) VALUES (30, 16, 48, 42, 48, 46.5, 48);</v>
      </c>
    </row>
    <row r="1130" spans="1:10" x14ac:dyDescent="0.3">
      <c r="A1130">
        <v>1129</v>
      </c>
      <c r="B1130">
        <v>30</v>
      </c>
      <c r="C1130">
        <v>17</v>
      </c>
      <c r="D1130">
        <f>IF('Boletins Nuppa Site'!F1130&lt;&gt;0,'Boletins Nuppa Site'!F1130,"NULL")</f>
        <v>5</v>
      </c>
      <c r="E1130">
        <f>IF('Boletins Nuppa Site'!G1130&lt;&gt;0,'Boletins Nuppa Site'!G1130,"NULL")</f>
        <v>5</v>
      </c>
      <c r="F1130" t="str">
        <f>IF('Boletins Nuppa Site'!H1130&lt;&gt;0,'Boletins Nuppa Site'!H1130,"NULL")</f>
        <v>5.5</v>
      </c>
      <c r="G1130" t="str">
        <f>IF('Boletins Nuppa Site'!I1130&lt;&gt;0,'Boletins Nuppa Site'!I1130,"NULL")</f>
        <v>5.13</v>
      </c>
      <c r="H1130">
        <f>IF('Boletins Nuppa Site'!J1130&lt;&gt;0,'Boletins Nuppa Site'!J1130,"NULL")</f>
        <v>5</v>
      </c>
      <c r="J1130" t="str">
        <f t="shared" si="17"/>
        <v>INSERT INTO COTACAO (blt_id, pap_id, cot_prc_comum, cot_prc_min, cot_prc_max, cot_prc_med, cot_prc_mediana) VALUES (30, 17, 5, 5, 5.5, 5.13, 5);</v>
      </c>
    </row>
    <row r="1131" spans="1:10" x14ac:dyDescent="0.3">
      <c r="A1131">
        <v>1130</v>
      </c>
      <c r="B1131">
        <v>30</v>
      </c>
      <c r="C1131">
        <v>18</v>
      </c>
      <c r="D1131">
        <f>IF('Boletins Nuppa Site'!F1131&lt;&gt;0,'Boletins Nuppa Site'!F1131,"NULL")</f>
        <v>12</v>
      </c>
      <c r="E1131">
        <f>IF('Boletins Nuppa Site'!G1131&lt;&gt;0,'Boletins Nuppa Site'!G1131,"NULL")</f>
        <v>10</v>
      </c>
      <c r="F1131">
        <f>IF('Boletins Nuppa Site'!H1131&lt;&gt;0,'Boletins Nuppa Site'!H1131,"NULL")</f>
        <v>12</v>
      </c>
      <c r="G1131">
        <f>IF('Boletins Nuppa Site'!I1131&lt;&gt;0,'Boletins Nuppa Site'!I1131,"NULL")</f>
        <v>11</v>
      </c>
      <c r="H1131">
        <f>IF('Boletins Nuppa Site'!J1131&lt;&gt;0,'Boletins Nuppa Site'!J1131,"NULL")</f>
        <v>11</v>
      </c>
      <c r="J1131" t="str">
        <f t="shared" si="17"/>
        <v>INSERT INTO COTACAO (blt_id, pap_id, cot_prc_comum, cot_prc_min, cot_prc_max, cot_prc_med, cot_prc_mediana) VALUES (30, 18, 12, 10, 12, 11, 11);</v>
      </c>
    </row>
    <row r="1132" spans="1:10" x14ac:dyDescent="0.3">
      <c r="A1132">
        <v>1131</v>
      </c>
      <c r="B1132">
        <v>30</v>
      </c>
      <c r="C1132">
        <v>19</v>
      </c>
      <c r="D1132" t="str">
        <f>IF('Boletins Nuppa Site'!F1132&lt;&gt;0,'Boletins Nuppa Site'!F1132,"NULL")</f>
        <v>NULL</v>
      </c>
      <c r="E1132">
        <f>IF('Boletins Nuppa Site'!G1132&lt;&gt;0,'Boletins Nuppa Site'!G1132,"NULL")</f>
        <v>10</v>
      </c>
      <c r="F1132">
        <f>IF('Boletins Nuppa Site'!H1132&lt;&gt;0,'Boletins Nuppa Site'!H1132,"NULL")</f>
        <v>30</v>
      </c>
      <c r="G1132" t="str">
        <f>IF('Boletins Nuppa Site'!I1132&lt;&gt;0,'Boletins Nuppa Site'!I1132,"NULL")</f>
        <v>18.75</v>
      </c>
      <c r="H1132" t="str">
        <f>IF('Boletins Nuppa Site'!J1132&lt;&gt;0,'Boletins Nuppa Site'!J1132,"NULL")</f>
        <v>17.5</v>
      </c>
      <c r="J1132" t="str">
        <f t="shared" si="17"/>
        <v>INSERT INTO COTACAO (blt_id, pap_id, cot_prc_comum, cot_prc_min, cot_prc_max, cot_prc_med, cot_prc_mediana) VALUES (30, 19, NULL, 10, 30, 18.75, 17.5);</v>
      </c>
    </row>
    <row r="1133" spans="1:10" x14ac:dyDescent="0.3">
      <c r="A1133">
        <v>1132</v>
      </c>
      <c r="B1133">
        <v>30</v>
      </c>
      <c r="C1133">
        <v>20</v>
      </c>
      <c r="D1133" t="str">
        <f>IF('Boletins Nuppa Site'!F1133&lt;&gt;0,'Boletins Nuppa Site'!F1133,"NULL")</f>
        <v>NULL</v>
      </c>
      <c r="E1133">
        <f>IF('Boletins Nuppa Site'!G1133&lt;&gt;0,'Boletins Nuppa Site'!G1133,"NULL")</f>
        <v>75</v>
      </c>
      <c r="F1133">
        <f>IF('Boletins Nuppa Site'!H1133&lt;&gt;0,'Boletins Nuppa Site'!H1133,"NULL")</f>
        <v>75</v>
      </c>
      <c r="G1133">
        <f>IF('Boletins Nuppa Site'!I1133&lt;&gt;0,'Boletins Nuppa Site'!I1133,"NULL")</f>
        <v>75</v>
      </c>
      <c r="H1133">
        <f>IF('Boletins Nuppa Site'!J1133&lt;&gt;0,'Boletins Nuppa Site'!J1133,"NULL")</f>
        <v>75</v>
      </c>
      <c r="J1133" t="str">
        <f t="shared" si="17"/>
        <v>INSERT INTO COTACAO (blt_id, pap_id, cot_prc_comum, cot_prc_min, cot_prc_max, cot_prc_med, cot_prc_mediana) VALUES (30, 20, NULL, 75, 75, 75, 75);</v>
      </c>
    </row>
    <row r="1134" spans="1:10" x14ac:dyDescent="0.3">
      <c r="A1134">
        <v>1133</v>
      </c>
      <c r="B1134">
        <v>30</v>
      </c>
      <c r="C1134">
        <v>21</v>
      </c>
      <c r="D1134">
        <f>IF('Boletins Nuppa Site'!F1134&lt;&gt;0,'Boletins Nuppa Site'!F1134,"NULL")</f>
        <v>60</v>
      </c>
      <c r="E1134">
        <f>IF('Boletins Nuppa Site'!G1134&lt;&gt;0,'Boletins Nuppa Site'!G1134,"NULL")</f>
        <v>50</v>
      </c>
      <c r="F1134">
        <f>IF('Boletins Nuppa Site'!H1134&lt;&gt;0,'Boletins Nuppa Site'!H1134,"NULL")</f>
        <v>60</v>
      </c>
      <c r="G1134">
        <f>IF('Boletins Nuppa Site'!I1134&lt;&gt;0,'Boletins Nuppa Site'!I1134,"NULL")</f>
        <v>57</v>
      </c>
      <c r="H1134">
        <f>IF('Boletins Nuppa Site'!J1134&lt;&gt;0,'Boletins Nuppa Site'!J1134,"NULL")</f>
        <v>60</v>
      </c>
      <c r="J1134" t="str">
        <f t="shared" si="17"/>
        <v>INSERT INTO COTACAO (blt_id, pap_id, cot_prc_comum, cot_prc_min, cot_prc_max, cot_prc_med, cot_prc_mediana) VALUES (30, 21, 60, 50, 60, 57, 60);</v>
      </c>
    </row>
    <row r="1135" spans="1:10" x14ac:dyDescent="0.3">
      <c r="A1135">
        <v>1134</v>
      </c>
      <c r="B1135">
        <v>30</v>
      </c>
      <c r="C1135">
        <v>22</v>
      </c>
      <c r="D1135">
        <f>IF('Boletins Nuppa Site'!F1135&lt;&gt;0,'Boletins Nuppa Site'!F1135,"NULL")</f>
        <v>70</v>
      </c>
      <c r="E1135">
        <f>IF('Boletins Nuppa Site'!G1135&lt;&gt;0,'Boletins Nuppa Site'!G1135,"NULL")</f>
        <v>45</v>
      </c>
      <c r="F1135">
        <f>IF('Boletins Nuppa Site'!H1135&lt;&gt;0,'Boletins Nuppa Site'!H1135,"NULL")</f>
        <v>70</v>
      </c>
      <c r="G1135">
        <f>IF('Boletins Nuppa Site'!I1135&lt;&gt;0,'Boletins Nuppa Site'!I1135,"NULL")</f>
        <v>63</v>
      </c>
      <c r="H1135">
        <f>IF('Boletins Nuppa Site'!J1135&lt;&gt;0,'Boletins Nuppa Site'!J1135,"NULL")</f>
        <v>70</v>
      </c>
      <c r="J1135" t="str">
        <f t="shared" si="17"/>
        <v>INSERT INTO COTACAO (blt_id, pap_id, cot_prc_comum, cot_prc_min, cot_prc_max, cot_prc_med, cot_prc_mediana) VALUES (30, 22, 70, 45, 70, 63, 70);</v>
      </c>
    </row>
    <row r="1136" spans="1:10" x14ac:dyDescent="0.3">
      <c r="A1136">
        <v>1135</v>
      </c>
      <c r="B1136">
        <v>30</v>
      </c>
      <c r="C1136">
        <v>23</v>
      </c>
      <c r="D1136">
        <f>IF('Boletins Nuppa Site'!F1136&lt;&gt;0,'Boletins Nuppa Site'!F1136,"NULL")</f>
        <v>50</v>
      </c>
      <c r="E1136">
        <f>IF('Boletins Nuppa Site'!G1136&lt;&gt;0,'Boletins Nuppa Site'!G1136,"NULL")</f>
        <v>45</v>
      </c>
      <c r="F1136">
        <f>IF('Boletins Nuppa Site'!H1136&lt;&gt;0,'Boletins Nuppa Site'!H1136,"NULL")</f>
        <v>60</v>
      </c>
      <c r="G1136">
        <f>IF('Boletins Nuppa Site'!I1136&lt;&gt;0,'Boletins Nuppa Site'!I1136,"NULL")</f>
        <v>52</v>
      </c>
      <c r="H1136">
        <f>IF('Boletins Nuppa Site'!J1136&lt;&gt;0,'Boletins Nuppa Site'!J1136,"NULL")</f>
        <v>50</v>
      </c>
      <c r="J1136" t="str">
        <f t="shared" si="17"/>
        <v>INSERT INTO COTACAO (blt_id, pap_id, cot_prc_comum, cot_prc_min, cot_prc_max, cot_prc_med, cot_prc_mediana) VALUES (30, 23, 50, 45, 60, 52, 50);</v>
      </c>
    </row>
    <row r="1137" spans="1:10" x14ac:dyDescent="0.3">
      <c r="A1137">
        <v>1136</v>
      </c>
      <c r="B1137">
        <v>30</v>
      </c>
      <c r="C1137">
        <v>24</v>
      </c>
      <c r="D1137" t="str">
        <f>IF('Boletins Nuppa Site'!F1137&lt;&gt;0,'Boletins Nuppa Site'!F1137,"NULL")</f>
        <v>NULL</v>
      </c>
      <c r="E1137">
        <f>IF('Boletins Nuppa Site'!G1137&lt;&gt;0,'Boletins Nuppa Site'!G1137,"NULL")</f>
        <v>90</v>
      </c>
      <c r="F1137">
        <f>IF('Boletins Nuppa Site'!H1137&lt;&gt;0,'Boletins Nuppa Site'!H1137,"NULL")</f>
        <v>90</v>
      </c>
      <c r="G1137">
        <f>IF('Boletins Nuppa Site'!I1137&lt;&gt;0,'Boletins Nuppa Site'!I1137,"NULL")</f>
        <v>90</v>
      </c>
      <c r="H1137">
        <f>IF('Boletins Nuppa Site'!J1137&lt;&gt;0,'Boletins Nuppa Site'!J1137,"NULL")</f>
        <v>90</v>
      </c>
      <c r="J1137" t="str">
        <f t="shared" si="17"/>
        <v>INSERT INTO COTACAO (blt_id, pap_id, cot_prc_comum, cot_prc_min, cot_prc_max, cot_prc_med, cot_prc_mediana) VALUES (30, 24, NULL, 90, 90, 90, 90);</v>
      </c>
    </row>
    <row r="1138" spans="1:10" x14ac:dyDescent="0.3">
      <c r="A1138">
        <v>1137</v>
      </c>
      <c r="B1138">
        <v>30</v>
      </c>
      <c r="C1138">
        <v>25</v>
      </c>
      <c r="D1138">
        <f>IF('Boletins Nuppa Site'!F1138&lt;&gt;0,'Boletins Nuppa Site'!F1138,"NULL")</f>
        <v>70</v>
      </c>
      <c r="E1138">
        <f>IF('Boletins Nuppa Site'!G1138&lt;&gt;0,'Boletins Nuppa Site'!G1138,"NULL")</f>
        <v>60</v>
      </c>
      <c r="F1138">
        <f>IF('Boletins Nuppa Site'!H1138&lt;&gt;0,'Boletins Nuppa Site'!H1138,"NULL")</f>
        <v>70</v>
      </c>
      <c r="G1138">
        <f>IF('Boletins Nuppa Site'!I1138&lt;&gt;0,'Boletins Nuppa Site'!I1138,"NULL")</f>
        <v>65</v>
      </c>
      <c r="H1138">
        <f>IF('Boletins Nuppa Site'!J1138&lt;&gt;0,'Boletins Nuppa Site'!J1138,"NULL")</f>
        <v>65</v>
      </c>
      <c r="J1138" t="str">
        <f t="shared" si="17"/>
        <v>INSERT INTO COTACAO (blt_id, pap_id, cot_prc_comum, cot_prc_min, cot_prc_max, cot_prc_med, cot_prc_mediana) VALUES (30, 25, 70, 60, 70, 65, 65);</v>
      </c>
    </row>
    <row r="1139" spans="1:10" x14ac:dyDescent="0.3">
      <c r="A1139">
        <v>1138</v>
      </c>
      <c r="B1139">
        <v>30</v>
      </c>
      <c r="C1139">
        <v>26</v>
      </c>
      <c r="D1139">
        <f>IF('Boletins Nuppa Site'!F1139&lt;&gt;0,'Boletins Nuppa Site'!F1139,"NULL")</f>
        <v>60</v>
      </c>
      <c r="E1139">
        <f>IF('Boletins Nuppa Site'!G1139&lt;&gt;0,'Boletins Nuppa Site'!G1139,"NULL")</f>
        <v>45</v>
      </c>
      <c r="F1139">
        <f>IF('Boletins Nuppa Site'!H1139&lt;&gt;0,'Boletins Nuppa Site'!H1139,"NULL")</f>
        <v>65</v>
      </c>
      <c r="G1139">
        <f>IF('Boletins Nuppa Site'!I1139&lt;&gt;0,'Boletins Nuppa Site'!I1139,"NULL")</f>
        <v>57</v>
      </c>
      <c r="H1139">
        <f>IF('Boletins Nuppa Site'!J1139&lt;&gt;0,'Boletins Nuppa Site'!J1139,"NULL")</f>
        <v>60</v>
      </c>
      <c r="J1139" t="str">
        <f t="shared" si="17"/>
        <v>INSERT INTO COTACAO (blt_id, pap_id, cot_prc_comum, cot_prc_min, cot_prc_max, cot_prc_med, cot_prc_mediana) VALUES (30, 26, 60, 45, 65, 57, 60);</v>
      </c>
    </row>
    <row r="1140" spans="1:10" x14ac:dyDescent="0.3">
      <c r="A1140">
        <v>1139</v>
      </c>
      <c r="B1140">
        <v>30</v>
      </c>
      <c r="C1140">
        <v>27</v>
      </c>
      <c r="D1140">
        <f>IF('Boletins Nuppa Site'!F1140&lt;&gt;0,'Boletins Nuppa Site'!F1140,"NULL")</f>
        <v>60</v>
      </c>
      <c r="E1140">
        <f>IF('Boletins Nuppa Site'!G1140&lt;&gt;0,'Boletins Nuppa Site'!G1140,"NULL")</f>
        <v>55</v>
      </c>
      <c r="F1140">
        <f>IF('Boletins Nuppa Site'!H1140&lt;&gt;0,'Boletins Nuppa Site'!H1140,"NULL")</f>
        <v>80</v>
      </c>
      <c r="G1140">
        <f>IF('Boletins Nuppa Site'!I1140&lt;&gt;0,'Boletins Nuppa Site'!I1140,"NULL")</f>
        <v>66</v>
      </c>
      <c r="H1140">
        <f>IF('Boletins Nuppa Site'!J1140&lt;&gt;0,'Boletins Nuppa Site'!J1140,"NULL")</f>
        <v>60</v>
      </c>
      <c r="J1140" t="str">
        <f t="shared" si="17"/>
        <v>INSERT INTO COTACAO (blt_id, pap_id, cot_prc_comum, cot_prc_min, cot_prc_max, cot_prc_med, cot_prc_mediana) VALUES (30, 27, 60, 55, 80, 66, 60);</v>
      </c>
    </row>
    <row r="1141" spans="1:10" x14ac:dyDescent="0.3">
      <c r="A1141">
        <v>1140</v>
      </c>
      <c r="B1141">
        <v>30</v>
      </c>
      <c r="C1141">
        <v>28</v>
      </c>
      <c r="D1141">
        <f>IF('Boletins Nuppa Site'!F1141&lt;&gt;0,'Boletins Nuppa Site'!F1141,"NULL")</f>
        <v>90</v>
      </c>
      <c r="E1141">
        <f>IF('Boletins Nuppa Site'!G1141&lt;&gt;0,'Boletins Nuppa Site'!G1141,"NULL")</f>
        <v>90</v>
      </c>
      <c r="F1141">
        <f>IF('Boletins Nuppa Site'!H1141&lt;&gt;0,'Boletins Nuppa Site'!H1141,"NULL")</f>
        <v>100</v>
      </c>
      <c r="G1141" t="str">
        <f>IF('Boletins Nuppa Site'!I1141&lt;&gt;0,'Boletins Nuppa Site'!I1141,"NULL")</f>
        <v>93.75</v>
      </c>
      <c r="H1141" t="str">
        <f>IF('Boletins Nuppa Site'!J1141&lt;&gt;0,'Boletins Nuppa Site'!J1141,"NULL")</f>
        <v>92.5</v>
      </c>
      <c r="J1141" t="str">
        <f t="shared" si="17"/>
        <v>INSERT INTO COTACAO (blt_id, pap_id, cot_prc_comum, cot_prc_min, cot_prc_max, cot_prc_med, cot_prc_mediana) VALUES (30, 28, 90, 90, 100, 93.75, 92.5);</v>
      </c>
    </row>
    <row r="1142" spans="1:10" x14ac:dyDescent="0.3">
      <c r="A1142">
        <v>1141</v>
      </c>
      <c r="B1142">
        <v>30</v>
      </c>
      <c r="C1142">
        <v>29</v>
      </c>
      <c r="D1142" t="str">
        <f>IF('Boletins Nuppa Site'!F1142&lt;&gt;0,'Boletins Nuppa Site'!F1142,"NULL")</f>
        <v>NULL</v>
      </c>
      <c r="E1142">
        <f>IF('Boletins Nuppa Site'!G1142&lt;&gt;0,'Boletins Nuppa Site'!G1142,"NULL")</f>
        <v>50</v>
      </c>
      <c r="F1142">
        <f>IF('Boletins Nuppa Site'!H1142&lt;&gt;0,'Boletins Nuppa Site'!H1142,"NULL")</f>
        <v>65</v>
      </c>
      <c r="G1142" t="str">
        <f>IF('Boletins Nuppa Site'!I1142&lt;&gt;0,'Boletins Nuppa Site'!I1142,"NULL")</f>
        <v>57.5</v>
      </c>
      <c r="H1142" t="str">
        <f>IF('Boletins Nuppa Site'!J1142&lt;&gt;0,'Boletins Nuppa Site'!J1142,"NULL")</f>
        <v>57.5</v>
      </c>
      <c r="J1142" t="str">
        <f t="shared" si="17"/>
        <v>INSERT INTO COTACAO (blt_id, pap_id, cot_prc_comum, cot_prc_min, cot_prc_max, cot_prc_med, cot_prc_mediana) VALUES (30, 29, NULL, 50, 65, 57.5, 57.5);</v>
      </c>
    </row>
    <row r="1143" spans="1:10" x14ac:dyDescent="0.3">
      <c r="A1143">
        <v>1142</v>
      </c>
      <c r="B1143">
        <v>30</v>
      </c>
      <c r="C1143">
        <v>30</v>
      </c>
      <c r="D1143" t="str">
        <f>IF('Boletins Nuppa Site'!F1143&lt;&gt;0,'Boletins Nuppa Site'!F1143,"NULL")</f>
        <v>NULL</v>
      </c>
      <c r="E1143">
        <f>IF('Boletins Nuppa Site'!G1143&lt;&gt;0,'Boletins Nuppa Site'!G1143,"NULL")</f>
        <v>60</v>
      </c>
      <c r="F1143">
        <f>IF('Boletins Nuppa Site'!H1143&lt;&gt;0,'Boletins Nuppa Site'!H1143,"NULL")</f>
        <v>85</v>
      </c>
      <c r="G1143" t="str">
        <f>IF('Boletins Nuppa Site'!I1143&lt;&gt;0,'Boletins Nuppa Site'!I1143,"NULL")</f>
        <v>71.25</v>
      </c>
      <c r="H1143">
        <f>IF('Boletins Nuppa Site'!J1143&lt;&gt;0,'Boletins Nuppa Site'!J1143,"NULL")</f>
        <v>70</v>
      </c>
      <c r="J1143" t="str">
        <f t="shared" si="17"/>
        <v>INSERT INTO COTACAO (blt_id, pap_id, cot_prc_comum, cot_prc_min, cot_prc_max, cot_prc_med, cot_prc_mediana) VALUES (30, 30, NULL, 60, 85, 71.25, 70);</v>
      </c>
    </row>
    <row r="1144" spans="1:10" x14ac:dyDescent="0.3">
      <c r="A1144">
        <v>1143</v>
      </c>
      <c r="B1144">
        <v>30</v>
      </c>
      <c r="C1144">
        <v>31</v>
      </c>
      <c r="D1144">
        <f>IF('Boletins Nuppa Site'!F1144&lt;&gt;0,'Boletins Nuppa Site'!F1144,"NULL")</f>
        <v>90</v>
      </c>
      <c r="E1144">
        <f>IF('Boletins Nuppa Site'!G1144&lt;&gt;0,'Boletins Nuppa Site'!G1144,"NULL")</f>
        <v>80</v>
      </c>
      <c r="F1144">
        <f>IF('Boletins Nuppa Site'!H1144&lt;&gt;0,'Boletins Nuppa Site'!H1144,"NULL")</f>
        <v>100</v>
      </c>
      <c r="G1144">
        <f>IF('Boletins Nuppa Site'!I1144&lt;&gt;0,'Boletins Nuppa Site'!I1144,"NULL")</f>
        <v>90</v>
      </c>
      <c r="H1144">
        <f>IF('Boletins Nuppa Site'!J1144&lt;&gt;0,'Boletins Nuppa Site'!J1144,"NULL")</f>
        <v>90</v>
      </c>
      <c r="J1144" t="str">
        <f t="shared" si="17"/>
        <v>INSERT INTO COTACAO (blt_id, pap_id, cot_prc_comum, cot_prc_min, cot_prc_max, cot_prc_med, cot_prc_mediana) VALUES (30, 31, 90, 80, 100, 90, 90);</v>
      </c>
    </row>
    <row r="1145" spans="1:10" x14ac:dyDescent="0.3">
      <c r="A1145">
        <v>1144</v>
      </c>
      <c r="B1145">
        <v>30</v>
      </c>
      <c r="C1145">
        <v>32</v>
      </c>
      <c r="D1145">
        <f>IF('Boletins Nuppa Site'!F1145&lt;&gt;0,'Boletins Nuppa Site'!F1145,"NULL")</f>
        <v>55</v>
      </c>
      <c r="E1145">
        <f>IF('Boletins Nuppa Site'!G1145&lt;&gt;0,'Boletins Nuppa Site'!G1145,"NULL")</f>
        <v>50</v>
      </c>
      <c r="F1145">
        <f>IF('Boletins Nuppa Site'!H1145&lt;&gt;0,'Boletins Nuppa Site'!H1145,"NULL")</f>
        <v>70</v>
      </c>
      <c r="G1145">
        <f>IF('Boletins Nuppa Site'!I1145&lt;&gt;0,'Boletins Nuppa Site'!I1145,"NULL")</f>
        <v>56</v>
      </c>
      <c r="H1145">
        <f>IF('Boletins Nuppa Site'!J1145&lt;&gt;0,'Boletins Nuppa Site'!J1145,"NULL")</f>
        <v>55</v>
      </c>
      <c r="J1145" t="str">
        <f t="shared" si="17"/>
        <v>INSERT INTO COTACAO (blt_id, pap_id, cot_prc_comum, cot_prc_min, cot_prc_max, cot_prc_med, cot_prc_mediana) VALUES (30, 32, 55, 50, 70, 56, 55);</v>
      </c>
    </row>
    <row r="1146" spans="1:10" x14ac:dyDescent="0.3">
      <c r="A1146">
        <v>1145</v>
      </c>
      <c r="B1146">
        <v>30</v>
      </c>
      <c r="C1146">
        <v>33</v>
      </c>
      <c r="D1146">
        <f>IF('Boletins Nuppa Site'!F1146&lt;&gt;0,'Boletins Nuppa Site'!F1146,"NULL")</f>
        <v>130</v>
      </c>
      <c r="E1146">
        <f>IF('Boletins Nuppa Site'!G1146&lt;&gt;0,'Boletins Nuppa Site'!G1146,"NULL")</f>
        <v>130</v>
      </c>
      <c r="F1146">
        <f>IF('Boletins Nuppa Site'!H1146&lt;&gt;0,'Boletins Nuppa Site'!H1146,"NULL")</f>
        <v>150</v>
      </c>
      <c r="G1146" t="str">
        <f>IF('Boletins Nuppa Site'!I1146&lt;&gt;0,'Boletins Nuppa Site'!I1146,"NULL")</f>
        <v>137.5</v>
      </c>
      <c r="H1146">
        <f>IF('Boletins Nuppa Site'!J1146&lt;&gt;0,'Boletins Nuppa Site'!J1146,"NULL")</f>
        <v>135</v>
      </c>
      <c r="J1146" t="str">
        <f t="shared" si="17"/>
        <v>INSERT INTO COTACAO (blt_id, pap_id, cot_prc_comum, cot_prc_min, cot_prc_max, cot_prc_med, cot_prc_mediana) VALUES (30, 33, 130, 130, 150, 137.5, 135);</v>
      </c>
    </row>
    <row r="1147" spans="1:10" x14ac:dyDescent="0.3">
      <c r="A1147">
        <v>1146</v>
      </c>
      <c r="B1147">
        <v>30</v>
      </c>
      <c r="C1147">
        <v>34</v>
      </c>
      <c r="D1147">
        <f>IF('Boletins Nuppa Site'!F1147&lt;&gt;0,'Boletins Nuppa Site'!F1147,"NULL")</f>
        <v>60</v>
      </c>
      <c r="E1147">
        <f>IF('Boletins Nuppa Site'!G1147&lt;&gt;0,'Boletins Nuppa Site'!G1147,"NULL")</f>
        <v>45</v>
      </c>
      <c r="F1147">
        <f>IF('Boletins Nuppa Site'!H1147&lt;&gt;0,'Boletins Nuppa Site'!H1147,"NULL")</f>
        <v>65</v>
      </c>
      <c r="G1147">
        <f>IF('Boletins Nuppa Site'!I1147&lt;&gt;0,'Boletins Nuppa Site'!I1147,"NULL")</f>
        <v>58</v>
      </c>
      <c r="H1147">
        <f>IF('Boletins Nuppa Site'!J1147&lt;&gt;0,'Boletins Nuppa Site'!J1147,"NULL")</f>
        <v>60</v>
      </c>
      <c r="J1147" t="str">
        <f t="shared" si="17"/>
        <v>INSERT INTO COTACAO (blt_id, pap_id, cot_prc_comum, cot_prc_min, cot_prc_max, cot_prc_med, cot_prc_mediana) VALUES (30, 34, 60, 45, 65, 58, 60);</v>
      </c>
    </row>
    <row r="1148" spans="1:10" x14ac:dyDescent="0.3">
      <c r="A1148">
        <v>1147</v>
      </c>
      <c r="B1148">
        <v>30</v>
      </c>
      <c r="C1148">
        <v>35</v>
      </c>
      <c r="D1148">
        <f>IF('Boletins Nuppa Site'!F1148&lt;&gt;0,'Boletins Nuppa Site'!F1148,"NULL")</f>
        <v>150</v>
      </c>
      <c r="E1148">
        <f>IF('Boletins Nuppa Site'!G1148&lt;&gt;0,'Boletins Nuppa Site'!G1148,"NULL")</f>
        <v>140</v>
      </c>
      <c r="F1148">
        <f>IF('Boletins Nuppa Site'!H1148&lt;&gt;0,'Boletins Nuppa Site'!H1148,"NULL")</f>
        <v>150</v>
      </c>
      <c r="G1148" t="str">
        <f>IF('Boletins Nuppa Site'!I1148&lt;&gt;0,'Boletins Nuppa Site'!I1148,"NULL")</f>
        <v>147.5</v>
      </c>
      <c r="H1148">
        <f>IF('Boletins Nuppa Site'!J1148&lt;&gt;0,'Boletins Nuppa Site'!J1148,"NULL")</f>
        <v>150</v>
      </c>
      <c r="J1148" t="str">
        <f t="shared" si="17"/>
        <v>INSERT INTO COTACAO (blt_id, pap_id, cot_prc_comum, cot_prc_min, cot_prc_max, cot_prc_med, cot_prc_mediana) VALUES (30, 35, 150, 140, 150, 147.5, 150);</v>
      </c>
    </row>
    <row r="1149" spans="1:10" x14ac:dyDescent="0.3">
      <c r="A1149">
        <v>1148</v>
      </c>
      <c r="B1149">
        <v>30</v>
      </c>
      <c r="C1149">
        <v>36</v>
      </c>
      <c r="D1149" t="str">
        <f>IF('Boletins Nuppa Site'!F1149&lt;&gt;0,'Boletins Nuppa Site'!F1149,"NULL")</f>
        <v>NULL</v>
      </c>
      <c r="E1149" t="str">
        <f>IF('Boletins Nuppa Site'!G1149&lt;&gt;0,'Boletins Nuppa Site'!G1149,"NULL")</f>
        <v>NULL</v>
      </c>
      <c r="F1149" t="str">
        <f>IF('Boletins Nuppa Site'!H1149&lt;&gt;0,'Boletins Nuppa Site'!H1149,"NULL")</f>
        <v>NULL</v>
      </c>
      <c r="G1149" t="str">
        <f>IF('Boletins Nuppa Site'!I1149&lt;&gt;0,'Boletins Nuppa Site'!I1149,"NULL")</f>
        <v>NULL</v>
      </c>
      <c r="H1149" t="str">
        <f>IF('Boletins Nuppa Site'!J1149&lt;&gt;0,'Boletins Nuppa Site'!J1149,"NULL")</f>
        <v>NULL</v>
      </c>
      <c r="J1149" t="str">
        <f t="shared" si="17"/>
        <v>INSERT INTO COTACAO (blt_id, pap_id, cot_prc_comum, cot_prc_min, cot_prc_max, cot_prc_med, cot_prc_mediana) VALUES (30, 36, NULL, NULL, NULL, NULL, NULL);</v>
      </c>
    </row>
    <row r="1150" spans="1:10" x14ac:dyDescent="0.3">
      <c r="A1150">
        <v>1149</v>
      </c>
      <c r="B1150">
        <v>30</v>
      </c>
      <c r="C1150">
        <v>37</v>
      </c>
      <c r="D1150" t="str">
        <f>IF('Boletins Nuppa Site'!F1150&lt;&gt;0,'Boletins Nuppa Site'!F1150,"NULL")</f>
        <v>NULL</v>
      </c>
      <c r="E1150" t="str">
        <f>IF('Boletins Nuppa Site'!G1150&lt;&gt;0,'Boletins Nuppa Site'!G1150,"NULL")</f>
        <v>NULL</v>
      </c>
      <c r="F1150" t="str">
        <f>IF('Boletins Nuppa Site'!H1150&lt;&gt;0,'Boletins Nuppa Site'!H1150,"NULL")</f>
        <v>NULL</v>
      </c>
      <c r="G1150" t="str">
        <f>IF('Boletins Nuppa Site'!I1150&lt;&gt;0,'Boletins Nuppa Site'!I1150,"NULL")</f>
        <v>NULL</v>
      </c>
      <c r="H1150" t="str">
        <f>IF('Boletins Nuppa Site'!J1150&lt;&gt;0,'Boletins Nuppa Site'!J1150,"NULL")</f>
        <v>NULL</v>
      </c>
      <c r="J1150" t="str">
        <f t="shared" si="17"/>
        <v>INSERT INTO COTACAO (blt_id, pap_id, cot_prc_comum, cot_prc_min, cot_prc_max, cot_prc_med, cot_prc_mediana) VALUES (30, 37, NULL, NULL, NULL, NULL, NULL);</v>
      </c>
    </row>
    <row r="1151" spans="1:10" x14ac:dyDescent="0.3">
      <c r="A1151">
        <v>1150</v>
      </c>
      <c r="B1151">
        <v>30</v>
      </c>
      <c r="C1151">
        <v>38</v>
      </c>
      <c r="D1151" t="str">
        <f>IF('Boletins Nuppa Site'!F1151&lt;&gt;0,'Boletins Nuppa Site'!F1151,"NULL")</f>
        <v>NULL</v>
      </c>
      <c r="E1151" t="str">
        <f>IF('Boletins Nuppa Site'!G1151&lt;&gt;0,'Boletins Nuppa Site'!G1151,"NULL")</f>
        <v>NULL</v>
      </c>
      <c r="F1151" t="str">
        <f>IF('Boletins Nuppa Site'!H1151&lt;&gt;0,'Boletins Nuppa Site'!H1151,"NULL")</f>
        <v>NULL</v>
      </c>
      <c r="G1151" t="str">
        <f>IF('Boletins Nuppa Site'!I1151&lt;&gt;0,'Boletins Nuppa Site'!I1151,"NULL")</f>
        <v>NULL</v>
      </c>
      <c r="H1151" t="str">
        <f>IF('Boletins Nuppa Site'!J1151&lt;&gt;0,'Boletins Nuppa Site'!J1151,"NULL")</f>
        <v>NULL</v>
      </c>
      <c r="J1151" t="str">
        <f t="shared" si="17"/>
        <v>INSERT INTO COTACAO (blt_id, pap_id, cot_prc_comum, cot_prc_min, cot_prc_max, cot_prc_med, cot_prc_mediana) VALUES (30, 38, NULL, NULL, NULL, NULL, NULL);</v>
      </c>
    </row>
    <row r="1152" spans="1:10" x14ac:dyDescent="0.3">
      <c r="A1152">
        <v>1151</v>
      </c>
      <c r="B1152">
        <v>30</v>
      </c>
      <c r="C1152">
        <v>39</v>
      </c>
      <c r="D1152" t="str">
        <f>IF('Boletins Nuppa Site'!F1152&lt;&gt;0,'Boletins Nuppa Site'!F1152,"NULL")</f>
        <v>NULL</v>
      </c>
      <c r="E1152">
        <f>IF('Boletins Nuppa Site'!G1152&lt;&gt;0,'Boletins Nuppa Site'!G1152,"NULL")</f>
        <v>60</v>
      </c>
      <c r="F1152">
        <f>IF('Boletins Nuppa Site'!H1152&lt;&gt;0,'Boletins Nuppa Site'!H1152,"NULL")</f>
        <v>60</v>
      </c>
      <c r="G1152">
        <f>IF('Boletins Nuppa Site'!I1152&lt;&gt;0,'Boletins Nuppa Site'!I1152,"NULL")</f>
        <v>60</v>
      </c>
      <c r="H1152">
        <f>IF('Boletins Nuppa Site'!J1152&lt;&gt;0,'Boletins Nuppa Site'!J1152,"NULL")</f>
        <v>60</v>
      </c>
      <c r="J1152" t="str">
        <f t="shared" si="17"/>
        <v>INSERT INTO COTACAO (blt_id, pap_id, cot_prc_comum, cot_prc_min, cot_prc_max, cot_prc_med, cot_prc_mediana) VALUES (30, 39, NULL, 60, 60, 60, 60);</v>
      </c>
    </row>
    <row r="1153" spans="1:10" x14ac:dyDescent="0.3">
      <c r="A1153">
        <v>1152</v>
      </c>
      <c r="B1153">
        <v>30</v>
      </c>
      <c r="C1153">
        <v>40</v>
      </c>
      <c r="D1153" t="str">
        <f>IF('Boletins Nuppa Site'!F1153&lt;&gt;0,'Boletins Nuppa Site'!F1153,"NULL")</f>
        <v>NULL</v>
      </c>
      <c r="E1153" t="str">
        <f>IF('Boletins Nuppa Site'!G1153&lt;&gt;0,'Boletins Nuppa Site'!G1153,"NULL")</f>
        <v>NULL</v>
      </c>
      <c r="F1153" t="str">
        <f>IF('Boletins Nuppa Site'!H1153&lt;&gt;0,'Boletins Nuppa Site'!H1153,"NULL")</f>
        <v>NULL</v>
      </c>
      <c r="G1153" t="str">
        <f>IF('Boletins Nuppa Site'!I1153&lt;&gt;0,'Boletins Nuppa Site'!I1153,"NULL")</f>
        <v>NULL</v>
      </c>
      <c r="H1153" t="str">
        <f>IF('Boletins Nuppa Site'!J1153&lt;&gt;0,'Boletins Nuppa Site'!J1153,"NULL")</f>
        <v>NULL</v>
      </c>
      <c r="J1153" t="str">
        <f t="shared" si="17"/>
        <v>INSERT INTO COTACAO (blt_id, pap_id, cot_prc_comum, cot_prc_min, cot_prc_max, cot_prc_med, cot_prc_mediana) VALUES (30, 40, NULL, NULL, NULL, NULL, NULL);</v>
      </c>
    </row>
    <row r="1154" spans="1:10" x14ac:dyDescent="0.3">
      <c r="A1154">
        <v>1153</v>
      </c>
      <c r="B1154">
        <v>31</v>
      </c>
      <c r="C1154">
        <v>1</v>
      </c>
      <c r="D1154">
        <f>IF('Boletins Nuppa Site'!F1154&lt;&gt;0,'Boletins Nuppa Site'!F1154,"NULL")</f>
        <v>48</v>
      </c>
      <c r="E1154">
        <f>IF('Boletins Nuppa Site'!G1154&lt;&gt;0,'Boletins Nuppa Site'!G1154,"NULL")</f>
        <v>48</v>
      </c>
      <c r="F1154">
        <f>IF('Boletins Nuppa Site'!H1154&lt;&gt;0,'Boletins Nuppa Site'!H1154,"NULL")</f>
        <v>48</v>
      </c>
      <c r="G1154">
        <f>IF('Boletins Nuppa Site'!I1154&lt;&gt;0,'Boletins Nuppa Site'!I1154,"NULL")</f>
        <v>48</v>
      </c>
      <c r="H1154">
        <f>IF('Boletins Nuppa Site'!J1154&lt;&gt;0,'Boletins Nuppa Site'!J1154,"NULL")</f>
        <v>48</v>
      </c>
      <c r="J1154" t="str">
        <f t="shared" si="17"/>
        <v>INSERT INTO COTACAO (blt_id, pap_id, cot_prc_comum, cot_prc_min, cot_prc_max, cot_prc_med, cot_prc_mediana) VALUES (31, 1, 48, 48, 48, 48, 48);</v>
      </c>
    </row>
    <row r="1155" spans="1:10" x14ac:dyDescent="0.3">
      <c r="A1155">
        <v>1154</v>
      </c>
      <c r="B1155">
        <v>31</v>
      </c>
      <c r="C1155">
        <v>2</v>
      </c>
      <c r="D1155" t="str">
        <f>IF('Boletins Nuppa Site'!F1155&lt;&gt;0,'Boletins Nuppa Site'!F1155,"NULL")</f>
        <v>NULL</v>
      </c>
      <c r="E1155">
        <f>IF('Boletins Nuppa Site'!G1155&lt;&gt;0,'Boletins Nuppa Site'!G1155,"NULL")</f>
        <v>60</v>
      </c>
      <c r="F1155">
        <f>IF('Boletins Nuppa Site'!H1155&lt;&gt;0,'Boletins Nuppa Site'!H1155,"NULL")</f>
        <v>84</v>
      </c>
      <c r="G1155">
        <f>IF('Boletins Nuppa Site'!I1155&lt;&gt;0,'Boletins Nuppa Site'!I1155,"NULL")</f>
        <v>72</v>
      </c>
      <c r="H1155">
        <f>IF('Boletins Nuppa Site'!J1155&lt;&gt;0,'Boletins Nuppa Site'!J1155,"NULL")</f>
        <v>72</v>
      </c>
      <c r="J1155" t="str">
        <f t="shared" ref="J1155:J1218" si="18">"INSERT INTO COTACAO (blt_id, pap_id, cot_prc_comum, cot_prc_min, cot_prc_max, cot_prc_med, cot_prc_mediana) VALUES ("&amp;B1155&amp;", "&amp;C1155&amp;", "&amp;D1155&amp;", "&amp;E1155&amp;", "&amp;F1155&amp;", "&amp;G1155&amp;", "&amp;H1155&amp;");"</f>
        <v>INSERT INTO COTACAO (blt_id, pap_id, cot_prc_comum, cot_prc_min, cot_prc_max, cot_prc_med, cot_prc_mediana) VALUES (31, 2, NULL, 60, 84, 72, 72);</v>
      </c>
    </row>
    <row r="1156" spans="1:10" x14ac:dyDescent="0.3">
      <c r="A1156">
        <v>1155</v>
      </c>
      <c r="B1156">
        <v>31</v>
      </c>
      <c r="C1156">
        <v>3</v>
      </c>
      <c r="D1156">
        <f>IF('Boletins Nuppa Site'!F1156&lt;&gt;0,'Boletins Nuppa Site'!F1156,"NULL")</f>
        <v>30</v>
      </c>
      <c r="E1156">
        <f>IF('Boletins Nuppa Site'!G1156&lt;&gt;0,'Boletins Nuppa Site'!G1156,"NULL")</f>
        <v>30</v>
      </c>
      <c r="F1156">
        <f>IF('Boletins Nuppa Site'!H1156&lt;&gt;0,'Boletins Nuppa Site'!H1156,"NULL")</f>
        <v>42</v>
      </c>
      <c r="G1156" t="str">
        <f>IF('Boletins Nuppa Site'!I1156&lt;&gt;0,'Boletins Nuppa Site'!I1156,"NULL")</f>
        <v>34.5</v>
      </c>
      <c r="H1156">
        <f>IF('Boletins Nuppa Site'!J1156&lt;&gt;0,'Boletins Nuppa Site'!J1156,"NULL")</f>
        <v>33</v>
      </c>
      <c r="J1156" t="str">
        <f t="shared" si="18"/>
        <v>INSERT INTO COTACAO (blt_id, pap_id, cot_prc_comum, cot_prc_min, cot_prc_max, cot_prc_med, cot_prc_mediana) VALUES (31, 3, 30, 30, 42, 34.5, 33);</v>
      </c>
    </row>
    <row r="1157" spans="1:10" x14ac:dyDescent="0.3">
      <c r="A1157">
        <v>1156</v>
      </c>
      <c r="B1157">
        <v>31</v>
      </c>
      <c r="C1157">
        <v>4</v>
      </c>
      <c r="D1157">
        <f>IF('Boletins Nuppa Site'!F1157&lt;&gt;0,'Boletins Nuppa Site'!F1157,"NULL")</f>
        <v>24</v>
      </c>
      <c r="E1157">
        <f>IF('Boletins Nuppa Site'!G1157&lt;&gt;0,'Boletins Nuppa Site'!G1157,"NULL")</f>
        <v>18</v>
      </c>
      <c r="F1157">
        <f>IF('Boletins Nuppa Site'!H1157&lt;&gt;0,'Boletins Nuppa Site'!H1157,"NULL")</f>
        <v>24</v>
      </c>
      <c r="G1157">
        <f>IF('Boletins Nuppa Site'!I1157&lt;&gt;0,'Boletins Nuppa Site'!I1157,"NULL")</f>
        <v>21</v>
      </c>
      <c r="H1157">
        <f>IF('Boletins Nuppa Site'!J1157&lt;&gt;0,'Boletins Nuppa Site'!J1157,"NULL")</f>
        <v>21</v>
      </c>
      <c r="J1157" t="str">
        <f t="shared" si="18"/>
        <v>INSERT INTO COTACAO (blt_id, pap_id, cot_prc_comum, cot_prc_min, cot_prc_max, cot_prc_med, cot_prc_mediana) VALUES (31, 4, 24, 18, 24, 21, 21);</v>
      </c>
    </row>
    <row r="1158" spans="1:10" x14ac:dyDescent="0.3">
      <c r="A1158">
        <v>1157</v>
      </c>
      <c r="B1158">
        <v>31</v>
      </c>
      <c r="C1158">
        <v>5</v>
      </c>
      <c r="D1158">
        <f>IF('Boletins Nuppa Site'!F1158&lt;&gt;0,'Boletins Nuppa Site'!F1158,"NULL")</f>
        <v>24</v>
      </c>
      <c r="E1158">
        <f>IF('Boletins Nuppa Site'!G1158&lt;&gt;0,'Boletins Nuppa Site'!G1158,"NULL")</f>
        <v>18</v>
      </c>
      <c r="F1158">
        <f>IF('Boletins Nuppa Site'!H1158&lt;&gt;0,'Boletins Nuppa Site'!H1158,"NULL")</f>
        <v>24</v>
      </c>
      <c r="G1158">
        <f>IF('Boletins Nuppa Site'!I1158&lt;&gt;0,'Boletins Nuppa Site'!I1158,"NULL")</f>
        <v>22</v>
      </c>
      <c r="H1158">
        <f>IF('Boletins Nuppa Site'!J1158&lt;&gt;0,'Boletins Nuppa Site'!J1158,"NULL")</f>
        <v>24</v>
      </c>
      <c r="J1158" t="str">
        <f t="shared" si="18"/>
        <v>INSERT INTO COTACAO (blt_id, pap_id, cot_prc_comum, cot_prc_min, cot_prc_max, cot_prc_med, cot_prc_mediana) VALUES (31, 5, 24, 18, 24, 22, 24);</v>
      </c>
    </row>
    <row r="1159" spans="1:10" x14ac:dyDescent="0.3">
      <c r="A1159">
        <v>1158</v>
      </c>
      <c r="B1159">
        <v>31</v>
      </c>
      <c r="C1159">
        <v>6</v>
      </c>
      <c r="D1159">
        <f>IF('Boletins Nuppa Site'!F1159&lt;&gt;0,'Boletins Nuppa Site'!F1159,"NULL")</f>
        <v>60</v>
      </c>
      <c r="E1159">
        <f>IF('Boletins Nuppa Site'!G1159&lt;&gt;0,'Boletins Nuppa Site'!G1159,"NULL")</f>
        <v>48</v>
      </c>
      <c r="F1159">
        <f>IF('Boletins Nuppa Site'!H1159&lt;&gt;0,'Boletins Nuppa Site'!H1159,"NULL")</f>
        <v>60</v>
      </c>
      <c r="G1159">
        <f>IF('Boletins Nuppa Site'!I1159&lt;&gt;0,'Boletins Nuppa Site'!I1159,"NULL")</f>
        <v>56</v>
      </c>
      <c r="H1159">
        <f>IF('Boletins Nuppa Site'!J1159&lt;&gt;0,'Boletins Nuppa Site'!J1159,"NULL")</f>
        <v>60</v>
      </c>
      <c r="J1159" t="str">
        <f t="shared" si="18"/>
        <v>INSERT INTO COTACAO (blt_id, pap_id, cot_prc_comum, cot_prc_min, cot_prc_max, cot_prc_med, cot_prc_mediana) VALUES (31, 6, 60, 48, 60, 56, 60);</v>
      </c>
    </row>
    <row r="1160" spans="1:10" x14ac:dyDescent="0.3">
      <c r="A1160">
        <v>1159</v>
      </c>
      <c r="B1160">
        <v>31</v>
      </c>
      <c r="C1160">
        <v>7</v>
      </c>
      <c r="D1160">
        <f>IF('Boletins Nuppa Site'!F1160&lt;&gt;0,'Boletins Nuppa Site'!F1160,"NULL")</f>
        <v>60</v>
      </c>
      <c r="E1160">
        <f>IF('Boletins Nuppa Site'!G1160&lt;&gt;0,'Boletins Nuppa Site'!G1160,"NULL")</f>
        <v>60</v>
      </c>
      <c r="F1160">
        <f>IF('Boletins Nuppa Site'!H1160&lt;&gt;0,'Boletins Nuppa Site'!H1160,"NULL")</f>
        <v>60</v>
      </c>
      <c r="G1160">
        <f>IF('Boletins Nuppa Site'!I1160&lt;&gt;0,'Boletins Nuppa Site'!I1160,"NULL")</f>
        <v>60</v>
      </c>
      <c r="H1160">
        <f>IF('Boletins Nuppa Site'!J1160&lt;&gt;0,'Boletins Nuppa Site'!J1160,"NULL")</f>
        <v>60</v>
      </c>
      <c r="J1160" t="str">
        <f t="shared" si="18"/>
        <v>INSERT INTO COTACAO (blt_id, pap_id, cot_prc_comum, cot_prc_min, cot_prc_max, cot_prc_med, cot_prc_mediana) VALUES (31, 7, 60, 60, 60, 60, 60);</v>
      </c>
    </row>
    <row r="1161" spans="1:10" x14ac:dyDescent="0.3">
      <c r="A1161">
        <v>1160</v>
      </c>
      <c r="B1161">
        <v>31</v>
      </c>
      <c r="C1161">
        <v>8</v>
      </c>
      <c r="D1161">
        <f>IF('Boletins Nuppa Site'!F1161&lt;&gt;0,'Boletins Nuppa Site'!F1161,"NULL")</f>
        <v>72</v>
      </c>
      <c r="E1161">
        <f>IF('Boletins Nuppa Site'!G1161&lt;&gt;0,'Boletins Nuppa Site'!G1161,"NULL")</f>
        <v>40</v>
      </c>
      <c r="F1161">
        <f>IF('Boletins Nuppa Site'!H1161&lt;&gt;0,'Boletins Nuppa Site'!H1161,"NULL")</f>
        <v>72</v>
      </c>
      <c r="G1161">
        <f>IF('Boletins Nuppa Site'!I1161&lt;&gt;0,'Boletins Nuppa Site'!I1161,"NULL")</f>
        <v>64</v>
      </c>
      <c r="H1161">
        <f>IF('Boletins Nuppa Site'!J1161&lt;&gt;0,'Boletins Nuppa Site'!J1161,"NULL")</f>
        <v>72</v>
      </c>
      <c r="J1161" t="str">
        <f t="shared" si="18"/>
        <v>INSERT INTO COTACAO (blt_id, pap_id, cot_prc_comum, cot_prc_min, cot_prc_max, cot_prc_med, cot_prc_mediana) VALUES (31, 8, 72, 40, 72, 64, 72);</v>
      </c>
    </row>
    <row r="1162" spans="1:10" x14ac:dyDescent="0.3">
      <c r="A1162">
        <v>1161</v>
      </c>
      <c r="B1162">
        <v>31</v>
      </c>
      <c r="C1162">
        <v>9</v>
      </c>
      <c r="D1162">
        <f>IF('Boletins Nuppa Site'!F1162&lt;&gt;0,'Boletins Nuppa Site'!F1162,"NULL")</f>
        <v>24</v>
      </c>
      <c r="E1162">
        <f>IF('Boletins Nuppa Site'!G1162&lt;&gt;0,'Boletins Nuppa Site'!G1162,"NULL")</f>
        <v>15</v>
      </c>
      <c r="F1162">
        <f>IF('Boletins Nuppa Site'!H1162&lt;&gt;0,'Boletins Nuppa Site'!H1162,"NULL")</f>
        <v>24</v>
      </c>
      <c r="G1162" t="str">
        <f>IF('Boletins Nuppa Site'!I1162&lt;&gt;0,'Boletins Nuppa Site'!I1162,"NULL")</f>
        <v>20.25</v>
      </c>
      <c r="H1162">
        <f>IF('Boletins Nuppa Site'!J1162&lt;&gt;0,'Boletins Nuppa Site'!J1162,"NULL")</f>
        <v>21</v>
      </c>
      <c r="J1162" t="str">
        <f t="shared" si="18"/>
        <v>INSERT INTO COTACAO (blt_id, pap_id, cot_prc_comum, cot_prc_min, cot_prc_max, cot_prc_med, cot_prc_mediana) VALUES (31, 9, 24, 15, 24, 20.25, 21);</v>
      </c>
    </row>
    <row r="1163" spans="1:10" x14ac:dyDescent="0.3">
      <c r="A1163">
        <v>1162</v>
      </c>
      <c r="B1163">
        <v>31</v>
      </c>
      <c r="C1163">
        <v>10</v>
      </c>
      <c r="D1163">
        <f>IF('Boletins Nuppa Site'!F1163&lt;&gt;0,'Boletins Nuppa Site'!F1163,"NULL")</f>
        <v>60</v>
      </c>
      <c r="E1163">
        <f>IF('Boletins Nuppa Site'!G1163&lt;&gt;0,'Boletins Nuppa Site'!G1163,"NULL")</f>
        <v>60</v>
      </c>
      <c r="F1163">
        <f>IF('Boletins Nuppa Site'!H1163&lt;&gt;0,'Boletins Nuppa Site'!H1163,"NULL")</f>
        <v>72</v>
      </c>
      <c r="G1163">
        <f>IF('Boletins Nuppa Site'!I1163&lt;&gt;0,'Boletins Nuppa Site'!I1163,"NULL")</f>
        <v>64</v>
      </c>
      <c r="H1163">
        <f>IF('Boletins Nuppa Site'!J1163&lt;&gt;0,'Boletins Nuppa Site'!J1163,"NULL")</f>
        <v>60</v>
      </c>
      <c r="J1163" t="str">
        <f t="shared" si="18"/>
        <v>INSERT INTO COTACAO (blt_id, pap_id, cot_prc_comum, cot_prc_min, cot_prc_max, cot_prc_med, cot_prc_mediana) VALUES (31, 10, 60, 60, 72, 64, 60);</v>
      </c>
    </row>
    <row r="1164" spans="1:10" x14ac:dyDescent="0.3">
      <c r="A1164">
        <v>1163</v>
      </c>
      <c r="B1164">
        <v>31</v>
      </c>
      <c r="C1164">
        <v>11</v>
      </c>
      <c r="D1164">
        <f>IF('Boletins Nuppa Site'!F1164&lt;&gt;0,'Boletins Nuppa Site'!F1164,"NULL")</f>
        <v>24</v>
      </c>
      <c r="E1164">
        <f>IF('Boletins Nuppa Site'!G1164&lt;&gt;0,'Boletins Nuppa Site'!G1164,"NULL")</f>
        <v>18</v>
      </c>
      <c r="F1164">
        <f>IF('Boletins Nuppa Site'!H1164&lt;&gt;0,'Boletins Nuppa Site'!H1164,"NULL")</f>
        <v>24</v>
      </c>
      <c r="G1164" t="str">
        <f>IF('Boletins Nuppa Site'!I1164&lt;&gt;0,'Boletins Nuppa Site'!I1164,"NULL")</f>
        <v>22.5</v>
      </c>
      <c r="H1164">
        <f>IF('Boletins Nuppa Site'!J1164&lt;&gt;0,'Boletins Nuppa Site'!J1164,"NULL")</f>
        <v>24</v>
      </c>
      <c r="J1164" t="str">
        <f t="shared" si="18"/>
        <v>INSERT INTO COTACAO (blt_id, pap_id, cot_prc_comum, cot_prc_min, cot_prc_max, cot_prc_med, cot_prc_mediana) VALUES (31, 11, 24, 18, 24, 22.5, 24);</v>
      </c>
    </row>
    <row r="1165" spans="1:10" x14ac:dyDescent="0.3">
      <c r="A1165">
        <v>1164</v>
      </c>
      <c r="B1165">
        <v>31</v>
      </c>
      <c r="C1165">
        <v>12</v>
      </c>
      <c r="D1165">
        <f>IF('Boletins Nuppa Site'!F1165&lt;&gt;0,'Boletins Nuppa Site'!F1165,"NULL")</f>
        <v>60</v>
      </c>
      <c r="E1165">
        <f>IF('Boletins Nuppa Site'!G1165&lt;&gt;0,'Boletins Nuppa Site'!G1165,"NULL")</f>
        <v>48</v>
      </c>
      <c r="F1165">
        <f>IF('Boletins Nuppa Site'!H1165&lt;&gt;0,'Boletins Nuppa Site'!H1165,"NULL")</f>
        <v>60</v>
      </c>
      <c r="G1165">
        <f>IF('Boletins Nuppa Site'!I1165&lt;&gt;0,'Boletins Nuppa Site'!I1165,"NULL")</f>
        <v>56</v>
      </c>
      <c r="H1165">
        <f>IF('Boletins Nuppa Site'!J1165&lt;&gt;0,'Boletins Nuppa Site'!J1165,"NULL")</f>
        <v>60</v>
      </c>
      <c r="J1165" t="str">
        <f t="shared" si="18"/>
        <v>INSERT INTO COTACAO (blt_id, pap_id, cot_prc_comum, cot_prc_min, cot_prc_max, cot_prc_med, cot_prc_mediana) VALUES (31, 12, 60, 48, 60, 56, 60);</v>
      </c>
    </row>
    <row r="1166" spans="1:10" x14ac:dyDescent="0.3">
      <c r="A1166">
        <v>1165</v>
      </c>
      <c r="B1166">
        <v>31</v>
      </c>
      <c r="C1166">
        <v>13</v>
      </c>
      <c r="D1166">
        <f>IF('Boletins Nuppa Site'!F1166&lt;&gt;0,'Boletins Nuppa Site'!F1166,"NULL")</f>
        <v>48</v>
      </c>
      <c r="E1166">
        <f>IF('Boletins Nuppa Site'!G1166&lt;&gt;0,'Boletins Nuppa Site'!G1166,"NULL")</f>
        <v>42</v>
      </c>
      <c r="F1166">
        <f>IF('Boletins Nuppa Site'!H1166&lt;&gt;0,'Boletins Nuppa Site'!H1166,"NULL")</f>
        <v>48</v>
      </c>
      <c r="G1166" t="str">
        <f>IF('Boletins Nuppa Site'!I1166&lt;&gt;0,'Boletins Nuppa Site'!I1166,"NULL")</f>
        <v>46.5</v>
      </c>
      <c r="H1166">
        <f>IF('Boletins Nuppa Site'!J1166&lt;&gt;0,'Boletins Nuppa Site'!J1166,"NULL")</f>
        <v>48</v>
      </c>
      <c r="J1166" t="str">
        <f t="shared" si="18"/>
        <v>INSERT INTO COTACAO (blt_id, pap_id, cot_prc_comum, cot_prc_min, cot_prc_max, cot_prc_med, cot_prc_mediana) VALUES (31, 13, 48, 42, 48, 46.5, 48);</v>
      </c>
    </row>
    <row r="1167" spans="1:10" x14ac:dyDescent="0.3">
      <c r="A1167">
        <v>1166</v>
      </c>
      <c r="B1167">
        <v>31</v>
      </c>
      <c r="C1167">
        <v>14</v>
      </c>
      <c r="D1167">
        <f>IF('Boletins Nuppa Site'!F1167&lt;&gt;0,'Boletins Nuppa Site'!F1167,"NULL")</f>
        <v>60</v>
      </c>
      <c r="E1167">
        <f>IF('Boletins Nuppa Site'!G1167&lt;&gt;0,'Boletins Nuppa Site'!G1167,"NULL")</f>
        <v>60</v>
      </c>
      <c r="F1167">
        <f>IF('Boletins Nuppa Site'!H1167&lt;&gt;0,'Boletins Nuppa Site'!H1167,"NULL")</f>
        <v>60</v>
      </c>
      <c r="G1167">
        <f>IF('Boletins Nuppa Site'!I1167&lt;&gt;0,'Boletins Nuppa Site'!I1167,"NULL")</f>
        <v>60</v>
      </c>
      <c r="H1167">
        <f>IF('Boletins Nuppa Site'!J1167&lt;&gt;0,'Boletins Nuppa Site'!J1167,"NULL")</f>
        <v>60</v>
      </c>
      <c r="J1167" t="str">
        <f t="shared" si="18"/>
        <v>INSERT INTO COTACAO (blt_id, pap_id, cot_prc_comum, cot_prc_min, cot_prc_max, cot_prc_med, cot_prc_mediana) VALUES (31, 14, 60, 60, 60, 60, 60);</v>
      </c>
    </row>
    <row r="1168" spans="1:10" x14ac:dyDescent="0.3">
      <c r="A1168">
        <v>1167</v>
      </c>
      <c r="B1168">
        <v>31</v>
      </c>
      <c r="C1168">
        <v>15</v>
      </c>
      <c r="D1168">
        <f>IF('Boletins Nuppa Site'!F1168&lt;&gt;0,'Boletins Nuppa Site'!F1168,"NULL")</f>
        <v>36</v>
      </c>
      <c r="E1168">
        <f>IF('Boletins Nuppa Site'!G1168&lt;&gt;0,'Boletins Nuppa Site'!G1168,"NULL")</f>
        <v>30</v>
      </c>
      <c r="F1168">
        <f>IF('Boletins Nuppa Site'!H1168&lt;&gt;0,'Boletins Nuppa Site'!H1168,"NULL")</f>
        <v>36</v>
      </c>
      <c r="G1168" t="str">
        <f>IF('Boletins Nuppa Site'!I1168&lt;&gt;0,'Boletins Nuppa Site'!I1168,"NULL")</f>
        <v>34.25</v>
      </c>
      <c r="H1168" t="str">
        <f>IF('Boletins Nuppa Site'!J1168&lt;&gt;0,'Boletins Nuppa Site'!J1168,"NULL")</f>
        <v>35.5</v>
      </c>
      <c r="J1168" t="str">
        <f t="shared" si="18"/>
        <v>INSERT INTO COTACAO (blt_id, pap_id, cot_prc_comum, cot_prc_min, cot_prc_max, cot_prc_med, cot_prc_mediana) VALUES (31, 15, 36, 30, 36, 34.25, 35.5);</v>
      </c>
    </row>
    <row r="1169" spans="1:10" x14ac:dyDescent="0.3">
      <c r="A1169">
        <v>1168</v>
      </c>
      <c r="B1169">
        <v>31</v>
      </c>
      <c r="C1169">
        <v>16</v>
      </c>
      <c r="D1169">
        <f>IF('Boletins Nuppa Site'!F1169&lt;&gt;0,'Boletins Nuppa Site'!F1169,"NULL")</f>
        <v>48</v>
      </c>
      <c r="E1169">
        <f>IF('Boletins Nuppa Site'!G1169&lt;&gt;0,'Boletins Nuppa Site'!G1169,"NULL")</f>
        <v>48</v>
      </c>
      <c r="F1169">
        <f>IF('Boletins Nuppa Site'!H1169&lt;&gt;0,'Boletins Nuppa Site'!H1169,"NULL")</f>
        <v>54</v>
      </c>
      <c r="G1169" t="str">
        <f>IF('Boletins Nuppa Site'!I1169&lt;&gt;0,'Boletins Nuppa Site'!I1169,"NULL")</f>
        <v>49.5</v>
      </c>
      <c r="H1169">
        <f>IF('Boletins Nuppa Site'!J1169&lt;&gt;0,'Boletins Nuppa Site'!J1169,"NULL")</f>
        <v>48</v>
      </c>
      <c r="J1169" t="str">
        <f t="shared" si="18"/>
        <v>INSERT INTO COTACAO (blt_id, pap_id, cot_prc_comum, cot_prc_min, cot_prc_max, cot_prc_med, cot_prc_mediana) VALUES (31, 16, 48, 48, 54, 49.5, 48);</v>
      </c>
    </row>
    <row r="1170" spans="1:10" x14ac:dyDescent="0.3">
      <c r="A1170">
        <v>1169</v>
      </c>
      <c r="B1170">
        <v>31</v>
      </c>
      <c r="C1170">
        <v>17</v>
      </c>
      <c r="D1170">
        <f>IF('Boletins Nuppa Site'!F1170&lt;&gt;0,'Boletins Nuppa Site'!F1170,"NULL")</f>
        <v>5</v>
      </c>
      <c r="E1170">
        <f>IF('Boletins Nuppa Site'!G1170&lt;&gt;0,'Boletins Nuppa Site'!G1170,"NULL")</f>
        <v>5</v>
      </c>
      <c r="F1170">
        <f>IF('Boletins Nuppa Site'!H1170&lt;&gt;0,'Boletins Nuppa Site'!H1170,"NULL")</f>
        <v>5</v>
      </c>
      <c r="G1170">
        <f>IF('Boletins Nuppa Site'!I1170&lt;&gt;0,'Boletins Nuppa Site'!I1170,"NULL")</f>
        <v>5</v>
      </c>
      <c r="H1170">
        <f>IF('Boletins Nuppa Site'!J1170&lt;&gt;0,'Boletins Nuppa Site'!J1170,"NULL")</f>
        <v>5</v>
      </c>
      <c r="J1170" t="str">
        <f t="shared" si="18"/>
        <v>INSERT INTO COTACAO (blt_id, pap_id, cot_prc_comum, cot_prc_min, cot_prc_max, cot_prc_med, cot_prc_mediana) VALUES (31, 17, 5, 5, 5, 5, 5);</v>
      </c>
    </row>
    <row r="1171" spans="1:10" x14ac:dyDescent="0.3">
      <c r="A1171">
        <v>1170</v>
      </c>
      <c r="B1171">
        <v>31</v>
      </c>
      <c r="C1171">
        <v>18</v>
      </c>
      <c r="D1171">
        <f>IF('Boletins Nuppa Site'!F1171&lt;&gt;0,'Boletins Nuppa Site'!F1171,"NULL")</f>
        <v>10</v>
      </c>
      <c r="E1171">
        <f>IF('Boletins Nuppa Site'!G1171&lt;&gt;0,'Boletins Nuppa Site'!G1171,"NULL")</f>
        <v>10</v>
      </c>
      <c r="F1171">
        <f>IF('Boletins Nuppa Site'!H1171&lt;&gt;0,'Boletins Nuppa Site'!H1171,"NULL")</f>
        <v>10</v>
      </c>
      <c r="G1171">
        <f>IF('Boletins Nuppa Site'!I1171&lt;&gt;0,'Boletins Nuppa Site'!I1171,"NULL")</f>
        <v>10</v>
      </c>
      <c r="H1171">
        <f>IF('Boletins Nuppa Site'!J1171&lt;&gt;0,'Boletins Nuppa Site'!J1171,"NULL")</f>
        <v>10</v>
      </c>
      <c r="J1171" t="str">
        <f t="shared" si="18"/>
        <v>INSERT INTO COTACAO (blt_id, pap_id, cot_prc_comum, cot_prc_min, cot_prc_max, cot_prc_med, cot_prc_mediana) VALUES (31, 18, 10, 10, 10, 10, 10);</v>
      </c>
    </row>
    <row r="1172" spans="1:10" x14ac:dyDescent="0.3">
      <c r="A1172">
        <v>1171</v>
      </c>
      <c r="B1172">
        <v>31</v>
      </c>
      <c r="C1172">
        <v>19</v>
      </c>
      <c r="D1172">
        <f>IF('Boletins Nuppa Site'!F1172&lt;&gt;0,'Boletins Nuppa Site'!F1172,"NULL")</f>
        <v>20</v>
      </c>
      <c r="E1172">
        <f>IF('Boletins Nuppa Site'!G1172&lt;&gt;0,'Boletins Nuppa Site'!G1172,"NULL")</f>
        <v>20</v>
      </c>
      <c r="F1172">
        <f>IF('Boletins Nuppa Site'!H1172&lt;&gt;0,'Boletins Nuppa Site'!H1172,"NULL")</f>
        <v>30</v>
      </c>
      <c r="G1172" t="str">
        <f>IF('Boletins Nuppa Site'!I1172&lt;&gt;0,'Boletins Nuppa Site'!I1172,"NULL")</f>
        <v>23.75</v>
      </c>
      <c r="H1172" t="str">
        <f>IF('Boletins Nuppa Site'!J1172&lt;&gt;0,'Boletins Nuppa Site'!J1172,"NULL")</f>
        <v>22.5</v>
      </c>
      <c r="J1172" t="str">
        <f t="shared" si="18"/>
        <v>INSERT INTO COTACAO (blt_id, pap_id, cot_prc_comum, cot_prc_min, cot_prc_max, cot_prc_med, cot_prc_mediana) VALUES (31, 19, 20, 20, 30, 23.75, 22.5);</v>
      </c>
    </row>
    <row r="1173" spans="1:10" x14ac:dyDescent="0.3">
      <c r="A1173">
        <v>1172</v>
      </c>
      <c r="B1173">
        <v>31</v>
      </c>
      <c r="C1173">
        <v>20</v>
      </c>
      <c r="D1173" t="str">
        <f>IF('Boletins Nuppa Site'!F1173&lt;&gt;0,'Boletins Nuppa Site'!F1173,"NULL")</f>
        <v>NULL</v>
      </c>
      <c r="E1173">
        <f>IF('Boletins Nuppa Site'!G1173&lt;&gt;0,'Boletins Nuppa Site'!G1173,"NULL")</f>
        <v>70</v>
      </c>
      <c r="F1173">
        <f>IF('Boletins Nuppa Site'!H1173&lt;&gt;0,'Boletins Nuppa Site'!H1173,"NULL")</f>
        <v>80</v>
      </c>
      <c r="G1173">
        <f>IF('Boletins Nuppa Site'!I1173&lt;&gt;0,'Boletins Nuppa Site'!I1173,"NULL")</f>
        <v>75</v>
      </c>
      <c r="H1173">
        <f>IF('Boletins Nuppa Site'!J1173&lt;&gt;0,'Boletins Nuppa Site'!J1173,"NULL")</f>
        <v>75</v>
      </c>
      <c r="J1173" t="str">
        <f t="shared" si="18"/>
        <v>INSERT INTO COTACAO (blt_id, pap_id, cot_prc_comum, cot_prc_min, cot_prc_max, cot_prc_med, cot_prc_mediana) VALUES (31, 20, NULL, 70, 80, 75, 75);</v>
      </c>
    </row>
    <row r="1174" spans="1:10" x14ac:dyDescent="0.3">
      <c r="A1174">
        <v>1173</v>
      </c>
      <c r="B1174">
        <v>31</v>
      </c>
      <c r="C1174">
        <v>21</v>
      </c>
      <c r="D1174">
        <f>IF('Boletins Nuppa Site'!F1174&lt;&gt;0,'Boletins Nuppa Site'!F1174,"NULL")</f>
        <v>60</v>
      </c>
      <c r="E1174">
        <f>IF('Boletins Nuppa Site'!G1174&lt;&gt;0,'Boletins Nuppa Site'!G1174,"NULL")</f>
        <v>50</v>
      </c>
      <c r="F1174">
        <f>IF('Boletins Nuppa Site'!H1174&lt;&gt;0,'Boletins Nuppa Site'!H1174,"NULL")</f>
        <v>60</v>
      </c>
      <c r="G1174" t="str">
        <f>IF('Boletins Nuppa Site'!I1174&lt;&gt;0,'Boletins Nuppa Site'!I1174,"NULL")</f>
        <v>57.5</v>
      </c>
      <c r="H1174">
        <f>IF('Boletins Nuppa Site'!J1174&lt;&gt;0,'Boletins Nuppa Site'!J1174,"NULL")</f>
        <v>60</v>
      </c>
      <c r="J1174" t="str">
        <f t="shared" si="18"/>
        <v>INSERT INTO COTACAO (blt_id, pap_id, cot_prc_comum, cot_prc_min, cot_prc_max, cot_prc_med, cot_prc_mediana) VALUES (31, 21, 60, 50, 60, 57.5, 60);</v>
      </c>
    </row>
    <row r="1175" spans="1:10" x14ac:dyDescent="0.3">
      <c r="A1175">
        <v>1174</v>
      </c>
      <c r="B1175">
        <v>31</v>
      </c>
      <c r="C1175">
        <v>22</v>
      </c>
      <c r="D1175" t="str">
        <f>IF('Boletins Nuppa Site'!F1175&lt;&gt;0,'Boletins Nuppa Site'!F1175,"NULL")</f>
        <v>NULL</v>
      </c>
      <c r="E1175">
        <f>IF('Boletins Nuppa Site'!G1175&lt;&gt;0,'Boletins Nuppa Site'!G1175,"NULL")</f>
        <v>35</v>
      </c>
      <c r="F1175">
        <f>IF('Boletins Nuppa Site'!H1175&lt;&gt;0,'Boletins Nuppa Site'!H1175,"NULL")</f>
        <v>80</v>
      </c>
      <c r="G1175">
        <f>IF('Boletins Nuppa Site'!I1175&lt;&gt;0,'Boletins Nuppa Site'!I1175,"NULL")</f>
        <v>56</v>
      </c>
      <c r="H1175">
        <f>IF('Boletins Nuppa Site'!J1175&lt;&gt;0,'Boletins Nuppa Site'!J1175,"NULL")</f>
        <v>50</v>
      </c>
      <c r="J1175" t="str">
        <f t="shared" si="18"/>
        <v>INSERT INTO COTACAO (blt_id, pap_id, cot_prc_comum, cot_prc_min, cot_prc_max, cot_prc_med, cot_prc_mediana) VALUES (31, 22, NULL, 35, 80, 56, 50);</v>
      </c>
    </row>
    <row r="1176" spans="1:10" x14ac:dyDescent="0.3">
      <c r="A1176">
        <v>1175</v>
      </c>
      <c r="B1176">
        <v>31</v>
      </c>
      <c r="C1176">
        <v>23</v>
      </c>
      <c r="D1176">
        <f>IF('Boletins Nuppa Site'!F1176&lt;&gt;0,'Boletins Nuppa Site'!F1176,"NULL")</f>
        <v>45</v>
      </c>
      <c r="E1176">
        <f>IF('Boletins Nuppa Site'!G1176&lt;&gt;0,'Boletins Nuppa Site'!G1176,"NULL")</f>
        <v>45</v>
      </c>
      <c r="F1176">
        <f>IF('Boletins Nuppa Site'!H1176&lt;&gt;0,'Boletins Nuppa Site'!H1176,"NULL")</f>
        <v>60</v>
      </c>
      <c r="G1176">
        <f>IF('Boletins Nuppa Site'!I1176&lt;&gt;0,'Boletins Nuppa Site'!I1176,"NULL")</f>
        <v>50</v>
      </c>
      <c r="H1176" t="str">
        <f>IF('Boletins Nuppa Site'!J1176&lt;&gt;0,'Boletins Nuppa Site'!J1176,"NULL")</f>
        <v>47.5</v>
      </c>
      <c r="J1176" t="str">
        <f t="shared" si="18"/>
        <v>INSERT INTO COTACAO (blt_id, pap_id, cot_prc_comum, cot_prc_min, cot_prc_max, cot_prc_med, cot_prc_mediana) VALUES (31, 23, 45, 45, 60, 50, 47.5);</v>
      </c>
    </row>
    <row r="1177" spans="1:10" x14ac:dyDescent="0.3">
      <c r="A1177">
        <v>1176</v>
      </c>
      <c r="B1177">
        <v>31</v>
      </c>
      <c r="C1177">
        <v>24</v>
      </c>
      <c r="D1177" t="str">
        <f>IF('Boletins Nuppa Site'!F1177&lt;&gt;0,'Boletins Nuppa Site'!F1177,"NULL")</f>
        <v>NULL</v>
      </c>
      <c r="E1177" t="str">
        <f>IF('Boletins Nuppa Site'!G1177&lt;&gt;0,'Boletins Nuppa Site'!G1177,"NULL")</f>
        <v>NULL</v>
      </c>
      <c r="F1177" t="str">
        <f>IF('Boletins Nuppa Site'!H1177&lt;&gt;0,'Boletins Nuppa Site'!H1177,"NULL")</f>
        <v>NULL</v>
      </c>
      <c r="G1177" t="str">
        <f>IF('Boletins Nuppa Site'!I1177&lt;&gt;0,'Boletins Nuppa Site'!I1177,"NULL")</f>
        <v>NULL</v>
      </c>
      <c r="H1177" t="str">
        <f>IF('Boletins Nuppa Site'!J1177&lt;&gt;0,'Boletins Nuppa Site'!J1177,"NULL")</f>
        <v>NULL</v>
      </c>
      <c r="J1177" t="str">
        <f t="shared" si="18"/>
        <v>INSERT INTO COTACAO (blt_id, pap_id, cot_prc_comum, cot_prc_min, cot_prc_max, cot_prc_med, cot_prc_mediana) VALUES (31, 24, NULL, NULL, NULL, NULL, NULL);</v>
      </c>
    </row>
    <row r="1178" spans="1:10" x14ac:dyDescent="0.3">
      <c r="A1178">
        <v>1177</v>
      </c>
      <c r="B1178">
        <v>31</v>
      </c>
      <c r="C1178">
        <v>25</v>
      </c>
      <c r="D1178">
        <f>IF('Boletins Nuppa Site'!F1178&lt;&gt;0,'Boletins Nuppa Site'!F1178,"NULL")</f>
        <v>60</v>
      </c>
      <c r="E1178">
        <f>IF('Boletins Nuppa Site'!G1178&lt;&gt;0,'Boletins Nuppa Site'!G1178,"NULL")</f>
        <v>35</v>
      </c>
      <c r="F1178">
        <f>IF('Boletins Nuppa Site'!H1178&lt;&gt;0,'Boletins Nuppa Site'!H1178,"NULL")</f>
        <v>70</v>
      </c>
      <c r="G1178">
        <f>IF('Boletins Nuppa Site'!I1178&lt;&gt;0,'Boletins Nuppa Site'!I1178,"NULL")</f>
        <v>57</v>
      </c>
      <c r="H1178">
        <f>IF('Boletins Nuppa Site'!J1178&lt;&gt;0,'Boletins Nuppa Site'!J1178,"NULL")</f>
        <v>60</v>
      </c>
      <c r="J1178" t="str">
        <f t="shared" si="18"/>
        <v>INSERT INTO COTACAO (blt_id, pap_id, cot_prc_comum, cot_prc_min, cot_prc_max, cot_prc_med, cot_prc_mediana) VALUES (31, 25, 60, 35, 70, 57, 60);</v>
      </c>
    </row>
    <row r="1179" spans="1:10" x14ac:dyDescent="0.3">
      <c r="A1179">
        <v>1178</v>
      </c>
      <c r="B1179">
        <v>31</v>
      </c>
      <c r="C1179">
        <v>26</v>
      </c>
      <c r="D1179">
        <f>IF('Boletins Nuppa Site'!F1179&lt;&gt;0,'Boletins Nuppa Site'!F1179,"NULL")</f>
        <v>60</v>
      </c>
      <c r="E1179">
        <f>IF('Boletins Nuppa Site'!G1179&lt;&gt;0,'Boletins Nuppa Site'!G1179,"NULL")</f>
        <v>35</v>
      </c>
      <c r="F1179">
        <f>IF('Boletins Nuppa Site'!H1179&lt;&gt;0,'Boletins Nuppa Site'!H1179,"NULL")</f>
        <v>60</v>
      </c>
      <c r="G1179">
        <f>IF('Boletins Nuppa Site'!I1179&lt;&gt;0,'Boletins Nuppa Site'!I1179,"NULL")</f>
        <v>46</v>
      </c>
      <c r="H1179">
        <f>IF('Boletins Nuppa Site'!J1179&lt;&gt;0,'Boletins Nuppa Site'!J1179,"NULL")</f>
        <v>40</v>
      </c>
      <c r="J1179" t="str">
        <f t="shared" si="18"/>
        <v>INSERT INTO COTACAO (blt_id, pap_id, cot_prc_comum, cot_prc_min, cot_prc_max, cot_prc_med, cot_prc_mediana) VALUES (31, 26, 60, 35, 60, 46, 40);</v>
      </c>
    </row>
    <row r="1180" spans="1:10" x14ac:dyDescent="0.3">
      <c r="A1180">
        <v>1179</v>
      </c>
      <c r="B1180">
        <v>31</v>
      </c>
      <c r="C1180">
        <v>27</v>
      </c>
      <c r="D1180" t="str">
        <f>IF('Boletins Nuppa Site'!F1180&lt;&gt;0,'Boletins Nuppa Site'!F1180,"NULL")</f>
        <v>NULL</v>
      </c>
      <c r="E1180">
        <f>IF('Boletins Nuppa Site'!G1180&lt;&gt;0,'Boletins Nuppa Site'!G1180,"NULL")</f>
        <v>50</v>
      </c>
      <c r="F1180">
        <f>IF('Boletins Nuppa Site'!H1180&lt;&gt;0,'Boletins Nuppa Site'!H1180,"NULL")</f>
        <v>80</v>
      </c>
      <c r="G1180">
        <f>IF('Boletins Nuppa Site'!I1180&lt;&gt;0,'Boletins Nuppa Site'!I1180,"NULL")</f>
        <v>65</v>
      </c>
      <c r="H1180">
        <f>IF('Boletins Nuppa Site'!J1180&lt;&gt;0,'Boletins Nuppa Site'!J1180,"NULL")</f>
        <v>65</v>
      </c>
      <c r="J1180" t="str">
        <f t="shared" si="18"/>
        <v>INSERT INTO COTACAO (blt_id, pap_id, cot_prc_comum, cot_prc_min, cot_prc_max, cot_prc_med, cot_prc_mediana) VALUES (31, 27, NULL, 50, 80, 65, 65);</v>
      </c>
    </row>
    <row r="1181" spans="1:10" x14ac:dyDescent="0.3">
      <c r="A1181">
        <v>1180</v>
      </c>
      <c r="B1181">
        <v>31</v>
      </c>
      <c r="C1181">
        <v>28</v>
      </c>
      <c r="D1181" t="str">
        <f>IF('Boletins Nuppa Site'!F1181&lt;&gt;0,'Boletins Nuppa Site'!F1181,"NULL")</f>
        <v>NULL</v>
      </c>
      <c r="E1181">
        <f>IF('Boletins Nuppa Site'!G1181&lt;&gt;0,'Boletins Nuppa Site'!G1181,"NULL")</f>
        <v>80</v>
      </c>
      <c r="F1181">
        <f>IF('Boletins Nuppa Site'!H1181&lt;&gt;0,'Boletins Nuppa Site'!H1181,"NULL")</f>
        <v>110</v>
      </c>
      <c r="G1181">
        <f>IF('Boletins Nuppa Site'!I1181&lt;&gt;0,'Boletins Nuppa Site'!I1181,"NULL")</f>
        <v>95</v>
      </c>
      <c r="H1181">
        <f>IF('Boletins Nuppa Site'!J1181&lt;&gt;0,'Boletins Nuppa Site'!J1181,"NULL")</f>
        <v>95</v>
      </c>
      <c r="J1181" t="str">
        <f t="shared" si="18"/>
        <v>INSERT INTO COTACAO (blt_id, pap_id, cot_prc_comum, cot_prc_min, cot_prc_max, cot_prc_med, cot_prc_mediana) VALUES (31, 28, NULL, 80, 110, 95, 95);</v>
      </c>
    </row>
    <row r="1182" spans="1:10" x14ac:dyDescent="0.3">
      <c r="A1182">
        <v>1181</v>
      </c>
      <c r="B1182">
        <v>31</v>
      </c>
      <c r="C1182">
        <v>29</v>
      </c>
      <c r="D1182" t="str">
        <f>IF('Boletins Nuppa Site'!F1182&lt;&gt;0,'Boletins Nuppa Site'!F1182,"NULL")</f>
        <v>NULL</v>
      </c>
      <c r="E1182" t="str">
        <f>IF('Boletins Nuppa Site'!G1182&lt;&gt;0,'Boletins Nuppa Site'!G1182,"NULL")</f>
        <v>NULL</v>
      </c>
      <c r="F1182" t="str">
        <f>IF('Boletins Nuppa Site'!H1182&lt;&gt;0,'Boletins Nuppa Site'!H1182,"NULL")</f>
        <v>NULL</v>
      </c>
      <c r="G1182" t="str">
        <f>IF('Boletins Nuppa Site'!I1182&lt;&gt;0,'Boletins Nuppa Site'!I1182,"NULL")</f>
        <v>NULL</v>
      </c>
      <c r="H1182" t="str">
        <f>IF('Boletins Nuppa Site'!J1182&lt;&gt;0,'Boletins Nuppa Site'!J1182,"NULL")</f>
        <v>NULL</v>
      </c>
      <c r="J1182" t="str">
        <f t="shared" si="18"/>
        <v>INSERT INTO COTACAO (blt_id, pap_id, cot_prc_comum, cot_prc_min, cot_prc_max, cot_prc_med, cot_prc_mediana) VALUES (31, 29, NULL, NULL, NULL, NULL, NULL);</v>
      </c>
    </row>
    <row r="1183" spans="1:10" x14ac:dyDescent="0.3">
      <c r="A1183">
        <v>1182</v>
      </c>
      <c r="B1183">
        <v>31</v>
      </c>
      <c r="C1183">
        <v>30</v>
      </c>
      <c r="D1183" t="str">
        <f>IF('Boletins Nuppa Site'!F1183&lt;&gt;0,'Boletins Nuppa Site'!F1183,"NULL")</f>
        <v>NULL</v>
      </c>
      <c r="E1183">
        <f>IF('Boletins Nuppa Site'!G1183&lt;&gt;0,'Boletins Nuppa Site'!G1183,"NULL")</f>
        <v>25</v>
      </c>
      <c r="F1183">
        <f>IF('Boletins Nuppa Site'!H1183&lt;&gt;0,'Boletins Nuppa Site'!H1183,"NULL")</f>
        <v>80</v>
      </c>
      <c r="G1183" t="str">
        <f>IF('Boletins Nuppa Site'!I1183&lt;&gt;0,'Boletins Nuppa Site'!I1183,"NULL")</f>
        <v>58.33</v>
      </c>
      <c r="H1183">
        <f>IF('Boletins Nuppa Site'!J1183&lt;&gt;0,'Boletins Nuppa Site'!J1183,"NULL")</f>
        <v>70</v>
      </c>
      <c r="J1183" t="str">
        <f t="shared" si="18"/>
        <v>INSERT INTO COTACAO (blt_id, pap_id, cot_prc_comum, cot_prc_min, cot_prc_max, cot_prc_med, cot_prc_mediana) VALUES (31, 30, NULL, 25, 80, 58.33, 70);</v>
      </c>
    </row>
    <row r="1184" spans="1:10" x14ac:dyDescent="0.3">
      <c r="A1184">
        <v>1183</v>
      </c>
      <c r="B1184">
        <v>31</v>
      </c>
      <c r="C1184">
        <v>31</v>
      </c>
      <c r="D1184" t="str">
        <f>IF('Boletins Nuppa Site'!F1184&lt;&gt;0,'Boletins Nuppa Site'!F1184,"NULL")</f>
        <v>NULL</v>
      </c>
      <c r="E1184">
        <f>IF('Boletins Nuppa Site'!G1184&lt;&gt;0,'Boletins Nuppa Site'!G1184,"NULL")</f>
        <v>70</v>
      </c>
      <c r="F1184">
        <f>IF('Boletins Nuppa Site'!H1184&lt;&gt;0,'Boletins Nuppa Site'!H1184,"NULL")</f>
        <v>120</v>
      </c>
      <c r="G1184">
        <f>IF('Boletins Nuppa Site'!I1184&lt;&gt;0,'Boletins Nuppa Site'!I1184,"NULL")</f>
        <v>90</v>
      </c>
      <c r="H1184">
        <f>IF('Boletins Nuppa Site'!J1184&lt;&gt;0,'Boletins Nuppa Site'!J1184,"NULL")</f>
        <v>80</v>
      </c>
      <c r="J1184" t="str">
        <f t="shared" si="18"/>
        <v>INSERT INTO COTACAO (blt_id, pap_id, cot_prc_comum, cot_prc_min, cot_prc_max, cot_prc_med, cot_prc_mediana) VALUES (31, 31, NULL, 70, 120, 90, 80);</v>
      </c>
    </row>
    <row r="1185" spans="1:10" x14ac:dyDescent="0.3">
      <c r="A1185">
        <v>1184</v>
      </c>
      <c r="B1185">
        <v>31</v>
      </c>
      <c r="C1185">
        <v>32</v>
      </c>
      <c r="D1185">
        <f>IF('Boletins Nuppa Site'!F1185&lt;&gt;0,'Boletins Nuppa Site'!F1185,"NULL")</f>
        <v>50</v>
      </c>
      <c r="E1185">
        <f>IF('Boletins Nuppa Site'!G1185&lt;&gt;0,'Boletins Nuppa Site'!G1185,"NULL")</f>
        <v>25</v>
      </c>
      <c r="F1185">
        <f>IF('Boletins Nuppa Site'!H1185&lt;&gt;0,'Boletins Nuppa Site'!H1185,"NULL")</f>
        <v>60</v>
      </c>
      <c r="G1185">
        <f>IF('Boletins Nuppa Site'!I1185&lt;&gt;0,'Boletins Nuppa Site'!I1185,"NULL")</f>
        <v>48</v>
      </c>
      <c r="H1185">
        <f>IF('Boletins Nuppa Site'!J1185&lt;&gt;0,'Boletins Nuppa Site'!J1185,"NULL")</f>
        <v>50</v>
      </c>
      <c r="J1185" t="str">
        <f t="shared" si="18"/>
        <v>INSERT INTO COTACAO (blt_id, pap_id, cot_prc_comum, cot_prc_min, cot_prc_max, cot_prc_med, cot_prc_mediana) VALUES (31, 32, 50, 25, 60, 48, 50);</v>
      </c>
    </row>
    <row r="1186" spans="1:10" x14ac:dyDescent="0.3">
      <c r="A1186">
        <v>1185</v>
      </c>
      <c r="B1186">
        <v>31</v>
      </c>
      <c r="C1186">
        <v>33</v>
      </c>
      <c r="D1186" t="str">
        <f>IF('Boletins Nuppa Site'!F1186&lt;&gt;0,'Boletins Nuppa Site'!F1186,"NULL")</f>
        <v>NULL</v>
      </c>
      <c r="E1186">
        <f>IF('Boletins Nuppa Site'!G1186&lt;&gt;0,'Boletins Nuppa Site'!G1186,"NULL")</f>
        <v>120</v>
      </c>
      <c r="F1186">
        <f>IF('Boletins Nuppa Site'!H1186&lt;&gt;0,'Boletins Nuppa Site'!H1186,"NULL")</f>
        <v>140</v>
      </c>
      <c r="G1186">
        <f>IF('Boletins Nuppa Site'!I1186&lt;&gt;0,'Boletins Nuppa Site'!I1186,"NULL")</f>
        <v>130</v>
      </c>
      <c r="H1186">
        <f>IF('Boletins Nuppa Site'!J1186&lt;&gt;0,'Boletins Nuppa Site'!J1186,"NULL")</f>
        <v>130</v>
      </c>
      <c r="J1186" t="str">
        <f t="shared" si="18"/>
        <v>INSERT INTO COTACAO (blt_id, pap_id, cot_prc_comum, cot_prc_min, cot_prc_max, cot_prc_med, cot_prc_mediana) VALUES (31, 33, NULL, 120, 140, 130, 130);</v>
      </c>
    </row>
    <row r="1187" spans="1:10" x14ac:dyDescent="0.3">
      <c r="A1187">
        <v>1186</v>
      </c>
      <c r="B1187">
        <v>31</v>
      </c>
      <c r="C1187">
        <v>34</v>
      </c>
      <c r="D1187">
        <f>IF('Boletins Nuppa Site'!F1187&lt;&gt;0,'Boletins Nuppa Site'!F1187,"NULL")</f>
        <v>60</v>
      </c>
      <c r="E1187">
        <f>IF('Boletins Nuppa Site'!G1187&lt;&gt;0,'Boletins Nuppa Site'!G1187,"NULL")</f>
        <v>45</v>
      </c>
      <c r="F1187">
        <f>IF('Boletins Nuppa Site'!H1187&lt;&gt;0,'Boletins Nuppa Site'!H1187,"NULL")</f>
        <v>60</v>
      </c>
      <c r="G1187" t="str">
        <f>IF('Boletins Nuppa Site'!I1187&lt;&gt;0,'Boletins Nuppa Site'!I1187,"NULL")</f>
        <v>53.75</v>
      </c>
      <c r="H1187">
        <f>IF('Boletins Nuppa Site'!J1187&lt;&gt;0,'Boletins Nuppa Site'!J1187,"NULL")</f>
        <v>55</v>
      </c>
      <c r="J1187" t="str">
        <f t="shared" si="18"/>
        <v>INSERT INTO COTACAO (blt_id, pap_id, cot_prc_comum, cot_prc_min, cot_prc_max, cot_prc_med, cot_prc_mediana) VALUES (31, 34, 60, 45, 60, 53.75, 55);</v>
      </c>
    </row>
    <row r="1188" spans="1:10" x14ac:dyDescent="0.3">
      <c r="A1188">
        <v>1187</v>
      </c>
      <c r="B1188">
        <v>31</v>
      </c>
      <c r="C1188">
        <v>35</v>
      </c>
      <c r="D1188" t="str">
        <f>IF('Boletins Nuppa Site'!F1188&lt;&gt;0,'Boletins Nuppa Site'!F1188,"NULL")</f>
        <v>NULL</v>
      </c>
      <c r="E1188">
        <f>IF('Boletins Nuppa Site'!G1188&lt;&gt;0,'Boletins Nuppa Site'!G1188,"NULL")</f>
        <v>120</v>
      </c>
      <c r="F1188">
        <f>IF('Boletins Nuppa Site'!H1188&lt;&gt;0,'Boletins Nuppa Site'!H1188,"NULL")</f>
        <v>120</v>
      </c>
      <c r="G1188">
        <f>IF('Boletins Nuppa Site'!I1188&lt;&gt;0,'Boletins Nuppa Site'!I1188,"NULL")</f>
        <v>120</v>
      </c>
      <c r="H1188">
        <f>IF('Boletins Nuppa Site'!J1188&lt;&gt;0,'Boletins Nuppa Site'!J1188,"NULL")</f>
        <v>120</v>
      </c>
      <c r="J1188" t="str">
        <f t="shared" si="18"/>
        <v>INSERT INTO COTACAO (blt_id, pap_id, cot_prc_comum, cot_prc_min, cot_prc_max, cot_prc_med, cot_prc_mediana) VALUES (31, 35, NULL, 120, 120, 120, 120);</v>
      </c>
    </row>
    <row r="1189" spans="1:10" x14ac:dyDescent="0.3">
      <c r="A1189">
        <v>1188</v>
      </c>
      <c r="B1189">
        <v>31</v>
      </c>
      <c r="C1189">
        <v>36</v>
      </c>
      <c r="D1189" t="str">
        <f>IF('Boletins Nuppa Site'!F1189&lt;&gt;0,'Boletins Nuppa Site'!F1189,"NULL")</f>
        <v>NULL</v>
      </c>
      <c r="E1189" t="str">
        <f>IF('Boletins Nuppa Site'!G1189&lt;&gt;0,'Boletins Nuppa Site'!G1189,"NULL")</f>
        <v>NULL</v>
      </c>
      <c r="F1189" t="str">
        <f>IF('Boletins Nuppa Site'!H1189&lt;&gt;0,'Boletins Nuppa Site'!H1189,"NULL")</f>
        <v>NULL</v>
      </c>
      <c r="G1189" t="str">
        <f>IF('Boletins Nuppa Site'!I1189&lt;&gt;0,'Boletins Nuppa Site'!I1189,"NULL")</f>
        <v>NULL</v>
      </c>
      <c r="H1189" t="str">
        <f>IF('Boletins Nuppa Site'!J1189&lt;&gt;0,'Boletins Nuppa Site'!J1189,"NULL")</f>
        <v>NULL</v>
      </c>
      <c r="J1189" t="str">
        <f t="shared" si="18"/>
        <v>INSERT INTO COTACAO (blt_id, pap_id, cot_prc_comum, cot_prc_min, cot_prc_max, cot_prc_med, cot_prc_mediana) VALUES (31, 36, NULL, NULL, NULL, NULL, NULL);</v>
      </c>
    </row>
    <row r="1190" spans="1:10" x14ac:dyDescent="0.3">
      <c r="A1190">
        <v>1189</v>
      </c>
      <c r="B1190">
        <v>31</v>
      </c>
      <c r="C1190">
        <v>37</v>
      </c>
      <c r="D1190" t="str">
        <f>IF('Boletins Nuppa Site'!F1190&lt;&gt;0,'Boletins Nuppa Site'!F1190,"NULL")</f>
        <v>NULL</v>
      </c>
      <c r="E1190" t="str">
        <f>IF('Boletins Nuppa Site'!G1190&lt;&gt;0,'Boletins Nuppa Site'!G1190,"NULL")</f>
        <v>NULL</v>
      </c>
      <c r="F1190" t="str">
        <f>IF('Boletins Nuppa Site'!H1190&lt;&gt;0,'Boletins Nuppa Site'!H1190,"NULL")</f>
        <v>NULL</v>
      </c>
      <c r="G1190" t="str">
        <f>IF('Boletins Nuppa Site'!I1190&lt;&gt;0,'Boletins Nuppa Site'!I1190,"NULL")</f>
        <v>NULL</v>
      </c>
      <c r="H1190" t="str">
        <f>IF('Boletins Nuppa Site'!J1190&lt;&gt;0,'Boletins Nuppa Site'!J1190,"NULL")</f>
        <v>NULL</v>
      </c>
      <c r="J1190" t="str">
        <f t="shared" si="18"/>
        <v>INSERT INTO COTACAO (blt_id, pap_id, cot_prc_comum, cot_prc_min, cot_prc_max, cot_prc_med, cot_prc_mediana) VALUES (31, 37, NULL, NULL, NULL, NULL, NULL);</v>
      </c>
    </row>
    <row r="1191" spans="1:10" x14ac:dyDescent="0.3">
      <c r="A1191">
        <v>1190</v>
      </c>
      <c r="B1191">
        <v>31</v>
      </c>
      <c r="C1191">
        <v>38</v>
      </c>
      <c r="D1191" t="str">
        <f>IF('Boletins Nuppa Site'!F1191&lt;&gt;0,'Boletins Nuppa Site'!F1191,"NULL")</f>
        <v>NULL</v>
      </c>
      <c r="E1191" t="str">
        <f>IF('Boletins Nuppa Site'!G1191&lt;&gt;0,'Boletins Nuppa Site'!G1191,"NULL")</f>
        <v>NULL</v>
      </c>
      <c r="F1191" t="str">
        <f>IF('Boletins Nuppa Site'!H1191&lt;&gt;0,'Boletins Nuppa Site'!H1191,"NULL")</f>
        <v>NULL</v>
      </c>
      <c r="G1191" t="str">
        <f>IF('Boletins Nuppa Site'!I1191&lt;&gt;0,'Boletins Nuppa Site'!I1191,"NULL")</f>
        <v>NULL</v>
      </c>
      <c r="H1191" t="str">
        <f>IF('Boletins Nuppa Site'!J1191&lt;&gt;0,'Boletins Nuppa Site'!J1191,"NULL")</f>
        <v>NULL</v>
      </c>
      <c r="J1191" t="str">
        <f t="shared" si="18"/>
        <v>INSERT INTO COTACAO (blt_id, pap_id, cot_prc_comum, cot_prc_min, cot_prc_max, cot_prc_med, cot_prc_mediana) VALUES (31, 38, NULL, NULL, NULL, NULL, NULL);</v>
      </c>
    </row>
    <row r="1192" spans="1:10" x14ac:dyDescent="0.3">
      <c r="A1192">
        <v>1191</v>
      </c>
      <c r="B1192">
        <v>31</v>
      </c>
      <c r="C1192">
        <v>39</v>
      </c>
      <c r="D1192" t="str">
        <f>IF('Boletins Nuppa Site'!F1192&lt;&gt;0,'Boletins Nuppa Site'!F1192,"NULL")</f>
        <v>NULL</v>
      </c>
      <c r="E1192">
        <f>IF('Boletins Nuppa Site'!G1192&lt;&gt;0,'Boletins Nuppa Site'!G1192,"NULL")</f>
        <v>60</v>
      </c>
      <c r="F1192">
        <f>IF('Boletins Nuppa Site'!H1192&lt;&gt;0,'Boletins Nuppa Site'!H1192,"NULL")</f>
        <v>60</v>
      </c>
      <c r="G1192">
        <f>IF('Boletins Nuppa Site'!I1192&lt;&gt;0,'Boletins Nuppa Site'!I1192,"NULL")</f>
        <v>60</v>
      </c>
      <c r="H1192">
        <f>IF('Boletins Nuppa Site'!J1192&lt;&gt;0,'Boletins Nuppa Site'!J1192,"NULL")</f>
        <v>60</v>
      </c>
      <c r="J1192" t="str">
        <f t="shared" si="18"/>
        <v>INSERT INTO COTACAO (blt_id, pap_id, cot_prc_comum, cot_prc_min, cot_prc_max, cot_prc_med, cot_prc_mediana) VALUES (31, 39, NULL, 60, 60, 60, 60);</v>
      </c>
    </row>
    <row r="1193" spans="1:10" x14ac:dyDescent="0.3">
      <c r="A1193">
        <v>1192</v>
      </c>
      <c r="B1193">
        <v>31</v>
      </c>
      <c r="C1193">
        <v>40</v>
      </c>
      <c r="D1193" t="str">
        <f>IF('Boletins Nuppa Site'!F1193&lt;&gt;0,'Boletins Nuppa Site'!F1193,"NULL")</f>
        <v>NULL</v>
      </c>
      <c r="E1193">
        <f>IF('Boletins Nuppa Site'!G1193&lt;&gt;0,'Boletins Nuppa Site'!G1193,"NULL")</f>
        <v>80</v>
      </c>
      <c r="F1193">
        <f>IF('Boletins Nuppa Site'!H1193&lt;&gt;0,'Boletins Nuppa Site'!H1193,"NULL")</f>
        <v>80</v>
      </c>
      <c r="G1193">
        <f>IF('Boletins Nuppa Site'!I1193&lt;&gt;0,'Boletins Nuppa Site'!I1193,"NULL")</f>
        <v>80</v>
      </c>
      <c r="H1193">
        <f>IF('Boletins Nuppa Site'!J1193&lt;&gt;0,'Boletins Nuppa Site'!J1193,"NULL")</f>
        <v>80</v>
      </c>
      <c r="J1193" t="str">
        <f t="shared" si="18"/>
        <v>INSERT INTO COTACAO (blt_id, pap_id, cot_prc_comum, cot_prc_min, cot_prc_max, cot_prc_med, cot_prc_mediana) VALUES (31, 40, NULL, 80, 80, 80, 80);</v>
      </c>
    </row>
    <row r="1194" spans="1:10" x14ac:dyDescent="0.3">
      <c r="A1194">
        <v>1193</v>
      </c>
      <c r="B1194">
        <v>32</v>
      </c>
      <c r="C1194">
        <v>1</v>
      </c>
      <c r="D1194">
        <f>IF('Boletins Nuppa Site'!F1194&lt;&gt;0,'Boletins Nuppa Site'!F1194,"NULL")</f>
        <v>48</v>
      </c>
      <c r="E1194">
        <f>IF('Boletins Nuppa Site'!G1194&lt;&gt;0,'Boletins Nuppa Site'!G1194,"NULL")</f>
        <v>48</v>
      </c>
      <c r="F1194">
        <f>IF('Boletins Nuppa Site'!H1194&lt;&gt;0,'Boletins Nuppa Site'!H1194,"NULL")</f>
        <v>60</v>
      </c>
      <c r="G1194" t="str">
        <f>IF('Boletins Nuppa Site'!I1194&lt;&gt;0,'Boletins Nuppa Site'!I1194,"NULL")</f>
        <v>50.4</v>
      </c>
      <c r="H1194">
        <f>IF('Boletins Nuppa Site'!J1194&lt;&gt;0,'Boletins Nuppa Site'!J1194,"NULL")</f>
        <v>48</v>
      </c>
      <c r="J1194" t="str">
        <f t="shared" si="18"/>
        <v>INSERT INTO COTACAO (blt_id, pap_id, cot_prc_comum, cot_prc_min, cot_prc_max, cot_prc_med, cot_prc_mediana) VALUES (32, 1, 48, 48, 60, 50.4, 48);</v>
      </c>
    </row>
    <row r="1195" spans="1:10" x14ac:dyDescent="0.3">
      <c r="A1195">
        <v>1194</v>
      </c>
      <c r="B1195">
        <v>32</v>
      </c>
      <c r="C1195">
        <v>2</v>
      </c>
      <c r="D1195">
        <f>IF('Boletins Nuppa Site'!F1195&lt;&gt;0,'Boletins Nuppa Site'!F1195,"NULL")</f>
        <v>72</v>
      </c>
      <c r="E1195">
        <f>IF('Boletins Nuppa Site'!G1195&lt;&gt;0,'Boletins Nuppa Site'!G1195,"NULL")</f>
        <v>72</v>
      </c>
      <c r="F1195">
        <f>IF('Boletins Nuppa Site'!H1195&lt;&gt;0,'Boletins Nuppa Site'!H1195,"NULL")</f>
        <v>96</v>
      </c>
      <c r="G1195">
        <f>IF('Boletins Nuppa Site'!I1195&lt;&gt;0,'Boletins Nuppa Site'!I1195,"NULL")</f>
        <v>81</v>
      </c>
      <c r="H1195">
        <f>IF('Boletins Nuppa Site'!J1195&lt;&gt;0,'Boletins Nuppa Site'!J1195,"NULL")</f>
        <v>78</v>
      </c>
      <c r="J1195" t="str">
        <f t="shared" si="18"/>
        <v>INSERT INTO COTACAO (blt_id, pap_id, cot_prc_comum, cot_prc_min, cot_prc_max, cot_prc_med, cot_prc_mediana) VALUES (32, 2, 72, 72, 96, 81, 78);</v>
      </c>
    </row>
    <row r="1196" spans="1:10" x14ac:dyDescent="0.3">
      <c r="A1196">
        <v>1195</v>
      </c>
      <c r="B1196">
        <v>32</v>
      </c>
      <c r="C1196">
        <v>3</v>
      </c>
      <c r="D1196">
        <f>IF('Boletins Nuppa Site'!F1196&lt;&gt;0,'Boletins Nuppa Site'!F1196,"NULL")</f>
        <v>36</v>
      </c>
      <c r="E1196">
        <f>IF('Boletins Nuppa Site'!G1196&lt;&gt;0,'Boletins Nuppa Site'!G1196,"NULL")</f>
        <v>25</v>
      </c>
      <c r="F1196">
        <f>IF('Boletins Nuppa Site'!H1196&lt;&gt;0,'Boletins Nuppa Site'!H1196,"NULL")</f>
        <v>42</v>
      </c>
      <c r="G1196">
        <f>IF('Boletins Nuppa Site'!I1196&lt;&gt;0,'Boletins Nuppa Site'!I1196,"NULL")</f>
        <v>35</v>
      </c>
      <c r="H1196">
        <f>IF('Boletins Nuppa Site'!J1196&lt;&gt;0,'Boletins Nuppa Site'!J1196,"NULL")</f>
        <v>36</v>
      </c>
      <c r="J1196" t="str">
        <f t="shared" si="18"/>
        <v>INSERT INTO COTACAO (blt_id, pap_id, cot_prc_comum, cot_prc_min, cot_prc_max, cot_prc_med, cot_prc_mediana) VALUES (32, 3, 36, 25, 42, 35, 36);</v>
      </c>
    </row>
    <row r="1197" spans="1:10" x14ac:dyDescent="0.3">
      <c r="A1197">
        <v>1196</v>
      </c>
      <c r="B1197">
        <v>32</v>
      </c>
      <c r="C1197">
        <v>4</v>
      </c>
      <c r="D1197">
        <f>IF('Boletins Nuppa Site'!F1197&lt;&gt;0,'Boletins Nuppa Site'!F1197,"NULL")</f>
        <v>24</v>
      </c>
      <c r="E1197">
        <f>IF('Boletins Nuppa Site'!G1197&lt;&gt;0,'Boletins Nuppa Site'!G1197,"NULL")</f>
        <v>18</v>
      </c>
      <c r="F1197">
        <f>IF('Boletins Nuppa Site'!H1197&lt;&gt;0,'Boletins Nuppa Site'!H1197,"NULL")</f>
        <v>24</v>
      </c>
      <c r="G1197" t="str">
        <f>IF('Boletins Nuppa Site'!I1197&lt;&gt;0,'Boletins Nuppa Site'!I1197,"NULL")</f>
        <v>21.6</v>
      </c>
      <c r="H1197">
        <f>IF('Boletins Nuppa Site'!J1197&lt;&gt;0,'Boletins Nuppa Site'!J1197,"NULL")</f>
        <v>24</v>
      </c>
      <c r="J1197" t="str">
        <f t="shared" si="18"/>
        <v>INSERT INTO COTACAO (blt_id, pap_id, cot_prc_comum, cot_prc_min, cot_prc_max, cot_prc_med, cot_prc_mediana) VALUES (32, 4, 24, 18, 24, 21.6, 24);</v>
      </c>
    </row>
    <row r="1198" spans="1:10" x14ac:dyDescent="0.3">
      <c r="A1198">
        <v>1197</v>
      </c>
      <c r="B1198">
        <v>32</v>
      </c>
      <c r="C1198">
        <v>5</v>
      </c>
      <c r="D1198">
        <f>IF('Boletins Nuppa Site'!F1198&lt;&gt;0,'Boletins Nuppa Site'!F1198,"NULL")</f>
        <v>24</v>
      </c>
      <c r="E1198">
        <f>IF('Boletins Nuppa Site'!G1198&lt;&gt;0,'Boletins Nuppa Site'!G1198,"NULL")</f>
        <v>18</v>
      </c>
      <c r="F1198">
        <f>IF('Boletins Nuppa Site'!H1198&lt;&gt;0,'Boletins Nuppa Site'!H1198,"NULL")</f>
        <v>24</v>
      </c>
      <c r="G1198">
        <f>IF('Boletins Nuppa Site'!I1198&lt;&gt;0,'Boletins Nuppa Site'!I1198,"NULL")</f>
        <v>21</v>
      </c>
      <c r="H1198">
        <f>IF('Boletins Nuppa Site'!J1198&lt;&gt;0,'Boletins Nuppa Site'!J1198,"NULL")</f>
        <v>21</v>
      </c>
      <c r="J1198" t="str">
        <f t="shared" si="18"/>
        <v>INSERT INTO COTACAO (blt_id, pap_id, cot_prc_comum, cot_prc_min, cot_prc_max, cot_prc_med, cot_prc_mediana) VALUES (32, 5, 24, 18, 24, 21, 21);</v>
      </c>
    </row>
    <row r="1199" spans="1:10" x14ac:dyDescent="0.3">
      <c r="A1199">
        <v>1198</v>
      </c>
      <c r="B1199">
        <v>32</v>
      </c>
      <c r="C1199">
        <v>6</v>
      </c>
      <c r="D1199">
        <f>IF('Boletins Nuppa Site'!F1199&lt;&gt;0,'Boletins Nuppa Site'!F1199,"NULL")</f>
        <v>60</v>
      </c>
      <c r="E1199">
        <f>IF('Boletins Nuppa Site'!G1199&lt;&gt;0,'Boletins Nuppa Site'!G1199,"NULL")</f>
        <v>48</v>
      </c>
      <c r="F1199">
        <f>IF('Boletins Nuppa Site'!H1199&lt;&gt;0,'Boletins Nuppa Site'!H1199,"NULL")</f>
        <v>60</v>
      </c>
      <c r="G1199">
        <f>IF('Boletins Nuppa Site'!I1199&lt;&gt;0,'Boletins Nuppa Site'!I1199,"NULL")</f>
        <v>54</v>
      </c>
      <c r="H1199">
        <f>IF('Boletins Nuppa Site'!J1199&lt;&gt;0,'Boletins Nuppa Site'!J1199,"NULL")</f>
        <v>54</v>
      </c>
      <c r="J1199" t="str">
        <f t="shared" si="18"/>
        <v>INSERT INTO COTACAO (blt_id, pap_id, cot_prc_comum, cot_prc_min, cot_prc_max, cot_prc_med, cot_prc_mediana) VALUES (32, 6, 60, 48, 60, 54, 54);</v>
      </c>
    </row>
    <row r="1200" spans="1:10" x14ac:dyDescent="0.3">
      <c r="A1200">
        <v>1199</v>
      </c>
      <c r="B1200">
        <v>32</v>
      </c>
      <c r="C1200">
        <v>7</v>
      </c>
      <c r="D1200">
        <f>IF('Boletins Nuppa Site'!F1200&lt;&gt;0,'Boletins Nuppa Site'!F1200,"NULL")</f>
        <v>60</v>
      </c>
      <c r="E1200">
        <f>IF('Boletins Nuppa Site'!G1200&lt;&gt;0,'Boletins Nuppa Site'!G1200,"NULL")</f>
        <v>48</v>
      </c>
      <c r="F1200">
        <f>IF('Boletins Nuppa Site'!H1200&lt;&gt;0,'Boletins Nuppa Site'!H1200,"NULL")</f>
        <v>72</v>
      </c>
      <c r="G1200">
        <f>IF('Boletins Nuppa Site'!I1200&lt;&gt;0,'Boletins Nuppa Site'!I1200,"NULL")</f>
        <v>60</v>
      </c>
      <c r="H1200">
        <f>IF('Boletins Nuppa Site'!J1200&lt;&gt;0,'Boletins Nuppa Site'!J1200,"NULL")</f>
        <v>60</v>
      </c>
      <c r="J1200" t="str">
        <f t="shared" si="18"/>
        <v>INSERT INTO COTACAO (blt_id, pap_id, cot_prc_comum, cot_prc_min, cot_prc_max, cot_prc_med, cot_prc_mediana) VALUES (32, 7, 60, 48, 72, 60, 60);</v>
      </c>
    </row>
    <row r="1201" spans="1:10" x14ac:dyDescent="0.3">
      <c r="A1201">
        <v>1200</v>
      </c>
      <c r="B1201">
        <v>32</v>
      </c>
      <c r="C1201">
        <v>8</v>
      </c>
      <c r="D1201">
        <f>IF('Boletins Nuppa Site'!F1201&lt;&gt;0,'Boletins Nuppa Site'!F1201,"NULL")</f>
        <v>72</v>
      </c>
      <c r="E1201">
        <f>IF('Boletins Nuppa Site'!G1201&lt;&gt;0,'Boletins Nuppa Site'!G1201,"NULL")</f>
        <v>60</v>
      </c>
      <c r="F1201">
        <f>IF('Boletins Nuppa Site'!H1201&lt;&gt;0,'Boletins Nuppa Site'!H1201,"NULL")</f>
        <v>72</v>
      </c>
      <c r="G1201" t="str">
        <f>IF('Boletins Nuppa Site'!I1201&lt;&gt;0,'Boletins Nuppa Site'!I1201,"NULL")</f>
        <v>69.6</v>
      </c>
      <c r="H1201">
        <f>IF('Boletins Nuppa Site'!J1201&lt;&gt;0,'Boletins Nuppa Site'!J1201,"NULL")</f>
        <v>72</v>
      </c>
      <c r="J1201" t="str">
        <f t="shared" si="18"/>
        <v>INSERT INTO COTACAO (blt_id, pap_id, cot_prc_comum, cot_prc_min, cot_prc_max, cot_prc_med, cot_prc_mediana) VALUES (32, 8, 72, 60, 72, 69.6, 72);</v>
      </c>
    </row>
    <row r="1202" spans="1:10" x14ac:dyDescent="0.3">
      <c r="A1202">
        <v>1201</v>
      </c>
      <c r="B1202">
        <v>32</v>
      </c>
      <c r="C1202">
        <v>9</v>
      </c>
      <c r="D1202">
        <f>IF('Boletins Nuppa Site'!F1202&lt;&gt;0,'Boletins Nuppa Site'!F1202,"NULL")</f>
        <v>18</v>
      </c>
      <c r="E1202">
        <f>IF('Boletins Nuppa Site'!G1202&lt;&gt;0,'Boletins Nuppa Site'!G1202,"NULL")</f>
        <v>18</v>
      </c>
      <c r="F1202">
        <f>IF('Boletins Nuppa Site'!H1202&lt;&gt;0,'Boletins Nuppa Site'!H1202,"NULL")</f>
        <v>24</v>
      </c>
      <c r="G1202" t="str">
        <f>IF('Boletins Nuppa Site'!I1202&lt;&gt;0,'Boletins Nuppa Site'!I1202,"NULL")</f>
        <v>20.4</v>
      </c>
      <c r="H1202">
        <f>IF('Boletins Nuppa Site'!J1202&lt;&gt;0,'Boletins Nuppa Site'!J1202,"NULL")</f>
        <v>18</v>
      </c>
      <c r="J1202" t="str">
        <f t="shared" si="18"/>
        <v>INSERT INTO COTACAO (blt_id, pap_id, cot_prc_comum, cot_prc_min, cot_prc_max, cot_prc_med, cot_prc_mediana) VALUES (32, 9, 18, 18, 24, 20.4, 18);</v>
      </c>
    </row>
    <row r="1203" spans="1:10" x14ac:dyDescent="0.3">
      <c r="A1203">
        <v>1202</v>
      </c>
      <c r="B1203">
        <v>32</v>
      </c>
      <c r="C1203">
        <v>10</v>
      </c>
      <c r="D1203">
        <f>IF('Boletins Nuppa Site'!F1203&lt;&gt;0,'Boletins Nuppa Site'!F1203,"NULL")</f>
        <v>60</v>
      </c>
      <c r="E1203">
        <f>IF('Boletins Nuppa Site'!G1203&lt;&gt;0,'Boletins Nuppa Site'!G1203,"NULL")</f>
        <v>60</v>
      </c>
      <c r="F1203">
        <f>IF('Boletins Nuppa Site'!H1203&lt;&gt;0,'Boletins Nuppa Site'!H1203,"NULL")</f>
        <v>78</v>
      </c>
      <c r="G1203" t="str">
        <f>IF('Boletins Nuppa Site'!I1203&lt;&gt;0,'Boletins Nuppa Site'!I1203,"NULL")</f>
        <v>64.5</v>
      </c>
      <c r="H1203">
        <f>IF('Boletins Nuppa Site'!J1203&lt;&gt;0,'Boletins Nuppa Site'!J1203,"NULL")</f>
        <v>60</v>
      </c>
      <c r="J1203" t="str">
        <f t="shared" si="18"/>
        <v>INSERT INTO COTACAO (blt_id, pap_id, cot_prc_comum, cot_prc_min, cot_prc_max, cot_prc_med, cot_prc_mediana) VALUES (32, 10, 60, 60, 78, 64.5, 60);</v>
      </c>
    </row>
    <row r="1204" spans="1:10" x14ac:dyDescent="0.3">
      <c r="A1204">
        <v>1203</v>
      </c>
      <c r="B1204">
        <v>32</v>
      </c>
      <c r="C1204">
        <v>11</v>
      </c>
      <c r="D1204">
        <f>IF('Boletins Nuppa Site'!F1204&lt;&gt;0,'Boletins Nuppa Site'!F1204,"NULL")</f>
        <v>24</v>
      </c>
      <c r="E1204">
        <f>IF('Boletins Nuppa Site'!G1204&lt;&gt;0,'Boletins Nuppa Site'!G1204,"NULL")</f>
        <v>18</v>
      </c>
      <c r="F1204">
        <f>IF('Boletins Nuppa Site'!H1204&lt;&gt;0,'Boletins Nuppa Site'!H1204,"NULL")</f>
        <v>24</v>
      </c>
      <c r="G1204" t="str">
        <f>IF('Boletins Nuppa Site'!I1204&lt;&gt;0,'Boletins Nuppa Site'!I1204,"NULL")</f>
        <v>22.8</v>
      </c>
      <c r="H1204">
        <f>IF('Boletins Nuppa Site'!J1204&lt;&gt;0,'Boletins Nuppa Site'!J1204,"NULL")</f>
        <v>24</v>
      </c>
      <c r="J1204" t="str">
        <f t="shared" si="18"/>
        <v>INSERT INTO COTACAO (blt_id, pap_id, cot_prc_comum, cot_prc_min, cot_prc_max, cot_prc_med, cot_prc_mediana) VALUES (32, 11, 24, 18, 24, 22.8, 24);</v>
      </c>
    </row>
    <row r="1205" spans="1:10" x14ac:dyDescent="0.3">
      <c r="A1205">
        <v>1204</v>
      </c>
      <c r="B1205">
        <v>32</v>
      </c>
      <c r="C1205">
        <v>12</v>
      </c>
      <c r="D1205">
        <f>IF('Boletins Nuppa Site'!F1205&lt;&gt;0,'Boletins Nuppa Site'!F1205,"NULL")</f>
        <v>60</v>
      </c>
      <c r="E1205">
        <f>IF('Boletins Nuppa Site'!G1205&lt;&gt;0,'Boletins Nuppa Site'!G1205,"NULL")</f>
        <v>48</v>
      </c>
      <c r="F1205">
        <f>IF('Boletins Nuppa Site'!H1205&lt;&gt;0,'Boletins Nuppa Site'!H1205,"NULL")</f>
        <v>60</v>
      </c>
      <c r="G1205">
        <f>IF('Boletins Nuppa Site'!I1205&lt;&gt;0,'Boletins Nuppa Site'!I1205,"NULL")</f>
        <v>54</v>
      </c>
      <c r="H1205">
        <f>IF('Boletins Nuppa Site'!J1205&lt;&gt;0,'Boletins Nuppa Site'!J1205,"NULL")</f>
        <v>54</v>
      </c>
      <c r="J1205" t="str">
        <f t="shared" si="18"/>
        <v>INSERT INTO COTACAO (blt_id, pap_id, cot_prc_comum, cot_prc_min, cot_prc_max, cot_prc_med, cot_prc_mediana) VALUES (32, 12, 60, 48, 60, 54, 54);</v>
      </c>
    </row>
    <row r="1206" spans="1:10" x14ac:dyDescent="0.3">
      <c r="A1206">
        <v>1205</v>
      </c>
      <c r="B1206">
        <v>32</v>
      </c>
      <c r="C1206">
        <v>13</v>
      </c>
      <c r="D1206">
        <f>IF('Boletins Nuppa Site'!F1206&lt;&gt;0,'Boletins Nuppa Site'!F1206,"NULL")</f>
        <v>48</v>
      </c>
      <c r="E1206">
        <f>IF('Boletins Nuppa Site'!G1206&lt;&gt;0,'Boletins Nuppa Site'!G1206,"NULL")</f>
        <v>42</v>
      </c>
      <c r="F1206">
        <f>IF('Boletins Nuppa Site'!H1206&lt;&gt;0,'Boletins Nuppa Site'!H1206,"NULL")</f>
        <v>60</v>
      </c>
      <c r="G1206" t="str">
        <f>IF('Boletins Nuppa Site'!I1206&lt;&gt;0,'Boletins Nuppa Site'!I1206,"NULL")</f>
        <v>49.2</v>
      </c>
      <c r="H1206">
        <f>IF('Boletins Nuppa Site'!J1206&lt;&gt;0,'Boletins Nuppa Site'!J1206,"NULL")</f>
        <v>48</v>
      </c>
      <c r="J1206" t="str">
        <f t="shared" si="18"/>
        <v>INSERT INTO COTACAO (blt_id, pap_id, cot_prc_comum, cot_prc_min, cot_prc_max, cot_prc_med, cot_prc_mediana) VALUES (32, 13, 48, 42, 60, 49.2, 48);</v>
      </c>
    </row>
    <row r="1207" spans="1:10" x14ac:dyDescent="0.3">
      <c r="A1207">
        <v>1206</v>
      </c>
      <c r="B1207">
        <v>32</v>
      </c>
      <c r="C1207">
        <v>14</v>
      </c>
      <c r="D1207">
        <f>IF('Boletins Nuppa Site'!F1207&lt;&gt;0,'Boletins Nuppa Site'!F1207,"NULL")</f>
        <v>48</v>
      </c>
      <c r="E1207">
        <f>IF('Boletins Nuppa Site'!G1207&lt;&gt;0,'Boletins Nuppa Site'!G1207,"NULL")</f>
        <v>48</v>
      </c>
      <c r="F1207">
        <f>IF('Boletins Nuppa Site'!H1207&lt;&gt;0,'Boletins Nuppa Site'!H1207,"NULL")</f>
        <v>84</v>
      </c>
      <c r="G1207">
        <f>IF('Boletins Nuppa Site'!I1207&lt;&gt;0,'Boletins Nuppa Site'!I1207,"NULL")</f>
        <v>60</v>
      </c>
      <c r="H1207">
        <f>IF('Boletins Nuppa Site'!J1207&lt;&gt;0,'Boletins Nuppa Site'!J1207,"NULL")</f>
        <v>54</v>
      </c>
      <c r="J1207" t="str">
        <f t="shared" si="18"/>
        <v>INSERT INTO COTACAO (blt_id, pap_id, cot_prc_comum, cot_prc_min, cot_prc_max, cot_prc_med, cot_prc_mediana) VALUES (32, 14, 48, 48, 84, 60, 54);</v>
      </c>
    </row>
    <row r="1208" spans="1:10" x14ac:dyDescent="0.3">
      <c r="A1208">
        <v>1207</v>
      </c>
      <c r="B1208">
        <v>32</v>
      </c>
      <c r="C1208">
        <v>15</v>
      </c>
      <c r="D1208">
        <f>IF('Boletins Nuppa Site'!F1208&lt;&gt;0,'Boletins Nuppa Site'!F1208,"NULL")</f>
        <v>36</v>
      </c>
      <c r="E1208">
        <f>IF('Boletins Nuppa Site'!G1208&lt;&gt;0,'Boletins Nuppa Site'!G1208,"NULL")</f>
        <v>20</v>
      </c>
      <c r="F1208">
        <f>IF('Boletins Nuppa Site'!H1208&lt;&gt;0,'Boletins Nuppa Site'!H1208,"NULL")</f>
        <v>40</v>
      </c>
      <c r="G1208" t="str">
        <f>IF('Boletins Nuppa Site'!I1208&lt;&gt;0,'Boletins Nuppa Site'!I1208,"NULL")</f>
        <v>33.6</v>
      </c>
      <c r="H1208">
        <f>IF('Boletins Nuppa Site'!J1208&lt;&gt;0,'Boletins Nuppa Site'!J1208,"NULL")</f>
        <v>36</v>
      </c>
      <c r="J1208" t="str">
        <f t="shared" si="18"/>
        <v>INSERT INTO COTACAO (blt_id, pap_id, cot_prc_comum, cot_prc_min, cot_prc_max, cot_prc_med, cot_prc_mediana) VALUES (32, 15, 36, 20, 40, 33.6, 36);</v>
      </c>
    </row>
    <row r="1209" spans="1:10" x14ac:dyDescent="0.3">
      <c r="A1209">
        <v>1208</v>
      </c>
      <c r="B1209">
        <v>32</v>
      </c>
      <c r="C1209">
        <v>16</v>
      </c>
      <c r="D1209">
        <f>IF('Boletins Nuppa Site'!F1209&lt;&gt;0,'Boletins Nuppa Site'!F1209,"NULL")</f>
        <v>48</v>
      </c>
      <c r="E1209">
        <f>IF('Boletins Nuppa Site'!G1209&lt;&gt;0,'Boletins Nuppa Site'!G1209,"NULL")</f>
        <v>48</v>
      </c>
      <c r="F1209">
        <f>IF('Boletins Nuppa Site'!H1209&lt;&gt;0,'Boletins Nuppa Site'!H1209,"NULL")</f>
        <v>54</v>
      </c>
      <c r="G1209" t="str">
        <f>IF('Boletins Nuppa Site'!I1209&lt;&gt;0,'Boletins Nuppa Site'!I1209,"NULL")</f>
        <v>49.2</v>
      </c>
      <c r="H1209">
        <f>IF('Boletins Nuppa Site'!J1209&lt;&gt;0,'Boletins Nuppa Site'!J1209,"NULL")</f>
        <v>48</v>
      </c>
      <c r="J1209" t="str">
        <f t="shared" si="18"/>
        <v>INSERT INTO COTACAO (blt_id, pap_id, cot_prc_comum, cot_prc_min, cot_prc_max, cot_prc_med, cot_prc_mediana) VALUES (32, 16, 48, 48, 54, 49.2, 48);</v>
      </c>
    </row>
    <row r="1210" spans="1:10" x14ac:dyDescent="0.3">
      <c r="A1210">
        <v>1209</v>
      </c>
      <c r="B1210">
        <v>32</v>
      </c>
      <c r="C1210">
        <v>17</v>
      </c>
      <c r="D1210">
        <f>IF('Boletins Nuppa Site'!F1210&lt;&gt;0,'Boletins Nuppa Site'!F1210,"NULL")</f>
        <v>5</v>
      </c>
      <c r="E1210">
        <f>IF('Boletins Nuppa Site'!G1210&lt;&gt;0,'Boletins Nuppa Site'!G1210,"NULL")</f>
        <v>5</v>
      </c>
      <c r="F1210">
        <f>IF('Boletins Nuppa Site'!H1210&lt;&gt;0,'Boletins Nuppa Site'!H1210,"NULL")</f>
        <v>5</v>
      </c>
      <c r="G1210">
        <f>IF('Boletins Nuppa Site'!I1210&lt;&gt;0,'Boletins Nuppa Site'!I1210,"NULL")</f>
        <v>5</v>
      </c>
      <c r="H1210">
        <f>IF('Boletins Nuppa Site'!J1210&lt;&gt;0,'Boletins Nuppa Site'!J1210,"NULL")</f>
        <v>5</v>
      </c>
      <c r="J1210" t="str">
        <f t="shared" si="18"/>
        <v>INSERT INTO COTACAO (blt_id, pap_id, cot_prc_comum, cot_prc_min, cot_prc_max, cot_prc_med, cot_prc_mediana) VALUES (32, 17, 5, 5, 5, 5, 5);</v>
      </c>
    </row>
    <row r="1211" spans="1:10" x14ac:dyDescent="0.3">
      <c r="A1211">
        <v>1210</v>
      </c>
      <c r="B1211">
        <v>32</v>
      </c>
      <c r="C1211">
        <v>18</v>
      </c>
      <c r="D1211">
        <f>IF('Boletins Nuppa Site'!F1211&lt;&gt;0,'Boletins Nuppa Site'!F1211,"NULL")</f>
        <v>10</v>
      </c>
      <c r="E1211">
        <f>IF('Boletins Nuppa Site'!G1211&lt;&gt;0,'Boletins Nuppa Site'!G1211,"NULL")</f>
        <v>10</v>
      </c>
      <c r="F1211">
        <f>IF('Boletins Nuppa Site'!H1211&lt;&gt;0,'Boletins Nuppa Site'!H1211,"NULL")</f>
        <v>10</v>
      </c>
      <c r="G1211">
        <f>IF('Boletins Nuppa Site'!I1211&lt;&gt;0,'Boletins Nuppa Site'!I1211,"NULL")</f>
        <v>10</v>
      </c>
      <c r="H1211">
        <f>IF('Boletins Nuppa Site'!J1211&lt;&gt;0,'Boletins Nuppa Site'!J1211,"NULL")</f>
        <v>10</v>
      </c>
      <c r="J1211" t="str">
        <f t="shared" si="18"/>
        <v>INSERT INTO COTACAO (blt_id, pap_id, cot_prc_comum, cot_prc_min, cot_prc_max, cot_prc_med, cot_prc_mediana) VALUES (32, 18, 10, 10, 10, 10, 10);</v>
      </c>
    </row>
    <row r="1212" spans="1:10" x14ac:dyDescent="0.3">
      <c r="A1212">
        <v>1211</v>
      </c>
      <c r="B1212">
        <v>32</v>
      </c>
      <c r="C1212">
        <v>19</v>
      </c>
      <c r="D1212">
        <f>IF('Boletins Nuppa Site'!F1212&lt;&gt;0,'Boletins Nuppa Site'!F1212,"NULL")</f>
        <v>15</v>
      </c>
      <c r="E1212">
        <f>IF('Boletins Nuppa Site'!G1212&lt;&gt;0,'Boletins Nuppa Site'!G1212,"NULL")</f>
        <v>15</v>
      </c>
      <c r="F1212">
        <f>IF('Boletins Nuppa Site'!H1212&lt;&gt;0,'Boletins Nuppa Site'!H1212,"NULL")</f>
        <v>30</v>
      </c>
      <c r="G1212">
        <f>IF('Boletins Nuppa Site'!I1212&lt;&gt;0,'Boletins Nuppa Site'!I1212,"NULL")</f>
        <v>21</v>
      </c>
      <c r="H1212">
        <f>IF('Boletins Nuppa Site'!J1212&lt;&gt;0,'Boletins Nuppa Site'!J1212,"NULL")</f>
        <v>20</v>
      </c>
      <c r="J1212" t="str">
        <f t="shared" si="18"/>
        <v>INSERT INTO COTACAO (blt_id, pap_id, cot_prc_comum, cot_prc_min, cot_prc_max, cot_prc_med, cot_prc_mediana) VALUES (32, 19, 15, 15, 30, 21, 20);</v>
      </c>
    </row>
    <row r="1213" spans="1:10" x14ac:dyDescent="0.3">
      <c r="A1213">
        <v>1212</v>
      </c>
      <c r="B1213">
        <v>32</v>
      </c>
      <c r="C1213">
        <v>20</v>
      </c>
      <c r="D1213">
        <f>IF('Boletins Nuppa Site'!F1213&lt;&gt;0,'Boletins Nuppa Site'!F1213,"NULL")</f>
        <v>75</v>
      </c>
      <c r="E1213">
        <f>IF('Boletins Nuppa Site'!G1213&lt;&gt;0,'Boletins Nuppa Site'!G1213,"NULL")</f>
        <v>75</v>
      </c>
      <c r="F1213">
        <f>IF('Boletins Nuppa Site'!H1213&lt;&gt;0,'Boletins Nuppa Site'!H1213,"NULL")</f>
        <v>75</v>
      </c>
      <c r="G1213">
        <f>IF('Boletins Nuppa Site'!I1213&lt;&gt;0,'Boletins Nuppa Site'!I1213,"NULL")</f>
        <v>75</v>
      </c>
      <c r="H1213">
        <f>IF('Boletins Nuppa Site'!J1213&lt;&gt;0,'Boletins Nuppa Site'!J1213,"NULL")</f>
        <v>75</v>
      </c>
      <c r="J1213" t="str">
        <f t="shared" si="18"/>
        <v>INSERT INTO COTACAO (blt_id, pap_id, cot_prc_comum, cot_prc_min, cot_prc_max, cot_prc_med, cot_prc_mediana) VALUES (32, 20, 75, 75, 75, 75, 75);</v>
      </c>
    </row>
    <row r="1214" spans="1:10" x14ac:dyDescent="0.3">
      <c r="A1214">
        <v>1213</v>
      </c>
      <c r="B1214">
        <v>32</v>
      </c>
      <c r="C1214">
        <v>21</v>
      </c>
      <c r="D1214">
        <f>IF('Boletins Nuppa Site'!F1214&lt;&gt;0,'Boletins Nuppa Site'!F1214,"NULL")</f>
        <v>45</v>
      </c>
      <c r="E1214">
        <f>IF('Boletins Nuppa Site'!G1214&lt;&gt;0,'Boletins Nuppa Site'!G1214,"NULL")</f>
        <v>30</v>
      </c>
      <c r="F1214">
        <f>IF('Boletins Nuppa Site'!H1214&lt;&gt;0,'Boletins Nuppa Site'!H1214,"NULL")</f>
        <v>50</v>
      </c>
      <c r="G1214">
        <f>IF('Boletins Nuppa Site'!I1214&lt;&gt;0,'Boletins Nuppa Site'!I1214,"NULL")</f>
        <v>42</v>
      </c>
      <c r="H1214">
        <f>IF('Boletins Nuppa Site'!J1214&lt;&gt;0,'Boletins Nuppa Site'!J1214,"NULL")</f>
        <v>45</v>
      </c>
      <c r="J1214" t="str">
        <f t="shared" si="18"/>
        <v>INSERT INTO COTACAO (blt_id, pap_id, cot_prc_comum, cot_prc_min, cot_prc_max, cot_prc_med, cot_prc_mediana) VALUES (32, 21, 45, 30, 50, 42, 45);</v>
      </c>
    </row>
    <row r="1215" spans="1:10" x14ac:dyDescent="0.3">
      <c r="A1215">
        <v>1214</v>
      </c>
      <c r="B1215">
        <v>32</v>
      </c>
      <c r="C1215">
        <v>22</v>
      </c>
      <c r="D1215">
        <f>IF('Boletins Nuppa Site'!F1215&lt;&gt;0,'Boletins Nuppa Site'!F1215,"NULL")</f>
        <v>70</v>
      </c>
      <c r="E1215">
        <f>IF('Boletins Nuppa Site'!G1215&lt;&gt;0,'Boletins Nuppa Site'!G1215,"NULL")</f>
        <v>45</v>
      </c>
      <c r="F1215">
        <f>IF('Boletins Nuppa Site'!H1215&lt;&gt;0,'Boletins Nuppa Site'!H1215,"NULL")</f>
        <v>70</v>
      </c>
      <c r="G1215">
        <f>IF('Boletins Nuppa Site'!I1215&lt;&gt;0,'Boletins Nuppa Site'!I1215,"NULL")</f>
        <v>60</v>
      </c>
      <c r="H1215">
        <f>IF('Boletins Nuppa Site'!J1215&lt;&gt;0,'Boletins Nuppa Site'!J1215,"NULL")</f>
        <v>65</v>
      </c>
      <c r="J1215" t="str">
        <f t="shared" si="18"/>
        <v>INSERT INTO COTACAO (blt_id, pap_id, cot_prc_comum, cot_prc_min, cot_prc_max, cot_prc_med, cot_prc_mediana) VALUES (32, 22, 70, 45, 70, 60, 65);</v>
      </c>
    </row>
    <row r="1216" spans="1:10" x14ac:dyDescent="0.3">
      <c r="A1216">
        <v>1215</v>
      </c>
      <c r="B1216">
        <v>32</v>
      </c>
      <c r="C1216">
        <v>23</v>
      </c>
      <c r="D1216">
        <f>IF('Boletins Nuppa Site'!F1216&lt;&gt;0,'Boletins Nuppa Site'!F1216,"NULL")</f>
        <v>50</v>
      </c>
      <c r="E1216">
        <f>IF('Boletins Nuppa Site'!G1216&lt;&gt;0,'Boletins Nuppa Site'!G1216,"NULL")</f>
        <v>40</v>
      </c>
      <c r="F1216">
        <f>IF('Boletins Nuppa Site'!H1216&lt;&gt;0,'Boletins Nuppa Site'!H1216,"NULL")</f>
        <v>50</v>
      </c>
      <c r="G1216">
        <f>IF('Boletins Nuppa Site'!I1216&lt;&gt;0,'Boletins Nuppa Site'!I1216,"NULL")</f>
        <v>46</v>
      </c>
      <c r="H1216">
        <f>IF('Boletins Nuppa Site'!J1216&lt;&gt;0,'Boletins Nuppa Site'!J1216,"NULL")</f>
        <v>50</v>
      </c>
      <c r="J1216" t="str">
        <f t="shared" si="18"/>
        <v>INSERT INTO COTACAO (blt_id, pap_id, cot_prc_comum, cot_prc_min, cot_prc_max, cot_prc_med, cot_prc_mediana) VALUES (32, 23, 50, 40, 50, 46, 50);</v>
      </c>
    </row>
    <row r="1217" spans="1:10" x14ac:dyDescent="0.3">
      <c r="A1217">
        <v>1216</v>
      </c>
      <c r="B1217">
        <v>32</v>
      </c>
      <c r="C1217">
        <v>24</v>
      </c>
      <c r="D1217" t="str">
        <f>IF('Boletins Nuppa Site'!F1217&lt;&gt;0,'Boletins Nuppa Site'!F1217,"NULL")</f>
        <v>NULL</v>
      </c>
      <c r="E1217">
        <f>IF('Boletins Nuppa Site'!G1217&lt;&gt;0,'Boletins Nuppa Site'!G1217,"NULL")</f>
        <v>90</v>
      </c>
      <c r="F1217">
        <f>IF('Boletins Nuppa Site'!H1217&lt;&gt;0,'Boletins Nuppa Site'!H1217,"NULL")</f>
        <v>100</v>
      </c>
      <c r="G1217">
        <f>IF('Boletins Nuppa Site'!I1217&lt;&gt;0,'Boletins Nuppa Site'!I1217,"NULL")</f>
        <v>95</v>
      </c>
      <c r="H1217">
        <f>IF('Boletins Nuppa Site'!J1217&lt;&gt;0,'Boletins Nuppa Site'!J1217,"NULL")</f>
        <v>95</v>
      </c>
      <c r="J1217" t="str">
        <f t="shared" si="18"/>
        <v>INSERT INTO COTACAO (blt_id, pap_id, cot_prc_comum, cot_prc_min, cot_prc_max, cot_prc_med, cot_prc_mediana) VALUES (32, 24, NULL, 90, 100, 95, 95);</v>
      </c>
    </row>
    <row r="1218" spans="1:10" x14ac:dyDescent="0.3">
      <c r="A1218">
        <v>1217</v>
      </c>
      <c r="B1218">
        <v>32</v>
      </c>
      <c r="C1218">
        <v>25</v>
      </c>
      <c r="D1218">
        <f>IF('Boletins Nuppa Site'!F1218&lt;&gt;0,'Boletins Nuppa Site'!F1218,"NULL")</f>
        <v>60</v>
      </c>
      <c r="E1218">
        <f>IF('Boletins Nuppa Site'!G1218&lt;&gt;0,'Boletins Nuppa Site'!G1218,"NULL")</f>
        <v>60</v>
      </c>
      <c r="F1218">
        <f>IF('Boletins Nuppa Site'!H1218&lt;&gt;0,'Boletins Nuppa Site'!H1218,"NULL")</f>
        <v>65</v>
      </c>
      <c r="G1218">
        <f>IF('Boletins Nuppa Site'!I1218&lt;&gt;0,'Boletins Nuppa Site'!I1218,"NULL")</f>
        <v>62</v>
      </c>
      <c r="H1218">
        <f>IF('Boletins Nuppa Site'!J1218&lt;&gt;0,'Boletins Nuppa Site'!J1218,"NULL")</f>
        <v>60</v>
      </c>
      <c r="J1218" t="str">
        <f t="shared" si="18"/>
        <v>INSERT INTO COTACAO (blt_id, pap_id, cot_prc_comum, cot_prc_min, cot_prc_max, cot_prc_med, cot_prc_mediana) VALUES (32, 25, 60, 60, 65, 62, 60);</v>
      </c>
    </row>
    <row r="1219" spans="1:10" x14ac:dyDescent="0.3">
      <c r="A1219">
        <v>1218</v>
      </c>
      <c r="B1219">
        <v>32</v>
      </c>
      <c r="C1219">
        <v>26</v>
      </c>
      <c r="D1219">
        <f>IF('Boletins Nuppa Site'!F1219&lt;&gt;0,'Boletins Nuppa Site'!F1219,"NULL")</f>
        <v>55</v>
      </c>
      <c r="E1219">
        <f>IF('Boletins Nuppa Site'!G1219&lt;&gt;0,'Boletins Nuppa Site'!G1219,"NULL")</f>
        <v>35</v>
      </c>
      <c r="F1219">
        <f>IF('Boletins Nuppa Site'!H1219&lt;&gt;0,'Boletins Nuppa Site'!H1219,"NULL")</f>
        <v>60</v>
      </c>
      <c r="G1219">
        <f>IF('Boletins Nuppa Site'!I1219&lt;&gt;0,'Boletins Nuppa Site'!I1219,"NULL")</f>
        <v>51</v>
      </c>
      <c r="H1219">
        <f>IF('Boletins Nuppa Site'!J1219&lt;&gt;0,'Boletins Nuppa Site'!J1219,"NULL")</f>
        <v>55</v>
      </c>
      <c r="J1219" t="str">
        <f t="shared" ref="J1219:J1282" si="19">"INSERT INTO COTACAO (blt_id, pap_id, cot_prc_comum, cot_prc_min, cot_prc_max, cot_prc_med, cot_prc_mediana) VALUES ("&amp;B1219&amp;", "&amp;C1219&amp;", "&amp;D1219&amp;", "&amp;E1219&amp;", "&amp;F1219&amp;", "&amp;G1219&amp;", "&amp;H1219&amp;");"</f>
        <v>INSERT INTO COTACAO (blt_id, pap_id, cot_prc_comum, cot_prc_min, cot_prc_max, cot_prc_med, cot_prc_mediana) VALUES (32, 26, 55, 35, 60, 51, 55);</v>
      </c>
    </row>
    <row r="1220" spans="1:10" x14ac:dyDescent="0.3">
      <c r="A1220">
        <v>1219</v>
      </c>
      <c r="B1220">
        <v>32</v>
      </c>
      <c r="C1220">
        <v>27</v>
      </c>
      <c r="D1220">
        <f>IF('Boletins Nuppa Site'!F1220&lt;&gt;0,'Boletins Nuppa Site'!F1220,"NULL")</f>
        <v>65</v>
      </c>
      <c r="E1220">
        <f>IF('Boletins Nuppa Site'!G1220&lt;&gt;0,'Boletins Nuppa Site'!G1220,"NULL")</f>
        <v>50</v>
      </c>
      <c r="F1220">
        <f>IF('Boletins Nuppa Site'!H1220&lt;&gt;0,'Boletins Nuppa Site'!H1220,"NULL")</f>
        <v>65</v>
      </c>
      <c r="G1220">
        <f>IF('Boletins Nuppa Site'!I1220&lt;&gt;0,'Boletins Nuppa Site'!I1220,"NULL")</f>
        <v>58</v>
      </c>
      <c r="H1220">
        <f>IF('Boletins Nuppa Site'!J1220&lt;&gt;0,'Boletins Nuppa Site'!J1220,"NULL")</f>
        <v>60</v>
      </c>
      <c r="J1220" t="str">
        <f t="shared" si="19"/>
        <v>INSERT INTO COTACAO (blt_id, pap_id, cot_prc_comum, cot_prc_min, cot_prc_max, cot_prc_med, cot_prc_mediana) VALUES (32, 27, 65, 50, 65, 58, 60);</v>
      </c>
    </row>
    <row r="1221" spans="1:10" x14ac:dyDescent="0.3">
      <c r="A1221">
        <v>1220</v>
      </c>
      <c r="B1221">
        <v>32</v>
      </c>
      <c r="C1221">
        <v>28</v>
      </c>
      <c r="D1221">
        <f>IF('Boletins Nuppa Site'!F1221&lt;&gt;0,'Boletins Nuppa Site'!F1221,"NULL")</f>
        <v>90</v>
      </c>
      <c r="E1221">
        <f>IF('Boletins Nuppa Site'!G1221&lt;&gt;0,'Boletins Nuppa Site'!G1221,"NULL")</f>
        <v>70</v>
      </c>
      <c r="F1221">
        <f>IF('Boletins Nuppa Site'!H1221&lt;&gt;0,'Boletins Nuppa Site'!H1221,"NULL")</f>
        <v>100</v>
      </c>
      <c r="G1221" t="str">
        <f>IF('Boletins Nuppa Site'!I1221&lt;&gt;0,'Boletins Nuppa Site'!I1221,"NULL")</f>
        <v>87.5</v>
      </c>
      <c r="H1221">
        <f>IF('Boletins Nuppa Site'!J1221&lt;&gt;0,'Boletins Nuppa Site'!J1221,"NULL")</f>
        <v>90</v>
      </c>
      <c r="J1221" t="str">
        <f t="shared" si="19"/>
        <v>INSERT INTO COTACAO (blt_id, pap_id, cot_prc_comum, cot_prc_min, cot_prc_max, cot_prc_med, cot_prc_mediana) VALUES (32, 28, 90, 70, 100, 87.5, 90);</v>
      </c>
    </row>
    <row r="1222" spans="1:10" x14ac:dyDescent="0.3">
      <c r="A1222">
        <v>1221</v>
      </c>
      <c r="B1222">
        <v>32</v>
      </c>
      <c r="C1222">
        <v>29</v>
      </c>
      <c r="D1222" t="str">
        <f>IF('Boletins Nuppa Site'!F1222&lt;&gt;0,'Boletins Nuppa Site'!F1222,"NULL")</f>
        <v>NULL</v>
      </c>
      <c r="E1222">
        <f>IF('Boletins Nuppa Site'!G1222&lt;&gt;0,'Boletins Nuppa Site'!G1222,"NULL")</f>
        <v>60</v>
      </c>
      <c r="F1222">
        <f>IF('Boletins Nuppa Site'!H1222&lt;&gt;0,'Boletins Nuppa Site'!H1222,"NULL")</f>
        <v>60</v>
      </c>
      <c r="G1222">
        <f>IF('Boletins Nuppa Site'!I1222&lt;&gt;0,'Boletins Nuppa Site'!I1222,"NULL")</f>
        <v>60</v>
      </c>
      <c r="H1222">
        <f>IF('Boletins Nuppa Site'!J1222&lt;&gt;0,'Boletins Nuppa Site'!J1222,"NULL")</f>
        <v>60</v>
      </c>
      <c r="J1222" t="str">
        <f t="shared" si="19"/>
        <v>INSERT INTO COTACAO (blt_id, pap_id, cot_prc_comum, cot_prc_min, cot_prc_max, cot_prc_med, cot_prc_mediana) VALUES (32, 29, NULL, 60, 60, 60, 60);</v>
      </c>
    </row>
    <row r="1223" spans="1:10" x14ac:dyDescent="0.3">
      <c r="A1223">
        <v>1222</v>
      </c>
      <c r="B1223">
        <v>32</v>
      </c>
      <c r="C1223">
        <v>30</v>
      </c>
      <c r="D1223" t="str">
        <f>IF('Boletins Nuppa Site'!F1223&lt;&gt;0,'Boletins Nuppa Site'!F1223,"NULL")</f>
        <v>NULL</v>
      </c>
      <c r="E1223">
        <f>IF('Boletins Nuppa Site'!G1223&lt;&gt;0,'Boletins Nuppa Site'!G1223,"NULL")</f>
        <v>70</v>
      </c>
      <c r="F1223">
        <f>IF('Boletins Nuppa Site'!H1223&lt;&gt;0,'Boletins Nuppa Site'!H1223,"NULL")</f>
        <v>85</v>
      </c>
      <c r="G1223" t="str">
        <f>IF('Boletins Nuppa Site'!I1223&lt;&gt;0,'Boletins Nuppa Site'!I1223,"NULL")</f>
        <v>77.5</v>
      </c>
      <c r="H1223" t="str">
        <f>IF('Boletins Nuppa Site'!J1223&lt;&gt;0,'Boletins Nuppa Site'!J1223,"NULL")</f>
        <v>77.5</v>
      </c>
      <c r="J1223" t="str">
        <f t="shared" si="19"/>
        <v>INSERT INTO COTACAO (blt_id, pap_id, cot_prc_comum, cot_prc_min, cot_prc_max, cot_prc_med, cot_prc_mediana) VALUES (32, 30, NULL, 70, 85, 77.5, 77.5);</v>
      </c>
    </row>
    <row r="1224" spans="1:10" x14ac:dyDescent="0.3">
      <c r="A1224">
        <v>1223</v>
      </c>
      <c r="B1224">
        <v>32</v>
      </c>
      <c r="C1224">
        <v>31</v>
      </c>
      <c r="D1224">
        <f>IF('Boletins Nuppa Site'!F1224&lt;&gt;0,'Boletins Nuppa Site'!F1224,"NULL")</f>
        <v>120</v>
      </c>
      <c r="E1224">
        <f>IF('Boletins Nuppa Site'!G1224&lt;&gt;0,'Boletins Nuppa Site'!G1224,"NULL")</f>
        <v>80</v>
      </c>
      <c r="F1224">
        <f>IF('Boletins Nuppa Site'!H1224&lt;&gt;0,'Boletins Nuppa Site'!H1224,"NULL")</f>
        <v>120</v>
      </c>
      <c r="G1224">
        <f>IF('Boletins Nuppa Site'!I1224&lt;&gt;0,'Boletins Nuppa Site'!I1224,"NULL")</f>
        <v>103</v>
      </c>
      <c r="H1224">
        <f>IF('Boletins Nuppa Site'!J1224&lt;&gt;0,'Boletins Nuppa Site'!J1224,"NULL")</f>
        <v>110</v>
      </c>
      <c r="J1224" t="str">
        <f t="shared" si="19"/>
        <v>INSERT INTO COTACAO (blt_id, pap_id, cot_prc_comum, cot_prc_min, cot_prc_max, cot_prc_med, cot_prc_mediana) VALUES (32, 31, 120, 80, 120, 103, 110);</v>
      </c>
    </row>
    <row r="1225" spans="1:10" x14ac:dyDescent="0.3">
      <c r="A1225">
        <v>1224</v>
      </c>
      <c r="B1225">
        <v>32</v>
      </c>
      <c r="C1225">
        <v>32</v>
      </c>
      <c r="D1225">
        <f>IF('Boletins Nuppa Site'!F1225&lt;&gt;0,'Boletins Nuppa Site'!F1225,"NULL")</f>
        <v>50</v>
      </c>
      <c r="E1225">
        <f>IF('Boletins Nuppa Site'!G1225&lt;&gt;0,'Boletins Nuppa Site'!G1225,"NULL")</f>
        <v>50</v>
      </c>
      <c r="F1225">
        <f>IF('Boletins Nuppa Site'!H1225&lt;&gt;0,'Boletins Nuppa Site'!H1225,"NULL")</f>
        <v>60</v>
      </c>
      <c r="G1225">
        <f>IF('Boletins Nuppa Site'!I1225&lt;&gt;0,'Boletins Nuppa Site'!I1225,"NULL")</f>
        <v>53</v>
      </c>
      <c r="H1225">
        <f>IF('Boletins Nuppa Site'!J1225&lt;&gt;0,'Boletins Nuppa Site'!J1225,"NULL")</f>
        <v>50</v>
      </c>
      <c r="J1225" t="str">
        <f t="shared" si="19"/>
        <v>INSERT INTO COTACAO (blt_id, pap_id, cot_prc_comum, cot_prc_min, cot_prc_max, cot_prc_med, cot_prc_mediana) VALUES (32, 32, 50, 50, 60, 53, 50);</v>
      </c>
    </row>
    <row r="1226" spans="1:10" x14ac:dyDescent="0.3">
      <c r="A1226">
        <v>1225</v>
      </c>
      <c r="B1226">
        <v>32</v>
      </c>
      <c r="C1226">
        <v>33</v>
      </c>
      <c r="D1226" t="str">
        <f>IF('Boletins Nuppa Site'!F1226&lt;&gt;0,'Boletins Nuppa Site'!F1226,"NULL")</f>
        <v>NULL</v>
      </c>
      <c r="E1226">
        <f>IF('Boletins Nuppa Site'!G1226&lt;&gt;0,'Boletins Nuppa Site'!G1226,"NULL")</f>
        <v>110</v>
      </c>
      <c r="F1226">
        <f>IF('Boletins Nuppa Site'!H1226&lt;&gt;0,'Boletins Nuppa Site'!H1226,"NULL")</f>
        <v>160</v>
      </c>
      <c r="G1226">
        <f>IF('Boletins Nuppa Site'!I1226&lt;&gt;0,'Boletins Nuppa Site'!I1226,"NULL")</f>
        <v>137</v>
      </c>
      <c r="H1226">
        <f>IF('Boletins Nuppa Site'!J1226&lt;&gt;0,'Boletins Nuppa Site'!J1226,"NULL")</f>
        <v>140</v>
      </c>
      <c r="J1226" t="str">
        <f t="shared" si="19"/>
        <v>INSERT INTO COTACAO (blt_id, pap_id, cot_prc_comum, cot_prc_min, cot_prc_max, cot_prc_med, cot_prc_mediana) VALUES (32, 33, NULL, 110, 160, 137, 140);</v>
      </c>
    </row>
    <row r="1227" spans="1:10" x14ac:dyDescent="0.3">
      <c r="A1227">
        <v>1226</v>
      </c>
      <c r="B1227">
        <v>32</v>
      </c>
      <c r="C1227">
        <v>34</v>
      </c>
      <c r="D1227">
        <f>IF('Boletins Nuppa Site'!F1227&lt;&gt;0,'Boletins Nuppa Site'!F1227,"NULL")</f>
        <v>60</v>
      </c>
      <c r="E1227">
        <f>IF('Boletins Nuppa Site'!G1227&lt;&gt;0,'Boletins Nuppa Site'!G1227,"NULL")</f>
        <v>45</v>
      </c>
      <c r="F1227">
        <f>IF('Boletins Nuppa Site'!H1227&lt;&gt;0,'Boletins Nuppa Site'!H1227,"NULL")</f>
        <v>60</v>
      </c>
      <c r="G1227">
        <f>IF('Boletins Nuppa Site'!I1227&lt;&gt;0,'Boletins Nuppa Site'!I1227,"NULL")</f>
        <v>53</v>
      </c>
      <c r="H1227">
        <f>IF('Boletins Nuppa Site'!J1227&lt;&gt;0,'Boletins Nuppa Site'!J1227,"NULL")</f>
        <v>50</v>
      </c>
      <c r="J1227" t="str">
        <f t="shared" si="19"/>
        <v>INSERT INTO COTACAO (blt_id, pap_id, cot_prc_comum, cot_prc_min, cot_prc_max, cot_prc_med, cot_prc_mediana) VALUES (32, 34, 60, 45, 60, 53, 50);</v>
      </c>
    </row>
    <row r="1228" spans="1:10" x14ac:dyDescent="0.3">
      <c r="A1228">
        <v>1227</v>
      </c>
      <c r="B1228">
        <v>32</v>
      </c>
      <c r="C1228">
        <v>35</v>
      </c>
      <c r="D1228" t="str">
        <f>IF('Boletins Nuppa Site'!F1228&lt;&gt;0,'Boletins Nuppa Site'!F1228,"NULL")</f>
        <v>NULL</v>
      </c>
      <c r="E1228">
        <f>IF('Boletins Nuppa Site'!G1228&lt;&gt;0,'Boletins Nuppa Site'!G1228,"NULL")</f>
        <v>120</v>
      </c>
      <c r="F1228">
        <f>IF('Boletins Nuppa Site'!H1228&lt;&gt;0,'Boletins Nuppa Site'!H1228,"NULL")</f>
        <v>150</v>
      </c>
      <c r="G1228">
        <f>IF('Boletins Nuppa Site'!I1228&lt;&gt;0,'Boletins Nuppa Site'!I1228,"NULL")</f>
        <v>135</v>
      </c>
      <c r="H1228">
        <f>IF('Boletins Nuppa Site'!J1228&lt;&gt;0,'Boletins Nuppa Site'!J1228,"NULL")</f>
        <v>135</v>
      </c>
      <c r="J1228" t="str">
        <f t="shared" si="19"/>
        <v>INSERT INTO COTACAO (blt_id, pap_id, cot_prc_comum, cot_prc_min, cot_prc_max, cot_prc_med, cot_prc_mediana) VALUES (32, 35, NULL, 120, 150, 135, 135);</v>
      </c>
    </row>
    <row r="1229" spans="1:10" x14ac:dyDescent="0.3">
      <c r="A1229">
        <v>1228</v>
      </c>
      <c r="B1229">
        <v>32</v>
      </c>
      <c r="C1229">
        <v>36</v>
      </c>
      <c r="D1229" t="str">
        <f>IF('Boletins Nuppa Site'!F1229&lt;&gt;0,'Boletins Nuppa Site'!F1229,"NULL")</f>
        <v>NULL</v>
      </c>
      <c r="E1229" t="str">
        <f>IF('Boletins Nuppa Site'!G1229&lt;&gt;0,'Boletins Nuppa Site'!G1229,"NULL")</f>
        <v>NULL</v>
      </c>
      <c r="F1229" t="str">
        <f>IF('Boletins Nuppa Site'!H1229&lt;&gt;0,'Boletins Nuppa Site'!H1229,"NULL")</f>
        <v>NULL</v>
      </c>
      <c r="G1229" t="str">
        <f>IF('Boletins Nuppa Site'!I1229&lt;&gt;0,'Boletins Nuppa Site'!I1229,"NULL")</f>
        <v>NULL</v>
      </c>
      <c r="H1229" t="str">
        <f>IF('Boletins Nuppa Site'!J1229&lt;&gt;0,'Boletins Nuppa Site'!J1229,"NULL")</f>
        <v>NULL</v>
      </c>
      <c r="J1229" t="str">
        <f t="shared" si="19"/>
        <v>INSERT INTO COTACAO (blt_id, pap_id, cot_prc_comum, cot_prc_min, cot_prc_max, cot_prc_med, cot_prc_mediana) VALUES (32, 36, NULL, NULL, NULL, NULL, NULL);</v>
      </c>
    </row>
    <row r="1230" spans="1:10" x14ac:dyDescent="0.3">
      <c r="A1230">
        <v>1229</v>
      </c>
      <c r="B1230">
        <v>32</v>
      </c>
      <c r="C1230">
        <v>37</v>
      </c>
      <c r="D1230" t="str">
        <f>IF('Boletins Nuppa Site'!F1230&lt;&gt;0,'Boletins Nuppa Site'!F1230,"NULL")</f>
        <v>NULL</v>
      </c>
      <c r="E1230" t="str">
        <f>IF('Boletins Nuppa Site'!G1230&lt;&gt;0,'Boletins Nuppa Site'!G1230,"NULL")</f>
        <v>NULL</v>
      </c>
      <c r="F1230" t="str">
        <f>IF('Boletins Nuppa Site'!H1230&lt;&gt;0,'Boletins Nuppa Site'!H1230,"NULL")</f>
        <v>NULL</v>
      </c>
      <c r="G1230" t="str">
        <f>IF('Boletins Nuppa Site'!I1230&lt;&gt;0,'Boletins Nuppa Site'!I1230,"NULL")</f>
        <v>NULL</v>
      </c>
      <c r="H1230" t="str">
        <f>IF('Boletins Nuppa Site'!J1230&lt;&gt;0,'Boletins Nuppa Site'!J1230,"NULL")</f>
        <v>NULL</v>
      </c>
      <c r="J1230" t="str">
        <f t="shared" si="19"/>
        <v>INSERT INTO COTACAO (blt_id, pap_id, cot_prc_comum, cot_prc_min, cot_prc_max, cot_prc_med, cot_prc_mediana) VALUES (32, 37, NULL, NULL, NULL, NULL, NULL);</v>
      </c>
    </row>
    <row r="1231" spans="1:10" x14ac:dyDescent="0.3">
      <c r="A1231">
        <v>1230</v>
      </c>
      <c r="B1231">
        <v>32</v>
      </c>
      <c r="C1231">
        <v>38</v>
      </c>
      <c r="D1231" t="str">
        <f>IF('Boletins Nuppa Site'!F1231&lt;&gt;0,'Boletins Nuppa Site'!F1231,"NULL")</f>
        <v>NULL</v>
      </c>
      <c r="E1231" t="str">
        <f>IF('Boletins Nuppa Site'!G1231&lt;&gt;0,'Boletins Nuppa Site'!G1231,"NULL")</f>
        <v>NULL</v>
      </c>
      <c r="F1231" t="str">
        <f>IF('Boletins Nuppa Site'!H1231&lt;&gt;0,'Boletins Nuppa Site'!H1231,"NULL")</f>
        <v>NULL</v>
      </c>
      <c r="G1231" t="str">
        <f>IF('Boletins Nuppa Site'!I1231&lt;&gt;0,'Boletins Nuppa Site'!I1231,"NULL")</f>
        <v>NULL</v>
      </c>
      <c r="H1231" t="str">
        <f>IF('Boletins Nuppa Site'!J1231&lt;&gt;0,'Boletins Nuppa Site'!J1231,"NULL")</f>
        <v>NULL</v>
      </c>
      <c r="J1231" t="str">
        <f t="shared" si="19"/>
        <v>INSERT INTO COTACAO (blt_id, pap_id, cot_prc_comum, cot_prc_min, cot_prc_max, cot_prc_med, cot_prc_mediana) VALUES (32, 38, NULL, NULL, NULL, NULL, NULL);</v>
      </c>
    </row>
    <row r="1232" spans="1:10" x14ac:dyDescent="0.3">
      <c r="A1232">
        <v>1231</v>
      </c>
      <c r="B1232">
        <v>32</v>
      </c>
      <c r="C1232">
        <v>39</v>
      </c>
      <c r="D1232" t="str">
        <f>IF('Boletins Nuppa Site'!F1232&lt;&gt;0,'Boletins Nuppa Site'!F1232,"NULL")</f>
        <v>NULL</v>
      </c>
      <c r="E1232">
        <f>IF('Boletins Nuppa Site'!G1232&lt;&gt;0,'Boletins Nuppa Site'!G1232,"NULL")</f>
        <v>60</v>
      </c>
      <c r="F1232">
        <f>IF('Boletins Nuppa Site'!H1232&lt;&gt;0,'Boletins Nuppa Site'!H1232,"NULL")</f>
        <v>60</v>
      </c>
      <c r="G1232">
        <f>IF('Boletins Nuppa Site'!I1232&lt;&gt;0,'Boletins Nuppa Site'!I1232,"NULL")</f>
        <v>60</v>
      </c>
      <c r="H1232">
        <f>IF('Boletins Nuppa Site'!J1232&lt;&gt;0,'Boletins Nuppa Site'!J1232,"NULL")</f>
        <v>60</v>
      </c>
      <c r="J1232" t="str">
        <f t="shared" si="19"/>
        <v>INSERT INTO COTACAO (blt_id, pap_id, cot_prc_comum, cot_prc_min, cot_prc_max, cot_prc_med, cot_prc_mediana) VALUES (32, 39, NULL, 60, 60, 60, 60);</v>
      </c>
    </row>
    <row r="1233" spans="1:10" x14ac:dyDescent="0.3">
      <c r="A1233">
        <v>1232</v>
      </c>
      <c r="B1233">
        <v>32</v>
      </c>
      <c r="C1233">
        <v>40</v>
      </c>
      <c r="D1233" t="str">
        <f>IF('Boletins Nuppa Site'!F1233&lt;&gt;0,'Boletins Nuppa Site'!F1233,"NULL")</f>
        <v>NULL</v>
      </c>
      <c r="E1233" t="str">
        <f>IF('Boletins Nuppa Site'!G1233&lt;&gt;0,'Boletins Nuppa Site'!G1233,"NULL")</f>
        <v>NULL</v>
      </c>
      <c r="F1233" t="str">
        <f>IF('Boletins Nuppa Site'!H1233&lt;&gt;0,'Boletins Nuppa Site'!H1233,"NULL")</f>
        <v>NULL</v>
      </c>
      <c r="G1233" t="str">
        <f>IF('Boletins Nuppa Site'!I1233&lt;&gt;0,'Boletins Nuppa Site'!I1233,"NULL")</f>
        <v>NULL</v>
      </c>
      <c r="H1233" t="str">
        <f>IF('Boletins Nuppa Site'!J1233&lt;&gt;0,'Boletins Nuppa Site'!J1233,"NULL")</f>
        <v>NULL</v>
      </c>
      <c r="J1233" t="str">
        <f t="shared" si="19"/>
        <v>INSERT INTO COTACAO (blt_id, pap_id, cot_prc_comum, cot_prc_min, cot_prc_max, cot_prc_med, cot_prc_mediana) VALUES (32, 40, NULL, NULL, NULL, NULL, NULL);</v>
      </c>
    </row>
    <row r="1234" spans="1:10" x14ac:dyDescent="0.3">
      <c r="A1234">
        <v>1233</v>
      </c>
      <c r="B1234">
        <v>33</v>
      </c>
      <c r="C1234">
        <v>1</v>
      </c>
      <c r="D1234">
        <f>IF('Boletins Nuppa Site'!F1234&lt;&gt;0,'Boletins Nuppa Site'!F1234,"NULL")</f>
        <v>48</v>
      </c>
      <c r="E1234">
        <f>IF('Boletins Nuppa Site'!G1234&lt;&gt;0,'Boletins Nuppa Site'!G1234,"NULL")</f>
        <v>5</v>
      </c>
      <c r="F1234">
        <f>IF('Boletins Nuppa Site'!H1234&lt;&gt;0,'Boletins Nuppa Site'!H1234,"NULL")</f>
        <v>48</v>
      </c>
      <c r="G1234" t="str">
        <f>IF('Boletins Nuppa Site'!I1234&lt;&gt;0,'Boletins Nuppa Site'!I1234,"NULL")</f>
        <v>32.2</v>
      </c>
      <c r="H1234">
        <f>IF('Boletins Nuppa Site'!J1234&lt;&gt;0,'Boletins Nuppa Site'!J1234,"NULL")</f>
        <v>36</v>
      </c>
      <c r="J1234" t="str">
        <f t="shared" si="19"/>
        <v>INSERT INTO COTACAO (blt_id, pap_id, cot_prc_comum, cot_prc_min, cot_prc_max, cot_prc_med, cot_prc_mediana) VALUES (33, 1, 48, 5, 48, 32.2, 36);</v>
      </c>
    </row>
    <row r="1235" spans="1:10" x14ac:dyDescent="0.3">
      <c r="A1235">
        <v>1234</v>
      </c>
      <c r="B1235">
        <v>33</v>
      </c>
      <c r="C1235">
        <v>2</v>
      </c>
      <c r="D1235">
        <f>IF('Boletins Nuppa Site'!F1235&lt;&gt;0,'Boletins Nuppa Site'!F1235,"NULL")</f>
        <v>60</v>
      </c>
      <c r="E1235">
        <f>IF('Boletins Nuppa Site'!G1235&lt;&gt;0,'Boletins Nuppa Site'!G1235,"NULL")</f>
        <v>7</v>
      </c>
      <c r="F1235">
        <f>IF('Boletins Nuppa Site'!H1235&lt;&gt;0,'Boletins Nuppa Site'!H1235,"NULL")</f>
        <v>72</v>
      </c>
      <c r="G1235" t="str">
        <f>IF('Boletins Nuppa Site'!I1235&lt;&gt;0,'Boletins Nuppa Site'!I1235,"NULL")</f>
        <v>51.8</v>
      </c>
      <c r="H1235">
        <f>IF('Boletins Nuppa Site'!J1235&lt;&gt;0,'Boletins Nuppa Site'!J1235,"NULL")</f>
        <v>60</v>
      </c>
      <c r="J1235" t="str">
        <f t="shared" si="19"/>
        <v>INSERT INTO COTACAO (blt_id, pap_id, cot_prc_comum, cot_prc_min, cot_prc_max, cot_prc_med, cot_prc_mediana) VALUES (33, 2, 60, 7, 72, 51.8, 60);</v>
      </c>
    </row>
    <row r="1236" spans="1:10" x14ac:dyDescent="0.3">
      <c r="A1236">
        <v>1235</v>
      </c>
      <c r="B1236">
        <v>33</v>
      </c>
      <c r="C1236">
        <v>3</v>
      </c>
      <c r="D1236">
        <f>IF('Boletins Nuppa Site'!F1236&lt;&gt;0,'Boletins Nuppa Site'!F1236,"NULL")</f>
        <v>30</v>
      </c>
      <c r="E1236">
        <f>IF('Boletins Nuppa Site'!G1236&lt;&gt;0,'Boletins Nuppa Site'!G1236,"NULL")</f>
        <v>30</v>
      </c>
      <c r="F1236">
        <f>IF('Boletins Nuppa Site'!H1236&lt;&gt;0,'Boletins Nuppa Site'!H1236,"NULL")</f>
        <v>36</v>
      </c>
      <c r="G1236">
        <f>IF('Boletins Nuppa Site'!I1236&lt;&gt;0,'Boletins Nuppa Site'!I1236,"NULL")</f>
        <v>31</v>
      </c>
      <c r="H1236">
        <f>IF('Boletins Nuppa Site'!J1236&lt;&gt;0,'Boletins Nuppa Site'!J1236,"NULL")</f>
        <v>30</v>
      </c>
      <c r="J1236" t="str">
        <f t="shared" si="19"/>
        <v>INSERT INTO COTACAO (blt_id, pap_id, cot_prc_comum, cot_prc_min, cot_prc_max, cot_prc_med, cot_prc_mediana) VALUES (33, 3, 30, 30, 36, 31, 30);</v>
      </c>
    </row>
    <row r="1237" spans="1:10" x14ac:dyDescent="0.3">
      <c r="A1237">
        <v>1236</v>
      </c>
      <c r="B1237">
        <v>33</v>
      </c>
      <c r="C1237">
        <v>4</v>
      </c>
      <c r="D1237">
        <f>IF('Boletins Nuppa Site'!F1237&lt;&gt;0,'Boletins Nuppa Site'!F1237,"NULL")</f>
        <v>18</v>
      </c>
      <c r="E1237">
        <f>IF('Boletins Nuppa Site'!G1237&lt;&gt;0,'Boletins Nuppa Site'!G1237,"NULL")</f>
        <v>15</v>
      </c>
      <c r="F1237">
        <f>IF('Boletins Nuppa Site'!H1237&lt;&gt;0,'Boletins Nuppa Site'!H1237,"NULL")</f>
        <v>24</v>
      </c>
      <c r="G1237">
        <f>IF('Boletins Nuppa Site'!I1237&lt;&gt;0,'Boletins Nuppa Site'!I1237,"NULL")</f>
        <v>19</v>
      </c>
      <c r="H1237">
        <f>IF('Boletins Nuppa Site'!J1237&lt;&gt;0,'Boletins Nuppa Site'!J1237,"NULL")</f>
        <v>18</v>
      </c>
      <c r="J1237" t="str">
        <f t="shared" si="19"/>
        <v>INSERT INTO COTACAO (blt_id, pap_id, cot_prc_comum, cot_prc_min, cot_prc_max, cot_prc_med, cot_prc_mediana) VALUES (33, 4, 18, 15, 24, 19, 18);</v>
      </c>
    </row>
    <row r="1238" spans="1:10" x14ac:dyDescent="0.3">
      <c r="A1238">
        <v>1237</v>
      </c>
      <c r="B1238">
        <v>33</v>
      </c>
      <c r="C1238">
        <v>5</v>
      </c>
      <c r="D1238">
        <f>IF('Boletins Nuppa Site'!F1238&lt;&gt;0,'Boletins Nuppa Site'!F1238,"NULL")</f>
        <v>24</v>
      </c>
      <c r="E1238">
        <f>IF('Boletins Nuppa Site'!G1238&lt;&gt;0,'Boletins Nuppa Site'!G1238,"NULL")</f>
        <v>15</v>
      </c>
      <c r="F1238">
        <f>IF('Boletins Nuppa Site'!H1238&lt;&gt;0,'Boletins Nuppa Site'!H1238,"NULL")</f>
        <v>24</v>
      </c>
      <c r="G1238" t="str">
        <f>IF('Boletins Nuppa Site'!I1238&lt;&gt;0,'Boletins Nuppa Site'!I1238,"NULL")</f>
        <v>20.4</v>
      </c>
      <c r="H1238">
        <f>IF('Boletins Nuppa Site'!J1238&lt;&gt;0,'Boletins Nuppa Site'!J1238,"NULL")</f>
        <v>24</v>
      </c>
      <c r="J1238" t="str">
        <f t="shared" si="19"/>
        <v>INSERT INTO COTACAO (blt_id, pap_id, cot_prc_comum, cot_prc_min, cot_prc_max, cot_prc_med, cot_prc_mediana) VALUES (33, 5, 24, 15, 24, 20.4, 24);</v>
      </c>
    </row>
    <row r="1239" spans="1:10" x14ac:dyDescent="0.3">
      <c r="A1239">
        <v>1238</v>
      </c>
      <c r="B1239">
        <v>33</v>
      </c>
      <c r="C1239">
        <v>6</v>
      </c>
      <c r="D1239">
        <f>IF('Boletins Nuppa Site'!F1239&lt;&gt;0,'Boletins Nuppa Site'!F1239,"NULL")</f>
        <v>60</v>
      </c>
      <c r="E1239">
        <f>IF('Boletins Nuppa Site'!G1239&lt;&gt;0,'Boletins Nuppa Site'!G1239,"NULL")</f>
        <v>5</v>
      </c>
      <c r="F1239">
        <f>IF('Boletins Nuppa Site'!H1239&lt;&gt;0,'Boletins Nuppa Site'!H1239,"NULL")</f>
        <v>60</v>
      </c>
      <c r="G1239" t="str">
        <f>IF('Boletins Nuppa Site'!I1239&lt;&gt;0,'Boletins Nuppa Site'!I1239,"NULL")</f>
        <v>46.6</v>
      </c>
      <c r="H1239">
        <f>IF('Boletins Nuppa Site'!J1239&lt;&gt;0,'Boletins Nuppa Site'!J1239,"NULL")</f>
        <v>60</v>
      </c>
      <c r="J1239" t="str">
        <f t="shared" si="19"/>
        <v>INSERT INTO COTACAO (blt_id, pap_id, cot_prc_comum, cot_prc_min, cot_prc_max, cot_prc_med, cot_prc_mediana) VALUES (33, 6, 60, 5, 60, 46.6, 60);</v>
      </c>
    </row>
    <row r="1240" spans="1:10" x14ac:dyDescent="0.3">
      <c r="A1240">
        <v>1239</v>
      </c>
      <c r="B1240">
        <v>33</v>
      </c>
      <c r="C1240">
        <v>7</v>
      </c>
      <c r="D1240" t="str">
        <f>IF('Boletins Nuppa Site'!F1240&lt;&gt;0,'Boletins Nuppa Site'!F1240,"NULL")</f>
        <v>NULL</v>
      </c>
      <c r="E1240">
        <f>IF('Boletins Nuppa Site'!G1240&lt;&gt;0,'Boletins Nuppa Site'!G1240,"NULL")</f>
        <v>6</v>
      </c>
      <c r="F1240">
        <f>IF('Boletins Nuppa Site'!H1240&lt;&gt;0,'Boletins Nuppa Site'!H1240,"NULL")</f>
        <v>60</v>
      </c>
      <c r="G1240">
        <f>IF('Boletins Nuppa Site'!I1240&lt;&gt;0,'Boletins Nuppa Site'!I1240,"NULL")</f>
        <v>42</v>
      </c>
      <c r="H1240">
        <f>IF('Boletins Nuppa Site'!J1240&lt;&gt;0,'Boletins Nuppa Site'!J1240,"NULL")</f>
        <v>48</v>
      </c>
      <c r="J1240" t="str">
        <f t="shared" si="19"/>
        <v>INSERT INTO COTACAO (blt_id, pap_id, cot_prc_comum, cot_prc_min, cot_prc_max, cot_prc_med, cot_prc_mediana) VALUES (33, 7, NULL, 6, 60, 42, 48);</v>
      </c>
    </row>
    <row r="1241" spans="1:10" x14ac:dyDescent="0.3">
      <c r="A1241">
        <v>1240</v>
      </c>
      <c r="B1241">
        <v>33</v>
      </c>
      <c r="C1241">
        <v>8</v>
      </c>
      <c r="D1241">
        <f>IF('Boletins Nuppa Site'!F1241&lt;&gt;0,'Boletins Nuppa Site'!F1241,"NULL")</f>
        <v>72</v>
      </c>
      <c r="E1241">
        <f>IF('Boletins Nuppa Site'!G1241&lt;&gt;0,'Boletins Nuppa Site'!G1241,"NULL")</f>
        <v>7</v>
      </c>
      <c r="F1241">
        <f>IF('Boletins Nuppa Site'!H1241&lt;&gt;0,'Boletins Nuppa Site'!H1241,"NULL")</f>
        <v>96</v>
      </c>
      <c r="G1241" t="str">
        <f>IF('Boletins Nuppa Site'!I1241&lt;&gt;0,'Boletins Nuppa Site'!I1241,"NULL")</f>
        <v>61.17</v>
      </c>
      <c r="H1241">
        <f>IF('Boletins Nuppa Site'!J1241&lt;&gt;0,'Boletins Nuppa Site'!J1241,"NULL")</f>
        <v>66</v>
      </c>
      <c r="J1241" t="str">
        <f t="shared" si="19"/>
        <v>INSERT INTO COTACAO (blt_id, pap_id, cot_prc_comum, cot_prc_min, cot_prc_max, cot_prc_med, cot_prc_mediana) VALUES (33, 8, 72, 7, 96, 61.17, 66);</v>
      </c>
    </row>
    <row r="1242" spans="1:10" x14ac:dyDescent="0.3">
      <c r="A1242">
        <v>1241</v>
      </c>
      <c r="B1242">
        <v>33</v>
      </c>
      <c r="C1242">
        <v>9</v>
      </c>
      <c r="D1242">
        <f>IF('Boletins Nuppa Site'!F1242&lt;&gt;0,'Boletins Nuppa Site'!F1242,"NULL")</f>
        <v>24</v>
      </c>
      <c r="E1242">
        <f>IF('Boletins Nuppa Site'!G1242&lt;&gt;0,'Boletins Nuppa Site'!G1242,"NULL")</f>
        <v>2</v>
      </c>
      <c r="F1242">
        <f>IF('Boletins Nuppa Site'!H1242&lt;&gt;0,'Boletins Nuppa Site'!H1242,"NULL")</f>
        <v>24</v>
      </c>
      <c r="G1242" t="str">
        <f>IF('Boletins Nuppa Site'!I1242&lt;&gt;0,'Boletins Nuppa Site'!I1242,"NULL")</f>
        <v>18.33</v>
      </c>
      <c r="H1242">
        <f>IF('Boletins Nuppa Site'!J1242&lt;&gt;0,'Boletins Nuppa Site'!J1242,"NULL")</f>
        <v>21</v>
      </c>
      <c r="J1242" t="str">
        <f t="shared" si="19"/>
        <v>INSERT INTO COTACAO (blt_id, pap_id, cot_prc_comum, cot_prc_min, cot_prc_max, cot_prc_med, cot_prc_mediana) VALUES (33, 9, 24, 2, 24, 18.33, 21);</v>
      </c>
    </row>
    <row r="1243" spans="1:10" x14ac:dyDescent="0.3">
      <c r="A1243">
        <v>1242</v>
      </c>
      <c r="B1243">
        <v>33</v>
      </c>
      <c r="C1243">
        <v>10</v>
      </c>
      <c r="D1243">
        <f>IF('Boletins Nuppa Site'!F1243&lt;&gt;0,'Boletins Nuppa Site'!F1243,"NULL")</f>
        <v>60</v>
      </c>
      <c r="E1243">
        <f>IF('Boletins Nuppa Site'!G1243&lt;&gt;0,'Boletins Nuppa Site'!G1243,"NULL")</f>
        <v>15</v>
      </c>
      <c r="F1243">
        <f>IF('Boletins Nuppa Site'!H1243&lt;&gt;0,'Boletins Nuppa Site'!H1243,"NULL")</f>
        <v>60</v>
      </c>
      <c r="G1243" t="str">
        <f>IF('Boletins Nuppa Site'!I1243&lt;&gt;0,'Boletins Nuppa Site'!I1243,"NULL")</f>
        <v>41.4</v>
      </c>
      <c r="H1243">
        <f>IF('Boletins Nuppa Site'!J1243&lt;&gt;0,'Boletins Nuppa Site'!J1243,"NULL")</f>
        <v>48</v>
      </c>
      <c r="J1243" t="str">
        <f t="shared" si="19"/>
        <v>INSERT INTO COTACAO (blt_id, pap_id, cot_prc_comum, cot_prc_min, cot_prc_max, cot_prc_med, cot_prc_mediana) VALUES (33, 10, 60, 15, 60, 41.4, 48);</v>
      </c>
    </row>
    <row r="1244" spans="1:10" x14ac:dyDescent="0.3">
      <c r="A1244">
        <v>1243</v>
      </c>
      <c r="B1244">
        <v>33</v>
      </c>
      <c r="C1244">
        <v>11</v>
      </c>
      <c r="D1244">
        <f>IF('Boletins Nuppa Site'!F1244&lt;&gt;0,'Boletins Nuppa Site'!F1244,"NULL")</f>
        <v>24</v>
      </c>
      <c r="E1244">
        <f>IF('Boletins Nuppa Site'!G1244&lt;&gt;0,'Boletins Nuppa Site'!G1244,"NULL")</f>
        <v>6</v>
      </c>
      <c r="F1244">
        <f>IF('Boletins Nuppa Site'!H1244&lt;&gt;0,'Boletins Nuppa Site'!H1244,"NULL")</f>
        <v>60</v>
      </c>
      <c r="G1244">
        <f>IF('Boletins Nuppa Site'!I1244&lt;&gt;0,'Boletins Nuppa Site'!I1244,"NULL")</f>
        <v>27</v>
      </c>
      <c r="H1244">
        <f>IF('Boletins Nuppa Site'!J1244&lt;&gt;0,'Boletins Nuppa Site'!J1244,"NULL")</f>
        <v>24</v>
      </c>
      <c r="J1244" t="str">
        <f t="shared" si="19"/>
        <v>INSERT INTO COTACAO (blt_id, pap_id, cot_prc_comum, cot_prc_min, cot_prc_max, cot_prc_med, cot_prc_mediana) VALUES (33, 11, 24, 6, 60, 27, 24);</v>
      </c>
    </row>
    <row r="1245" spans="1:10" x14ac:dyDescent="0.3">
      <c r="A1245">
        <v>1244</v>
      </c>
      <c r="B1245">
        <v>33</v>
      </c>
      <c r="C1245">
        <v>12</v>
      </c>
      <c r="D1245">
        <f>IF('Boletins Nuppa Site'!F1245&lt;&gt;0,'Boletins Nuppa Site'!F1245,"NULL")</f>
        <v>48</v>
      </c>
      <c r="E1245">
        <f>IF('Boletins Nuppa Site'!G1245&lt;&gt;0,'Boletins Nuppa Site'!G1245,"NULL")</f>
        <v>5</v>
      </c>
      <c r="F1245">
        <f>IF('Boletins Nuppa Site'!H1245&lt;&gt;0,'Boletins Nuppa Site'!H1245,"NULL")</f>
        <v>60</v>
      </c>
      <c r="G1245" t="str">
        <f>IF('Boletins Nuppa Site'!I1245&lt;&gt;0,'Boletins Nuppa Site'!I1245,"NULL")</f>
        <v>44.2</v>
      </c>
      <c r="H1245">
        <f>IF('Boletins Nuppa Site'!J1245&lt;&gt;0,'Boletins Nuppa Site'!J1245,"NULL")</f>
        <v>48</v>
      </c>
      <c r="J1245" t="str">
        <f t="shared" si="19"/>
        <v>INSERT INTO COTACAO (blt_id, pap_id, cot_prc_comum, cot_prc_min, cot_prc_max, cot_prc_med, cot_prc_mediana) VALUES (33, 12, 48, 5, 60, 44.2, 48);</v>
      </c>
    </row>
    <row r="1246" spans="1:10" x14ac:dyDescent="0.3">
      <c r="A1246">
        <v>1245</v>
      </c>
      <c r="B1246">
        <v>33</v>
      </c>
      <c r="C1246">
        <v>13</v>
      </c>
      <c r="D1246">
        <f>IF('Boletins Nuppa Site'!F1246&lt;&gt;0,'Boletins Nuppa Site'!F1246,"NULL")</f>
        <v>48</v>
      </c>
      <c r="E1246">
        <f>IF('Boletins Nuppa Site'!G1246&lt;&gt;0,'Boletins Nuppa Site'!G1246,"NULL")</f>
        <v>7</v>
      </c>
      <c r="F1246">
        <f>IF('Boletins Nuppa Site'!H1246&lt;&gt;0,'Boletins Nuppa Site'!H1246,"NULL")</f>
        <v>60</v>
      </c>
      <c r="G1246" t="str">
        <f>IF('Boletins Nuppa Site'!I1246&lt;&gt;0,'Boletins Nuppa Site'!I1246,"NULL")</f>
        <v>42.2</v>
      </c>
      <c r="H1246">
        <f>IF('Boletins Nuppa Site'!J1246&lt;&gt;0,'Boletins Nuppa Site'!J1246,"NULL")</f>
        <v>48</v>
      </c>
      <c r="J1246" t="str">
        <f t="shared" si="19"/>
        <v>INSERT INTO COTACAO (blt_id, pap_id, cot_prc_comum, cot_prc_min, cot_prc_max, cot_prc_med, cot_prc_mediana) VALUES (33, 13, 48, 7, 60, 42.2, 48);</v>
      </c>
    </row>
    <row r="1247" spans="1:10" x14ac:dyDescent="0.3">
      <c r="A1247">
        <v>1246</v>
      </c>
      <c r="B1247">
        <v>33</v>
      </c>
      <c r="C1247">
        <v>14</v>
      </c>
      <c r="D1247">
        <f>IF('Boletins Nuppa Site'!F1247&lt;&gt;0,'Boletins Nuppa Site'!F1247,"NULL")</f>
        <v>48</v>
      </c>
      <c r="E1247">
        <f>IF('Boletins Nuppa Site'!G1247&lt;&gt;0,'Boletins Nuppa Site'!G1247,"NULL")</f>
        <v>20</v>
      </c>
      <c r="F1247">
        <f>IF('Boletins Nuppa Site'!H1247&lt;&gt;0,'Boletins Nuppa Site'!H1247,"NULL")</f>
        <v>60</v>
      </c>
      <c r="G1247" t="str">
        <f>IF('Boletins Nuppa Site'!I1247&lt;&gt;0,'Boletins Nuppa Site'!I1247,"NULL")</f>
        <v>42.4</v>
      </c>
      <c r="H1247">
        <f>IF('Boletins Nuppa Site'!J1247&lt;&gt;0,'Boletins Nuppa Site'!J1247,"NULL")</f>
        <v>48</v>
      </c>
      <c r="J1247" t="str">
        <f t="shared" si="19"/>
        <v>INSERT INTO COTACAO (blt_id, pap_id, cot_prc_comum, cot_prc_min, cot_prc_max, cot_prc_med, cot_prc_mediana) VALUES (33, 14, 48, 20, 60, 42.4, 48);</v>
      </c>
    </row>
    <row r="1248" spans="1:10" x14ac:dyDescent="0.3">
      <c r="A1248">
        <v>1247</v>
      </c>
      <c r="B1248">
        <v>33</v>
      </c>
      <c r="C1248">
        <v>15</v>
      </c>
      <c r="D1248">
        <f>IF('Boletins Nuppa Site'!F1248&lt;&gt;0,'Boletins Nuppa Site'!F1248,"NULL")</f>
        <v>36</v>
      </c>
      <c r="E1248">
        <f>IF('Boletins Nuppa Site'!G1248&lt;&gt;0,'Boletins Nuppa Site'!G1248,"NULL")</f>
        <v>4</v>
      </c>
      <c r="F1248">
        <f>IF('Boletins Nuppa Site'!H1248&lt;&gt;0,'Boletins Nuppa Site'!H1248,"NULL")</f>
        <v>50</v>
      </c>
      <c r="G1248">
        <f>IF('Boletins Nuppa Site'!I1248&lt;&gt;0,'Boletins Nuppa Site'!I1248,"NULL")</f>
        <v>33</v>
      </c>
      <c r="H1248">
        <f>IF('Boletins Nuppa Site'!J1248&lt;&gt;0,'Boletins Nuppa Site'!J1248,"NULL")</f>
        <v>36</v>
      </c>
      <c r="J1248" t="str">
        <f t="shared" si="19"/>
        <v>INSERT INTO COTACAO (blt_id, pap_id, cot_prc_comum, cot_prc_min, cot_prc_max, cot_prc_med, cot_prc_mediana) VALUES (33, 15, 36, 4, 50, 33, 36);</v>
      </c>
    </row>
    <row r="1249" spans="1:10" x14ac:dyDescent="0.3">
      <c r="A1249">
        <v>1248</v>
      </c>
      <c r="B1249">
        <v>33</v>
      </c>
      <c r="C1249">
        <v>16</v>
      </c>
      <c r="D1249">
        <f>IF('Boletins Nuppa Site'!F1249&lt;&gt;0,'Boletins Nuppa Site'!F1249,"NULL")</f>
        <v>48</v>
      </c>
      <c r="E1249" t="str">
        <f>IF('Boletins Nuppa Site'!G1249&lt;&gt;0,'Boletins Nuppa Site'!G1249,"NULL")</f>
        <v>4.5</v>
      </c>
      <c r="F1249">
        <f>IF('Boletins Nuppa Site'!H1249&lt;&gt;0,'Boletins Nuppa Site'!H1249,"NULL")</f>
        <v>60</v>
      </c>
      <c r="G1249" t="str">
        <f>IF('Boletins Nuppa Site'!I1249&lt;&gt;0,'Boletins Nuppa Site'!I1249,"NULL")</f>
        <v>42.75</v>
      </c>
      <c r="H1249">
        <f>IF('Boletins Nuppa Site'!J1249&lt;&gt;0,'Boletins Nuppa Site'!J1249,"NULL")</f>
        <v>48</v>
      </c>
      <c r="J1249" t="str">
        <f t="shared" si="19"/>
        <v>INSERT INTO COTACAO (blt_id, pap_id, cot_prc_comum, cot_prc_min, cot_prc_max, cot_prc_med, cot_prc_mediana) VALUES (33, 16, 48, 4.5, 60, 42.75, 48);</v>
      </c>
    </row>
    <row r="1250" spans="1:10" x14ac:dyDescent="0.3">
      <c r="A1250">
        <v>1249</v>
      </c>
      <c r="B1250">
        <v>33</v>
      </c>
      <c r="C1250">
        <v>17</v>
      </c>
      <c r="D1250">
        <f>IF('Boletins Nuppa Site'!F1250&lt;&gt;0,'Boletins Nuppa Site'!F1250,"NULL")</f>
        <v>5</v>
      </c>
      <c r="E1250">
        <f>IF('Boletins Nuppa Site'!G1250&lt;&gt;0,'Boletins Nuppa Site'!G1250,"NULL")</f>
        <v>4</v>
      </c>
      <c r="F1250">
        <f>IF('Boletins Nuppa Site'!H1250&lt;&gt;0,'Boletins Nuppa Site'!H1250,"NULL")</f>
        <v>5</v>
      </c>
      <c r="G1250" t="str">
        <f>IF('Boletins Nuppa Site'!I1250&lt;&gt;0,'Boletins Nuppa Site'!I1250,"NULL")</f>
        <v>4.8</v>
      </c>
      <c r="H1250">
        <f>IF('Boletins Nuppa Site'!J1250&lt;&gt;0,'Boletins Nuppa Site'!J1250,"NULL")</f>
        <v>5</v>
      </c>
      <c r="J1250" t="str">
        <f t="shared" si="19"/>
        <v>INSERT INTO COTACAO (blt_id, pap_id, cot_prc_comum, cot_prc_min, cot_prc_max, cot_prc_med, cot_prc_mediana) VALUES (33, 17, 5, 4, 5, 4.8, 5);</v>
      </c>
    </row>
    <row r="1251" spans="1:10" x14ac:dyDescent="0.3">
      <c r="A1251">
        <v>1250</v>
      </c>
      <c r="B1251">
        <v>33</v>
      </c>
      <c r="C1251">
        <v>18</v>
      </c>
      <c r="D1251">
        <f>IF('Boletins Nuppa Site'!F1251&lt;&gt;0,'Boletins Nuppa Site'!F1251,"NULL")</f>
        <v>10</v>
      </c>
      <c r="E1251">
        <f>IF('Boletins Nuppa Site'!G1251&lt;&gt;0,'Boletins Nuppa Site'!G1251,"NULL")</f>
        <v>8</v>
      </c>
      <c r="F1251">
        <f>IF('Boletins Nuppa Site'!H1251&lt;&gt;0,'Boletins Nuppa Site'!H1251,"NULL")</f>
        <v>12</v>
      </c>
      <c r="G1251">
        <f>IF('Boletins Nuppa Site'!I1251&lt;&gt;0,'Boletins Nuppa Site'!I1251,"NULL")</f>
        <v>10</v>
      </c>
      <c r="H1251">
        <f>IF('Boletins Nuppa Site'!J1251&lt;&gt;0,'Boletins Nuppa Site'!J1251,"NULL")</f>
        <v>10</v>
      </c>
      <c r="J1251" t="str">
        <f t="shared" si="19"/>
        <v>INSERT INTO COTACAO (blt_id, pap_id, cot_prc_comum, cot_prc_min, cot_prc_max, cot_prc_med, cot_prc_mediana) VALUES (33, 18, 10, 8, 12, 10, 10);</v>
      </c>
    </row>
    <row r="1252" spans="1:10" x14ac:dyDescent="0.3">
      <c r="A1252">
        <v>1251</v>
      </c>
      <c r="B1252">
        <v>33</v>
      </c>
      <c r="C1252">
        <v>19</v>
      </c>
      <c r="D1252">
        <f>IF('Boletins Nuppa Site'!F1252&lt;&gt;0,'Boletins Nuppa Site'!F1252,"NULL")</f>
        <v>30</v>
      </c>
      <c r="E1252">
        <f>IF('Boletins Nuppa Site'!G1252&lt;&gt;0,'Boletins Nuppa Site'!G1252,"NULL")</f>
        <v>10</v>
      </c>
      <c r="F1252">
        <f>IF('Boletins Nuppa Site'!H1252&lt;&gt;0,'Boletins Nuppa Site'!H1252,"NULL")</f>
        <v>30</v>
      </c>
      <c r="G1252">
        <f>IF('Boletins Nuppa Site'!I1252&lt;&gt;0,'Boletins Nuppa Site'!I1252,"NULL")</f>
        <v>21</v>
      </c>
      <c r="H1252">
        <f>IF('Boletins Nuppa Site'!J1252&lt;&gt;0,'Boletins Nuppa Site'!J1252,"NULL")</f>
        <v>20</v>
      </c>
      <c r="J1252" t="str">
        <f t="shared" si="19"/>
        <v>INSERT INTO COTACAO (blt_id, pap_id, cot_prc_comum, cot_prc_min, cot_prc_max, cot_prc_med, cot_prc_mediana) VALUES (33, 19, 30, 10, 30, 21, 20);</v>
      </c>
    </row>
    <row r="1253" spans="1:10" x14ac:dyDescent="0.3">
      <c r="A1253">
        <v>1252</v>
      </c>
      <c r="B1253">
        <v>33</v>
      </c>
      <c r="C1253">
        <v>20</v>
      </c>
      <c r="D1253">
        <f>IF('Boletins Nuppa Site'!F1253&lt;&gt;0,'Boletins Nuppa Site'!F1253,"NULL")</f>
        <v>70</v>
      </c>
      <c r="E1253">
        <f>IF('Boletins Nuppa Site'!G1253&lt;&gt;0,'Boletins Nuppa Site'!G1253,"NULL")</f>
        <v>65</v>
      </c>
      <c r="F1253">
        <f>IF('Boletins Nuppa Site'!H1253&lt;&gt;0,'Boletins Nuppa Site'!H1253,"NULL")</f>
        <v>70</v>
      </c>
      <c r="G1253" t="str">
        <f>IF('Boletins Nuppa Site'!I1253&lt;&gt;0,'Boletins Nuppa Site'!I1253,"NULL")</f>
        <v>68.33</v>
      </c>
      <c r="H1253">
        <f>IF('Boletins Nuppa Site'!J1253&lt;&gt;0,'Boletins Nuppa Site'!J1253,"NULL")</f>
        <v>70</v>
      </c>
      <c r="J1253" t="str">
        <f t="shared" si="19"/>
        <v>INSERT INTO COTACAO (blt_id, pap_id, cot_prc_comum, cot_prc_min, cot_prc_max, cot_prc_med, cot_prc_mediana) VALUES (33, 20, 70, 65, 70, 68.33, 70);</v>
      </c>
    </row>
    <row r="1254" spans="1:10" x14ac:dyDescent="0.3">
      <c r="A1254">
        <v>1253</v>
      </c>
      <c r="B1254">
        <v>33</v>
      </c>
      <c r="C1254">
        <v>21</v>
      </c>
      <c r="D1254">
        <f>IF('Boletins Nuppa Site'!F1254&lt;&gt;0,'Boletins Nuppa Site'!F1254,"NULL")</f>
        <v>50</v>
      </c>
      <c r="E1254">
        <f>IF('Boletins Nuppa Site'!G1254&lt;&gt;0,'Boletins Nuppa Site'!G1254,"NULL")</f>
        <v>25</v>
      </c>
      <c r="F1254">
        <f>IF('Boletins Nuppa Site'!H1254&lt;&gt;0,'Boletins Nuppa Site'!H1254,"NULL")</f>
        <v>50</v>
      </c>
      <c r="G1254">
        <f>IF('Boletins Nuppa Site'!I1254&lt;&gt;0,'Boletins Nuppa Site'!I1254,"NULL")</f>
        <v>40</v>
      </c>
      <c r="H1254">
        <f>IF('Boletins Nuppa Site'!J1254&lt;&gt;0,'Boletins Nuppa Site'!J1254,"NULL")</f>
        <v>40</v>
      </c>
      <c r="J1254" t="str">
        <f t="shared" si="19"/>
        <v>INSERT INTO COTACAO (blt_id, pap_id, cot_prc_comum, cot_prc_min, cot_prc_max, cot_prc_med, cot_prc_mediana) VALUES (33, 21, 50, 25, 50, 40, 40);</v>
      </c>
    </row>
    <row r="1255" spans="1:10" x14ac:dyDescent="0.3">
      <c r="A1255">
        <v>1254</v>
      </c>
      <c r="B1255">
        <v>33</v>
      </c>
      <c r="C1255">
        <v>22</v>
      </c>
      <c r="D1255">
        <f>IF('Boletins Nuppa Site'!F1255&lt;&gt;0,'Boletins Nuppa Site'!F1255,"NULL")</f>
        <v>80</v>
      </c>
      <c r="E1255">
        <f>IF('Boletins Nuppa Site'!G1255&lt;&gt;0,'Boletins Nuppa Site'!G1255,"NULL")</f>
        <v>45</v>
      </c>
      <c r="F1255">
        <f>IF('Boletins Nuppa Site'!H1255&lt;&gt;0,'Boletins Nuppa Site'!H1255,"NULL")</f>
        <v>80</v>
      </c>
      <c r="G1255">
        <f>IF('Boletins Nuppa Site'!I1255&lt;&gt;0,'Boletins Nuppa Site'!I1255,"NULL")</f>
        <v>68</v>
      </c>
      <c r="H1255">
        <f>IF('Boletins Nuppa Site'!J1255&lt;&gt;0,'Boletins Nuppa Site'!J1255,"NULL")</f>
        <v>70</v>
      </c>
      <c r="J1255" t="str">
        <f t="shared" si="19"/>
        <v>INSERT INTO COTACAO (blt_id, pap_id, cot_prc_comum, cot_prc_min, cot_prc_max, cot_prc_med, cot_prc_mediana) VALUES (33, 22, 80, 45, 80, 68, 70);</v>
      </c>
    </row>
    <row r="1256" spans="1:10" x14ac:dyDescent="0.3">
      <c r="A1256">
        <v>1255</v>
      </c>
      <c r="B1256">
        <v>33</v>
      </c>
      <c r="C1256">
        <v>23</v>
      </c>
      <c r="D1256">
        <f>IF('Boletins Nuppa Site'!F1256&lt;&gt;0,'Boletins Nuppa Site'!F1256,"NULL")</f>
        <v>50</v>
      </c>
      <c r="E1256">
        <f>IF('Boletins Nuppa Site'!G1256&lt;&gt;0,'Boletins Nuppa Site'!G1256,"NULL")</f>
        <v>45</v>
      </c>
      <c r="F1256">
        <f>IF('Boletins Nuppa Site'!H1256&lt;&gt;0,'Boletins Nuppa Site'!H1256,"NULL")</f>
        <v>60</v>
      </c>
      <c r="G1256">
        <f>IF('Boletins Nuppa Site'!I1256&lt;&gt;0,'Boletins Nuppa Site'!I1256,"NULL")</f>
        <v>51</v>
      </c>
      <c r="H1256">
        <f>IF('Boletins Nuppa Site'!J1256&lt;&gt;0,'Boletins Nuppa Site'!J1256,"NULL")</f>
        <v>50</v>
      </c>
      <c r="J1256" t="str">
        <f t="shared" si="19"/>
        <v>INSERT INTO COTACAO (blt_id, pap_id, cot_prc_comum, cot_prc_min, cot_prc_max, cot_prc_med, cot_prc_mediana) VALUES (33, 23, 50, 45, 60, 51, 50);</v>
      </c>
    </row>
    <row r="1257" spans="1:10" x14ac:dyDescent="0.3">
      <c r="A1257">
        <v>1256</v>
      </c>
      <c r="B1257">
        <v>33</v>
      </c>
      <c r="C1257">
        <v>24</v>
      </c>
      <c r="D1257">
        <f>IF('Boletins Nuppa Site'!F1257&lt;&gt;0,'Boletins Nuppa Site'!F1257,"NULL")</f>
        <v>90</v>
      </c>
      <c r="E1257">
        <f>IF('Boletins Nuppa Site'!G1257&lt;&gt;0,'Boletins Nuppa Site'!G1257,"NULL")</f>
        <v>90</v>
      </c>
      <c r="F1257">
        <f>IF('Boletins Nuppa Site'!H1257&lt;&gt;0,'Boletins Nuppa Site'!H1257,"NULL")</f>
        <v>100</v>
      </c>
      <c r="G1257" t="str">
        <f>IF('Boletins Nuppa Site'!I1257&lt;&gt;0,'Boletins Nuppa Site'!I1257,"NULL")</f>
        <v>93.33</v>
      </c>
      <c r="H1257">
        <f>IF('Boletins Nuppa Site'!J1257&lt;&gt;0,'Boletins Nuppa Site'!J1257,"NULL")</f>
        <v>90</v>
      </c>
      <c r="J1257" t="str">
        <f t="shared" si="19"/>
        <v>INSERT INTO COTACAO (blt_id, pap_id, cot_prc_comum, cot_prc_min, cot_prc_max, cot_prc_med, cot_prc_mediana) VALUES (33, 24, 90, 90, 100, 93.33, 90);</v>
      </c>
    </row>
    <row r="1258" spans="1:10" x14ac:dyDescent="0.3">
      <c r="A1258">
        <v>1257</v>
      </c>
      <c r="B1258">
        <v>33</v>
      </c>
      <c r="C1258">
        <v>25</v>
      </c>
      <c r="D1258">
        <f>IF('Boletins Nuppa Site'!F1258&lt;&gt;0,'Boletins Nuppa Site'!F1258,"NULL")</f>
        <v>60</v>
      </c>
      <c r="E1258">
        <f>IF('Boletins Nuppa Site'!G1258&lt;&gt;0,'Boletins Nuppa Site'!G1258,"NULL")</f>
        <v>60</v>
      </c>
      <c r="F1258">
        <f>IF('Boletins Nuppa Site'!H1258&lt;&gt;0,'Boletins Nuppa Site'!H1258,"NULL")</f>
        <v>80</v>
      </c>
      <c r="G1258">
        <f>IF('Boletins Nuppa Site'!I1258&lt;&gt;0,'Boletins Nuppa Site'!I1258,"NULL")</f>
        <v>68</v>
      </c>
      <c r="H1258">
        <f>IF('Boletins Nuppa Site'!J1258&lt;&gt;0,'Boletins Nuppa Site'!J1258,"NULL")</f>
        <v>70</v>
      </c>
      <c r="J1258" t="str">
        <f t="shared" si="19"/>
        <v>INSERT INTO COTACAO (blt_id, pap_id, cot_prc_comum, cot_prc_min, cot_prc_max, cot_prc_med, cot_prc_mediana) VALUES (33, 25, 60, 60, 80, 68, 70);</v>
      </c>
    </row>
    <row r="1259" spans="1:10" x14ac:dyDescent="0.3">
      <c r="A1259">
        <v>1258</v>
      </c>
      <c r="B1259">
        <v>33</v>
      </c>
      <c r="C1259">
        <v>26</v>
      </c>
      <c r="D1259">
        <f>IF('Boletins Nuppa Site'!F1259&lt;&gt;0,'Boletins Nuppa Site'!F1259,"NULL")</f>
        <v>55</v>
      </c>
      <c r="E1259">
        <f>IF('Boletins Nuppa Site'!G1259&lt;&gt;0,'Boletins Nuppa Site'!G1259,"NULL")</f>
        <v>40</v>
      </c>
      <c r="F1259">
        <f>IF('Boletins Nuppa Site'!H1259&lt;&gt;0,'Boletins Nuppa Site'!H1259,"NULL")</f>
        <v>55</v>
      </c>
      <c r="G1259">
        <f>IF('Boletins Nuppa Site'!I1259&lt;&gt;0,'Boletins Nuppa Site'!I1259,"NULL")</f>
        <v>48</v>
      </c>
      <c r="H1259">
        <f>IF('Boletins Nuppa Site'!J1259&lt;&gt;0,'Boletins Nuppa Site'!J1259,"NULL")</f>
        <v>50</v>
      </c>
      <c r="J1259" t="str">
        <f t="shared" si="19"/>
        <v>INSERT INTO COTACAO (blt_id, pap_id, cot_prc_comum, cot_prc_min, cot_prc_max, cot_prc_med, cot_prc_mediana) VALUES (33, 26, 55, 40, 55, 48, 50);</v>
      </c>
    </row>
    <row r="1260" spans="1:10" x14ac:dyDescent="0.3">
      <c r="A1260">
        <v>1259</v>
      </c>
      <c r="B1260">
        <v>33</v>
      </c>
      <c r="C1260">
        <v>27</v>
      </c>
      <c r="D1260">
        <f>IF('Boletins Nuppa Site'!F1260&lt;&gt;0,'Boletins Nuppa Site'!F1260,"NULL")</f>
        <v>50</v>
      </c>
      <c r="E1260">
        <f>IF('Boletins Nuppa Site'!G1260&lt;&gt;0,'Boletins Nuppa Site'!G1260,"NULL")</f>
        <v>50</v>
      </c>
      <c r="F1260">
        <f>IF('Boletins Nuppa Site'!H1260&lt;&gt;0,'Boletins Nuppa Site'!H1260,"NULL")</f>
        <v>80</v>
      </c>
      <c r="G1260">
        <f>IF('Boletins Nuppa Site'!I1260&lt;&gt;0,'Boletins Nuppa Site'!I1260,"NULL")</f>
        <v>57</v>
      </c>
      <c r="H1260">
        <f>IF('Boletins Nuppa Site'!J1260&lt;&gt;0,'Boletins Nuppa Site'!J1260,"NULL")</f>
        <v>50</v>
      </c>
      <c r="J1260" t="str">
        <f t="shared" si="19"/>
        <v>INSERT INTO COTACAO (blt_id, pap_id, cot_prc_comum, cot_prc_min, cot_prc_max, cot_prc_med, cot_prc_mediana) VALUES (33, 27, 50, 50, 80, 57, 50);</v>
      </c>
    </row>
    <row r="1261" spans="1:10" x14ac:dyDescent="0.3">
      <c r="A1261">
        <v>1260</v>
      </c>
      <c r="B1261">
        <v>33</v>
      </c>
      <c r="C1261">
        <v>28</v>
      </c>
      <c r="D1261">
        <f>IF('Boletins Nuppa Site'!F1261&lt;&gt;0,'Boletins Nuppa Site'!F1261,"NULL")</f>
        <v>90</v>
      </c>
      <c r="E1261">
        <f>IF('Boletins Nuppa Site'!G1261&lt;&gt;0,'Boletins Nuppa Site'!G1261,"NULL")</f>
        <v>70</v>
      </c>
      <c r="F1261">
        <f>IF('Boletins Nuppa Site'!H1261&lt;&gt;0,'Boletins Nuppa Site'!H1261,"NULL")</f>
        <v>100</v>
      </c>
      <c r="G1261" t="str">
        <f>IF('Boletins Nuppa Site'!I1261&lt;&gt;0,'Boletins Nuppa Site'!I1261,"NULL")</f>
        <v>87.5</v>
      </c>
      <c r="H1261">
        <f>IF('Boletins Nuppa Site'!J1261&lt;&gt;0,'Boletins Nuppa Site'!J1261,"NULL")</f>
        <v>90</v>
      </c>
      <c r="J1261" t="str">
        <f t="shared" si="19"/>
        <v>INSERT INTO COTACAO (blt_id, pap_id, cot_prc_comum, cot_prc_min, cot_prc_max, cot_prc_med, cot_prc_mediana) VALUES (33, 28, 90, 70, 100, 87.5, 90);</v>
      </c>
    </row>
    <row r="1262" spans="1:10" x14ac:dyDescent="0.3">
      <c r="A1262">
        <v>1261</v>
      </c>
      <c r="B1262">
        <v>33</v>
      </c>
      <c r="C1262">
        <v>29</v>
      </c>
      <c r="D1262" t="str">
        <f>IF('Boletins Nuppa Site'!F1262&lt;&gt;0,'Boletins Nuppa Site'!F1262,"NULL")</f>
        <v>NULL</v>
      </c>
      <c r="E1262">
        <f>IF('Boletins Nuppa Site'!G1262&lt;&gt;0,'Boletins Nuppa Site'!G1262,"NULL")</f>
        <v>35</v>
      </c>
      <c r="F1262">
        <f>IF('Boletins Nuppa Site'!H1262&lt;&gt;0,'Boletins Nuppa Site'!H1262,"NULL")</f>
        <v>50</v>
      </c>
      <c r="G1262" t="str">
        <f>IF('Boletins Nuppa Site'!I1262&lt;&gt;0,'Boletins Nuppa Site'!I1262,"NULL")</f>
        <v>41.67</v>
      </c>
      <c r="H1262">
        <f>IF('Boletins Nuppa Site'!J1262&lt;&gt;0,'Boletins Nuppa Site'!J1262,"NULL")</f>
        <v>40</v>
      </c>
      <c r="J1262" t="str">
        <f t="shared" si="19"/>
        <v>INSERT INTO COTACAO (blt_id, pap_id, cot_prc_comum, cot_prc_min, cot_prc_max, cot_prc_med, cot_prc_mediana) VALUES (33, 29, NULL, 35, 50, 41.67, 40);</v>
      </c>
    </row>
    <row r="1263" spans="1:10" x14ac:dyDescent="0.3">
      <c r="A1263">
        <v>1262</v>
      </c>
      <c r="B1263">
        <v>33</v>
      </c>
      <c r="C1263">
        <v>30</v>
      </c>
      <c r="D1263" t="str">
        <f>IF('Boletins Nuppa Site'!F1263&lt;&gt;0,'Boletins Nuppa Site'!F1263,"NULL")</f>
        <v>NULL</v>
      </c>
      <c r="E1263">
        <f>IF('Boletins Nuppa Site'!G1263&lt;&gt;0,'Boletins Nuppa Site'!G1263,"NULL")</f>
        <v>85</v>
      </c>
      <c r="F1263">
        <f>IF('Boletins Nuppa Site'!H1263&lt;&gt;0,'Boletins Nuppa Site'!H1263,"NULL")</f>
        <v>100</v>
      </c>
      <c r="G1263" t="str">
        <f>IF('Boletins Nuppa Site'!I1263&lt;&gt;0,'Boletins Nuppa Site'!I1263,"NULL")</f>
        <v>91.67</v>
      </c>
      <c r="H1263">
        <f>IF('Boletins Nuppa Site'!J1263&lt;&gt;0,'Boletins Nuppa Site'!J1263,"NULL")</f>
        <v>90</v>
      </c>
      <c r="J1263" t="str">
        <f t="shared" si="19"/>
        <v>INSERT INTO COTACAO (blt_id, pap_id, cot_prc_comum, cot_prc_min, cot_prc_max, cot_prc_med, cot_prc_mediana) VALUES (33, 30, NULL, 85, 100, 91.67, 90);</v>
      </c>
    </row>
    <row r="1264" spans="1:10" x14ac:dyDescent="0.3">
      <c r="A1264">
        <v>1263</v>
      </c>
      <c r="B1264">
        <v>33</v>
      </c>
      <c r="C1264">
        <v>31</v>
      </c>
      <c r="D1264">
        <f>IF('Boletins Nuppa Site'!F1264&lt;&gt;0,'Boletins Nuppa Site'!F1264,"NULL")</f>
        <v>100</v>
      </c>
      <c r="E1264">
        <f>IF('Boletins Nuppa Site'!G1264&lt;&gt;0,'Boletins Nuppa Site'!G1264,"NULL")</f>
        <v>100</v>
      </c>
      <c r="F1264">
        <f>IF('Boletins Nuppa Site'!H1264&lt;&gt;0,'Boletins Nuppa Site'!H1264,"NULL")</f>
        <v>135</v>
      </c>
      <c r="G1264">
        <f>IF('Boletins Nuppa Site'!I1264&lt;&gt;0,'Boletins Nuppa Site'!I1264,"NULL")</f>
        <v>117</v>
      </c>
      <c r="H1264">
        <f>IF('Boletins Nuppa Site'!J1264&lt;&gt;0,'Boletins Nuppa Site'!J1264,"NULL")</f>
        <v>120</v>
      </c>
      <c r="J1264" t="str">
        <f t="shared" si="19"/>
        <v>INSERT INTO COTACAO (blt_id, pap_id, cot_prc_comum, cot_prc_min, cot_prc_max, cot_prc_med, cot_prc_mediana) VALUES (33, 31, 100, 100, 135, 117, 120);</v>
      </c>
    </row>
    <row r="1265" spans="1:10" x14ac:dyDescent="0.3">
      <c r="A1265">
        <v>1264</v>
      </c>
      <c r="B1265">
        <v>33</v>
      </c>
      <c r="C1265">
        <v>32</v>
      </c>
      <c r="D1265">
        <f>IF('Boletins Nuppa Site'!F1265&lt;&gt;0,'Boletins Nuppa Site'!F1265,"NULL")</f>
        <v>60</v>
      </c>
      <c r="E1265">
        <f>IF('Boletins Nuppa Site'!G1265&lt;&gt;0,'Boletins Nuppa Site'!G1265,"NULL")</f>
        <v>40</v>
      </c>
      <c r="F1265">
        <f>IF('Boletins Nuppa Site'!H1265&lt;&gt;0,'Boletins Nuppa Site'!H1265,"NULL")</f>
        <v>60</v>
      </c>
      <c r="G1265">
        <f>IF('Boletins Nuppa Site'!I1265&lt;&gt;0,'Boletins Nuppa Site'!I1265,"NULL")</f>
        <v>53</v>
      </c>
      <c r="H1265">
        <f>IF('Boletins Nuppa Site'!J1265&lt;&gt;0,'Boletins Nuppa Site'!J1265,"NULL")</f>
        <v>55</v>
      </c>
      <c r="J1265" t="str">
        <f t="shared" si="19"/>
        <v>INSERT INTO COTACAO (blt_id, pap_id, cot_prc_comum, cot_prc_min, cot_prc_max, cot_prc_med, cot_prc_mediana) VALUES (33, 32, 60, 40, 60, 53, 55);</v>
      </c>
    </row>
    <row r="1266" spans="1:10" x14ac:dyDescent="0.3">
      <c r="A1266">
        <v>1265</v>
      </c>
      <c r="B1266">
        <v>33</v>
      </c>
      <c r="C1266">
        <v>33</v>
      </c>
      <c r="D1266">
        <f>IF('Boletins Nuppa Site'!F1266&lt;&gt;0,'Boletins Nuppa Site'!F1266,"NULL")</f>
        <v>150</v>
      </c>
      <c r="E1266">
        <f>IF('Boletins Nuppa Site'!G1266&lt;&gt;0,'Boletins Nuppa Site'!G1266,"NULL")</f>
        <v>140</v>
      </c>
      <c r="F1266">
        <f>IF('Boletins Nuppa Site'!H1266&lt;&gt;0,'Boletins Nuppa Site'!H1266,"NULL")</f>
        <v>150</v>
      </c>
      <c r="G1266">
        <f>IF('Boletins Nuppa Site'!I1266&lt;&gt;0,'Boletins Nuppa Site'!I1266,"NULL")</f>
        <v>146</v>
      </c>
      <c r="H1266">
        <f>IF('Boletins Nuppa Site'!J1266&lt;&gt;0,'Boletins Nuppa Site'!J1266,"NULL")</f>
        <v>150</v>
      </c>
      <c r="J1266" t="str">
        <f t="shared" si="19"/>
        <v>INSERT INTO COTACAO (blt_id, pap_id, cot_prc_comum, cot_prc_min, cot_prc_max, cot_prc_med, cot_prc_mediana) VALUES (33, 33, 150, 140, 150, 146, 150);</v>
      </c>
    </row>
    <row r="1267" spans="1:10" x14ac:dyDescent="0.3">
      <c r="A1267">
        <v>1266</v>
      </c>
      <c r="B1267">
        <v>33</v>
      </c>
      <c r="C1267">
        <v>34</v>
      </c>
      <c r="D1267">
        <f>IF('Boletins Nuppa Site'!F1267&lt;&gt;0,'Boletins Nuppa Site'!F1267,"NULL")</f>
        <v>70</v>
      </c>
      <c r="E1267">
        <f>IF('Boletins Nuppa Site'!G1267&lt;&gt;0,'Boletins Nuppa Site'!G1267,"NULL")</f>
        <v>60</v>
      </c>
      <c r="F1267">
        <f>IF('Boletins Nuppa Site'!H1267&lt;&gt;0,'Boletins Nuppa Site'!H1267,"NULL")</f>
        <v>80</v>
      </c>
      <c r="G1267">
        <f>IF('Boletins Nuppa Site'!I1267&lt;&gt;0,'Boletins Nuppa Site'!I1267,"NULL")</f>
        <v>69</v>
      </c>
      <c r="H1267">
        <f>IF('Boletins Nuppa Site'!J1267&lt;&gt;0,'Boletins Nuppa Site'!J1267,"NULL")</f>
        <v>70</v>
      </c>
      <c r="J1267" t="str">
        <f t="shared" si="19"/>
        <v>INSERT INTO COTACAO (blt_id, pap_id, cot_prc_comum, cot_prc_min, cot_prc_max, cot_prc_med, cot_prc_mediana) VALUES (33, 34, 70, 60, 80, 69, 70);</v>
      </c>
    </row>
    <row r="1268" spans="1:10" x14ac:dyDescent="0.3">
      <c r="A1268">
        <v>1267</v>
      </c>
      <c r="B1268">
        <v>33</v>
      </c>
      <c r="C1268">
        <v>35</v>
      </c>
      <c r="D1268">
        <f>IF('Boletins Nuppa Site'!F1268&lt;&gt;0,'Boletins Nuppa Site'!F1268,"NULL")</f>
        <v>150</v>
      </c>
      <c r="E1268">
        <f>IF('Boletins Nuppa Site'!G1268&lt;&gt;0,'Boletins Nuppa Site'!G1268,"NULL")</f>
        <v>120</v>
      </c>
      <c r="F1268">
        <f>IF('Boletins Nuppa Site'!H1268&lt;&gt;0,'Boletins Nuppa Site'!H1268,"NULL")</f>
        <v>150</v>
      </c>
      <c r="G1268">
        <f>IF('Boletins Nuppa Site'!I1268&lt;&gt;0,'Boletins Nuppa Site'!I1268,"NULL")</f>
        <v>140</v>
      </c>
      <c r="H1268">
        <f>IF('Boletins Nuppa Site'!J1268&lt;&gt;0,'Boletins Nuppa Site'!J1268,"NULL")</f>
        <v>150</v>
      </c>
      <c r="J1268" t="str">
        <f t="shared" si="19"/>
        <v>INSERT INTO COTACAO (blt_id, pap_id, cot_prc_comum, cot_prc_min, cot_prc_max, cot_prc_med, cot_prc_mediana) VALUES (33, 35, 150, 120, 150, 140, 150);</v>
      </c>
    </row>
    <row r="1269" spans="1:10" x14ac:dyDescent="0.3">
      <c r="A1269">
        <v>1268</v>
      </c>
      <c r="B1269">
        <v>33</v>
      </c>
      <c r="C1269">
        <v>36</v>
      </c>
      <c r="D1269" t="str">
        <f>IF('Boletins Nuppa Site'!F1269&lt;&gt;0,'Boletins Nuppa Site'!F1269,"NULL")</f>
        <v>NULL</v>
      </c>
      <c r="E1269" t="str">
        <f>IF('Boletins Nuppa Site'!G1269&lt;&gt;0,'Boletins Nuppa Site'!G1269,"NULL")</f>
        <v>NULL</v>
      </c>
      <c r="F1269" t="str">
        <f>IF('Boletins Nuppa Site'!H1269&lt;&gt;0,'Boletins Nuppa Site'!H1269,"NULL")</f>
        <v>NULL</v>
      </c>
      <c r="G1269" t="str">
        <f>IF('Boletins Nuppa Site'!I1269&lt;&gt;0,'Boletins Nuppa Site'!I1269,"NULL")</f>
        <v>NULL</v>
      </c>
      <c r="H1269" t="str">
        <f>IF('Boletins Nuppa Site'!J1269&lt;&gt;0,'Boletins Nuppa Site'!J1269,"NULL")</f>
        <v>NULL</v>
      </c>
      <c r="J1269" t="str">
        <f t="shared" si="19"/>
        <v>INSERT INTO COTACAO (blt_id, pap_id, cot_prc_comum, cot_prc_min, cot_prc_max, cot_prc_med, cot_prc_mediana) VALUES (33, 36, NULL, NULL, NULL, NULL, NULL);</v>
      </c>
    </row>
    <row r="1270" spans="1:10" x14ac:dyDescent="0.3">
      <c r="A1270">
        <v>1269</v>
      </c>
      <c r="B1270">
        <v>33</v>
      </c>
      <c r="C1270">
        <v>37</v>
      </c>
      <c r="D1270" t="str">
        <f>IF('Boletins Nuppa Site'!F1270&lt;&gt;0,'Boletins Nuppa Site'!F1270,"NULL")</f>
        <v>NULL</v>
      </c>
      <c r="E1270" t="str">
        <f>IF('Boletins Nuppa Site'!G1270&lt;&gt;0,'Boletins Nuppa Site'!G1270,"NULL")</f>
        <v>NULL</v>
      </c>
      <c r="F1270" t="str">
        <f>IF('Boletins Nuppa Site'!H1270&lt;&gt;0,'Boletins Nuppa Site'!H1270,"NULL")</f>
        <v>NULL</v>
      </c>
      <c r="G1270" t="str">
        <f>IF('Boletins Nuppa Site'!I1270&lt;&gt;0,'Boletins Nuppa Site'!I1270,"NULL")</f>
        <v>NULL</v>
      </c>
      <c r="H1270" t="str">
        <f>IF('Boletins Nuppa Site'!J1270&lt;&gt;0,'Boletins Nuppa Site'!J1270,"NULL")</f>
        <v>NULL</v>
      </c>
      <c r="J1270" t="str">
        <f t="shared" si="19"/>
        <v>INSERT INTO COTACAO (blt_id, pap_id, cot_prc_comum, cot_prc_min, cot_prc_max, cot_prc_med, cot_prc_mediana) VALUES (33, 37, NULL, NULL, NULL, NULL, NULL);</v>
      </c>
    </row>
    <row r="1271" spans="1:10" x14ac:dyDescent="0.3">
      <c r="A1271">
        <v>1270</v>
      </c>
      <c r="B1271">
        <v>33</v>
      </c>
      <c r="C1271">
        <v>38</v>
      </c>
      <c r="D1271" t="str">
        <f>IF('Boletins Nuppa Site'!F1271&lt;&gt;0,'Boletins Nuppa Site'!F1271,"NULL")</f>
        <v>NULL</v>
      </c>
      <c r="E1271" t="str">
        <f>IF('Boletins Nuppa Site'!G1271&lt;&gt;0,'Boletins Nuppa Site'!G1271,"NULL")</f>
        <v>NULL</v>
      </c>
      <c r="F1271" t="str">
        <f>IF('Boletins Nuppa Site'!H1271&lt;&gt;0,'Boletins Nuppa Site'!H1271,"NULL")</f>
        <v>NULL</v>
      </c>
      <c r="G1271" t="str">
        <f>IF('Boletins Nuppa Site'!I1271&lt;&gt;0,'Boletins Nuppa Site'!I1271,"NULL")</f>
        <v>NULL</v>
      </c>
      <c r="H1271" t="str">
        <f>IF('Boletins Nuppa Site'!J1271&lt;&gt;0,'Boletins Nuppa Site'!J1271,"NULL")</f>
        <v>NULL</v>
      </c>
      <c r="J1271" t="str">
        <f t="shared" si="19"/>
        <v>INSERT INTO COTACAO (blt_id, pap_id, cot_prc_comum, cot_prc_min, cot_prc_max, cot_prc_med, cot_prc_mediana) VALUES (33, 38, NULL, NULL, NULL, NULL, NULL);</v>
      </c>
    </row>
    <row r="1272" spans="1:10" x14ac:dyDescent="0.3">
      <c r="A1272">
        <v>1271</v>
      </c>
      <c r="B1272">
        <v>33</v>
      </c>
      <c r="C1272">
        <v>39</v>
      </c>
      <c r="D1272" t="str">
        <f>IF('Boletins Nuppa Site'!F1272&lt;&gt;0,'Boletins Nuppa Site'!F1272,"NULL")</f>
        <v>NULL</v>
      </c>
      <c r="E1272">
        <f>IF('Boletins Nuppa Site'!G1272&lt;&gt;0,'Boletins Nuppa Site'!G1272,"NULL")</f>
        <v>50</v>
      </c>
      <c r="F1272">
        <f>IF('Boletins Nuppa Site'!H1272&lt;&gt;0,'Boletins Nuppa Site'!H1272,"NULL")</f>
        <v>50</v>
      </c>
      <c r="G1272">
        <f>IF('Boletins Nuppa Site'!I1272&lt;&gt;0,'Boletins Nuppa Site'!I1272,"NULL")</f>
        <v>50</v>
      </c>
      <c r="H1272">
        <f>IF('Boletins Nuppa Site'!J1272&lt;&gt;0,'Boletins Nuppa Site'!J1272,"NULL")</f>
        <v>50</v>
      </c>
      <c r="J1272" t="str">
        <f t="shared" si="19"/>
        <v>INSERT INTO COTACAO (blt_id, pap_id, cot_prc_comum, cot_prc_min, cot_prc_max, cot_prc_med, cot_prc_mediana) VALUES (33, 39, NULL, 50, 50, 50, 50);</v>
      </c>
    </row>
    <row r="1273" spans="1:10" x14ac:dyDescent="0.3">
      <c r="A1273">
        <v>1272</v>
      </c>
      <c r="B1273">
        <v>33</v>
      </c>
      <c r="C1273">
        <v>40</v>
      </c>
      <c r="D1273" t="str">
        <f>IF('Boletins Nuppa Site'!F1273&lt;&gt;0,'Boletins Nuppa Site'!F1273,"NULL")</f>
        <v>NULL</v>
      </c>
      <c r="E1273" t="str">
        <f>IF('Boletins Nuppa Site'!G1273&lt;&gt;0,'Boletins Nuppa Site'!G1273,"NULL")</f>
        <v>NULL</v>
      </c>
      <c r="F1273" t="str">
        <f>IF('Boletins Nuppa Site'!H1273&lt;&gt;0,'Boletins Nuppa Site'!H1273,"NULL")</f>
        <v>NULL</v>
      </c>
      <c r="G1273" t="str">
        <f>IF('Boletins Nuppa Site'!I1273&lt;&gt;0,'Boletins Nuppa Site'!I1273,"NULL")</f>
        <v>NULL</v>
      </c>
      <c r="H1273" t="str">
        <f>IF('Boletins Nuppa Site'!J1273&lt;&gt;0,'Boletins Nuppa Site'!J1273,"NULL")</f>
        <v>NULL</v>
      </c>
      <c r="J1273" t="str">
        <f t="shared" si="19"/>
        <v>INSERT INTO COTACAO (blt_id, pap_id, cot_prc_comum, cot_prc_min, cot_prc_max, cot_prc_med, cot_prc_mediana) VALUES (33, 40, NULL, NULL, NULL, NULL, NULL);</v>
      </c>
    </row>
    <row r="1274" spans="1:10" x14ac:dyDescent="0.3">
      <c r="A1274">
        <v>1273</v>
      </c>
      <c r="B1274">
        <v>34</v>
      </c>
      <c r="C1274">
        <v>1</v>
      </c>
      <c r="D1274">
        <f>IF('Boletins Nuppa Site'!F1274&lt;&gt;0,'Boletins Nuppa Site'!F1274,"NULL")</f>
        <v>48</v>
      </c>
      <c r="E1274">
        <f>IF('Boletins Nuppa Site'!G1274&lt;&gt;0,'Boletins Nuppa Site'!G1274,"NULL")</f>
        <v>48</v>
      </c>
      <c r="F1274">
        <f>IF('Boletins Nuppa Site'!H1274&lt;&gt;0,'Boletins Nuppa Site'!H1274,"NULL")</f>
        <v>60</v>
      </c>
      <c r="G1274">
        <f>IF('Boletins Nuppa Site'!I1274&lt;&gt;0,'Boletins Nuppa Site'!I1274,"NULL")</f>
        <v>51</v>
      </c>
      <c r="H1274">
        <f>IF('Boletins Nuppa Site'!J1274&lt;&gt;0,'Boletins Nuppa Site'!J1274,"NULL")</f>
        <v>48</v>
      </c>
      <c r="J1274" t="str">
        <f t="shared" si="19"/>
        <v>INSERT INTO COTACAO (blt_id, pap_id, cot_prc_comum, cot_prc_min, cot_prc_max, cot_prc_med, cot_prc_mediana) VALUES (34, 1, 48, 48, 60, 51, 48);</v>
      </c>
    </row>
    <row r="1275" spans="1:10" x14ac:dyDescent="0.3">
      <c r="A1275">
        <v>1274</v>
      </c>
      <c r="B1275">
        <v>34</v>
      </c>
      <c r="C1275">
        <v>2</v>
      </c>
      <c r="D1275">
        <f>IF('Boletins Nuppa Site'!F1275&lt;&gt;0,'Boletins Nuppa Site'!F1275,"NULL")</f>
        <v>84</v>
      </c>
      <c r="E1275">
        <f>IF('Boletins Nuppa Site'!G1275&lt;&gt;0,'Boletins Nuppa Site'!G1275,"NULL")</f>
        <v>60</v>
      </c>
      <c r="F1275">
        <f>IF('Boletins Nuppa Site'!H1275&lt;&gt;0,'Boletins Nuppa Site'!H1275,"NULL")</f>
        <v>84</v>
      </c>
      <c r="G1275">
        <f>IF('Boletins Nuppa Site'!I1275&lt;&gt;0,'Boletins Nuppa Site'!I1275,"NULL")</f>
        <v>75</v>
      </c>
      <c r="H1275">
        <f>IF('Boletins Nuppa Site'!J1275&lt;&gt;0,'Boletins Nuppa Site'!J1275,"NULL")</f>
        <v>78</v>
      </c>
      <c r="J1275" t="str">
        <f t="shared" si="19"/>
        <v>INSERT INTO COTACAO (blt_id, pap_id, cot_prc_comum, cot_prc_min, cot_prc_max, cot_prc_med, cot_prc_mediana) VALUES (34, 2, 84, 60, 84, 75, 78);</v>
      </c>
    </row>
    <row r="1276" spans="1:10" x14ac:dyDescent="0.3">
      <c r="A1276">
        <v>1275</v>
      </c>
      <c r="B1276">
        <v>34</v>
      </c>
      <c r="C1276">
        <v>3</v>
      </c>
      <c r="D1276">
        <f>IF('Boletins Nuppa Site'!F1276&lt;&gt;0,'Boletins Nuppa Site'!F1276,"NULL")</f>
        <v>36</v>
      </c>
      <c r="E1276">
        <f>IF('Boletins Nuppa Site'!G1276&lt;&gt;0,'Boletins Nuppa Site'!G1276,"NULL")</f>
        <v>36</v>
      </c>
      <c r="F1276">
        <f>IF('Boletins Nuppa Site'!H1276&lt;&gt;0,'Boletins Nuppa Site'!H1276,"NULL")</f>
        <v>48</v>
      </c>
      <c r="G1276" t="str">
        <f>IF('Boletins Nuppa Site'!I1276&lt;&gt;0,'Boletins Nuppa Site'!I1276,"NULL")</f>
        <v>38.4</v>
      </c>
      <c r="H1276">
        <f>IF('Boletins Nuppa Site'!J1276&lt;&gt;0,'Boletins Nuppa Site'!J1276,"NULL")</f>
        <v>36</v>
      </c>
      <c r="J1276" t="str">
        <f t="shared" si="19"/>
        <v>INSERT INTO COTACAO (blt_id, pap_id, cot_prc_comum, cot_prc_min, cot_prc_max, cot_prc_med, cot_prc_mediana) VALUES (34, 3, 36, 36, 48, 38.4, 36);</v>
      </c>
    </row>
    <row r="1277" spans="1:10" x14ac:dyDescent="0.3">
      <c r="A1277">
        <v>1276</v>
      </c>
      <c r="B1277">
        <v>34</v>
      </c>
      <c r="C1277">
        <v>4</v>
      </c>
      <c r="D1277">
        <f>IF('Boletins Nuppa Site'!F1277&lt;&gt;0,'Boletins Nuppa Site'!F1277,"NULL")</f>
        <v>24</v>
      </c>
      <c r="E1277">
        <f>IF('Boletins Nuppa Site'!G1277&lt;&gt;0,'Boletins Nuppa Site'!G1277,"NULL")</f>
        <v>15</v>
      </c>
      <c r="F1277">
        <f>IF('Boletins Nuppa Site'!H1277&lt;&gt;0,'Boletins Nuppa Site'!H1277,"NULL")</f>
        <v>36</v>
      </c>
      <c r="G1277" t="str">
        <f>IF('Boletins Nuppa Site'!I1277&lt;&gt;0,'Boletins Nuppa Site'!I1277,"NULL")</f>
        <v>23.4</v>
      </c>
      <c r="H1277">
        <f>IF('Boletins Nuppa Site'!J1277&lt;&gt;0,'Boletins Nuppa Site'!J1277,"NULL")</f>
        <v>24</v>
      </c>
      <c r="J1277" t="str">
        <f t="shared" si="19"/>
        <v>INSERT INTO COTACAO (blt_id, pap_id, cot_prc_comum, cot_prc_min, cot_prc_max, cot_prc_med, cot_prc_mediana) VALUES (34, 4, 24, 15, 36, 23.4, 24);</v>
      </c>
    </row>
    <row r="1278" spans="1:10" x14ac:dyDescent="0.3">
      <c r="A1278">
        <v>1277</v>
      </c>
      <c r="B1278">
        <v>34</v>
      </c>
      <c r="C1278">
        <v>5</v>
      </c>
      <c r="D1278">
        <f>IF('Boletins Nuppa Site'!F1278&lt;&gt;0,'Boletins Nuppa Site'!F1278,"NULL")</f>
        <v>24</v>
      </c>
      <c r="E1278">
        <f>IF('Boletins Nuppa Site'!G1278&lt;&gt;0,'Boletins Nuppa Site'!G1278,"NULL")</f>
        <v>15</v>
      </c>
      <c r="F1278">
        <f>IF('Boletins Nuppa Site'!H1278&lt;&gt;0,'Boletins Nuppa Site'!H1278,"NULL")</f>
        <v>36</v>
      </c>
      <c r="G1278" t="str">
        <f>IF('Boletins Nuppa Site'!I1278&lt;&gt;0,'Boletins Nuppa Site'!I1278,"NULL")</f>
        <v>24.75</v>
      </c>
      <c r="H1278">
        <f>IF('Boletins Nuppa Site'!J1278&lt;&gt;0,'Boletins Nuppa Site'!J1278,"NULL")</f>
        <v>24</v>
      </c>
      <c r="J1278" t="str">
        <f t="shared" si="19"/>
        <v>INSERT INTO COTACAO (blt_id, pap_id, cot_prc_comum, cot_prc_min, cot_prc_max, cot_prc_med, cot_prc_mediana) VALUES (34, 5, 24, 15, 36, 24.75, 24);</v>
      </c>
    </row>
    <row r="1279" spans="1:10" x14ac:dyDescent="0.3">
      <c r="A1279">
        <v>1278</v>
      </c>
      <c r="B1279">
        <v>34</v>
      </c>
      <c r="C1279">
        <v>6</v>
      </c>
      <c r="D1279">
        <f>IF('Boletins Nuppa Site'!F1279&lt;&gt;0,'Boletins Nuppa Site'!F1279,"NULL")</f>
        <v>60</v>
      </c>
      <c r="E1279">
        <f>IF('Boletins Nuppa Site'!G1279&lt;&gt;0,'Boletins Nuppa Site'!G1279,"NULL")</f>
        <v>60</v>
      </c>
      <c r="F1279">
        <f>IF('Boletins Nuppa Site'!H1279&lt;&gt;0,'Boletins Nuppa Site'!H1279,"NULL")</f>
        <v>60</v>
      </c>
      <c r="G1279">
        <f>IF('Boletins Nuppa Site'!I1279&lt;&gt;0,'Boletins Nuppa Site'!I1279,"NULL")</f>
        <v>60</v>
      </c>
      <c r="H1279">
        <f>IF('Boletins Nuppa Site'!J1279&lt;&gt;0,'Boletins Nuppa Site'!J1279,"NULL")</f>
        <v>60</v>
      </c>
      <c r="J1279" t="str">
        <f t="shared" si="19"/>
        <v>INSERT INTO COTACAO (blt_id, pap_id, cot_prc_comum, cot_prc_min, cot_prc_max, cot_prc_med, cot_prc_mediana) VALUES (34, 6, 60, 60, 60, 60, 60);</v>
      </c>
    </row>
    <row r="1280" spans="1:10" x14ac:dyDescent="0.3">
      <c r="A1280">
        <v>1279</v>
      </c>
      <c r="B1280">
        <v>34</v>
      </c>
      <c r="C1280">
        <v>7</v>
      </c>
      <c r="D1280">
        <f>IF('Boletins Nuppa Site'!F1280&lt;&gt;0,'Boletins Nuppa Site'!F1280,"NULL")</f>
        <v>48</v>
      </c>
      <c r="E1280">
        <f>IF('Boletins Nuppa Site'!G1280&lt;&gt;0,'Boletins Nuppa Site'!G1280,"NULL")</f>
        <v>48</v>
      </c>
      <c r="F1280">
        <f>IF('Boletins Nuppa Site'!H1280&lt;&gt;0,'Boletins Nuppa Site'!H1280,"NULL")</f>
        <v>72</v>
      </c>
      <c r="G1280">
        <f>IF('Boletins Nuppa Site'!I1280&lt;&gt;0,'Boletins Nuppa Site'!I1280,"NULL")</f>
        <v>57</v>
      </c>
      <c r="H1280">
        <f>IF('Boletins Nuppa Site'!J1280&lt;&gt;0,'Boletins Nuppa Site'!J1280,"NULL")</f>
        <v>54</v>
      </c>
      <c r="J1280" t="str">
        <f t="shared" si="19"/>
        <v>INSERT INTO COTACAO (blt_id, pap_id, cot_prc_comum, cot_prc_min, cot_prc_max, cot_prc_med, cot_prc_mediana) VALUES (34, 7, 48, 48, 72, 57, 54);</v>
      </c>
    </row>
    <row r="1281" spans="1:10" x14ac:dyDescent="0.3">
      <c r="A1281">
        <v>1280</v>
      </c>
      <c r="B1281">
        <v>34</v>
      </c>
      <c r="C1281">
        <v>8</v>
      </c>
      <c r="D1281">
        <f>IF('Boletins Nuppa Site'!F1281&lt;&gt;0,'Boletins Nuppa Site'!F1281,"NULL")</f>
        <v>72</v>
      </c>
      <c r="E1281">
        <f>IF('Boletins Nuppa Site'!G1281&lt;&gt;0,'Boletins Nuppa Site'!G1281,"NULL")</f>
        <v>60</v>
      </c>
      <c r="F1281">
        <f>IF('Boletins Nuppa Site'!H1281&lt;&gt;0,'Boletins Nuppa Site'!H1281,"NULL")</f>
        <v>72</v>
      </c>
      <c r="G1281" t="str">
        <f>IF('Boletins Nuppa Site'!I1281&lt;&gt;0,'Boletins Nuppa Site'!I1281,"NULL")</f>
        <v>67.2</v>
      </c>
      <c r="H1281">
        <f>IF('Boletins Nuppa Site'!J1281&lt;&gt;0,'Boletins Nuppa Site'!J1281,"NULL")</f>
        <v>72</v>
      </c>
      <c r="J1281" t="str">
        <f t="shared" si="19"/>
        <v>INSERT INTO COTACAO (blt_id, pap_id, cot_prc_comum, cot_prc_min, cot_prc_max, cot_prc_med, cot_prc_mediana) VALUES (34, 8, 72, 60, 72, 67.2, 72);</v>
      </c>
    </row>
    <row r="1282" spans="1:10" x14ac:dyDescent="0.3">
      <c r="A1282">
        <v>1281</v>
      </c>
      <c r="B1282">
        <v>34</v>
      </c>
      <c r="C1282">
        <v>9</v>
      </c>
      <c r="D1282">
        <f>IF('Boletins Nuppa Site'!F1282&lt;&gt;0,'Boletins Nuppa Site'!F1282,"NULL")</f>
        <v>24</v>
      </c>
      <c r="E1282">
        <f>IF('Boletins Nuppa Site'!G1282&lt;&gt;0,'Boletins Nuppa Site'!G1282,"NULL")</f>
        <v>18</v>
      </c>
      <c r="F1282">
        <f>IF('Boletins Nuppa Site'!H1282&lt;&gt;0,'Boletins Nuppa Site'!H1282,"NULL")</f>
        <v>24</v>
      </c>
      <c r="G1282" t="str">
        <f>IF('Boletins Nuppa Site'!I1282&lt;&gt;0,'Boletins Nuppa Site'!I1282,"NULL")</f>
        <v>21.6</v>
      </c>
      <c r="H1282">
        <f>IF('Boletins Nuppa Site'!J1282&lt;&gt;0,'Boletins Nuppa Site'!J1282,"NULL")</f>
        <v>24</v>
      </c>
      <c r="J1282" t="str">
        <f t="shared" si="19"/>
        <v>INSERT INTO COTACAO (blt_id, pap_id, cot_prc_comum, cot_prc_min, cot_prc_max, cot_prc_med, cot_prc_mediana) VALUES (34, 9, 24, 18, 24, 21.6, 24);</v>
      </c>
    </row>
    <row r="1283" spans="1:10" x14ac:dyDescent="0.3">
      <c r="A1283">
        <v>1282</v>
      </c>
      <c r="B1283">
        <v>34</v>
      </c>
      <c r="C1283">
        <v>10</v>
      </c>
      <c r="D1283">
        <f>IF('Boletins Nuppa Site'!F1283&lt;&gt;0,'Boletins Nuppa Site'!F1283,"NULL")</f>
        <v>60</v>
      </c>
      <c r="E1283">
        <f>IF('Boletins Nuppa Site'!G1283&lt;&gt;0,'Boletins Nuppa Site'!G1283,"NULL")</f>
        <v>60</v>
      </c>
      <c r="F1283">
        <f>IF('Boletins Nuppa Site'!H1283&lt;&gt;0,'Boletins Nuppa Site'!H1283,"NULL")</f>
        <v>72</v>
      </c>
      <c r="G1283" t="str">
        <f>IF('Boletins Nuppa Site'!I1283&lt;&gt;0,'Boletins Nuppa Site'!I1283,"NULL")</f>
        <v>65.5</v>
      </c>
      <c r="H1283">
        <f>IF('Boletins Nuppa Site'!J1283&lt;&gt;0,'Boletins Nuppa Site'!J1283,"NULL")</f>
        <v>65</v>
      </c>
      <c r="J1283" t="str">
        <f t="shared" ref="J1283:J1346" si="20">"INSERT INTO COTACAO (blt_id, pap_id, cot_prc_comum, cot_prc_min, cot_prc_max, cot_prc_med, cot_prc_mediana) VALUES ("&amp;B1283&amp;", "&amp;C1283&amp;", "&amp;D1283&amp;", "&amp;E1283&amp;", "&amp;F1283&amp;", "&amp;G1283&amp;", "&amp;H1283&amp;");"</f>
        <v>INSERT INTO COTACAO (blt_id, pap_id, cot_prc_comum, cot_prc_min, cot_prc_max, cot_prc_med, cot_prc_mediana) VALUES (34, 10, 60, 60, 72, 65.5, 65);</v>
      </c>
    </row>
    <row r="1284" spans="1:10" x14ac:dyDescent="0.3">
      <c r="A1284">
        <v>1283</v>
      </c>
      <c r="B1284">
        <v>34</v>
      </c>
      <c r="C1284">
        <v>11</v>
      </c>
      <c r="D1284">
        <f>IF('Boletins Nuppa Site'!F1284&lt;&gt;0,'Boletins Nuppa Site'!F1284,"NULL")</f>
        <v>24</v>
      </c>
      <c r="E1284">
        <f>IF('Boletins Nuppa Site'!G1284&lt;&gt;0,'Boletins Nuppa Site'!G1284,"NULL")</f>
        <v>15</v>
      </c>
      <c r="F1284">
        <f>IF('Boletins Nuppa Site'!H1284&lt;&gt;0,'Boletins Nuppa Site'!H1284,"NULL")</f>
        <v>24</v>
      </c>
      <c r="G1284">
        <f>IF('Boletins Nuppa Site'!I1284&lt;&gt;0,'Boletins Nuppa Site'!I1284,"NULL")</f>
        <v>21</v>
      </c>
      <c r="H1284">
        <f>IF('Boletins Nuppa Site'!J1284&lt;&gt;0,'Boletins Nuppa Site'!J1284,"NULL")</f>
        <v>24</v>
      </c>
      <c r="J1284" t="str">
        <f t="shared" si="20"/>
        <v>INSERT INTO COTACAO (blt_id, pap_id, cot_prc_comum, cot_prc_min, cot_prc_max, cot_prc_med, cot_prc_mediana) VALUES (34, 11, 24, 15, 24, 21, 24);</v>
      </c>
    </row>
    <row r="1285" spans="1:10" x14ac:dyDescent="0.3">
      <c r="A1285">
        <v>1284</v>
      </c>
      <c r="B1285">
        <v>34</v>
      </c>
      <c r="C1285">
        <v>12</v>
      </c>
      <c r="D1285">
        <f>IF('Boletins Nuppa Site'!F1285&lt;&gt;0,'Boletins Nuppa Site'!F1285,"NULL")</f>
        <v>48</v>
      </c>
      <c r="E1285">
        <f>IF('Boletins Nuppa Site'!G1285&lt;&gt;0,'Boletins Nuppa Site'!G1285,"NULL")</f>
        <v>48</v>
      </c>
      <c r="F1285">
        <f>IF('Boletins Nuppa Site'!H1285&lt;&gt;0,'Boletins Nuppa Site'!H1285,"NULL")</f>
        <v>72</v>
      </c>
      <c r="G1285">
        <f>IF('Boletins Nuppa Site'!I1285&lt;&gt;0,'Boletins Nuppa Site'!I1285,"NULL")</f>
        <v>57</v>
      </c>
      <c r="H1285">
        <f>IF('Boletins Nuppa Site'!J1285&lt;&gt;0,'Boletins Nuppa Site'!J1285,"NULL")</f>
        <v>54</v>
      </c>
      <c r="J1285" t="str">
        <f t="shared" si="20"/>
        <v>INSERT INTO COTACAO (blt_id, pap_id, cot_prc_comum, cot_prc_min, cot_prc_max, cot_prc_med, cot_prc_mediana) VALUES (34, 12, 48, 48, 72, 57, 54);</v>
      </c>
    </row>
    <row r="1286" spans="1:10" x14ac:dyDescent="0.3">
      <c r="A1286">
        <v>1285</v>
      </c>
      <c r="B1286">
        <v>34</v>
      </c>
      <c r="C1286">
        <v>13</v>
      </c>
      <c r="D1286">
        <f>IF('Boletins Nuppa Site'!F1286&lt;&gt;0,'Boletins Nuppa Site'!F1286,"NULL")</f>
        <v>48</v>
      </c>
      <c r="E1286">
        <f>IF('Boletins Nuppa Site'!G1286&lt;&gt;0,'Boletins Nuppa Site'!G1286,"NULL")</f>
        <v>36</v>
      </c>
      <c r="F1286">
        <f>IF('Boletins Nuppa Site'!H1286&lt;&gt;0,'Boletins Nuppa Site'!H1286,"NULL")</f>
        <v>60</v>
      </c>
      <c r="G1286" t="str">
        <f>IF('Boletins Nuppa Site'!I1286&lt;&gt;0,'Boletins Nuppa Site'!I1286,"NULL")</f>
        <v>50.4</v>
      </c>
      <c r="H1286">
        <f>IF('Boletins Nuppa Site'!J1286&lt;&gt;0,'Boletins Nuppa Site'!J1286,"NULL")</f>
        <v>48</v>
      </c>
      <c r="J1286" t="str">
        <f t="shared" si="20"/>
        <v>INSERT INTO COTACAO (blt_id, pap_id, cot_prc_comum, cot_prc_min, cot_prc_max, cot_prc_med, cot_prc_mediana) VALUES (34, 13, 48, 36, 60, 50.4, 48);</v>
      </c>
    </row>
    <row r="1287" spans="1:10" x14ac:dyDescent="0.3">
      <c r="A1287">
        <v>1286</v>
      </c>
      <c r="B1287">
        <v>34</v>
      </c>
      <c r="C1287">
        <v>14</v>
      </c>
      <c r="D1287">
        <f>IF('Boletins Nuppa Site'!F1287&lt;&gt;0,'Boletins Nuppa Site'!F1287,"NULL")</f>
        <v>60</v>
      </c>
      <c r="E1287">
        <f>IF('Boletins Nuppa Site'!G1287&lt;&gt;0,'Boletins Nuppa Site'!G1287,"NULL")</f>
        <v>48</v>
      </c>
      <c r="F1287">
        <f>IF('Boletins Nuppa Site'!H1287&lt;&gt;0,'Boletins Nuppa Site'!H1287,"NULL")</f>
        <v>60</v>
      </c>
      <c r="G1287">
        <f>IF('Boletins Nuppa Site'!I1287&lt;&gt;0,'Boletins Nuppa Site'!I1287,"NULL")</f>
        <v>54</v>
      </c>
      <c r="H1287">
        <f>IF('Boletins Nuppa Site'!J1287&lt;&gt;0,'Boletins Nuppa Site'!J1287,"NULL")</f>
        <v>54</v>
      </c>
      <c r="J1287" t="str">
        <f t="shared" si="20"/>
        <v>INSERT INTO COTACAO (blt_id, pap_id, cot_prc_comum, cot_prc_min, cot_prc_max, cot_prc_med, cot_prc_mediana) VALUES (34, 14, 60, 48, 60, 54, 54);</v>
      </c>
    </row>
    <row r="1288" spans="1:10" x14ac:dyDescent="0.3">
      <c r="A1288">
        <v>1287</v>
      </c>
      <c r="B1288">
        <v>34</v>
      </c>
      <c r="C1288">
        <v>15</v>
      </c>
      <c r="D1288">
        <f>IF('Boletins Nuppa Site'!F1288&lt;&gt;0,'Boletins Nuppa Site'!F1288,"NULL")</f>
        <v>36</v>
      </c>
      <c r="E1288">
        <f>IF('Boletins Nuppa Site'!G1288&lt;&gt;0,'Boletins Nuppa Site'!G1288,"NULL")</f>
        <v>20</v>
      </c>
      <c r="F1288">
        <f>IF('Boletins Nuppa Site'!H1288&lt;&gt;0,'Boletins Nuppa Site'!H1288,"NULL")</f>
        <v>36</v>
      </c>
      <c r="G1288" t="str">
        <f>IF('Boletins Nuppa Site'!I1288&lt;&gt;0,'Boletins Nuppa Site'!I1288,"NULL")</f>
        <v>31.6</v>
      </c>
      <c r="H1288">
        <f>IF('Boletins Nuppa Site'!J1288&lt;&gt;0,'Boletins Nuppa Site'!J1288,"NULL")</f>
        <v>36</v>
      </c>
      <c r="J1288" t="str">
        <f t="shared" si="20"/>
        <v>INSERT INTO COTACAO (blt_id, pap_id, cot_prc_comum, cot_prc_min, cot_prc_max, cot_prc_med, cot_prc_mediana) VALUES (34, 15, 36, 20, 36, 31.6, 36);</v>
      </c>
    </row>
    <row r="1289" spans="1:10" x14ac:dyDescent="0.3">
      <c r="A1289">
        <v>1288</v>
      </c>
      <c r="B1289">
        <v>34</v>
      </c>
      <c r="C1289">
        <v>16</v>
      </c>
      <c r="D1289">
        <f>IF('Boletins Nuppa Site'!F1289&lt;&gt;0,'Boletins Nuppa Site'!F1289,"NULL")</f>
        <v>48</v>
      </c>
      <c r="E1289">
        <f>IF('Boletins Nuppa Site'!G1289&lt;&gt;0,'Boletins Nuppa Site'!G1289,"NULL")</f>
        <v>48</v>
      </c>
      <c r="F1289">
        <f>IF('Boletins Nuppa Site'!H1289&lt;&gt;0,'Boletins Nuppa Site'!H1289,"NULL")</f>
        <v>54</v>
      </c>
      <c r="G1289" t="str">
        <f>IF('Boletins Nuppa Site'!I1289&lt;&gt;0,'Boletins Nuppa Site'!I1289,"NULL")</f>
        <v>49.2</v>
      </c>
      <c r="H1289">
        <f>IF('Boletins Nuppa Site'!J1289&lt;&gt;0,'Boletins Nuppa Site'!J1289,"NULL")</f>
        <v>48</v>
      </c>
      <c r="J1289" t="str">
        <f t="shared" si="20"/>
        <v>INSERT INTO COTACAO (blt_id, pap_id, cot_prc_comum, cot_prc_min, cot_prc_max, cot_prc_med, cot_prc_mediana) VALUES (34, 16, 48, 48, 54, 49.2, 48);</v>
      </c>
    </row>
    <row r="1290" spans="1:10" x14ac:dyDescent="0.3">
      <c r="A1290">
        <v>1289</v>
      </c>
      <c r="B1290">
        <v>34</v>
      </c>
      <c r="C1290">
        <v>17</v>
      </c>
      <c r="D1290">
        <f>IF('Boletins Nuppa Site'!F1290&lt;&gt;0,'Boletins Nuppa Site'!F1290,"NULL")</f>
        <v>5</v>
      </c>
      <c r="E1290">
        <f>IF('Boletins Nuppa Site'!G1290&lt;&gt;0,'Boletins Nuppa Site'!G1290,"NULL")</f>
        <v>5</v>
      </c>
      <c r="F1290">
        <f>IF('Boletins Nuppa Site'!H1290&lt;&gt;0,'Boletins Nuppa Site'!H1290,"NULL")</f>
        <v>5</v>
      </c>
      <c r="G1290">
        <f>IF('Boletins Nuppa Site'!I1290&lt;&gt;0,'Boletins Nuppa Site'!I1290,"NULL")</f>
        <v>5</v>
      </c>
      <c r="H1290">
        <f>IF('Boletins Nuppa Site'!J1290&lt;&gt;0,'Boletins Nuppa Site'!J1290,"NULL")</f>
        <v>5</v>
      </c>
      <c r="J1290" t="str">
        <f t="shared" si="20"/>
        <v>INSERT INTO COTACAO (blt_id, pap_id, cot_prc_comum, cot_prc_min, cot_prc_max, cot_prc_med, cot_prc_mediana) VALUES (34, 17, 5, 5, 5, 5, 5);</v>
      </c>
    </row>
    <row r="1291" spans="1:10" x14ac:dyDescent="0.3">
      <c r="A1291">
        <v>1290</v>
      </c>
      <c r="B1291">
        <v>34</v>
      </c>
      <c r="C1291">
        <v>18</v>
      </c>
      <c r="D1291">
        <f>IF('Boletins Nuppa Site'!F1291&lt;&gt;0,'Boletins Nuppa Site'!F1291,"NULL")</f>
        <v>10</v>
      </c>
      <c r="E1291">
        <f>IF('Boletins Nuppa Site'!G1291&lt;&gt;0,'Boletins Nuppa Site'!G1291,"NULL")</f>
        <v>10</v>
      </c>
      <c r="F1291">
        <f>IF('Boletins Nuppa Site'!H1291&lt;&gt;0,'Boletins Nuppa Site'!H1291,"NULL")</f>
        <v>12</v>
      </c>
      <c r="G1291" t="str">
        <f>IF('Boletins Nuppa Site'!I1291&lt;&gt;0,'Boletins Nuppa Site'!I1291,"NULL")</f>
        <v>10.4</v>
      </c>
      <c r="H1291">
        <f>IF('Boletins Nuppa Site'!J1291&lt;&gt;0,'Boletins Nuppa Site'!J1291,"NULL")</f>
        <v>10</v>
      </c>
      <c r="J1291" t="str">
        <f t="shared" si="20"/>
        <v>INSERT INTO COTACAO (blt_id, pap_id, cot_prc_comum, cot_prc_min, cot_prc_max, cot_prc_med, cot_prc_mediana) VALUES (34, 18, 10, 10, 12, 10.4, 10);</v>
      </c>
    </row>
    <row r="1292" spans="1:10" x14ac:dyDescent="0.3">
      <c r="A1292">
        <v>1291</v>
      </c>
      <c r="B1292">
        <v>34</v>
      </c>
      <c r="C1292">
        <v>19</v>
      </c>
      <c r="D1292">
        <f>IF('Boletins Nuppa Site'!F1292&lt;&gt;0,'Boletins Nuppa Site'!F1292,"NULL")</f>
        <v>30</v>
      </c>
      <c r="E1292">
        <f>IF('Boletins Nuppa Site'!G1292&lt;&gt;0,'Boletins Nuppa Site'!G1292,"NULL")</f>
        <v>15</v>
      </c>
      <c r="F1292">
        <f>IF('Boletins Nuppa Site'!H1292&lt;&gt;0,'Boletins Nuppa Site'!H1292,"NULL")</f>
        <v>30</v>
      </c>
      <c r="G1292">
        <f>IF('Boletins Nuppa Site'!I1292&lt;&gt;0,'Boletins Nuppa Site'!I1292,"NULL")</f>
        <v>25</v>
      </c>
      <c r="H1292">
        <f>IF('Boletins Nuppa Site'!J1292&lt;&gt;0,'Boletins Nuppa Site'!J1292,"NULL")</f>
        <v>30</v>
      </c>
      <c r="J1292" t="str">
        <f t="shared" si="20"/>
        <v>INSERT INTO COTACAO (blt_id, pap_id, cot_prc_comum, cot_prc_min, cot_prc_max, cot_prc_med, cot_prc_mediana) VALUES (34, 19, 30, 15, 30, 25, 30);</v>
      </c>
    </row>
    <row r="1293" spans="1:10" x14ac:dyDescent="0.3">
      <c r="A1293">
        <v>1292</v>
      </c>
      <c r="B1293">
        <v>34</v>
      </c>
      <c r="C1293">
        <v>20</v>
      </c>
      <c r="D1293" t="str">
        <f>IF('Boletins Nuppa Site'!F1293&lt;&gt;0,'Boletins Nuppa Site'!F1293,"NULL")</f>
        <v>NULL</v>
      </c>
      <c r="E1293">
        <f>IF('Boletins Nuppa Site'!G1293&lt;&gt;0,'Boletins Nuppa Site'!G1293,"NULL")</f>
        <v>70</v>
      </c>
      <c r="F1293">
        <f>IF('Boletins Nuppa Site'!H1293&lt;&gt;0,'Boletins Nuppa Site'!H1293,"NULL")</f>
        <v>80</v>
      </c>
      <c r="G1293">
        <f>IF('Boletins Nuppa Site'!I1293&lt;&gt;0,'Boletins Nuppa Site'!I1293,"NULL")</f>
        <v>75</v>
      </c>
      <c r="H1293">
        <f>IF('Boletins Nuppa Site'!J1293&lt;&gt;0,'Boletins Nuppa Site'!J1293,"NULL")</f>
        <v>75</v>
      </c>
      <c r="J1293" t="str">
        <f t="shared" si="20"/>
        <v>INSERT INTO COTACAO (blt_id, pap_id, cot_prc_comum, cot_prc_min, cot_prc_max, cot_prc_med, cot_prc_mediana) VALUES (34, 20, NULL, 70, 80, 75, 75);</v>
      </c>
    </row>
    <row r="1294" spans="1:10" x14ac:dyDescent="0.3">
      <c r="A1294">
        <v>1293</v>
      </c>
      <c r="B1294">
        <v>34</v>
      </c>
      <c r="C1294">
        <v>21</v>
      </c>
      <c r="D1294">
        <f>IF('Boletins Nuppa Site'!F1294&lt;&gt;0,'Boletins Nuppa Site'!F1294,"NULL")</f>
        <v>40</v>
      </c>
      <c r="E1294">
        <f>IF('Boletins Nuppa Site'!G1294&lt;&gt;0,'Boletins Nuppa Site'!G1294,"NULL")</f>
        <v>40</v>
      </c>
      <c r="F1294">
        <f>IF('Boletins Nuppa Site'!H1294&lt;&gt;0,'Boletins Nuppa Site'!H1294,"NULL")</f>
        <v>50</v>
      </c>
      <c r="G1294">
        <f>IF('Boletins Nuppa Site'!I1294&lt;&gt;0,'Boletins Nuppa Site'!I1294,"NULL")</f>
        <v>45</v>
      </c>
      <c r="H1294">
        <f>IF('Boletins Nuppa Site'!J1294&lt;&gt;0,'Boletins Nuppa Site'!J1294,"NULL")</f>
        <v>45</v>
      </c>
      <c r="J1294" t="str">
        <f t="shared" si="20"/>
        <v>INSERT INTO COTACAO (blt_id, pap_id, cot_prc_comum, cot_prc_min, cot_prc_max, cot_prc_med, cot_prc_mediana) VALUES (34, 21, 40, 40, 50, 45, 45);</v>
      </c>
    </row>
    <row r="1295" spans="1:10" x14ac:dyDescent="0.3">
      <c r="A1295">
        <v>1294</v>
      </c>
      <c r="B1295">
        <v>34</v>
      </c>
      <c r="C1295">
        <v>22</v>
      </c>
      <c r="D1295">
        <f>IF('Boletins Nuppa Site'!F1295&lt;&gt;0,'Boletins Nuppa Site'!F1295,"NULL")</f>
        <v>70</v>
      </c>
      <c r="E1295">
        <f>IF('Boletins Nuppa Site'!G1295&lt;&gt;0,'Boletins Nuppa Site'!G1295,"NULL")</f>
        <v>45</v>
      </c>
      <c r="F1295">
        <f>IF('Boletins Nuppa Site'!H1295&lt;&gt;0,'Boletins Nuppa Site'!H1295,"NULL")</f>
        <v>70</v>
      </c>
      <c r="G1295" t="str">
        <f>IF('Boletins Nuppa Site'!I1295&lt;&gt;0,'Boletins Nuppa Site'!I1295,"NULL")</f>
        <v>58.33</v>
      </c>
      <c r="H1295" t="str">
        <f>IF('Boletins Nuppa Site'!J1295&lt;&gt;0,'Boletins Nuppa Site'!J1295,"NULL")</f>
        <v>57.5</v>
      </c>
      <c r="J1295" t="str">
        <f t="shared" si="20"/>
        <v>INSERT INTO COTACAO (blt_id, pap_id, cot_prc_comum, cot_prc_min, cot_prc_max, cot_prc_med, cot_prc_mediana) VALUES (34, 22, 70, 45, 70, 58.33, 57.5);</v>
      </c>
    </row>
    <row r="1296" spans="1:10" x14ac:dyDescent="0.3">
      <c r="A1296">
        <v>1295</v>
      </c>
      <c r="B1296">
        <v>34</v>
      </c>
      <c r="C1296">
        <v>23</v>
      </c>
      <c r="D1296">
        <f>IF('Boletins Nuppa Site'!F1296&lt;&gt;0,'Boletins Nuppa Site'!F1296,"NULL")</f>
        <v>50</v>
      </c>
      <c r="E1296">
        <f>IF('Boletins Nuppa Site'!G1296&lt;&gt;0,'Boletins Nuppa Site'!G1296,"NULL")</f>
        <v>50</v>
      </c>
      <c r="F1296">
        <f>IF('Boletins Nuppa Site'!H1296&lt;&gt;0,'Boletins Nuppa Site'!H1296,"NULL")</f>
        <v>90</v>
      </c>
      <c r="G1296">
        <f>IF('Boletins Nuppa Site'!I1296&lt;&gt;0,'Boletins Nuppa Site'!I1296,"NULL")</f>
        <v>59</v>
      </c>
      <c r="H1296">
        <f>IF('Boletins Nuppa Site'!J1296&lt;&gt;0,'Boletins Nuppa Site'!J1296,"NULL")</f>
        <v>50</v>
      </c>
      <c r="J1296" t="str">
        <f t="shared" si="20"/>
        <v>INSERT INTO COTACAO (blt_id, pap_id, cot_prc_comum, cot_prc_min, cot_prc_max, cot_prc_med, cot_prc_mediana) VALUES (34, 23, 50, 50, 90, 59, 50);</v>
      </c>
    </row>
    <row r="1297" spans="1:10" x14ac:dyDescent="0.3">
      <c r="A1297">
        <v>1296</v>
      </c>
      <c r="B1297">
        <v>34</v>
      </c>
      <c r="C1297">
        <v>24</v>
      </c>
      <c r="D1297" t="str">
        <f>IF('Boletins Nuppa Site'!F1297&lt;&gt;0,'Boletins Nuppa Site'!F1297,"NULL")</f>
        <v>NULL</v>
      </c>
      <c r="E1297">
        <f>IF('Boletins Nuppa Site'!G1297&lt;&gt;0,'Boletins Nuppa Site'!G1297,"NULL")</f>
        <v>45</v>
      </c>
      <c r="F1297">
        <f>IF('Boletins Nuppa Site'!H1297&lt;&gt;0,'Boletins Nuppa Site'!H1297,"NULL")</f>
        <v>100</v>
      </c>
      <c r="G1297" t="str">
        <f>IF('Boletins Nuppa Site'!I1297&lt;&gt;0,'Boletins Nuppa Site'!I1297,"NULL")</f>
        <v>78.33</v>
      </c>
      <c r="H1297">
        <f>IF('Boletins Nuppa Site'!J1297&lt;&gt;0,'Boletins Nuppa Site'!J1297,"NULL")</f>
        <v>90</v>
      </c>
      <c r="J1297" t="str">
        <f t="shared" si="20"/>
        <v>INSERT INTO COTACAO (blt_id, pap_id, cot_prc_comum, cot_prc_min, cot_prc_max, cot_prc_med, cot_prc_mediana) VALUES (34, 24, NULL, 45, 100, 78.33, 90);</v>
      </c>
    </row>
    <row r="1298" spans="1:10" x14ac:dyDescent="0.3">
      <c r="A1298">
        <v>1297</v>
      </c>
      <c r="B1298">
        <v>34</v>
      </c>
      <c r="C1298">
        <v>25</v>
      </c>
      <c r="D1298">
        <f>IF('Boletins Nuppa Site'!F1298&lt;&gt;0,'Boletins Nuppa Site'!F1298,"NULL")</f>
        <v>60</v>
      </c>
      <c r="E1298">
        <f>IF('Boletins Nuppa Site'!G1298&lt;&gt;0,'Boletins Nuppa Site'!G1298,"NULL")</f>
        <v>60</v>
      </c>
      <c r="F1298">
        <f>IF('Boletins Nuppa Site'!H1298&lt;&gt;0,'Boletins Nuppa Site'!H1298,"NULL")</f>
        <v>70</v>
      </c>
      <c r="G1298" t="str">
        <f>IF('Boletins Nuppa Site'!I1298&lt;&gt;0,'Boletins Nuppa Site'!I1298,"NULL")</f>
        <v>64.17</v>
      </c>
      <c r="H1298" t="str">
        <f>IF('Boletins Nuppa Site'!J1298&lt;&gt;0,'Boletins Nuppa Site'!J1298,"NULL")</f>
        <v>62.5</v>
      </c>
      <c r="J1298" t="str">
        <f t="shared" si="20"/>
        <v>INSERT INTO COTACAO (blt_id, pap_id, cot_prc_comum, cot_prc_min, cot_prc_max, cot_prc_med, cot_prc_mediana) VALUES (34, 25, 60, 60, 70, 64.17, 62.5);</v>
      </c>
    </row>
    <row r="1299" spans="1:10" x14ac:dyDescent="0.3">
      <c r="A1299">
        <v>1298</v>
      </c>
      <c r="B1299">
        <v>34</v>
      </c>
      <c r="C1299">
        <v>26</v>
      </c>
      <c r="D1299">
        <f>IF('Boletins Nuppa Site'!F1299&lt;&gt;0,'Boletins Nuppa Site'!F1299,"NULL")</f>
        <v>55</v>
      </c>
      <c r="E1299">
        <f>IF('Boletins Nuppa Site'!G1299&lt;&gt;0,'Boletins Nuppa Site'!G1299,"NULL")</f>
        <v>40</v>
      </c>
      <c r="F1299">
        <f>IF('Boletins Nuppa Site'!H1299&lt;&gt;0,'Boletins Nuppa Site'!H1299,"NULL")</f>
        <v>60</v>
      </c>
      <c r="G1299" t="str">
        <f>IF('Boletins Nuppa Site'!I1299&lt;&gt;0,'Boletins Nuppa Site'!I1299,"NULL")</f>
        <v>50.83</v>
      </c>
      <c r="H1299" t="str">
        <f>IF('Boletins Nuppa Site'!J1299&lt;&gt;0,'Boletins Nuppa Site'!J1299,"NULL")</f>
        <v>52.5</v>
      </c>
      <c r="J1299" t="str">
        <f t="shared" si="20"/>
        <v>INSERT INTO COTACAO (blt_id, pap_id, cot_prc_comum, cot_prc_min, cot_prc_max, cot_prc_med, cot_prc_mediana) VALUES (34, 26, 55, 40, 60, 50.83, 52.5);</v>
      </c>
    </row>
    <row r="1300" spans="1:10" x14ac:dyDescent="0.3">
      <c r="A1300">
        <v>1299</v>
      </c>
      <c r="B1300">
        <v>34</v>
      </c>
      <c r="C1300">
        <v>27</v>
      </c>
      <c r="D1300">
        <f>IF('Boletins Nuppa Site'!F1300&lt;&gt;0,'Boletins Nuppa Site'!F1300,"NULL")</f>
        <v>60</v>
      </c>
      <c r="E1300">
        <f>IF('Boletins Nuppa Site'!G1300&lt;&gt;0,'Boletins Nuppa Site'!G1300,"NULL")</f>
        <v>50</v>
      </c>
      <c r="F1300">
        <f>IF('Boletins Nuppa Site'!H1300&lt;&gt;0,'Boletins Nuppa Site'!H1300,"NULL")</f>
        <v>70</v>
      </c>
      <c r="G1300" t="str">
        <f>IF('Boletins Nuppa Site'!I1300&lt;&gt;0,'Boletins Nuppa Site'!I1300,"NULL")</f>
        <v>62.5</v>
      </c>
      <c r="H1300" t="str">
        <f>IF('Boletins Nuppa Site'!J1300&lt;&gt;0,'Boletins Nuppa Site'!J1300,"NULL")</f>
        <v>62.5</v>
      </c>
      <c r="J1300" t="str">
        <f t="shared" si="20"/>
        <v>INSERT INTO COTACAO (blt_id, pap_id, cot_prc_comum, cot_prc_min, cot_prc_max, cot_prc_med, cot_prc_mediana) VALUES (34, 27, 60, 50, 70, 62.5, 62.5);</v>
      </c>
    </row>
    <row r="1301" spans="1:10" x14ac:dyDescent="0.3">
      <c r="A1301">
        <v>1300</v>
      </c>
      <c r="B1301">
        <v>34</v>
      </c>
      <c r="C1301">
        <v>28</v>
      </c>
      <c r="D1301">
        <f>IF('Boletins Nuppa Site'!F1301&lt;&gt;0,'Boletins Nuppa Site'!F1301,"NULL")</f>
        <v>100</v>
      </c>
      <c r="E1301">
        <f>IF('Boletins Nuppa Site'!G1301&lt;&gt;0,'Boletins Nuppa Site'!G1301,"NULL")</f>
        <v>80</v>
      </c>
      <c r="F1301">
        <f>IF('Boletins Nuppa Site'!H1301&lt;&gt;0,'Boletins Nuppa Site'!H1301,"NULL")</f>
        <v>120</v>
      </c>
      <c r="G1301">
        <f>IF('Boletins Nuppa Site'!I1301&lt;&gt;0,'Boletins Nuppa Site'!I1301,"NULL")</f>
        <v>98</v>
      </c>
      <c r="H1301">
        <f>IF('Boletins Nuppa Site'!J1301&lt;&gt;0,'Boletins Nuppa Site'!J1301,"NULL")</f>
        <v>100</v>
      </c>
      <c r="J1301" t="str">
        <f t="shared" si="20"/>
        <v>INSERT INTO COTACAO (blt_id, pap_id, cot_prc_comum, cot_prc_min, cot_prc_max, cot_prc_med, cot_prc_mediana) VALUES (34, 28, 100, 80, 120, 98, 100);</v>
      </c>
    </row>
    <row r="1302" spans="1:10" x14ac:dyDescent="0.3">
      <c r="A1302">
        <v>1301</v>
      </c>
      <c r="B1302">
        <v>34</v>
      </c>
      <c r="C1302">
        <v>29</v>
      </c>
      <c r="D1302" t="str">
        <f>IF('Boletins Nuppa Site'!F1302&lt;&gt;0,'Boletins Nuppa Site'!F1302,"NULL")</f>
        <v>NULL</v>
      </c>
      <c r="E1302">
        <f>IF('Boletins Nuppa Site'!G1302&lt;&gt;0,'Boletins Nuppa Site'!G1302,"NULL")</f>
        <v>40</v>
      </c>
      <c r="F1302">
        <f>IF('Boletins Nuppa Site'!H1302&lt;&gt;0,'Boletins Nuppa Site'!H1302,"NULL")</f>
        <v>50</v>
      </c>
      <c r="G1302">
        <f>IF('Boletins Nuppa Site'!I1302&lt;&gt;0,'Boletins Nuppa Site'!I1302,"NULL")</f>
        <v>45</v>
      </c>
      <c r="H1302">
        <f>IF('Boletins Nuppa Site'!J1302&lt;&gt;0,'Boletins Nuppa Site'!J1302,"NULL")</f>
        <v>45</v>
      </c>
      <c r="J1302" t="str">
        <f t="shared" si="20"/>
        <v>INSERT INTO COTACAO (blt_id, pap_id, cot_prc_comum, cot_prc_min, cot_prc_max, cot_prc_med, cot_prc_mediana) VALUES (34, 29, NULL, 40, 50, 45, 45);</v>
      </c>
    </row>
    <row r="1303" spans="1:10" x14ac:dyDescent="0.3">
      <c r="A1303">
        <v>1302</v>
      </c>
      <c r="B1303">
        <v>34</v>
      </c>
      <c r="C1303">
        <v>30</v>
      </c>
      <c r="D1303">
        <f>IF('Boletins Nuppa Site'!F1303&lt;&gt;0,'Boletins Nuppa Site'!F1303,"NULL")</f>
        <v>100</v>
      </c>
      <c r="E1303">
        <f>IF('Boletins Nuppa Site'!G1303&lt;&gt;0,'Boletins Nuppa Site'!G1303,"NULL")</f>
        <v>90</v>
      </c>
      <c r="F1303">
        <f>IF('Boletins Nuppa Site'!H1303&lt;&gt;0,'Boletins Nuppa Site'!H1303,"NULL")</f>
        <v>100</v>
      </c>
      <c r="G1303" t="str">
        <f>IF('Boletins Nuppa Site'!I1303&lt;&gt;0,'Boletins Nuppa Site'!I1303,"NULL")</f>
        <v>96.67</v>
      </c>
      <c r="H1303">
        <f>IF('Boletins Nuppa Site'!J1303&lt;&gt;0,'Boletins Nuppa Site'!J1303,"NULL")</f>
        <v>100</v>
      </c>
      <c r="J1303" t="str">
        <f t="shared" si="20"/>
        <v>INSERT INTO COTACAO (blt_id, pap_id, cot_prc_comum, cot_prc_min, cot_prc_max, cot_prc_med, cot_prc_mediana) VALUES (34, 30, 100, 90, 100, 96.67, 100);</v>
      </c>
    </row>
    <row r="1304" spans="1:10" x14ac:dyDescent="0.3">
      <c r="A1304">
        <v>1303</v>
      </c>
      <c r="B1304">
        <v>34</v>
      </c>
      <c r="C1304">
        <v>31</v>
      </c>
      <c r="D1304">
        <f>IF('Boletins Nuppa Site'!F1304&lt;&gt;0,'Boletins Nuppa Site'!F1304,"NULL")</f>
        <v>140</v>
      </c>
      <c r="E1304">
        <f>IF('Boletins Nuppa Site'!G1304&lt;&gt;0,'Boletins Nuppa Site'!G1304,"NULL")</f>
        <v>80</v>
      </c>
      <c r="F1304">
        <f>IF('Boletins Nuppa Site'!H1304&lt;&gt;0,'Boletins Nuppa Site'!H1304,"NULL")</f>
        <v>140</v>
      </c>
      <c r="G1304" t="str">
        <f>IF('Boletins Nuppa Site'!I1304&lt;&gt;0,'Boletins Nuppa Site'!I1304,"NULL")</f>
        <v>121.67</v>
      </c>
      <c r="H1304">
        <f>IF('Boletins Nuppa Site'!J1304&lt;&gt;0,'Boletins Nuppa Site'!J1304,"NULL")</f>
        <v>135</v>
      </c>
      <c r="J1304" t="str">
        <f t="shared" si="20"/>
        <v>INSERT INTO COTACAO (blt_id, pap_id, cot_prc_comum, cot_prc_min, cot_prc_max, cot_prc_med, cot_prc_mediana) VALUES (34, 31, 140, 80, 140, 121.67, 135);</v>
      </c>
    </row>
    <row r="1305" spans="1:10" x14ac:dyDescent="0.3">
      <c r="A1305">
        <v>1304</v>
      </c>
      <c r="B1305">
        <v>34</v>
      </c>
      <c r="C1305">
        <v>32</v>
      </c>
      <c r="D1305">
        <f>IF('Boletins Nuppa Site'!F1305&lt;&gt;0,'Boletins Nuppa Site'!F1305,"NULL")</f>
        <v>50</v>
      </c>
      <c r="E1305">
        <f>IF('Boletins Nuppa Site'!G1305&lt;&gt;0,'Boletins Nuppa Site'!G1305,"NULL")</f>
        <v>50</v>
      </c>
      <c r="F1305">
        <f>IF('Boletins Nuppa Site'!H1305&lt;&gt;0,'Boletins Nuppa Site'!H1305,"NULL")</f>
        <v>80</v>
      </c>
      <c r="G1305" t="str">
        <f>IF('Boletins Nuppa Site'!I1305&lt;&gt;0,'Boletins Nuppa Site'!I1305,"NULL")</f>
        <v>55.83</v>
      </c>
      <c r="H1305">
        <f>IF('Boletins Nuppa Site'!J1305&lt;&gt;0,'Boletins Nuppa Site'!J1305,"NULL")</f>
        <v>50</v>
      </c>
      <c r="J1305" t="str">
        <f t="shared" si="20"/>
        <v>INSERT INTO COTACAO (blt_id, pap_id, cot_prc_comum, cot_prc_min, cot_prc_max, cot_prc_med, cot_prc_mediana) VALUES (34, 32, 50, 50, 80, 55.83, 50);</v>
      </c>
    </row>
    <row r="1306" spans="1:10" x14ac:dyDescent="0.3">
      <c r="A1306">
        <v>1305</v>
      </c>
      <c r="B1306">
        <v>34</v>
      </c>
      <c r="C1306">
        <v>33</v>
      </c>
      <c r="D1306">
        <f>IF('Boletins Nuppa Site'!F1306&lt;&gt;0,'Boletins Nuppa Site'!F1306,"NULL")</f>
        <v>140</v>
      </c>
      <c r="E1306">
        <f>IF('Boletins Nuppa Site'!G1306&lt;&gt;0,'Boletins Nuppa Site'!G1306,"NULL")</f>
        <v>50</v>
      </c>
      <c r="F1306">
        <f>IF('Boletins Nuppa Site'!H1306&lt;&gt;0,'Boletins Nuppa Site'!H1306,"NULL")</f>
        <v>150</v>
      </c>
      <c r="G1306" t="str">
        <f>IF('Boletins Nuppa Site'!I1306&lt;&gt;0,'Boletins Nuppa Site'!I1306,"NULL")</f>
        <v>123.33</v>
      </c>
      <c r="H1306">
        <f>IF('Boletins Nuppa Site'!J1306&lt;&gt;0,'Boletins Nuppa Site'!J1306,"NULL")</f>
        <v>135</v>
      </c>
      <c r="J1306" t="str">
        <f t="shared" si="20"/>
        <v>INSERT INTO COTACAO (blt_id, pap_id, cot_prc_comum, cot_prc_min, cot_prc_max, cot_prc_med, cot_prc_mediana) VALUES (34, 33, 140, 50, 150, 123.33, 135);</v>
      </c>
    </row>
    <row r="1307" spans="1:10" x14ac:dyDescent="0.3">
      <c r="A1307">
        <v>1306</v>
      </c>
      <c r="B1307">
        <v>34</v>
      </c>
      <c r="C1307">
        <v>34</v>
      </c>
      <c r="D1307">
        <f>IF('Boletins Nuppa Site'!F1307&lt;&gt;0,'Boletins Nuppa Site'!F1307,"NULL")</f>
        <v>70</v>
      </c>
      <c r="E1307">
        <f>IF('Boletins Nuppa Site'!G1307&lt;&gt;0,'Boletins Nuppa Site'!G1307,"NULL")</f>
        <v>50</v>
      </c>
      <c r="F1307">
        <f>IF('Boletins Nuppa Site'!H1307&lt;&gt;0,'Boletins Nuppa Site'!H1307,"NULL")</f>
        <v>80</v>
      </c>
      <c r="G1307">
        <f>IF('Boletins Nuppa Site'!I1307&lt;&gt;0,'Boletins Nuppa Site'!I1307,"NULL")</f>
        <v>65</v>
      </c>
      <c r="H1307" t="str">
        <f>IF('Boletins Nuppa Site'!J1307&lt;&gt;0,'Boletins Nuppa Site'!J1307,"NULL")</f>
        <v>67.5</v>
      </c>
      <c r="J1307" t="str">
        <f t="shared" si="20"/>
        <v>INSERT INTO COTACAO (blt_id, pap_id, cot_prc_comum, cot_prc_min, cot_prc_max, cot_prc_med, cot_prc_mediana) VALUES (34, 34, 70, 50, 80, 65, 67.5);</v>
      </c>
    </row>
    <row r="1308" spans="1:10" x14ac:dyDescent="0.3">
      <c r="A1308">
        <v>1307</v>
      </c>
      <c r="B1308">
        <v>34</v>
      </c>
      <c r="C1308">
        <v>35</v>
      </c>
      <c r="D1308">
        <f>IF('Boletins Nuppa Site'!F1308&lt;&gt;0,'Boletins Nuppa Site'!F1308,"NULL")</f>
        <v>130</v>
      </c>
      <c r="E1308">
        <f>IF('Boletins Nuppa Site'!G1308&lt;&gt;0,'Boletins Nuppa Site'!G1308,"NULL")</f>
        <v>120</v>
      </c>
      <c r="F1308">
        <f>IF('Boletins Nuppa Site'!H1308&lt;&gt;0,'Boletins Nuppa Site'!H1308,"NULL")</f>
        <v>150</v>
      </c>
      <c r="G1308">
        <f>IF('Boletins Nuppa Site'!I1308&lt;&gt;0,'Boletins Nuppa Site'!I1308,"NULL")</f>
        <v>130</v>
      </c>
      <c r="H1308">
        <f>IF('Boletins Nuppa Site'!J1308&lt;&gt;0,'Boletins Nuppa Site'!J1308,"NULL")</f>
        <v>130</v>
      </c>
      <c r="J1308" t="str">
        <f t="shared" si="20"/>
        <v>INSERT INTO COTACAO (blt_id, pap_id, cot_prc_comum, cot_prc_min, cot_prc_max, cot_prc_med, cot_prc_mediana) VALUES (34, 35, 130, 120, 150, 130, 130);</v>
      </c>
    </row>
    <row r="1309" spans="1:10" x14ac:dyDescent="0.3">
      <c r="A1309">
        <v>1308</v>
      </c>
      <c r="B1309">
        <v>34</v>
      </c>
      <c r="C1309">
        <v>36</v>
      </c>
      <c r="D1309" t="str">
        <f>IF('Boletins Nuppa Site'!F1309&lt;&gt;0,'Boletins Nuppa Site'!F1309,"NULL")</f>
        <v>NULL</v>
      </c>
      <c r="E1309" t="str">
        <f>IF('Boletins Nuppa Site'!G1309&lt;&gt;0,'Boletins Nuppa Site'!G1309,"NULL")</f>
        <v>NULL</v>
      </c>
      <c r="F1309" t="str">
        <f>IF('Boletins Nuppa Site'!H1309&lt;&gt;0,'Boletins Nuppa Site'!H1309,"NULL")</f>
        <v>NULL</v>
      </c>
      <c r="G1309" t="str">
        <f>IF('Boletins Nuppa Site'!I1309&lt;&gt;0,'Boletins Nuppa Site'!I1309,"NULL")</f>
        <v>NULL</v>
      </c>
      <c r="H1309" t="str">
        <f>IF('Boletins Nuppa Site'!J1309&lt;&gt;0,'Boletins Nuppa Site'!J1309,"NULL")</f>
        <v>NULL</v>
      </c>
      <c r="J1309" t="str">
        <f t="shared" si="20"/>
        <v>INSERT INTO COTACAO (blt_id, pap_id, cot_prc_comum, cot_prc_min, cot_prc_max, cot_prc_med, cot_prc_mediana) VALUES (34, 36, NULL, NULL, NULL, NULL, NULL);</v>
      </c>
    </row>
    <row r="1310" spans="1:10" x14ac:dyDescent="0.3">
      <c r="A1310">
        <v>1309</v>
      </c>
      <c r="B1310">
        <v>34</v>
      </c>
      <c r="C1310">
        <v>37</v>
      </c>
      <c r="D1310" t="str">
        <f>IF('Boletins Nuppa Site'!F1310&lt;&gt;0,'Boletins Nuppa Site'!F1310,"NULL")</f>
        <v>NULL</v>
      </c>
      <c r="E1310" t="str">
        <f>IF('Boletins Nuppa Site'!G1310&lt;&gt;0,'Boletins Nuppa Site'!G1310,"NULL")</f>
        <v>NULL</v>
      </c>
      <c r="F1310" t="str">
        <f>IF('Boletins Nuppa Site'!H1310&lt;&gt;0,'Boletins Nuppa Site'!H1310,"NULL")</f>
        <v>NULL</v>
      </c>
      <c r="G1310" t="str">
        <f>IF('Boletins Nuppa Site'!I1310&lt;&gt;0,'Boletins Nuppa Site'!I1310,"NULL")</f>
        <v>NULL</v>
      </c>
      <c r="H1310" t="str">
        <f>IF('Boletins Nuppa Site'!J1310&lt;&gt;0,'Boletins Nuppa Site'!J1310,"NULL")</f>
        <v>NULL</v>
      </c>
      <c r="J1310" t="str">
        <f t="shared" si="20"/>
        <v>INSERT INTO COTACAO (blt_id, pap_id, cot_prc_comum, cot_prc_min, cot_prc_max, cot_prc_med, cot_prc_mediana) VALUES (34, 37, NULL, NULL, NULL, NULL, NULL);</v>
      </c>
    </row>
    <row r="1311" spans="1:10" x14ac:dyDescent="0.3">
      <c r="A1311">
        <v>1310</v>
      </c>
      <c r="B1311">
        <v>34</v>
      </c>
      <c r="C1311">
        <v>38</v>
      </c>
      <c r="D1311" t="str">
        <f>IF('Boletins Nuppa Site'!F1311&lt;&gt;0,'Boletins Nuppa Site'!F1311,"NULL")</f>
        <v>NULL</v>
      </c>
      <c r="E1311" t="str">
        <f>IF('Boletins Nuppa Site'!G1311&lt;&gt;0,'Boletins Nuppa Site'!G1311,"NULL")</f>
        <v>NULL</v>
      </c>
      <c r="F1311" t="str">
        <f>IF('Boletins Nuppa Site'!H1311&lt;&gt;0,'Boletins Nuppa Site'!H1311,"NULL")</f>
        <v>NULL</v>
      </c>
      <c r="G1311" t="str">
        <f>IF('Boletins Nuppa Site'!I1311&lt;&gt;0,'Boletins Nuppa Site'!I1311,"NULL")</f>
        <v>NULL</v>
      </c>
      <c r="H1311" t="str">
        <f>IF('Boletins Nuppa Site'!J1311&lt;&gt;0,'Boletins Nuppa Site'!J1311,"NULL")</f>
        <v>NULL</v>
      </c>
      <c r="J1311" t="str">
        <f t="shared" si="20"/>
        <v>INSERT INTO COTACAO (blt_id, pap_id, cot_prc_comum, cot_prc_min, cot_prc_max, cot_prc_med, cot_prc_mediana) VALUES (34, 38, NULL, NULL, NULL, NULL, NULL);</v>
      </c>
    </row>
    <row r="1312" spans="1:10" x14ac:dyDescent="0.3">
      <c r="A1312">
        <v>1311</v>
      </c>
      <c r="B1312">
        <v>34</v>
      </c>
      <c r="C1312">
        <v>39</v>
      </c>
      <c r="D1312" t="str">
        <f>IF('Boletins Nuppa Site'!F1312&lt;&gt;0,'Boletins Nuppa Site'!F1312,"NULL")</f>
        <v>NULL</v>
      </c>
      <c r="E1312">
        <f>IF('Boletins Nuppa Site'!G1312&lt;&gt;0,'Boletins Nuppa Site'!G1312,"NULL")</f>
        <v>50</v>
      </c>
      <c r="F1312">
        <f>IF('Boletins Nuppa Site'!H1312&lt;&gt;0,'Boletins Nuppa Site'!H1312,"NULL")</f>
        <v>50</v>
      </c>
      <c r="G1312">
        <f>IF('Boletins Nuppa Site'!I1312&lt;&gt;0,'Boletins Nuppa Site'!I1312,"NULL")</f>
        <v>50</v>
      </c>
      <c r="H1312">
        <f>IF('Boletins Nuppa Site'!J1312&lt;&gt;0,'Boletins Nuppa Site'!J1312,"NULL")</f>
        <v>50</v>
      </c>
      <c r="J1312" t="str">
        <f t="shared" si="20"/>
        <v>INSERT INTO COTACAO (blt_id, pap_id, cot_prc_comum, cot_prc_min, cot_prc_max, cot_prc_med, cot_prc_mediana) VALUES (34, 39, NULL, 50, 50, 50, 50);</v>
      </c>
    </row>
    <row r="1313" spans="1:10" x14ac:dyDescent="0.3">
      <c r="A1313">
        <v>1312</v>
      </c>
      <c r="B1313">
        <v>34</v>
      </c>
      <c r="C1313">
        <v>40</v>
      </c>
      <c r="D1313" t="str">
        <f>IF('Boletins Nuppa Site'!F1313&lt;&gt;0,'Boletins Nuppa Site'!F1313,"NULL")</f>
        <v>NULL</v>
      </c>
      <c r="E1313" t="str">
        <f>IF('Boletins Nuppa Site'!G1313&lt;&gt;0,'Boletins Nuppa Site'!G1313,"NULL")</f>
        <v>NULL</v>
      </c>
      <c r="F1313" t="str">
        <f>IF('Boletins Nuppa Site'!H1313&lt;&gt;0,'Boletins Nuppa Site'!H1313,"NULL")</f>
        <v>NULL</v>
      </c>
      <c r="G1313" t="str">
        <f>IF('Boletins Nuppa Site'!I1313&lt;&gt;0,'Boletins Nuppa Site'!I1313,"NULL")</f>
        <v>NULL</v>
      </c>
      <c r="H1313" t="str">
        <f>IF('Boletins Nuppa Site'!J1313&lt;&gt;0,'Boletins Nuppa Site'!J1313,"NULL")</f>
        <v>NULL</v>
      </c>
      <c r="J1313" t="str">
        <f t="shared" si="20"/>
        <v>INSERT INTO COTACAO (blt_id, pap_id, cot_prc_comum, cot_prc_min, cot_prc_max, cot_prc_med, cot_prc_mediana) VALUES (34, 40, NULL, NULL, NULL, NULL, NULL);</v>
      </c>
    </row>
    <row r="1314" spans="1:10" x14ac:dyDescent="0.3">
      <c r="A1314">
        <v>1313</v>
      </c>
      <c r="B1314">
        <v>35</v>
      </c>
      <c r="C1314">
        <v>1</v>
      </c>
      <c r="D1314">
        <f>IF('Boletins Nuppa Site'!F1314&lt;&gt;0,'Boletins Nuppa Site'!F1314,"NULL")</f>
        <v>36</v>
      </c>
      <c r="E1314">
        <f>IF('Boletins Nuppa Site'!G1314&lt;&gt;0,'Boletins Nuppa Site'!G1314,"NULL")</f>
        <v>30</v>
      </c>
      <c r="F1314">
        <f>IF('Boletins Nuppa Site'!H1314&lt;&gt;0,'Boletins Nuppa Site'!H1314,"NULL")</f>
        <v>48</v>
      </c>
      <c r="G1314" t="str">
        <f>IF('Boletins Nuppa Site'!I1314&lt;&gt;0,'Boletins Nuppa Site'!I1314,"NULL")</f>
        <v>39.6</v>
      </c>
      <c r="H1314">
        <f>IF('Boletins Nuppa Site'!J1314&lt;&gt;0,'Boletins Nuppa Site'!J1314,"NULL")</f>
        <v>36</v>
      </c>
      <c r="J1314" t="str">
        <f t="shared" si="20"/>
        <v>INSERT INTO COTACAO (blt_id, pap_id, cot_prc_comum, cot_prc_min, cot_prc_max, cot_prc_med, cot_prc_mediana) VALUES (35, 1, 36, 30, 48, 39.6, 36);</v>
      </c>
    </row>
    <row r="1315" spans="1:10" x14ac:dyDescent="0.3">
      <c r="A1315">
        <v>1314</v>
      </c>
      <c r="B1315">
        <v>35</v>
      </c>
      <c r="C1315">
        <v>2</v>
      </c>
      <c r="D1315">
        <f>IF('Boletins Nuppa Site'!F1315&lt;&gt;0,'Boletins Nuppa Site'!F1315,"NULL")</f>
        <v>60</v>
      </c>
      <c r="E1315">
        <f>IF('Boletins Nuppa Site'!G1315&lt;&gt;0,'Boletins Nuppa Site'!G1315,"NULL")</f>
        <v>60</v>
      </c>
      <c r="F1315">
        <f>IF('Boletins Nuppa Site'!H1315&lt;&gt;0,'Boletins Nuppa Site'!H1315,"NULL")</f>
        <v>72</v>
      </c>
      <c r="G1315">
        <f>IF('Boletins Nuppa Site'!I1315&lt;&gt;0,'Boletins Nuppa Site'!I1315,"NULL")</f>
        <v>64</v>
      </c>
      <c r="H1315">
        <f>IF('Boletins Nuppa Site'!J1315&lt;&gt;0,'Boletins Nuppa Site'!J1315,"NULL")</f>
        <v>60</v>
      </c>
      <c r="J1315" t="str">
        <f t="shared" si="20"/>
        <v>INSERT INTO COTACAO (blt_id, pap_id, cot_prc_comum, cot_prc_min, cot_prc_max, cot_prc_med, cot_prc_mediana) VALUES (35, 2, 60, 60, 72, 64, 60);</v>
      </c>
    </row>
    <row r="1316" spans="1:10" x14ac:dyDescent="0.3">
      <c r="A1316">
        <v>1315</v>
      </c>
      <c r="B1316">
        <v>35</v>
      </c>
      <c r="C1316">
        <v>3</v>
      </c>
      <c r="D1316">
        <f>IF('Boletins Nuppa Site'!F1316&lt;&gt;0,'Boletins Nuppa Site'!F1316,"NULL")</f>
        <v>30</v>
      </c>
      <c r="E1316">
        <f>IF('Boletins Nuppa Site'!G1316&lt;&gt;0,'Boletins Nuppa Site'!G1316,"NULL")</f>
        <v>25</v>
      </c>
      <c r="F1316">
        <f>IF('Boletins Nuppa Site'!H1316&lt;&gt;0,'Boletins Nuppa Site'!H1316,"NULL")</f>
        <v>36</v>
      </c>
      <c r="G1316" t="str">
        <f>IF('Boletins Nuppa Site'!I1316&lt;&gt;0,'Boletins Nuppa Site'!I1316,"NULL")</f>
        <v>30.25</v>
      </c>
      <c r="H1316">
        <f>IF('Boletins Nuppa Site'!J1316&lt;&gt;0,'Boletins Nuppa Site'!J1316,"NULL")</f>
        <v>30</v>
      </c>
      <c r="J1316" t="str">
        <f t="shared" si="20"/>
        <v>INSERT INTO COTACAO (blt_id, pap_id, cot_prc_comum, cot_prc_min, cot_prc_max, cot_prc_med, cot_prc_mediana) VALUES (35, 3, 30, 25, 36, 30.25, 30);</v>
      </c>
    </row>
    <row r="1317" spans="1:10" x14ac:dyDescent="0.3">
      <c r="A1317">
        <v>1316</v>
      </c>
      <c r="B1317">
        <v>35</v>
      </c>
      <c r="C1317">
        <v>4</v>
      </c>
      <c r="D1317">
        <f>IF('Boletins Nuppa Site'!F1317&lt;&gt;0,'Boletins Nuppa Site'!F1317,"NULL")</f>
        <v>18</v>
      </c>
      <c r="E1317">
        <f>IF('Boletins Nuppa Site'!G1317&lt;&gt;0,'Boletins Nuppa Site'!G1317,"NULL")</f>
        <v>18</v>
      </c>
      <c r="F1317">
        <f>IF('Boletins Nuppa Site'!H1317&lt;&gt;0,'Boletins Nuppa Site'!H1317,"NULL")</f>
        <v>30</v>
      </c>
      <c r="G1317" t="str">
        <f>IF('Boletins Nuppa Site'!I1317&lt;&gt;0,'Boletins Nuppa Site'!I1317,"NULL")</f>
        <v>22.5</v>
      </c>
      <c r="H1317">
        <f>IF('Boletins Nuppa Site'!J1317&lt;&gt;0,'Boletins Nuppa Site'!J1317,"NULL")</f>
        <v>21</v>
      </c>
      <c r="J1317" t="str">
        <f t="shared" si="20"/>
        <v>INSERT INTO COTACAO (blt_id, pap_id, cot_prc_comum, cot_prc_min, cot_prc_max, cot_prc_med, cot_prc_mediana) VALUES (35, 4, 18, 18, 30, 22.5, 21);</v>
      </c>
    </row>
    <row r="1318" spans="1:10" x14ac:dyDescent="0.3">
      <c r="A1318">
        <v>1317</v>
      </c>
      <c r="B1318">
        <v>35</v>
      </c>
      <c r="C1318">
        <v>5</v>
      </c>
      <c r="D1318">
        <f>IF('Boletins Nuppa Site'!F1318&lt;&gt;0,'Boletins Nuppa Site'!F1318,"NULL")</f>
        <v>18</v>
      </c>
      <c r="E1318">
        <f>IF('Boletins Nuppa Site'!G1318&lt;&gt;0,'Boletins Nuppa Site'!G1318,"NULL")</f>
        <v>18</v>
      </c>
      <c r="F1318">
        <f>IF('Boletins Nuppa Site'!H1318&lt;&gt;0,'Boletins Nuppa Site'!H1318,"NULL")</f>
        <v>30</v>
      </c>
      <c r="G1318" t="str">
        <f>IF('Boletins Nuppa Site'!I1318&lt;&gt;0,'Boletins Nuppa Site'!I1318,"NULL")</f>
        <v>22.5</v>
      </c>
      <c r="H1318">
        <f>IF('Boletins Nuppa Site'!J1318&lt;&gt;0,'Boletins Nuppa Site'!J1318,"NULL")</f>
        <v>21</v>
      </c>
      <c r="J1318" t="str">
        <f t="shared" si="20"/>
        <v>INSERT INTO COTACAO (blt_id, pap_id, cot_prc_comum, cot_prc_min, cot_prc_max, cot_prc_med, cot_prc_mediana) VALUES (35, 5, 18, 18, 30, 22.5, 21);</v>
      </c>
    </row>
    <row r="1319" spans="1:10" x14ac:dyDescent="0.3">
      <c r="A1319">
        <v>1318</v>
      </c>
      <c r="B1319">
        <v>35</v>
      </c>
      <c r="C1319">
        <v>6</v>
      </c>
      <c r="D1319">
        <f>IF('Boletins Nuppa Site'!F1319&lt;&gt;0,'Boletins Nuppa Site'!F1319,"NULL")</f>
        <v>60</v>
      </c>
      <c r="E1319">
        <f>IF('Boletins Nuppa Site'!G1319&lt;&gt;0,'Boletins Nuppa Site'!G1319,"NULL")</f>
        <v>48</v>
      </c>
      <c r="F1319">
        <f>IF('Boletins Nuppa Site'!H1319&lt;&gt;0,'Boletins Nuppa Site'!H1319,"NULL")</f>
        <v>60</v>
      </c>
      <c r="G1319">
        <f>IF('Boletins Nuppa Site'!I1319&lt;&gt;0,'Boletins Nuppa Site'!I1319,"NULL")</f>
        <v>54</v>
      </c>
      <c r="H1319">
        <f>IF('Boletins Nuppa Site'!J1319&lt;&gt;0,'Boletins Nuppa Site'!J1319,"NULL")</f>
        <v>54</v>
      </c>
      <c r="J1319" t="str">
        <f t="shared" si="20"/>
        <v>INSERT INTO COTACAO (blt_id, pap_id, cot_prc_comum, cot_prc_min, cot_prc_max, cot_prc_med, cot_prc_mediana) VALUES (35, 6, 60, 48, 60, 54, 54);</v>
      </c>
    </row>
    <row r="1320" spans="1:10" x14ac:dyDescent="0.3">
      <c r="A1320">
        <v>1319</v>
      </c>
      <c r="B1320">
        <v>35</v>
      </c>
      <c r="C1320">
        <v>7</v>
      </c>
      <c r="D1320" t="str">
        <f>IF('Boletins Nuppa Site'!F1320&lt;&gt;0,'Boletins Nuppa Site'!F1320,"NULL")</f>
        <v>NULL</v>
      </c>
      <c r="E1320">
        <f>IF('Boletins Nuppa Site'!G1320&lt;&gt;0,'Boletins Nuppa Site'!G1320,"NULL")</f>
        <v>48</v>
      </c>
      <c r="F1320">
        <f>IF('Boletins Nuppa Site'!H1320&lt;&gt;0,'Boletins Nuppa Site'!H1320,"NULL")</f>
        <v>72</v>
      </c>
      <c r="G1320">
        <f>IF('Boletins Nuppa Site'!I1320&lt;&gt;0,'Boletins Nuppa Site'!I1320,"NULL")</f>
        <v>58</v>
      </c>
      <c r="H1320">
        <f>IF('Boletins Nuppa Site'!J1320&lt;&gt;0,'Boletins Nuppa Site'!J1320,"NULL")</f>
        <v>54</v>
      </c>
      <c r="J1320" t="str">
        <f t="shared" si="20"/>
        <v>INSERT INTO COTACAO (blt_id, pap_id, cot_prc_comum, cot_prc_min, cot_prc_max, cot_prc_med, cot_prc_mediana) VALUES (35, 7, NULL, 48, 72, 58, 54);</v>
      </c>
    </row>
    <row r="1321" spans="1:10" x14ac:dyDescent="0.3">
      <c r="A1321">
        <v>1320</v>
      </c>
      <c r="B1321">
        <v>35</v>
      </c>
      <c r="C1321">
        <v>8</v>
      </c>
      <c r="D1321">
        <f>IF('Boletins Nuppa Site'!F1321&lt;&gt;0,'Boletins Nuppa Site'!F1321,"NULL")</f>
        <v>60</v>
      </c>
      <c r="E1321">
        <f>IF('Boletins Nuppa Site'!G1321&lt;&gt;0,'Boletins Nuppa Site'!G1321,"NULL")</f>
        <v>60</v>
      </c>
      <c r="F1321">
        <f>IF('Boletins Nuppa Site'!H1321&lt;&gt;0,'Boletins Nuppa Site'!H1321,"NULL")</f>
        <v>60</v>
      </c>
      <c r="G1321">
        <f>IF('Boletins Nuppa Site'!I1321&lt;&gt;0,'Boletins Nuppa Site'!I1321,"NULL")</f>
        <v>60</v>
      </c>
      <c r="H1321">
        <f>IF('Boletins Nuppa Site'!J1321&lt;&gt;0,'Boletins Nuppa Site'!J1321,"NULL")</f>
        <v>60</v>
      </c>
      <c r="J1321" t="str">
        <f t="shared" si="20"/>
        <v>INSERT INTO COTACAO (blt_id, pap_id, cot_prc_comum, cot_prc_min, cot_prc_max, cot_prc_med, cot_prc_mediana) VALUES (35, 8, 60, 60, 60, 60, 60);</v>
      </c>
    </row>
    <row r="1322" spans="1:10" x14ac:dyDescent="0.3">
      <c r="A1322">
        <v>1321</v>
      </c>
      <c r="B1322">
        <v>35</v>
      </c>
      <c r="C1322">
        <v>9</v>
      </c>
      <c r="D1322">
        <f>IF('Boletins Nuppa Site'!F1322&lt;&gt;0,'Boletins Nuppa Site'!F1322,"NULL")</f>
        <v>18</v>
      </c>
      <c r="E1322">
        <f>IF('Boletins Nuppa Site'!G1322&lt;&gt;0,'Boletins Nuppa Site'!G1322,"NULL")</f>
        <v>18</v>
      </c>
      <c r="F1322">
        <f>IF('Boletins Nuppa Site'!H1322&lt;&gt;0,'Boletins Nuppa Site'!H1322,"NULL")</f>
        <v>48</v>
      </c>
      <c r="G1322" t="str">
        <f>IF('Boletins Nuppa Site'!I1322&lt;&gt;0,'Boletins Nuppa Site'!I1322,"NULL")</f>
        <v>25.6</v>
      </c>
      <c r="H1322">
        <f>IF('Boletins Nuppa Site'!J1322&lt;&gt;0,'Boletins Nuppa Site'!J1322,"NULL")</f>
        <v>20</v>
      </c>
      <c r="J1322" t="str">
        <f t="shared" si="20"/>
        <v>INSERT INTO COTACAO (blt_id, pap_id, cot_prc_comum, cot_prc_min, cot_prc_max, cot_prc_med, cot_prc_mediana) VALUES (35, 9, 18, 18, 48, 25.6, 20);</v>
      </c>
    </row>
    <row r="1323" spans="1:10" x14ac:dyDescent="0.3">
      <c r="A1323">
        <v>1322</v>
      </c>
      <c r="B1323">
        <v>35</v>
      </c>
      <c r="C1323">
        <v>10</v>
      </c>
      <c r="D1323">
        <f>IF('Boletins Nuppa Site'!F1323&lt;&gt;0,'Boletins Nuppa Site'!F1323,"NULL")</f>
        <v>60</v>
      </c>
      <c r="E1323">
        <f>IF('Boletins Nuppa Site'!G1323&lt;&gt;0,'Boletins Nuppa Site'!G1323,"NULL")</f>
        <v>60</v>
      </c>
      <c r="F1323">
        <f>IF('Boletins Nuppa Site'!H1323&lt;&gt;0,'Boletins Nuppa Site'!H1323,"NULL")</f>
        <v>60</v>
      </c>
      <c r="G1323">
        <f>IF('Boletins Nuppa Site'!I1323&lt;&gt;0,'Boletins Nuppa Site'!I1323,"NULL")</f>
        <v>60</v>
      </c>
      <c r="H1323">
        <f>IF('Boletins Nuppa Site'!J1323&lt;&gt;0,'Boletins Nuppa Site'!J1323,"NULL")</f>
        <v>60</v>
      </c>
      <c r="J1323" t="str">
        <f t="shared" si="20"/>
        <v>INSERT INTO COTACAO (blt_id, pap_id, cot_prc_comum, cot_prc_min, cot_prc_max, cot_prc_med, cot_prc_mediana) VALUES (35, 10, 60, 60, 60, 60, 60);</v>
      </c>
    </row>
    <row r="1324" spans="1:10" x14ac:dyDescent="0.3">
      <c r="A1324">
        <v>1323</v>
      </c>
      <c r="B1324">
        <v>35</v>
      </c>
      <c r="C1324">
        <v>11</v>
      </c>
      <c r="D1324">
        <f>IF('Boletins Nuppa Site'!F1324&lt;&gt;0,'Boletins Nuppa Site'!F1324,"NULL")</f>
        <v>18</v>
      </c>
      <c r="E1324">
        <f>IF('Boletins Nuppa Site'!G1324&lt;&gt;0,'Boletins Nuppa Site'!G1324,"NULL")</f>
        <v>18</v>
      </c>
      <c r="F1324">
        <f>IF('Boletins Nuppa Site'!H1324&lt;&gt;0,'Boletins Nuppa Site'!H1324,"NULL")</f>
        <v>24</v>
      </c>
      <c r="G1324" t="str">
        <f>IF('Boletins Nuppa Site'!I1324&lt;&gt;0,'Boletins Nuppa Site'!I1324,"NULL")</f>
        <v>19.5</v>
      </c>
      <c r="H1324">
        <f>IF('Boletins Nuppa Site'!J1324&lt;&gt;0,'Boletins Nuppa Site'!J1324,"NULL")</f>
        <v>18</v>
      </c>
      <c r="J1324" t="str">
        <f t="shared" si="20"/>
        <v>INSERT INTO COTACAO (blt_id, pap_id, cot_prc_comum, cot_prc_min, cot_prc_max, cot_prc_med, cot_prc_mediana) VALUES (35, 11, 18, 18, 24, 19.5, 18);</v>
      </c>
    </row>
    <row r="1325" spans="1:10" x14ac:dyDescent="0.3">
      <c r="A1325">
        <v>1324</v>
      </c>
      <c r="B1325">
        <v>35</v>
      </c>
      <c r="C1325">
        <v>12</v>
      </c>
      <c r="D1325">
        <f>IF('Boletins Nuppa Site'!F1325&lt;&gt;0,'Boletins Nuppa Site'!F1325,"NULL")</f>
        <v>48</v>
      </c>
      <c r="E1325">
        <f>IF('Boletins Nuppa Site'!G1325&lt;&gt;0,'Boletins Nuppa Site'!G1325,"NULL")</f>
        <v>48</v>
      </c>
      <c r="F1325">
        <f>IF('Boletins Nuppa Site'!H1325&lt;&gt;0,'Boletins Nuppa Site'!H1325,"NULL")</f>
        <v>72</v>
      </c>
      <c r="G1325">
        <f>IF('Boletins Nuppa Site'!I1325&lt;&gt;0,'Boletins Nuppa Site'!I1325,"NULL")</f>
        <v>56</v>
      </c>
      <c r="H1325">
        <f>IF('Boletins Nuppa Site'!J1325&lt;&gt;0,'Boletins Nuppa Site'!J1325,"NULL")</f>
        <v>48</v>
      </c>
      <c r="J1325" t="str">
        <f t="shared" si="20"/>
        <v>INSERT INTO COTACAO (blt_id, pap_id, cot_prc_comum, cot_prc_min, cot_prc_max, cot_prc_med, cot_prc_mediana) VALUES (35, 12, 48, 48, 72, 56, 48);</v>
      </c>
    </row>
    <row r="1326" spans="1:10" x14ac:dyDescent="0.3">
      <c r="A1326">
        <v>1325</v>
      </c>
      <c r="B1326">
        <v>35</v>
      </c>
      <c r="C1326">
        <v>13</v>
      </c>
      <c r="D1326">
        <f>IF('Boletins Nuppa Site'!F1326&lt;&gt;0,'Boletins Nuppa Site'!F1326,"NULL")</f>
        <v>48</v>
      </c>
      <c r="E1326">
        <f>IF('Boletins Nuppa Site'!G1326&lt;&gt;0,'Boletins Nuppa Site'!G1326,"NULL")</f>
        <v>48</v>
      </c>
      <c r="F1326">
        <f>IF('Boletins Nuppa Site'!H1326&lt;&gt;0,'Boletins Nuppa Site'!H1326,"NULL")</f>
        <v>60</v>
      </c>
      <c r="G1326">
        <f>IF('Boletins Nuppa Site'!I1326&lt;&gt;0,'Boletins Nuppa Site'!I1326,"NULL")</f>
        <v>51</v>
      </c>
      <c r="H1326">
        <f>IF('Boletins Nuppa Site'!J1326&lt;&gt;0,'Boletins Nuppa Site'!J1326,"NULL")</f>
        <v>48</v>
      </c>
      <c r="J1326" t="str">
        <f t="shared" si="20"/>
        <v>INSERT INTO COTACAO (blt_id, pap_id, cot_prc_comum, cot_prc_min, cot_prc_max, cot_prc_med, cot_prc_mediana) VALUES (35, 13, 48, 48, 60, 51, 48);</v>
      </c>
    </row>
    <row r="1327" spans="1:10" x14ac:dyDescent="0.3">
      <c r="A1327">
        <v>1326</v>
      </c>
      <c r="B1327">
        <v>35</v>
      </c>
      <c r="C1327">
        <v>14</v>
      </c>
      <c r="D1327">
        <f>IF('Boletins Nuppa Site'!F1327&lt;&gt;0,'Boletins Nuppa Site'!F1327,"NULL")</f>
        <v>48</v>
      </c>
      <c r="E1327">
        <f>IF('Boletins Nuppa Site'!G1327&lt;&gt;0,'Boletins Nuppa Site'!G1327,"NULL")</f>
        <v>48</v>
      </c>
      <c r="F1327">
        <f>IF('Boletins Nuppa Site'!H1327&lt;&gt;0,'Boletins Nuppa Site'!H1327,"NULL")</f>
        <v>72</v>
      </c>
      <c r="G1327">
        <f>IF('Boletins Nuppa Site'!I1327&lt;&gt;0,'Boletins Nuppa Site'!I1327,"NULL")</f>
        <v>57</v>
      </c>
      <c r="H1327">
        <f>IF('Boletins Nuppa Site'!J1327&lt;&gt;0,'Boletins Nuppa Site'!J1327,"NULL")</f>
        <v>54</v>
      </c>
      <c r="J1327" t="str">
        <f t="shared" si="20"/>
        <v>INSERT INTO COTACAO (blt_id, pap_id, cot_prc_comum, cot_prc_min, cot_prc_max, cot_prc_med, cot_prc_mediana) VALUES (35, 14, 48, 48, 72, 57, 54);</v>
      </c>
    </row>
    <row r="1328" spans="1:10" x14ac:dyDescent="0.3">
      <c r="A1328">
        <v>1327</v>
      </c>
      <c r="B1328">
        <v>35</v>
      </c>
      <c r="C1328">
        <v>15</v>
      </c>
      <c r="D1328">
        <f>IF('Boletins Nuppa Site'!F1328&lt;&gt;0,'Boletins Nuppa Site'!F1328,"NULL")</f>
        <v>36</v>
      </c>
      <c r="E1328">
        <f>IF('Boletins Nuppa Site'!G1328&lt;&gt;0,'Boletins Nuppa Site'!G1328,"NULL")</f>
        <v>24</v>
      </c>
      <c r="F1328">
        <f>IF('Boletins Nuppa Site'!H1328&lt;&gt;0,'Boletins Nuppa Site'!H1328,"NULL")</f>
        <v>40</v>
      </c>
      <c r="G1328">
        <f>IF('Boletins Nuppa Site'!I1328&lt;&gt;0,'Boletins Nuppa Site'!I1328,"NULL")</f>
        <v>32</v>
      </c>
      <c r="H1328">
        <f>IF('Boletins Nuppa Site'!J1328&lt;&gt;0,'Boletins Nuppa Site'!J1328,"NULL")</f>
        <v>36</v>
      </c>
      <c r="J1328" t="str">
        <f t="shared" si="20"/>
        <v>INSERT INTO COTACAO (blt_id, pap_id, cot_prc_comum, cot_prc_min, cot_prc_max, cot_prc_med, cot_prc_mediana) VALUES (35, 15, 36, 24, 40, 32, 36);</v>
      </c>
    </row>
    <row r="1329" spans="1:10" x14ac:dyDescent="0.3">
      <c r="A1329">
        <v>1328</v>
      </c>
      <c r="B1329">
        <v>35</v>
      </c>
      <c r="C1329">
        <v>16</v>
      </c>
      <c r="D1329">
        <f>IF('Boletins Nuppa Site'!F1329&lt;&gt;0,'Boletins Nuppa Site'!F1329,"NULL")</f>
        <v>48</v>
      </c>
      <c r="E1329">
        <f>IF('Boletins Nuppa Site'!G1329&lt;&gt;0,'Boletins Nuppa Site'!G1329,"NULL")</f>
        <v>42</v>
      </c>
      <c r="F1329">
        <f>IF('Boletins Nuppa Site'!H1329&lt;&gt;0,'Boletins Nuppa Site'!H1329,"NULL")</f>
        <v>48</v>
      </c>
      <c r="G1329" t="str">
        <f>IF('Boletins Nuppa Site'!I1329&lt;&gt;0,'Boletins Nuppa Site'!I1329,"NULL")</f>
        <v>46.5</v>
      </c>
      <c r="H1329">
        <f>IF('Boletins Nuppa Site'!J1329&lt;&gt;0,'Boletins Nuppa Site'!J1329,"NULL")</f>
        <v>48</v>
      </c>
      <c r="J1329" t="str">
        <f t="shared" si="20"/>
        <v>INSERT INTO COTACAO (blt_id, pap_id, cot_prc_comum, cot_prc_min, cot_prc_max, cot_prc_med, cot_prc_mediana) VALUES (35, 16, 48, 42, 48, 46.5, 48);</v>
      </c>
    </row>
    <row r="1330" spans="1:10" x14ac:dyDescent="0.3">
      <c r="A1330">
        <v>1329</v>
      </c>
      <c r="B1330">
        <v>35</v>
      </c>
      <c r="C1330">
        <v>17</v>
      </c>
      <c r="D1330">
        <f>IF('Boletins Nuppa Site'!F1330&lt;&gt;0,'Boletins Nuppa Site'!F1330,"NULL")</f>
        <v>5</v>
      </c>
      <c r="E1330">
        <f>IF('Boletins Nuppa Site'!G1330&lt;&gt;0,'Boletins Nuppa Site'!G1330,"NULL")</f>
        <v>4</v>
      </c>
      <c r="F1330">
        <f>IF('Boletins Nuppa Site'!H1330&lt;&gt;0,'Boletins Nuppa Site'!H1330,"NULL")</f>
        <v>5</v>
      </c>
      <c r="G1330" t="str">
        <f>IF('Boletins Nuppa Site'!I1330&lt;&gt;0,'Boletins Nuppa Site'!I1330,"NULL")</f>
        <v>4.67</v>
      </c>
      <c r="H1330">
        <f>IF('Boletins Nuppa Site'!J1330&lt;&gt;0,'Boletins Nuppa Site'!J1330,"NULL")</f>
        <v>5</v>
      </c>
      <c r="J1330" t="str">
        <f t="shared" si="20"/>
        <v>INSERT INTO COTACAO (blt_id, pap_id, cot_prc_comum, cot_prc_min, cot_prc_max, cot_prc_med, cot_prc_mediana) VALUES (35, 17, 5, 4, 5, 4.67, 5);</v>
      </c>
    </row>
    <row r="1331" spans="1:10" x14ac:dyDescent="0.3">
      <c r="A1331">
        <v>1330</v>
      </c>
      <c r="B1331">
        <v>35</v>
      </c>
      <c r="C1331">
        <v>18</v>
      </c>
      <c r="D1331">
        <f>IF('Boletins Nuppa Site'!F1331&lt;&gt;0,'Boletins Nuppa Site'!F1331,"NULL")</f>
        <v>10</v>
      </c>
      <c r="E1331">
        <f>IF('Boletins Nuppa Site'!G1331&lt;&gt;0,'Boletins Nuppa Site'!G1331,"NULL")</f>
        <v>10</v>
      </c>
      <c r="F1331">
        <f>IF('Boletins Nuppa Site'!H1331&lt;&gt;0,'Boletins Nuppa Site'!H1331,"NULL")</f>
        <v>15</v>
      </c>
      <c r="G1331" t="str">
        <f>IF('Boletins Nuppa Site'!I1331&lt;&gt;0,'Boletins Nuppa Site'!I1331,"NULL")</f>
        <v>11.75</v>
      </c>
      <c r="H1331">
        <f>IF('Boletins Nuppa Site'!J1331&lt;&gt;0,'Boletins Nuppa Site'!J1331,"NULL")</f>
        <v>11</v>
      </c>
      <c r="J1331" t="str">
        <f t="shared" si="20"/>
        <v>INSERT INTO COTACAO (blt_id, pap_id, cot_prc_comum, cot_prc_min, cot_prc_max, cot_prc_med, cot_prc_mediana) VALUES (35, 18, 10, 10, 15, 11.75, 11);</v>
      </c>
    </row>
    <row r="1332" spans="1:10" x14ac:dyDescent="0.3">
      <c r="A1332">
        <v>1331</v>
      </c>
      <c r="B1332">
        <v>35</v>
      </c>
      <c r="C1332">
        <v>19</v>
      </c>
      <c r="D1332">
        <f>IF('Boletins Nuppa Site'!F1332&lt;&gt;0,'Boletins Nuppa Site'!F1332,"NULL")</f>
        <v>20</v>
      </c>
      <c r="E1332">
        <f>IF('Boletins Nuppa Site'!G1332&lt;&gt;0,'Boletins Nuppa Site'!G1332,"NULL")</f>
        <v>20</v>
      </c>
      <c r="F1332">
        <f>IF('Boletins Nuppa Site'!H1332&lt;&gt;0,'Boletins Nuppa Site'!H1332,"NULL")</f>
        <v>25</v>
      </c>
      <c r="G1332" t="str">
        <f>IF('Boletins Nuppa Site'!I1332&lt;&gt;0,'Boletins Nuppa Site'!I1332,"NULL")</f>
        <v>21.25</v>
      </c>
      <c r="H1332">
        <f>IF('Boletins Nuppa Site'!J1332&lt;&gt;0,'Boletins Nuppa Site'!J1332,"NULL")</f>
        <v>20</v>
      </c>
      <c r="J1332" t="str">
        <f t="shared" si="20"/>
        <v>INSERT INTO COTACAO (blt_id, pap_id, cot_prc_comum, cot_prc_min, cot_prc_max, cot_prc_med, cot_prc_mediana) VALUES (35, 19, 20, 20, 25, 21.25, 20);</v>
      </c>
    </row>
    <row r="1333" spans="1:10" x14ac:dyDescent="0.3">
      <c r="A1333">
        <v>1332</v>
      </c>
      <c r="B1333">
        <v>35</v>
      </c>
      <c r="C1333">
        <v>20</v>
      </c>
      <c r="D1333" t="str">
        <f>IF('Boletins Nuppa Site'!F1333&lt;&gt;0,'Boletins Nuppa Site'!F1333,"NULL")</f>
        <v>NULL</v>
      </c>
      <c r="E1333">
        <f>IF('Boletins Nuppa Site'!G1333&lt;&gt;0,'Boletins Nuppa Site'!G1333,"NULL")</f>
        <v>80</v>
      </c>
      <c r="F1333">
        <f>IF('Boletins Nuppa Site'!H1333&lt;&gt;0,'Boletins Nuppa Site'!H1333,"NULL")</f>
        <v>85</v>
      </c>
      <c r="G1333" t="str">
        <f>IF('Boletins Nuppa Site'!I1333&lt;&gt;0,'Boletins Nuppa Site'!I1333,"NULL")</f>
        <v>82.5</v>
      </c>
      <c r="H1333" t="str">
        <f>IF('Boletins Nuppa Site'!J1333&lt;&gt;0,'Boletins Nuppa Site'!J1333,"NULL")</f>
        <v>82.5</v>
      </c>
      <c r="J1333" t="str">
        <f t="shared" si="20"/>
        <v>INSERT INTO COTACAO (blt_id, pap_id, cot_prc_comum, cot_prc_min, cot_prc_max, cot_prc_med, cot_prc_mediana) VALUES (35, 20, NULL, 80, 85, 82.5, 82.5);</v>
      </c>
    </row>
    <row r="1334" spans="1:10" x14ac:dyDescent="0.3">
      <c r="A1334">
        <v>1333</v>
      </c>
      <c r="B1334">
        <v>35</v>
      </c>
      <c r="C1334">
        <v>21</v>
      </c>
      <c r="D1334">
        <f>IF('Boletins Nuppa Site'!F1334&lt;&gt;0,'Boletins Nuppa Site'!F1334,"NULL")</f>
        <v>35</v>
      </c>
      <c r="E1334">
        <f>IF('Boletins Nuppa Site'!G1334&lt;&gt;0,'Boletins Nuppa Site'!G1334,"NULL")</f>
        <v>35</v>
      </c>
      <c r="F1334">
        <f>IF('Boletins Nuppa Site'!H1334&lt;&gt;0,'Boletins Nuppa Site'!H1334,"NULL")</f>
        <v>50</v>
      </c>
      <c r="G1334">
        <f>IF('Boletins Nuppa Site'!I1334&lt;&gt;0,'Boletins Nuppa Site'!I1334,"NULL")</f>
        <v>42</v>
      </c>
      <c r="H1334">
        <f>IF('Boletins Nuppa Site'!J1334&lt;&gt;0,'Boletins Nuppa Site'!J1334,"NULL")</f>
        <v>45</v>
      </c>
      <c r="J1334" t="str">
        <f t="shared" si="20"/>
        <v>INSERT INTO COTACAO (blt_id, pap_id, cot_prc_comum, cot_prc_min, cot_prc_max, cot_prc_med, cot_prc_mediana) VALUES (35, 21, 35, 35, 50, 42, 45);</v>
      </c>
    </row>
    <row r="1335" spans="1:10" x14ac:dyDescent="0.3">
      <c r="A1335">
        <v>1334</v>
      </c>
      <c r="B1335">
        <v>35</v>
      </c>
      <c r="C1335">
        <v>22</v>
      </c>
      <c r="D1335">
        <f>IF('Boletins Nuppa Site'!F1335&lt;&gt;0,'Boletins Nuppa Site'!F1335,"NULL")</f>
        <v>70</v>
      </c>
      <c r="E1335">
        <f>IF('Boletins Nuppa Site'!G1335&lt;&gt;0,'Boletins Nuppa Site'!G1335,"NULL")</f>
        <v>45</v>
      </c>
      <c r="F1335">
        <f>IF('Boletins Nuppa Site'!H1335&lt;&gt;0,'Boletins Nuppa Site'!H1335,"NULL")</f>
        <v>70</v>
      </c>
      <c r="G1335">
        <f>IF('Boletins Nuppa Site'!I1335&lt;&gt;0,'Boletins Nuppa Site'!I1335,"NULL")</f>
        <v>64</v>
      </c>
      <c r="H1335">
        <f>IF('Boletins Nuppa Site'!J1335&lt;&gt;0,'Boletins Nuppa Site'!J1335,"NULL")</f>
        <v>70</v>
      </c>
      <c r="J1335" t="str">
        <f t="shared" si="20"/>
        <v>INSERT INTO COTACAO (blt_id, pap_id, cot_prc_comum, cot_prc_min, cot_prc_max, cot_prc_med, cot_prc_mediana) VALUES (35, 22, 70, 45, 70, 64, 70);</v>
      </c>
    </row>
    <row r="1336" spans="1:10" x14ac:dyDescent="0.3">
      <c r="A1336">
        <v>1335</v>
      </c>
      <c r="B1336">
        <v>35</v>
      </c>
      <c r="C1336">
        <v>23</v>
      </c>
      <c r="D1336" t="str">
        <f>IF('Boletins Nuppa Site'!F1336&lt;&gt;0,'Boletins Nuppa Site'!F1336,"NULL")</f>
        <v>NULL</v>
      </c>
      <c r="E1336">
        <f>IF('Boletins Nuppa Site'!G1336&lt;&gt;0,'Boletins Nuppa Site'!G1336,"NULL")</f>
        <v>45</v>
      </c>
      <c r="F1336">
        <f>IF('Boletins Nuppa Site'!H1336&lt;&gt;0,'Boletins Nuppa Site'!H1336,"NULL")</f>
        <v>60</v>
      </c>
      <c r="G1336" t="str">
        <f>IF('Boletins Nuppa Site'!I1336&lt;&gt;0,'Boletins Nuppa Site'!I1336,"NULL")</f>
        <v>51.67</v>
      </c>
      <c r="H1336">
        <f>IF('Boletins Nuppa Site'!J1336&lt;&gt;0,'Boletins Nuppa Site'!J1336,"NULL")</f>
        <v>50</v>
      </c>
      <c r="J1336" t="str">
        <f t="shared" si="20"/>
        <v>INSERT INTO COTACAO (blt_id, pap_id, cot_prc_comum, cot_prc_min, cot_prc_max, cot_prc_med, cot_prc_mediana) VALUES (35, 23, NULL, 45, 60, 51.67, 50);</v>
      </c>
    </row>
    <row r="1337" spans="1:10" x14ac:dyDescent="0.3">
      <c r="A1337">
        <v>1336</v>
      </c>
      <c r="B1337">
        <v>35</v>
      </c>
      <c r="C1337">
        <v>24</v>
      </c>
      <c r="D1337" t="str">
        <f>IF('Boletins Nuppa Site'!F1337&lt;&gt;0,'Boletins Nuppa Site'!F1337,"NULL")</f>
        <v>NULL</v>
      </c>
      <c r="E1337">
        <f>IF('Boletins Nuppa Site'!G1337&lt;&gt;0,'Boletins Nuppa Site'!G1337,"NULL")</f>
        <v>50</v>
      </c>
      <c r="F1337">
        <f>IF('Boletins Nuppa Site'!H1337&lt;&gt;0,'Boletins Nuppa Site'!H1337,"NULL")</f>
        <v>110</v>
      </c>
      <c r="G1337" t="str">
        <f>IF('Boletins Nuppa Site'!I1337&lt;&gt;0,'Boletins Nuppa Site'!I1337,"NULL")</f>
        <v>83.33</v>
      </c>
      <c r="H1337">
        <f>IF('Boletins Nuppa Site'!J1337&lt;&gt;0,'Boletins Nuppa Site'!J1337,"NULL")</f>
        <v>90</v>
      </c>
      <c r="J1337" t="str">
        <f t="shared" si="20"/>
        <v>INSERT INTO COTACAO (blt_id, pap_id, cot_prc_comum, cot_prc_min, cot_prc_max, cot_prc_med, cot_prc_mediana) VALUES (35, 24, NULL, 50, 110, 83.33, 90);</v>
      </c>
    </row>
    <row r="1338" spans="1:10" x14ac:dyDescent="0.3">
      <c r="A1338">
        <v>1337</v>
      </c>
      <c r="B1338">
        <v>35</v>
      </c>
      <c r="C1338">
        <v>25</v>
      </c>
      <c r="D1338">
        <f>IF('Boletins Nuppa Site'!F1338&lt;&gt;0,'Boletins Nuppa Site'!F1338,"NULL")</f>
        <v>70</v>
      </c>
      <c r="E1338">
        <f>IF('Boletins Nuppa Site'!G1338&lt;&gt;0,'Boletins Nuppa Site'!G1338,"NULL")</f>
        <v>60</v>
      </c>
      <c r="F1338">
        <f>IF('Boletins Nuppa Site'!H1338&lt;&gt;0,'Boletins Nuppa Site'!H1338,"NULL")</f>
        <v>70</v>
      </c>
      <c r="G1338">
        <f>IF('Boletins Nuppa Site'!I1338&lt;&gt;0,'Boletins Nuppa Site'!I1338,"NULL")</f>
        <v>65</v>
      </c>
      <c r="H1338">
        <f>IF('Boletins Nuppa Site'!J1338&lt;&gt;0,'Boletins Nuppa Site'!J1338,"NULL")</f>
        <v>65</v>
      </c>
      <c r="J1338" t="str">
        <f t="shared" si="20"/>
        <v>INSERT INTO COTACAO (blt_id, pap_id, cot_prc_comum, cot_prc_min, cot_prc_max, cot_prc_med, cot_prc_mediana) VALUES (35, 25, 70, 60, 70, 65, 65);</v>
      </c>
    </row>
    <row r="1339" spans="1:10" x14ac:dyDescent="0.3">
      <c r="A1339">
        <v>1338</v>
      </c>
      <c r="B1339">
        <v>35</v>
      </c>
      <c r="C1339">
        <v>26</v>
      </c>
      <c r="D1339">
        <f>IF('Boletins Nuppa Site'!F1339&lt;&gt;0,'Boletins Nuppa Site'!F1339,"NULL")</f>
        <v>60</v>
      </c>
      <c r="E1339">
        <f>IF('Boletins Nuppa Site'!G1339&lt;&gt;0,'Boletins Nuppa Site'!G1339,"NULL")</f>
        <v>35</v>
      </c>
      <c r="F1339">
        <f>IF('Boletins Nuppa Site'!H1339&lt;&gt;0,'Boletins Nuppa Site'!H1339,"NULL")</f>
        <v>60</v>
      </c>
      <c r="G1339">
        <f>IF('Boletins Nuppa Site'!I1339&lt;&gt;0,'Boletins Nuppa Site'!I1339,"NULL")</f>
        <v>50</v>
      </c>
      <c r="H1339">
        <f>IF('Boletins Nuppa Site'!J1339&lt;&gt;0,'Boletins Nuppa Site'!J1339,"NULL")</f>
        <v>55</v>
      </c>
      <c r="J1339" t="str">
        <f t="shared" si="20"/>
        <v>INSERT INTO COTACAO (blt_id, pap_id, cot_prc_comum, cot_prc_min, cot_prc_max, cot_prc_med, cot_prc_mediana) VALUES (35, 26, 60, 35, 60, 50, 55);</v>
      </c>
    </row>
    <row r="1340" spans="1:10" x14ac:dyDescent="0.3">
      <c r="A1340">
        <v>1339</v>
      </c>
      <c r="B1340">
        <v>35</v>
      </c>
      <c r="C1340">
        <v>27</v>
      </c>
      <c r="D1340">
        <f>IF('Boletins Nuppa Site'!F1340&lt;&gt;0,'Boletins Nuppa Site'!F1340,"NULL")</f>
        <v>60</v>
      </c>
      <c r="E1340">
        <f>IF('Boletins Nuppa Site'!G1340&lt;&gt;0,'Boletins Nuppa Site'!G1340,"NULL")</f>
        <v>60</v>
      </c>
      <c r="F1340">
        <f>IF('Boletins Nuppa Site'!H1340&lt;&gt;0,'Boletins Nuppa Site'!H1340,"NULL")</f>
        <v>80</v>
      </c>
      <c r="G1340">
        <f>IF('Boletins Nuppa Site'!I1340&lt;&gt;0,'Boletins Nuppa Site'!I1340,"NULL")</f>
        <v>68</v>
      </c>
      <c r="H1340">
        <f>IF('Boletins Nuppa Site'!J1340&lt;&gt;0,'Boletins Nuppa Site'!J1340,"NULL")</f>
        <v>70</v>
      </c>
      <c r="J1340" t="str">
        <f t="shared" si="20"/>
        <v>INSERT INTO COTACAO (blt_id, pap_id, cot_prc_comum, cot_prc_min, cot_prc_max, cot_prc_med, cot_prc_mediana) VALUES (35, 27, 60, 60, 80, 68, 70);</v>
      </c>
    </row>
    <row r="1341" spans="1:10" x14ac:dyDescent="0.3">
      <c r="A1341">
        <v>1340</v>
      </c>
      <c r="B1341">
        <v>35</v>
      </c>
      <c r="C1341">
        <v>28</v>
      </c>
      <c r="D1341" t="str">
        <f>IF('Boletins Nuppa Site'!F1341&lt;&gt;0,'Boletins Nuppa Site'!F1341,"NULL")</f>
        <v>NULL</v>
      </c>
      <c r="E1341">
        <f>IF('Boletins Nuppa Site'!G1341&lt;&gt;0,'Boletins Nuppa Site'!G1341,"NULL")</f>
        <v>90</v>
      </c>
      <c r="F1341">
        <f>IF('Boletins Nuppa Site'!H1341&lt;&gt;0,'Boletins Nuppa Site'!H1341,"NULL")</f>
        <v>120</v>
      </c>
      <c r="G1341">
        <f>IF('Boletins Nuppa Site'!I1341&lt;&gt;0,'Boletins Nuppa Site'!I1341,"NULL")</f>
        <v>105</v>
      </c>
      <c r="H1341">
        <f>IF('Boletins Nuppa Site'!J1341&lt;&gt;0,'Boletins Nuppa Site'!J1341,"NULL")</f>
        <v>105</v>
      </c>
      <c r="J1341" t="str">
        <f t="shared" si="20"/>
        <v>INSERT INTO COTACAO (blt_id, pap_id, cot_prc_comum, cot_prc_min, cot_prc_max, cot_prc_med, cot_prc_mediana) VALUES (35, 28, NULL, 90, 120, 105, 105);</v>
      </c>
    </row>
    <row r="1342" spans="1:10" x14ac:dyDescent="0.3">
      <c r="A1342">
        <v>1341</v>
      </c>
      <c r="B1342">
        <v>35</v>
      </c>
      <c r="C1342">
        <v>29</v>
      </c>
      <c r="D1342" t="str">
        <f>IF('Boletins Nuppa Site'!F1342&lt;&gt;0,'Boletins Nuppa Site'!F1342,"NULL")</f>
        <v>NULL</v>
      </c>
      <c r="E1342">
        <f>IF('Boletins Nuppa Site'!G1342&lt;&gt;0,'Boletins Nuppa Site'!G1342,"NULL")</f>
        <v>65</v>
      </c>
      <c r="F1342">
        <f>IF('Boletins Nuppa Site'!H1342&lt;&gt;0,'Boletins Nuppa Site'!H1342,"NULL")</f>
        <v>65</v>
      </c>
      <c r="G1342">
        <f>IF('Boletins Nuppa Site'!I1342&lt;&gt;0,'Boletins Nuppa Site'!I1342,"NULL")</f>
        <v>65</v>
      </c>
      <c r="H1342">
        <f>IF('Boletins Nuppa Site'!J1342&lt;&gt;0,'Boletins Nuppa Site'!J1342,"NULL")</f>
        <v>65</v>
      </c>
      <c r="J1342" t="str">
        <f t="shared" si="20"/>
        <v>INSERT INTO COTACAO (blt_id, pap_id, cot_prc_comum, cot_prc_min, cot_prc_max, cot_prc_med, cot_prc_mediana) VALUES (35, 29, NULL, 65, 65, 65, 65);</v>
      </c>
    </row>
    <row r="1343" spans="1:10" x14ac:dyDescent="0.3">
      <c r="A1343">
        <v>1342</v>
      </c>
      <c r="B1343">
        <v>35</v>
      </c>
      <c r="C1343">
        <v>30</v>
      </c>
      <c r="D1343">
        <f>IF('Boletins Nuppa Site'!F1343&lt;&gt;0,'Boletins Nuppa Site'!F1343,"NULL")</f>
        <v>100</v>
      </c>
      <c r="E1343">
        <f>IF('Boletins Nuppa Site'!G1343&lt;&gt;0,'Boletins Nuppa Site'!G1343,"NULL")</f>
        <v>80</v>
      </c>
      <c r="F1343">
        <f>IF('Boletins Nuppa Site'!H1343&lt;&gt;0,'Boletins Nuppa Site'!H1343,"NULL")</f>
        <v>100</v>
      </c>
      <c r="G1343" t="str">
        <f>IF('Boletins Nuppa Site'!I1343&lt;&gt;0,'Boletins Nuppa Site'!I1343,"NULL")</f>
        <v>93.33</v>
      </c>
      <c r="H1343">
        <f>IF('Boletins Nuppa Site'!J1343&lt;&gt;0,'Boletins Nuppa Site'!J1343,"NULL")</f>
        <v>100</v>
      </c>
      <c r="J1343" t="str">
        <f t="shared" si="20"/>
        <v>INSERT INTO COTACAO (blt_id, pap_id, cot_prc_comum, cot_prc_min, cot_prc_max, cot_prc_med, cot_prc_mediana) VALUES (35, 30, 100, 80, 100, 93.33, 100);</v>
      </c>
    </row>
    <row r="1344" spans="1:10" x14ac:dyDescent="0.3">
      <c r="A1344">
        <v>1343</v>
      </c>
      <c r="B1344">
        <v>35</v>
      </c>
      <c r="C1344">
        <v>31</v>
      </c>
      <c r="D1344" t="str">
        <f>IF('Boletins Nuppa Site'!F1344&lt;&gt;0,'Boletins Nuppa Site'!F1344,"NULL")</f>
        <v>NULL</v>
      </c>
      <c r="E1344">
        <f>IF('Boletins Nuppa Site'!G1344&lt;&gt;0,'Boletins Nuppa Site'!G1344,"NULL")</f>
        <v>100</v>
      </c>
      <c r="F1344">
        <f>IF('Boletins Nuppa Site'!H1344&lt;&gt;0,'Boletins Nuppa Site'!H1344,"NULL")</f>
        <v>145</v>
      </c>
      <c r="G1344" t="str">
        <f>IF('Boletins Nuppa Site'!I1344&lt;&gt;0,'Boletins Nuppa Site'!I1344,"NULL")</f>
        <v>126.25</v>
      </c>
      <c r="H1344">
        <f>IF('Boletins Nuppa Site'!J1344&lt;&gt;0,'Boletins Nuppa Site'!J1344,"NULL")</f>
        <v>130</v>
      </c>
      <c r="J1344" t="str">
        <f t="shared" si="20"/>
        <v>INSERT INTO COTACAO (blt_id, pap_id, cot_prc_comum, cot_prc_min, cot_prc_max, cot_prc_med, cot_prc_mediana) VALUES (35, 31, NULL, 100, 145, 126.25, 130);</v>
      </c>
    </row>
    <row r="1345" spans="1:10" x14ac:dyDescent="0.3">
      <c r="A1345">
        <v>1344</v>
      </c>
      <c r="B1345">
        <v>35</v>
      </c>
      <c r="C1345">
        <v>32</v>
      </c>
      <c r="D1345">
        <f>IF('Boletins Nuppa Site'!F1345&lt;&gt;0,'Boletins Nuppa Site'!F1345,"NULL")</f>
        <v>55</v>
      </c>
      <c r="E1345">
        <f>IF('Boletins Nuppa Site'!G1345&lt;&gt;0,'Boletins Nuppa Site'!G1345,"NULL")</f>
        <v>40</v>
      </c>
      <c r="F1345">
        <f>IF('Boletins Nuppa Site'!H1345&lt;&gt;0,'Boletins Nuppa Site'!H1345,"NULL")</f>
        <v>55</v>
      </c>
      <c r="G1345">
        <f>IF('Boletins Nuppa Site'!I1345&lt;&gt;0,'Boletins Nuppa Site'!I1345,"NULL")</f>
        <v>49</v>
      </c>
      <c r="H1345">
        <f>IF('Boletins Nuppa Site'!J1345&lt;&gt;0,'Boletins Nuppa Site'!J1345,"NULL")</f>
        <v>50</v>
      </c>
      <c r="J1345" t="str">
        <f t="shared" si="20"/>
        <v>INSERT INTO COTACAO (blt_id, pap_id, cot_prc_comum, cot_prc_min, cot_prc_max, cot_prc_med, cot_prc_mediana) VALUES (35, 32, 55, 40, 55, 49, 50);</v>
      </c>
    </row>
    <row r="1346" spans="1:10" x14ac:dyDescent="0.3">
      <c r="A1346">
        <v>1345</v>
      </c>
      <c r="B1346">
        <v>35</v>
      </c>
      <c r="C1346">
        <v>33</v>
      </c>
      <c r="D1346">
        <f>IF('Boletins Nuppa Site'!F1346&lt;&gt;0,'Boletins Nuppa Site'!F1346,"NULL")</f>
        <v>140</v>
      </c>
      <c r="E1346">
        <f>IF('Boletins Nuppa Site'!G1346&lt;&gt;0,'Boletins Nuppa Site'!G1346,"NULL")</f>
        <v>140</v>
      </c>
      <c r="F1346">
        <f>IF('Boletins Nuppa Site'!H1346&lt;&gt;0,'Boletins Nuppa Site'!H1346,"NULL")</f>
        <v>150</v>
      </c>
      <c r="G1346">
        <f>IF('Boletins Nuppa Site'!I1346&lt;&gt;0,'Boletins Nuppa Site'!I1346,"NULL")</f>
        <v>144</v>
      </c>
      <c r="H1346">
        <f>IF('Boletins Nuppa Site'!J1346&lt;&gt;0,'Boletins Nuppa Site'!J1346,"NULL")</f>
        <v>140</v>
      </c>
      <c r="J1346" t="str">
        <f t="shared" si="20"/>
        <v>INSERT INTO COTACAO (blt_id, pap_id, cot_prc_comum, cot_prc_min, cot_prc_max, cot_prc_med, cot_prc_mediana) VALUES (35, 33, 140, 140, 150, 144, 140);</v>
      </c>
    </row>
    <row r="1347" spans="1:10" x14ac:dyDescent="0.3">
      <c r="A1347">
        <v>1346</v>
      </c>
      <c r="B1347">
        <v>35</v>
      </c>
      <c r="C1347">
        <v>34</v>
      </c>
      <c r="D1347">
        <f>IF('Boletins Nuppa Site'!F1347&lt;&gt;0,'Boletins Nuppa Site'!F1347,"NULL")</f>
        <v>60</v>
      </c>
      <c r="E1347">
        <f>IF('Boletins Nuppa Site'!G1347&lt;&gt;0,'Boletins Nuppa Site'!G1347,"NULL")</f>
        <v>50</v>
      </c>
      <c r="F1347">
        <f>IF('Boletins Nuppa Site'!H1347&lt;&gt;0,'Boletins Nuppa Site'!H1347,"NULL")</f>
        <v>90</v>
      </c>
      <c r="G1347">
        <f>IF('Boletins Nuppa Site'!I1347&lt;&gt;0,'Boletins Nuppa Site'!I1347,"NULL")</f>
        <v>66</v>
      </c>
      <c r="H1347">
        <f>IF('Boletins Nuppa Site'!J1347&lt;&gt;0,'Boletins Nuppa Site'!J1347,"NULL")</f>
        <v>60</v>
      </c>
      <c r="J1347" t="str">
        <f t="shared" ref="J1347:J1410" si="21">"INSERT INTO COTACAO (blt_id, pap_id, cot_prc_comum, cot_prc_min, cot_prc_max, cot_prc_med, cot_prc_mediana) VALUES ("&amp;B1347&amp;", "&amp;C1347&amp;", "&amp;D1347&amp;", "&amp;E1347&amp;", "&amp;F1347&amp;", "&amp;G1347&amp;", "&amp;H1347&amp;");"</f>
        <v>INSERT INTO COTACAO (blt_id, pap_id, cot_prc_comum, cot_prc_min, cot_prc_max, cot_prc_med, cot_prc_mediana) VALUES (35, 34, 60, 50, 90, 66, 60);</v>
      </c>
    </row>
    <row r="1348" spans="1:10" x14ac:dyDescent="0.3">
      <c r="A1348">
        <v>1347</v>
      </c>
      <c r="B1348">
        <v>35</v>
      </c>
      <c r="C1348">
        <v>35</v>
      </c>
      <c r="D1348" t="str">
        <f>IF('Boletins Nuppa Site'!F1348&lt;&gt;0,'Boletins Nuppa Site'!F1348,"NULL")</f>
        <v>NULL</v>
      </c>
      <c r="E1348">
        <f>IF('Boletins Nuppa Site'!G1348&lt;&gt;0,'Boletins Nuppa Site'!G1348,"NULL")</f>
        <v>100</v>
      </c>
      <c r="F1348">
        <f>IF('Boletins Nuppa Site'!H1348&lt;&gt;0,'Boletins Nuppa Site'!H1348,"NULL")</f>
        <v>130</v>
      </c>
      <c r="G1348" t="str">
        <f>IF('Boletins Nuppa Site'!I1348&lt;&gt;0,'Boletins Nuppa Site'!I1348,"NULL")</f>
        <v>116.67</v>
      </c>
      <c r="H1348">
        <f>IF('Boletins Nuppa Site'!J1348&lt;&gt;0,'Boletins Nuppa Site'!J1348,"NULL")</f>
        <v>120</v>
      </c>
      <c r="J1348" t="str">
        <f t="shared" si="21"/>
        <v>INSERT INTO COTACAO (blt_id, pap_id, cot_prc_comum, cot_prc_min, cot_prc_max, cot_prc_med, cot_prc_mediana) VALUES (35, 35, NULL, 100, 130, 116.67, 120);</v>
      </c>
    </row>
    <row r="1349" spans="1:10" x14ac:dyDescent="0.3">
      <c r="A1349">
        <v>1348</v>
      </c>
      <c r="B1349">
        <v>35</v>
      </c>
      <c r="C1349">
        <v>36</v>
      </c>
      <c r="D1349" t="str">
        <f>IF('Boletins Nuppa Site'!F1349&lt;&gt;0,'Boletins Nuppa Site'!F1349,"NULL")</f>
        <v>NULL</v>
      </c>
      <c r="E1349" t="str">
        <f>IF('Boletins Nuppa Site'!G1349&lt;&gt;0,'Boletins Nuppa Site'!G1349,"NULL")</f>
        <v>NULL</v>
      </c>
      <c r="F1349" t="str">
        <f>IF('Boletins Nuppa Site'!H1349&lt;&gt;0,'Boletins Nuppa Site'!H1349,"NULL")</f>
        <v>NULL</v>
      </c>
      <c r="G1349" t="str">
        <f>IF('Boletins Nuppa Site'!I1349&lt;&gt;0,'Boletins Nuppa Site'!I1349,"NULL")</f>
        <v>NULL</v>
      </c>
      <c r="H1349" t="str">
        <f>IF('Boletins Nuppa Site'!J1349&lt;&gt;0,'Boletins Nuppa Site'!J1349,"NULL")</f>
        <v>NULL</v>
      </c>
      <c r="J1349" t="str">
        <f t="shared" si="21"/>
        <v>INSERT INTO COTACAO (blt_id, pap_id, cot_prc_comum, cot_prc_min, cot_prc_max, cot_prc_med, cot_prc_mediana) VALUES (35, 36, NULL, NULL, NULL, NULL, NULL);</v>
      </c>
    </row>
    <row r="1350" spans="1:10" x14ac:dyDescent="0.3">
      <c r="A1350">
        <v>1349</v>
      </c>
      <c r="B1350">
        <v>35</v>
      </c>
      <c r="C1350">
        <v>37</v>
      </c>
      <c r="D1350" t="str">
        <f>IF('Boletins Nuppa Site'!F1350&lt;&gt;0,'Boletins Nuppa Site'!F1350,"NULL")</f>
        <v>NULL</v>
      </c>
      <c r="E1350" t="str">
        <f>IF('Boletins Nuppa Site'!G1350&lt;&gt;0,'Boletins Nuppa Site'!G1350,"NULL")</f>
        <v>NULL</v>
      </c>
      <c r="F1350" t="str">
        <f>IF('Boletins Nuppa Site'!H1350&lt;&gt;0,'Boletins Nuppa Site'!H1350,"NULL")</f>
        <v>NULL</v>
      </c>
      <c r="G1350" t="str">
        <f>IF('Boletins Nuppa Site'!I1350&lt;&gt;0,'Boletins Nuppa Site'!I1350,"NULL")</f>
        <v>NULL</v>
      </c>
      <c r="H1350" t="str">
        <f>IF('Boletins Nuppa Site'!J1350&lt;&gt;0,'Boletins Nuppa Site'!J1350,"NULL")</f>
        <v>NULL</v>
      </c>
      <c r="J1350" t="str">
        <f t="shared" si="21"/>
        <v>INSERT INTO COTACAO (blt_id, pap_id, cot_prc_comum, cot_prc_min, cot_prc_max, cot_prc_med, cot_prc_mediana) VALUES (35, 37, NULL, NULL, NULL, NULL, NULL);</v>
      </c>
    </row>
    <row r="1351" spans="1:10" x14ac:dyDescent="0.3">
      <c r="A1351">
        <v>1350</v>
      </c>
      <c r="B1351">
        <v>35</v>
      </c>
      <c r="C1351">
        <v>38</v>
      </c>
      <c r="D1351" t="str">
        <f>IF('Boletins Nuppa Site'!F1351&lt;&gt;0,'Boletins Nuppa Site'!F1351,"NULL")</f>
        <v>NULL</v>
      </c>
      <c r="E1351" t="str">
        <f>IF('Boletins Nuppa Site'!G1351&lt;&gt;0,'Boletins Nuppa Site'!G1351,"NULL")</f>
        <v>NULL</v>
      </c>
      <c r="F1351" t="str">
        <f>IF('Boletins Nuppa Site'!H1351&lt;&gt;0,'Boletins Nuppa Site'!H1351,"NULL")</f>
        <v>NULL</v>
      </c>
      <c r="G1351" t="str">
        <f>IF('Boletins Nuppa Site'!I1351&lt;&gt;0,'Boletins Nuppa Site'!I1351,"NULL")</f>
        <v>NULL</v>
      </c>
      <c r="H1351" t="str">
        <f>IF('Boletins Nuppa Site'!J1351&lt;&gt;0,'Boletins Nuppa Site'!J1351,"NULL")</f>
        <v>NULL</v>
      </c>
      <c r="J1351" t="str">
        <f t="shared" si="21"/>
        <v>INSERT INTO COTACAO (blt_id, pap_id, cot_prc_comum, cot_prc_min, cot_prc_max, cot_prc_med, cot_prc_mediana) VALUES (35, 38, NULL, NULL, NULL, NULL, NULL);</v>
      </c>
    </row>
    <row r="1352" spans="1:10" x14ac:dyDescent="0.3">
      <c r="A1352">
        <v>1351</v>
      </c>
      <c r="B1352">
        <v>35</v>
      </c>
      <c r="C1352">
        <v>39</v>
      </c>
      <c r="D1352" t="str">
        <f>IF('Boletins Nuppa Site'!F1352&lt;&gt;0,'Boletins Nuppa Site'!F1352,"NULL")</f>
        <v>NULL</v>
      </c>
      <c r="E1352">
        <f>IF('Boletins Nuppa Site'!G1352&lt;&gt;0,'Boletins Nuppa Site'!G1352,"NULL")</f>
        <v>50</v>
      </c>
      <c r="F1352">
        <f>IF('Boletins Nuppa Site'!H1352&lt;&gt;0,'Boletins Nuppa Site'!H1352,"NULL")</f>
        <v>50</v>
      </c>
      <c r="G1352">
        <f>IF('Boletins Nuppa Site'!I1352&lt;&gt;0,'Boletins Nuppa Site'!I1352,"NULL")</f>
        <v>50</v>
      </c>
      <c r="H1352">
        <f>IF('Boletins Nuppa Site'!J1352&lt;&gt;0,'Boletins Nuppa Site'!J1352,"NULL")</f>
        <v>50</v>
      </c>
      <c r="J1352" t="str">
        <f t="shared" si="21"/>
        <v>INSERT INTO COTACAO (blt_id, pap_id, cot_prc_comum, cot_prc_min, cot_prc_max, cot_prc_med, cot_prc_mediana) VALUES (35, 39, NULL, 50, 50, 50, 50);</v>
      </c>
    </row>
    <row r="1353" spans="1:10" x14ac:dyDescent="0.3">
      <c r="A1353">
        <v>1352</v>
      </c>
      <c r="B1353">
        <v>35</v>
      </c>
      <c r="C1353">
        <v>40</v>
      </c>
      <c r="D1353" t="str">
        <f>IF('Boletins Nuppa Site'!F1353&lt;&gt;0,'Boletins Nuppa Site'!F1353,"NULL")</f>
        <v>NULL</v>
      </c>
      <c r="E1353" t="str">
        <f>IF('Boletins Nuppa Site'!G1353&lt;&gt;0,'Boletins Nuppa Site'!G1353,"NULL")</f>
        <v>NULL</v>
      </c>
      <c r="F1353" t="str">
        <f>IF('Boletins Nuppa Site'!H1353&lt;&gt;0,'Boletins Nuppa Site'!H1353,"NULL")</f>
        <v>NULL</v>
      </c>
      <c r="G1353" t="str">
        <f>IF('Boletins Nuppa Site'!I1353&lt;&gt;0,'Boletins Nuppa Site'!I1353,"NULL")</f>
        <v>NULL</v>
      </c>
      <c r="H1353" t="str">
        <f>IF('Boletins Nuppa Site'!J1353&lt;&gt;0,'Boletins Nuppa Site'!J1353,"NULL")</f>
        <v>NULL</v>
      </c>
      <c r="J1353" t="str">
        <f t="shared" si="21"/>
        <v>INSERT INTO COTACAO (blt_id, pap_id, cot_prc_comum, cot_prc_min, cot_prc_max, cot_prc_med, cot_prc_mediana) VALUES (35, 40, NULL, NULL, NULL, NULL, NULL);</v>
      </c>
    </row>
    <row r="1354" spans="1:10" x14ac:dyDescent="0.3">
      <c r="A1354">
        <v>1353</v>
      </c>
      <c r="B1354">
        <v>36</v>
      </c>
      <c r="C1354">
        <v>1</v>
      </c>
      <c r="D1354">
        <f>IF('Boletins Nuppa Site'!F1354&lt;&gt;0,'Boletins Nuppa Site'!F1354,"NULL")</f>
        <v>48</v>
      </c>
      <c r="E1354">
        <f>IF('Boletins Nuppa Site'!G1354&lt;&gt;0,'Boletins Nuppa Site'!G1354,"NULL")</f>
        <v>48</v>
      </c>
      <c r="F1354">
        <f>IF('Boletins Nuppa Site'!H1354&lt;&gt;0,'Boletins Nuppa Site'!H1354,"NULL")</f>
        <v>60</v>
      </c>
      <c r="G1354">
        <f>IF('Boletins Nuppa Site'!I1354&lt;&gt;0,'Boletins Nuppa Site'!I1354,"NULL")</f>
        <v>51</v>
      </c>
      <c r="H1354">
        <f>IF('Boletins Nuppa Site'!J1354&lt;&gt;0,'Boletins Nuppa Site'!J1354,"NULL")</f>
        <v>48</v>
      </c>
      <c r="J1354" t="str">
        <f t="shared" si="21"/>
        <v>INSERT INTO COTACAO (blt_id, pap_id, cot_prc_comum, cot_prc_min, cot_prc_max, cot_prc_med, cot_prc_mediana) VALUES (36, 1, 48, 48, 60, 51, 48);</v>
      </c>
    </row>
    <row r="1355" spans="1:10" x14ac:dyDescent="0.3">
      <c r="A1355">
        <v>1354</v>
      </c>
      <c r="B1355">
        <v>36</v>
      </c>
      <c r="C1355">
        <v>2</v>
      </c>
      <c r="D1355">
        <f>IF('Boletins Nuppa Site'!F1355&lt;&gt;0,'Boletins Nuppa Site'!F1355,"NULL")</f>
        <v>72</v>
      </c>
      <c r="E1355">
        <f>IF('Boletins Nuppa Site'!G1355&lt;&gt;0,'Boletins Nuppa Site'!G1355,"NULL")</f>
        <v>72</v>
      </c>
      <c r="F1355">
        <f>IF('Boletins Nuppa Site'!H1355&lt;&gt;0,'Boletins Nuppa Site'!H1355,"NULL")</f>
        <v>84</v>
      </c>
      <c r="G1355">
        <f>IF('Boletins Nuppa Site'!I1355&lt;&gt;0,'Boletins Nuppa Site'!I1355,"NULL")</f>
        <v>76</v>
      </c>
      <c r="H1355">
        <f>IF('Boletins Nuppa Site'!J1355&lt;&gt;0,'Boletins Nuppa Site'!J1355,"NULL")</f>
        <v>72</v>
      </c>
      <c r="J1355" t="str">
        <f t="shared" si="21"/>
        <v>INSERT INTO COTACAO (blt_id, pap_id, cot_prc_comum, cot_prc_min, cot_prc_max, cot_prc_med, cot_prc_mediana) VALUES (36, 2, 72, 72, 84, 76, 72);</v>
      </c>
    </row>
    <row r="1356" spans="1:10" x14ac:dyDescent="0.3">
      <c r="A1356">
        <v>1355</v>
      </c>
      <c r="B1356">
        <v>36</v>
      </c>
      <c r="C1356">
        <v>3</v>
      </c>
      <c r="D1356">
        <f>IF('Boletins Nuppa Site'!F1356&lt;&gt;0,'Boletins Nuppa Site'!F1356,"NULL")</f>
        <v>30</v>
      </c>
      <c r="E1356">
        <f>IF('Boletins Nuppa Site'!G1356&lt;&gt;0,'Boletins Nuppa Site'!G1356,"NULL")</f>
        <v>30</v>
      </c>
      <c r="F1356">
        <f>IF('Boletins Nuppa Site'!H1356&lt;&gt;0,'Boletins Nuppa Site'!H1356,"NULL")</f>
        <v>36</v>
      </c>
      <c r="G1356">
        <f>IF('Boletins Nuppa Site'!I1356&lt;&gt;0,'Boletins Nuppa Site'!I1356,"NULL")</f>
        <v>33</v>
      </c>
      <c r="H1356">
        <f>IF('Boletins Nuppa Site'!J1356&lt;&gt;0,'Boletins Nuppa Site'!J1356,"NULL")</f>
        <v>33</v>
      </c>
      <c r="J1356" t="str">
        <f t="shared" si="21"/>
        <v>INSERT INTO COTACAO (blt_id, pap_id, cot_prc_comum, cot_prc_min, cot_prc_max, cot_prc_med, cot_prc_mediana) VALUES (36, 3, 30, 30, 36, 33, 33);</v>
      </c>
    </row>
    <row r="1357" spans="1:10" x14ac:dyDescent="0.3">
      <c r="A1357">
        <v>1356</v>
      </c>
      <c r="B1357">
        <v>36</v>
      </c>
      <c r="C1357">
        <v>4</v>
      </c>
      <c r="D1357">
        <f>IF('Boletins Nuppa Site'!F1357&lt;&gt;0,'Boletins Nuppa Site'!F1357,"NULL")</f>
        <v>24</v>
      </c>
      <c r="E1357">
        <f>IF('Boletins Nuppa Site'!G1357&lt;&gt;0,'Boletins Nuppa Site'!G1357,"NULL")</f>
        <v>18</v>
      </c>
      <c r="F1357">
        <f>IF('Boletins Nuppa Site'!H1357&lt;&gt;0,'Boletins Nuppa Site'!H1357,"NULL")</f>
        <v>24</v>
      </c>
      <c r="G1357" t="str">
        <f>IF('Boletins Nuppa Site'!I1357&lt;&gt;0,'Boletins Nuppa Site'!I1357,"NULL")</f>
        <v>21.5</v>
      </c>
      <c r="H1357">
        <f>IF('Boletins Nuppa Site'!J1357&lt;&gt;0,'Boletins Nuppa Site'!J1357,"NULL")</f>
        <v>22</v>
      </c>
      <c r="J1357" t="str">
        <f t="shared" si="21"/>
        <v>INSERT INTO COTACAO (blt_id, pap_id, cot_prc_comum, cot_prc_min, cot_prc_max, cot_prc_med, cot_prc_mediana) VALUES (36, 4, 24, 18, 24, 21.5, 22);</v>
      </c>
    </row>
    <row r="1358" spans="1:10" x14ac:dyDescent="0.3">
      <c r="A1358">
        <v>1357</v>
      </c>
      <c r="B1358">
        <v>36</v>
      </c>
      <c r="C1358">
        <v>5</v>
      </c>
      <c r="D1358">
        <f>IF('Boletins Nuppa Site'!F1358&lt;&gt;0,'Boletins Nuppa Site'!F1358,"NULL")</f>
        <v>24</v>
      </c>
      <c r="E1358">
        <f>IF('Boletins Nuppa Site'!G1358&lt;&gt;0,'Boletins Nuppa Site'!G1358,"NULL")</f>
        <v>18</v>
      </c>
      <c r="F1358">
        <f>IF('Boletins Nuppa Site'!H1358&lt;&gt;0,'Boletins Nuppa Site'!H1358,"NULL")</f>
        <v>24</v>
      </c>
      <c r="G1358" t="str">
        <f>IF('Boletins Nuppa Site'!I1358&lt;&gt;0,'Boletins Nuppa Site'!I1358,"NULL")</f>
        <v>21.5</v>
      </c>
      <c r="H1358">
        <f>IF('Boletins Nuppa Site'!J1358&lt;&gt;0,'Boletins Nuppa Site'!J1358,"NULL")</f>
        <v>22</v>
      </c>
      <c r="J1358" t="str">
        <f t="shared" si="21"/>
        <v>INSERT INTO COTACAO (blt_id, pap_id, cot_prc_comum, cot_prc_min, cot_prc_max, cot_prc_med, cot_prc_mediana) VALUES (36, 5, 24, 18, 24, 21.5, 22);</v>
      </c>
    </row>
    <row r="1359" spans="1:10" x14ac:dyDescent="0.3">
      <c r="A1359">
        <v>1358</v>
      </c>
      <c r="B1359">
        <v>36</v>
      </c>
      <c r="C1359">
        <v>6</v>
      </c>
      <c r="D1359">
        <f>IF('Boletins Nuppa Site'!F1359&lt;&gt;0,'Boletins Nuppa Site'!F1359,"NULL")</f>
        <v>48</v>
      </c>
      <c r="E1359">
        <f>IF('Boletins Nuppa Site'!G1359&lt;&gt;0,'Boletins Nuppa Site'!G1359,"NULL")</f>
        <v>48</v>
      </c>
      <c r="F1359">
        <f>IF('Boletins Nuppa Site'!H1359&lt;&gt;0,'Boletins Nuppa Site'!H1359,"NULL")</f>
        <v>60</v>
      </c>
      <c r="G1359">
        <f>IF('Boletins Nuppa Site'!I1359&lt;&gt;0,'Boletins Nuppa Site'!I1359,"NULL")</f>
        <v>52</v>
      </c>
      <c r="H1359">
        <f>IF('Boletins Nuppa Site'!J1359&lt;&gt;0,'Boletins Nuppa Site'!J1359,"NULL")</f>
        <v>48</v>
      </c>
      <c r="J1359" t="str">
        <f t="shared" si="21"/>
        <v>INSERT INTO COTACAO (blt_id, pap_id, cot_prc_comum, cot_prc_min, cot_prc_max, cot_prc_med, cot_prc_mediana) VALUES (36, 6, 48, 48, 60, 52, 48);</v>
      </c>
    </row>
    <row r="1360" spans="1:10" x14ac:dyDescent="0.3">
      <c r="A1360">
        <v>1359</v>
      </c>
      <c r="B1360">
        <v>36</v>
      </c>
      <c r="C1360">
        <v>7</v>
      </c>
      <c r="D1360" t="str">
        <f>IF('Boletins Nuppa Site'!F1360&lt;&gt;0,'Boletins Nuppa Site'!F1360,"NULL")</f>
        <v>NULL</v>
      </c>
      <c r="E1360">
        <f>IF('Boletins Nuppa Site'!G1360&lt;&gt;0,'Boletins Nuppa Site'!G1360,"NULL")</f>
        <v>48</v>
      </c>
      <c r="F1360">
        <f>IF('Boletins Nuppa Site'!H1360&lt;&gt;0,'Boletins Nuppa Site'!H1360,"NULL")</f>
        <v>60</v>
      </c>
      <c r="G1360">
        <f>IF('Boletins Nuppa Site'!I1360&lt;&gt;0,'Boletins Nuppa Site'!I1360,"NULL")</f>
        <v>54</v>
      </c>
      <c r="H1360">
        <f>IF('Boletins Nuppa Site'!J1360&lt;&gt;0,'Boletins Nuppa Site'!J1360,"NULL")</f>
        <v>54</v>
      </c>
      <c r="J1360" t="str">
        <f t="shared" si="21"/>
        <v>INSERT INTO COTACAO (blt_id, pap_id, cot_prc_comum, cot_prc_min, cot_prc_max, cot_prc_med, cot_prc_mediana) VALUES (36, 7, NULL, 48, 60, 54, 54);</v>
      </c>
    </row>
    <row r="1361" spans="1:10" x14ac:dyDescent="0.3">
      <c r="A1361">
        <v>1360</v>
      </c>
      <c r="B1361">
        <v>36</v>
      </c>
      <c r="C1361">
        <v>8</v>
      </c>
      <c r="D1361">
        <f>IF('Boletins Nuppa Site'!F1361&lt;&gt;0,'Boletins Nuppa Site'!F1361,"NULL")</f>
        <v>72</v>
      </c>
      <c r="E1361">
        <f>IF('Boletins Nuppa Site'!G1361&lt;&gt;0,'Boletins Nuppa Site'!G1361,"NULL")</f>
        <v>72</v>
      </c>
      <c r="F1361">
        <f>IF('Boletins Nuppa Site'!H1361&lt;&gt;0,'Boletins Nuppa Site'!H1361,"NULL")</f>
        <v>72</v>
      </c>
      <c r="G1361">
        <f>IF('Boletins Nuppa Site'!I1361&lt;&gt;0,'Boletins Nuppa Site'!I1361,"NULL")</f>
        <v>72</v>
      </c>
      <c r="H1361">
        <f>IF('Boletins Nuppa Site'!J1361&lt;&gt;0,'Boletins Nuppa Site'!J1361,"NULL")</f>
        <v>72</v>
      </c>
      <c r="J1361" t="str">
        <f t="shared" si="21"/>
        <v>INSERT INTO COTACAO (blt_id, pap_id, cot_prc_comum, cot_prc_min, cot_prc_max, cot_prc_med, cot_prc_mediana) VALUES (36, 8, 72, 72, 72, 72, 72);</v>
      </c>
    </row>
    <row r="1362" spans="1:10" x14ac:dyDescent="0.3">
      <c r="A1362">
        <v>1361</v>
      </c>
      <c r="B1362">
        <v>36</v>
      </c>
      <c r="C1362">
        <v>9</v>
      </c>
      <c r="D1362">
        <f>IF('Boletins Nuppa Site'!F1362&lt;&gt;0,'Boletins Nuppa Site'!F1362,"NULL")</f>
        <v>24</v>
      </c>
      <c r="E1362">
        <f>IF('Boletins Nuppa Site'!G1362&lt;&gt;0,'Boletins Nuppa Site'!G1362,"NULL")</f>
        <v>18</v>
      </c>
      <c r="F1362">
        <f>IF('Boletins Nuppa Site'!H1362&lt;&gt;0,'Boletins Nuppa Site'!H1362,"NULL")</f>
        <v>24</v>
      </c>
      <c r="G1362" t="str">
        <f>IF('Boletins Nuppa Site'!I1362&lt;&gt;0,'Boletins Nuppa Site'!I1362,"NULL")</f>
        <v>22.5</v>
      </c>
      <c r="H1362">
        <f>IF('Boletins Nuppa Site'!J1362&lt;&gt;0,'Boletins Nuppa Site'!J1362,"NULL")</f>
        <v>24</v>
      </c>
      <c r="J1362" t="str">
        <f t="shared" si="21"/>
        <v>INSERT INTO COTACAO (blt_id, pap_id, cot_prc_comum, cot_prc_min, cot_prc_max, cot_prc_med, cot_prc_mediana) VALUES (36, 9, 24, 18, 24, 22.5, 24);</v>
      </c>
    </row>
    <row r="1363" spans="1:10" x14ac:dyDescent="0.3">
      <c r="A1363">
        <v>1362</v>
      </c>
      <c r="B1363">
        <v>36</v>
      </c>
      <c r="C1363">
        <v>10</v>
      </c>
      <c r="D1363">
        <f>IF('Boletins Nuppa Site'!F1363&lt;&gt;0,'Boletins Nuppa Site'!F1363,"NULL")</f>
        <v>60</v>
      </c>
      <c r="E1363">
        <f>IF('Boletins Nuppa Site'!G1363&lt;&gt;0,'Boletins Nuppa Site'!G1363,"NULL")</f>
        <v>50</v>
      </c>
      <c r="F1363">
        <f>IF('Boletins Nuppa Site'!H1363&lt;&gt;0,'Boletins Nuppa Site'!H1363,"NULL")</f>
        <v>60</v>
      </c>
      <c r="G1363" t="str">
        <f>IF('Boletins Nuppa Site'!I1363&lt;&gt;0,'Boletins Nuppa Site'!I1363,"NULL")</f>
        <v>56.67</v>
      </c>
      <c r="H1363">
        <f>IF('Boletins Nuppa Site'!J1363&lt;&gt;0,'Boletins Nuppa Site'!J1363,"NULL")</f>
        <v>60</v>
      </c>
      <c r="J1363" t="str">
        <f t="shared" si="21"/>
        <v>INSERT INTO COTACAO (blt_id, pap_id, cot_prc_comum, cot_prc_min, cot_prc_max, cot_prc_med, cot_prc_mediana) VALUES (36, 10, 60, 50, 60, 56.67, 60);</v>
      </c>
    </row>
    <row r="1364" spans="1:10" x14ac:dyDescent="0.3">
      <c r="A1364">
        <v>1363</v>
      </c>
      <c r="B1364">
        <v>36</v>
      </c>
      <c r="C1364">
        <v>11</v>
      </c>
      <c r="D1364">
        <f>IF('Boletins Nuppa Site'!F1364&lt;&gt;0,'Boletins Nuppa Site'!F1364,"NULL")</f>
        <v>24</v>
      </c>
      <c r="E1364">
        <f>IF('Boletins Nuppa Site'!G1364&lt;&gt;0,'Boletins Nuppa Site'!G1364,"NULL")</f>
        <v>20</v>
      </c>
      <c r="F1364">
        <f>IF('Boletins Nuppa Site'!H1364&lt;&gt;0,'Boletins Nuppa Site'!H1364,"NULL")</f>
        <v>24</v>
      </c>
      <c r="G1364">
        <f>IF('Boletins Nuppa Site'!I1364&lt;&gt;0,'Boletins Nuppa Site'!I1364,"NULL")</f>
        <v>23</v>
      </c>
      <c r="H1364">
        <f>IF('Boletins Nuppa Site'!J1364&lt;&gt;0,'Boletins Nuppa Site'!J1364,"NULL")</f>
        <v>24</v>
      </c>
      <c r="J1364" t="str">
        <f t="shared" si="21"/>
        <v>INSERT INTO COTACAO (blt_id, pap_id, cot_prc_comum, cot_prc_min, cot_prc_max, cot_prc_med, cot_prc_mediana) VALUES (36, 11, 24, 20, 24, 23, 24);</v>
      </c>
    </row>
    <row r="1365" spans="1:10" x14ac:dyDescent="0.3">
      <c r="A1365">
        <v>1364</v>
      </c>
      <c r="B1365">
        <v>36</v>
      </c>
      <c r="C1365">
        <v>12</v>
      </c>
      <c r="D1365">
        <f>IF('Boletins Nuppa Site'!F1365&lt;&gt;0,'Boletins Nuppa Site'!F1365,"NULL")</f>
        <v>48</v>
      </c>
      <c r="E1365">
        <f>IF('Boletins Nuppa Site'!G1365&lt;&gt;0,'Boletins Nuppa Site'!G1365,"NULL")</f>
        <v>48</v>
      </c>
      <c r="F1365">
        <f>IF('Boletins Nuppa Site'!H1365&lt;&gt;0,'Boletins Nuppa Site'!H1365,"NULL")</f>
        <v>72</v>
      </c>
      <c r="G1365">
        <f>IF('Boletins Nuppa Site'!I1365&lt;&gt;0,'Boletins Nuppa Site'!I1365,"NULL")</f>
        <v>56</v>
      </c>
      <c r="H1365">
        <f>IF('Boletins Nuppa Site'!J1365&lt;&gt;0,'Boletins Nuppa Site'!J1365,"NULL")</f>
        <v>48</v>
      </c>
      <c r="J1365" t="str">
        <f t="shared" si="21"/>
        <v>INSERT INTO COTACAO (blt_id, pap_id, cot_prc_comum, cot_prc_min, cot_prc_max, cot_prc_med, cot_prc_mediana) VALUES (36, 12, 48, 48, 72, 56, 48);</v>
      </c>
    </row>
    <row r="1366" spans="1:10" x14ac:dyDescent="0.3">
      <c r="A1366">
        <v>1365</v>
      </c>
      <c r="B1366">
        <v>36</v>
      </c>
      <c r="C1366">
        <v>13</v>
      </c>
      <c r="D1366">
        <f>IF('Boletins Nuppa Site'!F1366&lt;&gt;0,'Boletins Nuppa Site'!F1366,"NULL")</f>
        <v>60</v>
      </c>
      <c r="E1366">
        <f>IF('Boletins Nuppa Site'!G1366&lt;&gt;0,'Boletins Nuppa Site'!G1366,"NULL")</f>
        <v>48</v>
      </c>
      <c r="F1366">
        <f>IF('Boletins Nuppa Site'!H1366&lt;&gt;0,'Boletins Nuppa Site'!H1366,"NULL")</f>
        <v>60</v>
      </c>
      <c r="G1366">
        <f>IF('Boletins Nuppa Site'!I1366&lt;&gt;0,'Boletins Nuppa Site'!I1366,"NULL")</f>
        <v>54</v>
      </c>
      <c r="H1366">
        <f>IF('Boletins Nuppa Site'!J1366&lt;&gt;0,'Boletins Nuppa Site'!J1366,"NULL")</f>
        <v>54</v>
      </c>
      <c r="J1366" t="str">
        <f t="shared" si="21"/>
        <v>INSERT INTO COTACAO (blt_id, pap_id, cot_prc_comum, cot_prc_min, cot_prc_max, cot_prc_med, cot_prc_mediana) VALUES (36, 13, 60, 48, 60, 54, 54);</v>
      </c>
    </row>
    <row r="1367" spans="1:10" x14ac:dyDescent="0.3">
      <c r="A1367">
        <v>1366</v>
      </c>
      <c r="B1367">
        <v>36</v>
      </c>
      <c r="C1367">
        <v>14</v>
      </c>
      <c r="D1367">
        <f>IF('Boletins Nuppa Site'!F1367&lt;&gt;0,'Boletins Nuppa Site'!F1367,"NULL")</f>
        <v>48</v>
      </c>
      <c r="E1367">
        <f>IF('Boletins Nuppa Site'!G1367&lt;&gt;0,'Boletins Nuppa Site'!G1367,"NULL")</f>
        <v>35</v>
      </c>
      <c r="F1367">
        <f>IF('Boletins Nuppa Site'!H1367&lt;&gt;0,'Boletins Nuppa Site'!H1367,"NULL")</f>
        <v>48</v>
      </c>
      <c r="G1367" t="str">
        <f>IF('Boletins Nuppa Site'!I1367&lt;&gt;0,'Boletins Nuppa Site'!I1367,"NULL")</f>
        <v>43.67</v>
      </c>
      <c r="H1367">
        <f>IF('Boletins Nuppa Site'!J1367&lt;&gt;0,'Boletins Nuppa Site'!J1367,"NULL")</f>
        <v>48</v>
      </c>
      <c r="J1367" t="str">
        <f t="shared" si="21"/>
        <v>INSERT INTO COTACAO (blt_id, pap_id, cot_prc_comum, cot_prc_min, cot_prc_max, cot_prc_med, cot_prc_mediana) VALUES (36, 14, 48, 35, 48, 43.67, 48);</v>
      </c>
    </row>
    <row r="1368" spans="1:10" x14ac:dyDescent="0.3">
      <c r="A1368">
        <v>1367</v>
      </c>
      <c r="B1368">
        <v>36</v>
      </c>
      <c r="C1368">
        <v>15</v>
      </c>
      <c r="D1368">
        <f>IF('Boletins Nuppa Site'!F1368&lt;&gt;0,'Boletins Nuppa Site'!F1368,"NULL")</f>
        <v>30</v>
      </c>
      <c r="E1368">
        <f>IF('Boletins Nuppa Site'!G1368&lt;&gt;0,'Boletins Nuppa Site'!G1368,"NULL")</f>
        <v>24</v>
      </c>
      <c r="F1368">
        <f>IF('Boletins Nuppa Site'!H1368&lt;&gt;0,'Boletins Nuppa Site'!H1368,"NULL")</f>
        <v>36</v>
      </c>
      <c r="G1368">
        <f>IF('Boletins Nuppa Site'!I1368&lt;&gt;0,'Boletins Nuppa Site'!I1368,"NULL")</f>
        <v>30</v>
      </c>
      <c r="H1368">
        <f>IF('Boletins Nuppa Site'!J1368&lt;&gt;0,'Boletins Nuppa Site'!J1368,"NULL")</f>
        <v>30</v>
      </c>
      <c r="J1368" t="str">
        <f t="shared" si="21"/>
        <v>INSERT INTO COTACAO (blt_id, pap_id, cot_prc_comum, cot_prc_min, cot_prc_max, cot_prc_med, cot_prc_mediana) VALUES (36, 15, 30, 24, 36, 30, 30);</v>
      </c>
    </row>
    <row r="1369" spans="1:10" x14ac:dyDescent="0.3">
      <c r="A1369">
        <v>1368</v>
      </c>
      <c r="B1369">
        <v>36</v>
      </c>
      <c r="C1369">
        <v>16</v>
      </c>
      <c r="D1369">
        <f>IF('Boletins Nuppa Site'!F1369&lt;&gt;0,'Boletins Nuppa Site'!F1369,"NULL")</f>
        <v>48</v>
      </c>
      <c r="E1369">
        <f>IF('Boletins Nuppa Site'!G1369&lt;&gt;0,'Boletins Nuppa Site'!G1369,"NULL")</f>
        <v>48</v>
      </c>
      <c r="F1369">
        <f>IF('Boletins Nuppa Site'!H1369&lt;&gt;0,'Boletins Nuppa Site'!H1369,"NULL")</f>
        <v>54</v>
      </c>
      <c r="G1369" t="str">
        <f>IF('Boletins Nuppa Site'!I1369&lt;&gt;0,'Boletins Nuppa Site'!I1369,"NULL")</f>
        <v>49.5</v>
      </c>
      <c r="H1369">
        <f>IF('Boletins Nuppa Site'!J1369&lt;&gt;0,'Boletins Nuppa Site'!J1369,"NULL")</f>
        <v>48</v>
      </c>
      <c r="J1369" t="str">
        <f t="shared" si="21"/>
        <v>INSERT INTO COTACAO (blt_id, pap_id, cot_prc_comum, cot_prc_min, cot_prc_max, cot_prc_med, cot_prc_mediana) VALUES (36, 16, 48, 48, 54, 49.5, 48);</v>
      </c>
    </row>
    <row r="1370" spans="1:10" x14ac:dyDescent="0.3">
      <c r="A1370">
        <v>1369</v>
      </c>
      <c r="B1370">
        <v>36</v>
      </c>
      <c r="C1370">
        <v>17</v>
      </c>
      <c r="D1370">
        <f>IF('Boletins Nuppa Site'!F1370&lt;&gt;0,'Boletins Nuppa Site'!F1370,"NULL")</f>
        <v>5</v>
      </c>
      <c r="E1370">
        <f>IF('Boletins Nuppa Site'!G1370&lt;&gt;0,'Boletins Nuppa Site'!G1370,"NULL")</f>
        <v>4</v>
      </c>
      <c r="F1370">
        <f>IF('Boletins Nuppa Site'!H1370&lt;&gt;0,'Boletins Nuppa Site'!H1370,"NULL")</f>
        <v>5</v>
      </c>
      <c r="G1370" t="str">
        <f>IF('Boletins Nuppa Site'!I1370&lt;&gt;0,'Boletins Nuppa Site'!I1370,"NULL")</f>
        <v>4.75</v>
      </c>
      <c r="H1370">
        <f>IF('Boletins Nuppa Site'!J1370&lt;&gt;0,'Boletins Nuppa Site'!J1370,"NULL")</f>
        <v>5</v>
      </c>
      <c r="J1370" t="str">
        <f t="shared" si="21"/>
        <v>INSERT INTO COTACAO (blt_id, pap_id, cot_prc_comum, cot_prc_min, cot_prc_max, cot_prc_med, cot_prc_mediana) VALUES (36, 17, 5, 4, 5, 4.75, 5);</v>
      </c>
    </row>
    <row r="1371" spans="1:10" x14ac:dyDescent="0.3">
      <c r="A1371">
        <v>1370</v>
      </c>
      <c r="B1371">
        <v>36</v>
      </c>
      <c r="C1371">
        <v>18</v>
      </c>
      <c r="D1371">
        <f>IF('Boletins Nuppa Site'!F1371&lt;&gt;0,'Boletins Nuppa Site'!F1371,"NULL")</f>
        <v>12</v>
      </c>
      <c r="E1371">
        <f>IF('Boletins Nuppa Site'!G1371&lt;&gt;0,'Boletins Nuppa Site'!G1371,"NULL")</f>
        <v>12</v>
      </c>
      <c r="F1371">
        <f>IF('Boletins Nuppa Site'!H1371&lt;&gt;0,'Boletins Nuppa Site'!H1371,"NULL")</f>
        <v>15</v>
      </c>
      <c r="G1371" t="str">
        <f>IF('Boletins Nuppa Site'!I1371&lt;&gt;0,'Boletins Nuppa Site'!I1371,"NULL")</f>
        <v>12.75</v>
      </c>
      <c r="H1371">
        <f>IF('Boletins Nuppa Site'!J1371&lt;&gt;0,'Boletins Nuppa Site'!J1371,"NULL")</f>
        <v>12</v>
      </c>
      <c r="J1371" t="str">
        <f t="shared" si="21"/>
        <v>INSERT INTO COTACAO (blt_id, pap_id, cot_prc_comum, cot_prc_min, cot_prc_max, cot_prc_med, cot_prc_mediana) VALUES (36, 18, 12, 12, 15, 12.75, 12);</v>
      </c>
    </row>
    <row r="1372" spans="1:10" x14ac:dyDescent="0.3">
      <c r="A1372">
        <v>1371</v>
      </c>
      <c r="B1372">
        <v>36</v>
      </c>
      <c r="C1372">
        <v>19</v>
      </c>
      <c r="D1372">
        <f>IF('Boletins Nuppa Site'!F1372&lt;&gt;0,'Boletins Nuppa Site'!F1372,"NULL")</f>
        <v>20</v>
      </c>
      <c r="E1372">
        <f>IF('Boletins Nuppa Site'!G1372&lt;&gt;0,'Boletins Nuppa Site'!G1372,"NULL")</f>
        <v>20</v>
      </c>
      <c r="F1372">
        <f>IF('Boletins Nuppa Site'!H1372&lt;&gt;0,'Boletins Nuppa Site'!H1372,"NULL")</f>
        <v>30</v>
      </c>
      <c r="G1372" t="str">
        <f>IF('Boletins Nuppa Site'!I1372&lt;&gt;0,'Boletins Nuppa Site'!I1372,"NULL")</f>
        <v>23.75</v>
      </c>
      <c r="H1372" t="str">
        <f>IF('Boletins Nuppa Site'!J1372&lt;&gt;0,'Boletins Nuppa Site'!J1372,"NULL")</f>
        <v>22.5</v>
      </c>
      <c r="J1372" t="str">
        <f t="shared" si="21"/>
        <v>INSERT INTO COTACAO (blt_id, pap_id, cot_prc_comum, cot_prc_min, cot_prc_max, cot_prc_med, cot_prc_mediana) VALUES (36, 19, 20, 20, 30, 23.75, 22.5);</v>
      </c>
    </row>
    <row r="1373" spans="1:10" x14ac:dyDescent="0.3">
      <c r="A1373">
        <v>1372</v>
      </c>
      <c r="B1373">
        <v>36</v>
      </c>
      <c r="C1373">
        <v>20</v>
      </c>
      <c r="D1373">
        <f>IF('Boletins Nuppa Site'!F1373&lt;&gt;0,'Boletins Nuppa Site'!F1373,"NULL")</f>
        <v>80</v>
      </c>
      <c r="E1373">
        <f>IF('Boletins Nuppa Site'!G1373&lt;&gt;0,'Boletins Nuppa Site'!G1373,"NULL")</f>
        <v>75</v>
      </c>
      <c r="F1373">
        <f>IF('Boletins Nuppa Site'!H1373&lt;&gt;0,'Boletins Nuppa Site'!H1373,"NULL")</f>
        <v>80</v>
      </c>
      <c r="G1373" t="str">
        <f>IF('Boletins Nuppa Site'!I1373&lt;&gt;0,'Boletins Nuppa Site'!I1373,"NULL")</f>
        <v>78.33</v>
      </c>
      <c r="H1373">
        <f>IF('Boletins Nuppa Site'!J1373&lt;&gt;0,'Boletins Nuppa Site'!J1373,"NULL")</f>
        <v>80</v>
      </c>
      <c r="J1373" t="str">
        <f t="shared" si="21"/>
        <v>INSERT INTO COTACAO (blt_id, pap_id, cot_prc_comum, cot_prc_min, cot_prc_max, cot_prc_med, cot_prc_mediana) VALUES (36, 20, 80, 75, 80, 78.33, 80);</v>
      </c>
    </row>
    <row r="1374" spans="1:10" x14ac:dyDescent="0.3">
      <c r="A1374">
        <v>1373</v>
      </c>
      <c r="B1374">
        <v>36</v>
      </c>
      <c r="C1374">
        <v>21</v>
      </c>
      <c r="D1374">
        <f>IF('Boletins Nuppa Site'!F1374&lt;&gt;0,'Boletins Nuppa Site'!F1374,"NULL")</f>
        <v>35</v>
      </c>
      <c r="E1374">
        <f>IF('Boletins Nuppa Site'!G1374&lt;&gt;0,'Boletins Nuppa Site'!G1374,"NULL")</f>
        <v>35</v>
      </c>
      <c r="F1374">
        <f>IF('Boletins Nuppa Site'!H1374&lt;&gt;0,'Boletins Nuppa Site'!H1374,"NULL")</f>
        <v>50</v>
      </c>
      <c r="G1374" t="str">
        <f>IF('Boletins Nuppa Site'!I1374&lt;&gt;0,'Boletins Nuppa Site'!I1374,"NULL")</f>
        <v>41.25</v>
      </c>
      <c r="H1374">
        <f>IF('Boletins Nuppa Site'!J1374&lt;&gt;0,'Boletins Nuppa Site'!J1374,"NULL")</f>
        <v>40</v>
      </c>
      <c r="J1374" t="str">
        <f t="shared" si="21"/>
        <v>INSERT INTO COTACAO (blt_id, pap_id, cot_prc_comum, cot_prc_min, cot_prc_max, cot_prc_med, cot_prc_mediana) VALUES (36, 21, 35, 35, 50, 41.25, 40);</v>
      </c>
    </row>
    <row r="1375" spans="1:10" x14ac:dyDescent="0.3">
      <c r="A1375">
        <v>1374</v>
      </c>
      <c r="B1375">
        <v>36</v>
      </c>
      <c r="C1375">
        <v>22</v>
      </c>
      <c r="D1375">
        <f>IF('Boletins Nuppa Site'!F1375&lt;&gt;0,'Boletins Nuppa Site'!F1375,"NULL")</f>
        <v>70</v>
      </c>
      <c r="E1375">
        <f>IF('Boletins Nuppa Site'!G1375&lt;&gt;0,'Boletins Nuppa Site'!G1375,"NULL")</f>
        <v>45</v>
      </c>
      <c r="F1375">
        <f>IF('Boletins Nuppa Site'!H1375&lt;&gt;0,'Boletins Nuppa Site'!H1375,"NULL")</f>
        <v>70</v>
      </c>
      <c r="G1375" t="str">
        <f>IF('Boletins Nuppa Site'!I1375&lt;&gt;0,'Boletins Nuppa Site'!I1375,"NULL")</f>
        <v>62.5</v>
      </c>
      <c r="H1375" t="str">
        <f>IF('Boletins Nuppa Site'!J1375&lt;&gt;0,'Boletins Nuppa Site'!J1375,"NULL")</f>
        <v>67.5</v>
      </c>
      <c r="J1375" t="str">
        <f t="shared" si="21"/>
        <v>INSERT INTO COTACAO (blt_id, pap_id, cot_prc_comum, cot_prc_min, cot_prc_max, cot_prc_med, cot_prc_mediana) VALUES (36, 22, 70, 45, 70, 62.5, 67.5);</v>
      </c>
    </row>
    <row r="1376" spans="1:10" x14ac:dyDescent="0.3">
      <c r="A1376">
        <v>1375</v>
      </c>
      <c r="B1376">
        <v>36</v>
      </c>
      <c r="C1376">
        <v>23</v>
      </c>
      <c r="D1376">
        <f>IF('Boletins Nuppa Site'!F1376&lt;&gt;0,'Boletins Nuppa Site'!F1376,"NULL")</f>
        <v>60</v>
      </c>
      <c r="E1376">
        <f>IF('Boletins Nuppa Site'!G1376&lt;&gt;0,'Boletins Nuppa Site'!G1376,"NULL")</f>
        <v>50</v>
      </c>
      <c r="F1376">
        <f>IF('Boletins Nuppa Site'!H1376&lt;&gt;0,'Boletins Nuppa Site'!H1376,"NULL")</f>
        <v>60</v>
      </c>
      <c r="G1376" t="str">
        <f>IF('Boletins Nuppa Site'!I1376&lt;&gt;0,'Boletins Nuppa Site'!I1376,"NULL")</f>
        <v>57.5</v>
      </c>
      <c r="H1376">
        <f>IF('Boletins Nuppa Site'!J1376&lt;&gt;0,'Boletins Nuppa Site'!J1376,"NULL")</f>
        <v>60</v>
      </c>
      <c r="J1376" t="str">
        <f t="shared" si="21"/>
        <v>INSERT INTO COTACAO (blt_id, pap_id, cot_prc_comum, cot_prc_min, cot_prc_max, cot_prc_med, cot_prc_mediana) VALUES (36, 23, 60, 50, 60, 57.5, 60);</v>
      </c>
    </row>
    <row r="1377" spans="1:10" x14ac:dyDescent="0.3">
      <c r="A1377">
        <v>1376</v>
      </c>
      <c r="B1377">
        <v>36</v>
      </c>
      <c r="C1377">
        <v>24</v>
      </c>
      <c r="D1377" t="str">
        <f>IF('Boletins Nuppa Site'!F1377&lt;&gt;0,'Boletins Nuppa Site'!F1377,"NULL")</f>
        <v>NULL</v>
      </c>
      <c r="E1377">
        <f>IF('Boletins Nuppa Site'!G1377&lt;&gt;0,'Boletins Nuppa Site'!G1377,"NULL")</f>
        <v>75</v>
      </c>
      <c r="F1377">
        <f>IF('Boletins Nuppa Site'!H1377&lt;&gt;0,'Boletins Nuppa Site'!H1377,"NULL")</f>
        <v>120</v>
      </c>
      <c r="G1377" t="str">
        <f>IF('Boletins Nuppa Site'!I1377&lt;&gt;0,'Boletins Nuppa Site'!I1377,"NULL")</f>
        <v>97.5</v>
      </c>
      <c r="H1377" t="str">
        <f>IF('Boletins Nuppa Site'!J1377&lt;&gt;0,'Boletins Nuppa Site'!J1377,"NULL")</f>
        <v>97.5</v>
      </c>
      <c r="J1377" t="str">
        <f t="shared" si="21"/>
        <v>INSERT INTO COTACAO (blt_id, pap_id, cot_prc_comum, cot_prc_min, cot_prc_max, cot_prc_med, cot_prc_mediana) VALUES (36, 24, NULL, 75, 120, 97.5, 97.5);</v>
      </c>
    </row>
    <row r="1378" spans="1:10" x14ac:dyDescent="0.3">
      <c r="A1378">
        <v>1377</v>
      </c>
      <c r="B1378">
        <v>36</v>
      </c>
      <c r="C1378">
        <v>25</v>
      </c>
      <c r="D1378" t="str">
        <f>IF('Boletins Nuppa Site'!F1378&lt;&gt;0,'Boletins Nuppa Site'!F1378,"NULL")</f>
        <v>NULL</v>
      </c>
      <c r="E1378">
        <f>IF('Boletins Nuppa Site'!G1378&lt;&gt;0,'Boletins Nuppa Site'!G1378,"NULL")</f>
        <v>60</v>
      </c>
      <c r="F1378">
        <f>IF('Boletins Nuppa Site'!H1378&lt;&gt;0,'Boletins Nuppa Site'!H1378,"NULL")</f>
        <v>80</v>
      </c>
      <c r="G1378" t="str">
        <f>IF('Boletins Nuppa Site'!I1378&lt;&gt;0,'Boletins Nuppa Site'!I1378,"NULL")</f>
        <v>68.75</v>
      </c>
      <c r="H1378" t="str">
        <f>IF('Boletins Nuppa Site'!J1378&lt;&gt;0,'Boletins Nuppa Site'!J1378,"NULL")</f>
        <v>67.5</v>
      </c>
      <c r="J1378" t="str">
        <f t="shared" si="21"/>
        <v>INSERT INTO COTACAO (blt_id, pap_id, cot_prc_comum, cot_prc_min, cot_prc_max, cot_prc_med, cot_prc_mediana) VALUES (36, 25, NULL, 60, 80, 68.75, 67.5);</v>
      </c>
    </row>
    <row r="1379" spans="1:10" x14ac:dyDescent="0.3">
      <c r="A1379">
        <v>1378</v>
      </c>
      <c r="B1379">
        <v>36</v>
      </c>
      <c r="C1379">
        <v>26</v>
      </c>
      <c r="D1379">
        <f>IF('Boletins Nuppa Site'!F1379&lt;&gt;0,'Boletins Nuppa Site'!F1379,"NULL")</f>
        <v>55</v>
      </c>
      <c r="E1379">
        <f>IF('Boletins Nuppa Site'!G1379&lt;&gt;0,'Boletins Nuppa Site'!G1379,"NULL")</f>
        <v>30</v>
      </c>
      <c r="F1379">
        <f>IF('Boletins Nuppa Site'!H1379&lt;&gt;0,'Boletins Nuppa Site'!H1379,"NULL")</f>
        <v>60</v>
      </c>
      <c r="G1379">
        <f>IF('Boletins Nuppa Site'!I1379&lt;&gt;0,'Boletins Nuppa Site'!I1379,"NULL")</f>
        <v>50</v>
      </c>
      <c r="H1379">
        <f>IF('Boletins Nuppa Site'!J1379&lt;&gt;0,'Boletins Nuppa Site'!J1379,"NULL")</f>
        <v>55</v>
      </c>
      <c r="J1379" t="str">
        <f t="shared" si="21"/>
        <v>INSERT INTO COTACAO (blt_id, pap_id, cot_prc_comum, cot_prc_min, cot_prc_max, cot_prc_med, cot_prc_mediana) VALUES (36, 26, 55, 30, 60, 50, 55);</v>
      </c>
    </row>
    <row r="1380" spans="1:10" x14ac:dyDescent="0.3">
      <c r="A1380">
        <v>1379</v>
      </c>
      <c r="B1380">
        <v>36</v>
      </c>
      <c r="C1380">
        <v>27</v>
      </c>
      <c r="D1380">
        <f>IF('Boletins Nuppa Site'!F1380&lt;&gt;0,'Boletins Nuppa Site'!F1380,"NULL")</f>
        <v>60</v>
      </c>
      <c r="E1380">
        <f>IF('Boletins Nuppa Site'!G1380&lt;&gt;0,'Boletins Nuppa Site'!G1380,"NULL")</f>
        <v>60</v>
      </c>
      <c r="F1380">
        <f>IF('Boletins Nuppa Site'!H1380&lt;&gt;0,'Boletins Nuppa Site'!H1380,"NULL")</f>
        <v>85</v>
      </c>
      <c r="G1380" t="str">
        <f>IF('Boletins Nuppa Site'!I1380&lt;&gt;0,'Boletins Nuppa Site'!I1380,"NULL")</f>
        <v>67.5</v>
      </c>
      <c r="H1380" t="str">
        <f>IF('Boletins Nuppa Site'!J1380&lt;&gt;0,'Boletins Nuppa Site'!J1380,"NULL")</f>
        <v>62.5</v>
      </c>
      <c r="J1380" t="str">
        <f t="shared" si="21"/>
        <v>INSERT INTO COTACAO (blt_id, pap_id, cot_prc_comum, cot_prc_min, cot_prc_max, cot_prc_med, cot_prc_mediana) VALUES (36, 27, 60, 60, 85, 67.5, 62.5);</v>
      </c>
    </row>
    <row r="1381" spans="1:10" x14ac:dyDescent="0.3">
      <c r="A1381">
        <v>1380</v>
      </c>
      <c r="B1381">
        <v>36</v>
      </c>
      <c r="C1381">
        <v>28</v>
      </c>
      <c r="D1381">
        <f>IF('Boletins Nuppa Site'!F1381&lt;&gt;0,'Boletins Nuppa Site'!F1381,"NULL")</f>
        <v>120</v>
      </c>
      <c r="E1381">
        <f>IF('Boletins Nuppa Site'!G1381&lt;&gt;0,'Boletins Nuppa Site'!G1381,"NULL")</f>
        <v>120</v>
      </c>
      <c r="F1381">
        <f>IF('Boletins Nuppa Site'!H1381&lt;&gt;0,'Boletins Nuppa Site'!H1381,"NULL")</f>
        <v>120</v>
      </c>
      <c r="G1381">
        <f>IF('Boletins Nuppa Site'!I1381&lt;&gt;0,'Boletins Nuppa Site'!I1381,"NULL")</f>
        <v>120</v>
      </c>
      <c r="H1381">
        <f>IF('Boletins Nuppa Site'!J1381&lt;&gt;0,'Boletins Nuppa Site'!J1381,"NULL")</f>
        <v>120</v>
      </c>
      <c r="J1381" t="str">
        <f t="shared" si="21"/>
        <v>INSERT INTO COTACAO (blt_id, pap_id, cot_prc_comum, cot_prc_min, cot_prc_max, cot_prc_med, cot_prc_mediana) VALUES (36, 28, 120, 120, 120, 120, 120);</v>
      </c>
    </row>
    <row r="1382" spans="1:10" x14ac:dyDescent="0.3">
      <c r="A1382">
        <v>1381</v>
      </c>
      <c r="B1382">
        <v>36</v>
      </c>
      <c r="C1382">
        <v>29</v>
      </c>
      <c r="D1382" t="str">
        <f>IF('Boletins Nuppa Site'!F1382&lt;&gt;0,'Boletins Nuppa Site'!F1382,"NULL")</f>
        <v>NULL</v>
      </c>
      <c r="E1382">
        <f>IF('Boletins Nuppa Site'!G1382&lt;&gt;0,'Boletins Nuppa Site'!G1382,"NULL")</f>
        <v>50</v>
      </c>
      <c r="F1382">
        <f>IF('Boletins Nuppa Site'!H1382&lt;&gt;0,'Boletins Nuppa Site'!H1382,"NULL")</f>
        <v>50</v>
      </c>
      <c r="G1382">
        <f>IF('Boletins Nuppa Site'!I1382&lt;&gt;0,'Boletins Nuppa Site'!I1382,"NULL")</f>
        <v>50</v>
      </c>
      <c r="H1382">
        <f>IF('Boletins Nuppa Site'!J1382&lt;&gt;0,'Boletins Nuppa Site'!J1382,"NULL")</f>
        <v>50</v>
      </c>
      <c r="J1382" t="str">
        <f t="shared" si="21"/>
        <v>INSERT INTO COTACAO (blt_id, pap_id, cot_prc_comum, cot_prc_min, cot_prc_max, cot_prc_med, cot_prc_mediana) VALUES (36, 29, NULL, 50, 50, 50, 50);</v>
      </c>
    </row>
    <row r="1383" spans="1:10" x14ac:dyDescent="0.3">
      <c r="A1383">
        <v>1382</v>
      </c>
      <c r="B1383">
        <v>36</v>
      </c>
      <c r="C1383">
        <v>30</v>
      </c>
      <c r="D1383">
        <f>IF('Boletins Nuppa Site'!F1383&lt;&gt;0,'Boletins Nuppa Site'!F1383,"NULL")</f>
        <v>100</v>
      </c>
      <c r="E1383">
        <f>IF('Boletins Nuppa Site'!G1383&lt;&gt;0,'Boletins Nuppa Site'!G1383,"NULL")</f>
        <v>100</v>
      </c>
      <c r="F1383">
        <f>IF('Boletins Nuppa Site'!H1383&lt;&gt;0,'Boletins Nuppa Site'!H1383,"NULL")</f>
        <v>100</v>
      </c>
      <c r="G1383">
        <f>IF('Boletins Nuppa Site'!I1383&lt;&gt;0,'Boletins Nuppa Site'!I1383,"NULL")</f>
        <v>100</v>
      </c>
      <c r="H1383">
        <f>IF('Boletins Nuppa Site'!J1383&lt;&gt;0,'Boletins Nuppa Site'!J1383,"NULL")</f>
        <v>100</v>
      </c>
      <c r="J1383" t="str">
        <f t="shared" si="21"/>
        <v>INSERT INTO COTACAO (blt_id, pap_id, cot_prc_comum, cot_prc_min, cot_prc_max, cot_prc_med, cot_prc_mediana) VALUES (36, 30, 100, 100, 100, 100, 100);</v>
      </c>
    </row>
    <row r="1384" spans="1:10" x14ac:dyDescent="0.3">
      <c r="A1384">
        <v>1383</v>
      </c>
      <c r="B1384">
        <v>36</v>
      </c>
      <c r="C1384">
        <v>31</v>
      </c>
      <c r="D1384">
        <f>IF('Boletins Nuppa Site'!F1384&lt;&gt;0,'Boletins Nuppa Site'!F1384,"NULL")</f>
        <v>120</v>
      </c>
      <c r="E1384">
        <f>IF('Boletins Nuppa Site'!G1384&lt;&gt;0,'Boletins Nuppa Site'!G1384,"NULL")</f>
        <v>120</v>
      </c>
      <c r="F1384">
        <f>IF('Boletins Nuppa Site'!H1384&lt;&gt;0,'Boletins Nuppa Site'!H1384,"NULL")</f>
        <v>140</v>
      </c>
      <c r="G1384" t="str">
        <f>IF('Boletins Nuppa Site'!I1384&lt;&gt;0,'Boletins Nuppa Site'!I1384,"NULL")</f>
        <v>127.5</v>
      </c>
      <c r="H1384">
        <f>IF('Boletins Nuppa Site'!J1384&lt;&gt;0,'Boletins Nuppa Site'!J1384,"NULL")</f>
        <v>125</v>
      </c>
      <c r="J1384" t="str">
        <f t="shared" si="21"/>
        <v>INSERT INTO COTACAO (blt_id, pap_id, cot_prc_comum, cot_prc_min, cot_prc_max, cot_prc_med, cot_prc_mediana) VALUES (36, 31, 120, 120, 140, 127.5, 125);</v>
      </c>
    </row>
    <row r="1385" spans="1:10" x14ac:dyDescent="0.3">
      <c r="A1385">
        <v>1384</v>
      </c>
      <c r="B1385">
        <v>36</v>
      </c>
      <c r="C1385">
        <v>32</v>
      </c>
      <c r="D1385" t="str">
        <f>IF('Boletins Nuppa Site'!F1385&lt;&gt;0,'Boletins Nuppa Site'!F1385,"NULL")</f>
        <v>NULL</v>
      </c>
      <c r="E1385">
        <f>IF('Boletins Nuppa Site'!G1385&lt;&gt;0,'Boletins Nuppa Site'!G1385,"NULL")</f>
        <v>45</v>
      </c>
      <c r="F1385">
        <f>IF('Boletins Nuppa Site'!H1385&lt;&gt;0,'Boletins Nuppa Site'!H1385,"NULL")</f>
        <v>80</v>
      </c>
      <c r="G1385">
        <f>IF('Boletins Nuppa Site'!I1385&lt;&gt;0,'Boletins Nuppa Site'!I1385,"NULL")</f>
        <v>60</v>
      </c>
      <c r="H1385" t="str">
        <f>IF('Boletins Nuppa Site'!J1385&lt;&gt;0,'Boletins Nuppa Site'!J1385,"NULL")</f>
        <v>57.5</v>
      </c>
      <c r="J1385" t="str">
        <f t="shared" si="21"/>
        <v>INSERT INTO COTACAO (blt_id, pap_id, cot_prc_comum, cot_prc_min, cot_prc_max, cot_prc_med, cot_prc_mediana) VALUES (36, 32, NULL, 45, 80, 60, 57.5);</v>
      </c>
    </row>
    <row r="1386" spans="1:10" x14ac:dyDescent="0.3">
      <c r="A1386">
        <v>1385</v>
      </c>
      <c r="B1386">
        <v>36</v>
      </c>
      <c r="C1386">
        <v>33</v>
      </c>
      <c r="D1386">
        <f>IF('Boletins Nuppa Site'!F1386&lt;&gt;0,'Boletins Nuppa Site'!F1386,"NULL")</f>
        <v>140</v>
      </c>
      <c r="E1386">
        <f>IF('Boletins Nuppa Site'!G1386&lt;&gt;0,'Boletins Nuppa Site'!G1386,"NULL")</f>
        <v>140</v>
      </c>
      <c r="F1386">
        <f>IF('Boletins Nuppa Site'!H1386&lt;&gt;0,'Boletins Nuppa Site'!H1386,"NULL")</f>
        <v>175</v>
      </c>
      <c r="G1386" t="str">
        <f>IF('Boletins Nuppa Site'!I1386&lt;&gt;0,'Boletins Nuppa Site'!I1386,"NULL")</f>
        <v>151.25</v>
      </c>
      <c r="H1386">
        <f>IF('Boletins Nuppa Site'!J1386&lt;&gt;0,'Boletins Nuppa Site'!J1386,"NULL")</f>
        <v>145</v>
      </c>
      <c r="J1386" t="str">
        <f t="shared" si="21"/>
        <v>INSERT INTO COTACAO (blt_id, pap_id, cot_prc_comum, cot_prc_min, cot_prc_max, cot_prc_med, cot_prc_mediana) VALUES (36, 33, 140, 140, 175, 151.25, 145);</v>
      </c>
    </row>
    <row r="1387" spans="1:10" x14ac:dyDescent="0.3">
      <c r="A1387">
        <v>1386</v>
      </c>
      <c r="B1387">
        <v>36</v>
      </c>
      <c r="C1387">
        <v>34</v>
      </c>
      <c r="D1387">
        <f>IF('Boletins Nuppa Site'!F1387&lt;&gt;0,'Boletins Nuppa Site'!F1387,"NULL")</f>
        <v>80</v>
      </c>
      <c r="E1387">
        <f>IF('Boletins Nuppa Site'!G1387&lt;&gt;0,'Boletins Nuppa Site'!G1387,"NULL")</f>
        <v>45</v>
      </c>
      <c r="F1387">
        <f>IF('Boletins Nuppa Site'!H1387&lt;&gt;0,'Boletins Nuppa Site'!H1387,"NULL")</f>
        <v>90</v>
      </c>
      <c r="G1387" t="str">
        <f>IF('Boletins Nuppa Site'!I1387&lt;&gt;0,'Boletins Nuppa Site'!I1387,"NULL")</f>
        <v>73.75</v>
      </c>
      <c r="H1387">
        <f>IF('Boletins Nuppa Site'!J1387&lt;&gt;0,'Boletins Nuppa Site'!J1387,"NULL")</f>
        <v>80</v>
      </c>
      <c r="J1387" t="str">
        <f t="shared" si="21"/>
        <v>INSERT INTO COTACAO (blt_id, pap_id, cot_prc_comum, cot_prc_min, cot_prc_max, cot_prc_med, cot_prc_mediana) VALUES (36, 34, 80, 45, 90, 73.75, 80);</v>
      </c>
    </row>
    <row r="1388" spans="1:10" x14ac:dyDescent="0.3">
      <c r="A1388">
        <v>1387</v>
      </c>
      <c r="B1388">
        <v>36</v>
      </c>
      <c r="C1388">
        <v>35</v>
      </c>
      <c r="D1388">
        <f>IF('Boletins Nuppa Site'!F1388&lt;&gt;0,'Boletins Nuppa Site'!F1388,"NULL")</f>
        <v>110</v>
      </c>
      <c r="E1388">
        <f>IF('Boletins Nuppa Site'!G1388&lt;&gt;0,'Boletins Nuppa Site'!G1388,"NULL")</f>
        <v>110</v>
      </c>
      <c r="F1388">
        <f>IF('Boletins Nuppa Site'!H1388&lt;&gt;0,'Boletins Nuppa Site'!H1388,"NULL")</f>
        <v>120</v>
      </c>
      <c r="G1388" t="str">
        <f>IF('Boletins Nuppa Site'!I1388&lt;&gt;0,'Boletins Nuppa Site'!I1388,"NULL")</f>
        <v>113.33</v>
      </c>
      <c r="H1388">
        <f>IF('Boletins Nuppa Site'!J1388&lt;&gt;0,'Boletins Nuppa Site'!J1388,"NULL")</f>
        <v>110</v>
      </c>
      <c r="J1388" t="str">
        <f t="shared" si="21"/>
        <v>INSERT INTO COTACAO (blt_id, pap_id, cot_prc_comum, cot_prc_min, cot_prc_max, cot_prc_med, cot_prc_mediana) VALUES (36, 35, 110, 110, 120, 113.33, 110);</v>
      </c>
    </row>
    <row r="1389" spans="1:10" x14ac:dyDescent="0.3">
      <c r="A1389">
        <v>1388</v>
      </c>
      <c r="B1389">
        <v>36</v>
      </c>
      <c r="C1389">
        <v>36</v>
      </c>
      <c r="D1389" t="str">
        <f>IF('Boletins Nuppa Site'!F1389&lt;&gt;0,'Boletins Nuppa Site'!F1389,"NULL")</f>
        <v>NULL</v>
      </c>
      <c r="E1389" t="str">
        <f>IF('Boletins Nuppa Site'!G1389&lt;&gt;0,'Boletins Nuppa Site'!G1389,"NULL")</f>
        <v>NULL</v>
      </c>
      <c r="F1389" t="str">
        <f>IF('Boletins Nuppa Site'!H1389&lt;&gt;0,'Boletins Nuppa Site'!H1389,"NULL")</f>
        <v>NULL</v>
      </c>
      <c r="G1389" t="str">
        <f>IF('Boletins Nuppa Site'!I1389&lt;&gt;0,'Boletins Nuppa Site'!I1389,"NULL")</f>
        <v>NULL</v>
      </c>
      <c r="H1389" t="str">
        <f>IF('Boletins Nuppa Site'!J1389&lt;&gt;0,'Boletins Nuppa Site'!J1389,"NULL")</f>
        <v>NULL</v>
      </c>
      <c r="J1389" t="str">
        <f t="shared" si="21"/>
        <v>INSERT INTO COTACAO (blt_id, pap_id, cot_prc_comum, cot_prc_min, cot_prc_max, cot_prc_med, cot_prc_mediana) VALUES (36, 36, NULL, NULL, NULL, NULL, NULL);</v>
      </c>
    </row>
    <row r="1390" spans="1:10" x14ac:dyDescent="0.3">
      <c r="A1390">
        <v>1389</v>
      </c>
      <c r="B1390">
        <v>36</v>
      </c>
      <c r="C1390">
        <v>37</v>
      </c>
      <c r="D1390" t="str">
        <f>IF('Boletins Nuppa Site'!F1390&lt;&gt;0,'Boletins Nuppa Site'!F1390,"NULL")</f>
        <v>NULL</v>
      </c>
      <c r="E1390" t="str">
        <f>IF('Boletins Nuppa Site'!G1390&lt;&gt;0,'Boletins Nuppa Site'!G1390,"NULL")</f>
        <v>NULL</v>
      </c>
      <c r="F1390" t="str">
        <f>IF('Boletins Nuppa Site'!H1390&lt;&gt;0,'Boletins Nuppa Site'!H1390,"NULL")</f>
        <v>NULL</v>
      </c>
      <c r="G1390" t="str">
        <f>IF('Boletins Nuppa Site'!I1390&lt;&gt;0,'Boletins Nuppa Site'!I1390,"NULL")</f>
        <v>NULL</v>
      </c>
      <c r="H1390" t="str">
        <f>IF('Boletins Nuppa Site'!J1390&lt;&gt;0,'Boletins Nuppa Site'!J1390,"NULL")</f>
        <v>NULL</v>
      </c>
      <c r="J1390" t="str">
        <f t="shared" si="21"/>
        <v>INSERT INTO COTACAO (blt_id, pap_id, cot_prc_comum, cot_prc_min, cot_prc_max, cot_prc_med, cot_prc_mediana) VALUES (36, 37, NULL, NULL, NULL, NULL, NULL);</v>
      </c>
    </row>
    <row r="1391" spans="1:10" x14ac:dyDescent="0.3">
      <c r="A1391">
        <v>1390</v>
      </c>
      <c r="B1391">
        <v>36</v>
      </c>
      <c r="C1391">
        <v>38</v>
      </c>
      <c r="D1391" t="str">
        <f>IF('Boletins Nuppa Site'!F1391&lt;&gt;0,'Boletins Nuppa Site'!F1391,"NULL")</f>
        <v>NULL</v>
      </c>
      <c r="E1391" t="str">
        <f>IF('Boletins Nuppa Site'!G1391&lt;&gt;0,'Boletins Nuppa Site'!G1391,"NULL")</f>
        <v>NULL</v>
      </c>
      <c r="F1391" t="str">
        <f>IF('Boletins Nuppa Site'!H1391&lt;&gt;0,'Boletins Nuppa Site'!H1391,"NULL")</f>
        <v>NULL</v>
      </c>
      <c r="G1391" t="str">
        <f>IF('Boletins Nuppa Site'!I1391&lt;&gt;0,'Boletins Nuppa Site'!I1391,"NULL")</f>
        <v>NULL</v>
      </c>
      <c r="H1391" t="str">
        <f>IF('Boletins Nuppa Site'!J1391&lt;&gt;0,'Boletins Nuppa Site'!J1391,"NULL")</f>
        <v>NULL</v>
      </c>
      <c r="J1391" t="str">
        <f t="shared" si="21"/>
        <v>INSERT INTO COTACAO (blt_id, pap_id, cot_prc_comum, cot_prc_min, cot_prc_max, cot_prc_med, cot_prc_mediana) VALUES (36, 38, NULL, NULL, NULL, NULL, NULL);</v>
      </c>
    </row>
    <row r="1392" spans="1:10" x14ac:dyDescent="0.3">
      <c r="A1392">
        <v>1391</v>
      </c>
      <c r="B1392">
        <v>36</v>
      </c>
      <c r="C1392">
        <v>39</v>
      </c>
      <c r="D1392" t="str">
        <f>IF('Boletins Nuppa Site'!F1392&lt;&gt;0,'Boletins Nuppa Site'!F1392,"NULL")</f>
        <v>NULL</v>
      </c>
      <c r="E1392">
        <f>IF('Boletins Nuppa Site'!G1392&lt;&gt;0,'Boletins Nuppa Site'!G1392,"NULL")</f>
        <v>60</v>
      </c>
      <c r="F1392">
        <f>IF('Boletins Nuppa Site'!H1392&lt;&gt;0,'Boletins Nuppa Site'!H1392,"NULL")</f>
        <v>60</v>
      </c>
      <c r="G1392">
        <f>IF('Boletins Nuppa Site'!I1392&lt;&gt;0,'Boletins Nuppa Site'!I1392,"NULL")</f>
        <v>60</v>
      </c>
      <c r="H1392">
        <f>IF('Boletins Nuppa Site'!J1392&lt;&gt;0,'Boletins Nuppa Site'!J1392,"NULL")</f>
        <v>60</v>
      </c>
      <c r="J1392" t="str">
        <f t="shared" si="21"/>
        <v>INSERT INTO COTACAO (blt_id, pap_id, cot_prc_comum, cot_prc_min, cot_prc_max, cot_prc_med, cot_prc_mediana) VALUES (36, 39, NULL, 60, 60, 60, 60);</v>
      </c>
    </row>
    <row r="1393" spans="1:10" x14ac:dyDescent="0.3">
      <c r="A1393">
        <v>1392</v>
      </c>
      <c r="B1393">
        <v>36</v>
      </c>
      <c r="C1393">
        <v>40</v>
      </c>
      <c r="D1393" t="str">
        <f>IF('Boletins Nuppa Site'!F1393&lt;&gt;0,'Boletins Nuppa Site'!F1393,"NULL")</f>
        <v>NULL</v>
      </c>
      <c r="E1393" t="str">
        <f>IF('Boletins Nuppa Site'!G1393&lt;&gt;0,'Boletins Nuppa Site'!G1393,"NULL")</f>
        <v>NULL</v>
      </c>
      <c r="F1393" t="str">
        <f>IF('Boletins Nuppa Site'!H1393&lt;&gt;0,'Boletins Nuppa Site'!H1393,"NULL")</f>
        <v>NULL</v>
      </c>
      <c r="G1393" t="str">
        <f>IF('Boletins Nuppa Site'!I1393&lt;&gt;0,'Boletins Nuppa Site'!I1393,"NULL")</f>
        <v>NULL</v>
      </c>
      <c r="H1393" t="str">
        <f>IF('Boletins Nuppa Site'!J1393&lt;&gt;0,'Boletins Nuppa Site'!J1393,"NULL")</f>
        <v>NULL</v>
      </c>
      <c r="J1393" t="str">
        <f t="shared" si="21"/>
        <v>INSERT INTO COTACAO (blt_id, pap_id, cot_prc_comum, cot_prc_min, cot_prc_max, cot_prc_med, cot_prc_mediana) VALUES (36, 40, NULL, NULL, NULL, NULL, NULL);</v>
      </c>
    </row>
    <row r="1394" spans="1:10" x14ac:dyDescent="0.3">
      <c r="A1394">
        <v>1393</v>
      </c>
      <c r="B1394">
        <v>37</v>
      </c>
      <c r="C1394">
        <v>1</v>
      </c>
      <c r="D1394">
        <f>IF('Boletins Nuppa Site'!F1394&lt;&gt;0,'Boletins Nuppa Site'!F1394,"NULL")</f>
        <v>48</v>
      </c>
      <c r="E1394">
        <f>IF('Boletins Nuppa Site'!G1394&lt;&gt;0,'Boletins Nuppa Site'!G1394,"NULL")</f>
        <v>36</v>
      </c>
      <c r="F1394">
        <f>IF('Boletins Nuppa Site'!H1394&lt;&gt;0,'Boletins Nuppa Site'!H1394,"NULL")</f>
        <v>60</v>
      </c>
      <c r="G1394">
        <f>IF('Boletins Nuppa Site'!I1394&lt;&gt;0,'Boletins Nuppa Site'!I1394,"NULL")</f>
        <v>48</v>
      </c>
      <c r="H1394">
        <f>IF('Boletins Nuppa Site'!J1394&lt;&gt;0,'Boletins Nuppa Site'!J1394,"NULL")</f>
        <v>48</v>
      </c>
      <c r="J1394" t="str">
        <f t="shared" si="21"/>
        <v>INSERT INTO COTACAO (blt_id, pap_id, cot_prc_comum, cot_prc_min, cot_prc_max, cot_prc_med, cot_prc_mediana) VALUES (37, 1, 48, 36, 60, 48, 48);</v>
      </c>
    </row>
    <row r="1395" spans="1:10" x14ac:dyDescent="0.3">
      <c r="A1395">
        <v>1394</v>
      </c>
      <c r="B1395">
        <v>37</v>
      </c>
      <c r="C1395">
        <v>2</v>
      </c>
      <c r="D1395">
        <f>IF('Boletins Nuppa Site'!F1395&lt;&gt;0,'Boletins Nuppa Site'!F1395,"NULL")</f>
        <v>84</v>
      </c>
      <c r="E1395">
        <f>IF('Boletins Nuppa Site'!G1395&lt;&gt;0,'Boletins Nuppa Site'!G1395,"NULL")</f>
        <v>72</v>
      </c>
      <c r="F1395">
        <f>IF('Boletins Nuppa Site'!H1395&lt;&gt;0,'Boletins Nuppa Site'!H1395,"NULL")</f>
        <v>84</v>
      </c>
      <c r="G1395">
        <f>IF('Boletins Nuppa Site'!I1395&lt;&gt;0,'Boletins Nuppa Site'!I1395,"NULL")</f>
        <v>80</v>
      </c>
      <c r="H1395">
        <f>IF('Boletins Nuppa Site'!J1395&lt;&gt;0,'Boletins Nuppa Site'!J1395,"NULL")</f>
        <v>84</v>
      </c>
      <c r="J1395" t="str">
        <f t="shared" si="21"/>
        <v>INSERT INTO COTACAO (blt_id, pap_id, cot_prc_comum, cot_prc_min, cot_prc_max, cot_prc_med, cot_prc_mediana) VALUES (37, 2, 84, 72, 84, 80, 84);</v>
      </c>
    </row>
    <row r="1396" spans="1:10" x14ac:dyDescent="0.3">
      <c r="A1396">
        <v>1395</v>
      </c>
      <c r="B1396">
        <v>37</v>
      </c>
      <c r="C1396">
        <v>3</v>
      </c>
      <c r="D1396">
        <f>IF('Boletins Nuppa Site'!F1396&lt;&gt;0,'Boletins Nuppa Site'!F1396,"NULL")</f>
        <v>36</v>
      </c>
      <c r="E1396">
        <f>IF('Boletins Nuppa Site'!G1396&lt;&gt;0,'Boletins Nuppa Site'!G1396,"NULL")</f>
        <v>25</v>
      </c>
      <c r="F1396">
        <f>IF('Boletins Nuppa Site'!H1396&lt;&gt;0,'Boletins Nuppa Site'!H1396,"NULL")</f>
        <v>42</v>
      </c>
      <c r="G1396" t="str">
        <f>IF('Boletins Nuppa Site'!I1396&lt;&gt;0,'Boletins Nuppa Site'!I1396,"NULL")</f>
        <v>34.75</v>
      </c>
      <c r="H1396">
        <f>IF('Boletins Nuppa Site'!J1396&lt;&gt;0,'Boletins Nuppa Site'!J1396,"NULL")</f>
        <v>36</v>
      </c>
      <c r="J1396" t="str">
        <f t="shared" si="21"/>
        <v>INSERT INTO COTACAO (blt_id, pap_id, cot_prc_comum, cot_prc_min, cot_prc_max, cot_prc_med, cot_prc_mediana) VALUES (37, 3, 36, 25, 42, 34.75, 36);</v>
      </c>
    </row>
    <row r="1397" spans="1:10" x14ac:dyDescent="0.3">
      <c r="A1397">
        <v>1396</v>
      </c>
      <c r="B1397">
        <v>37</v>
      </c>
      <c r="C1397">
        <v>4</v>
      </c>
      <c r="D1397">
        <f>IF('Boletins Nuppa Site'!F1397&lt;&gt;0,'Boletins Nuppa Site'!F1397,"NULL")</f>
        <v>18</v>
      </c>
      <c r="E1397">
        <f>IF('Boletins Nuppa Site'!G1397&lt;&gt;0,'Boletins Nuppa Site'!G1397,"NULL")</f>
        <v>18</v>
      </c>
      <c r="F1397">
        <f>IF('Boletins Nuppa Site'!H1397&lt;&gt;0,'Boletins Nuppa Site'!H1397,"NULL")</f>
        <v>24</v>
      </c>
      <c r="G1397">
        <f>IF('Boletins Nuppa Site'!I1397&lt;&gt;0,'Boletins Nuppa Site'!I1397,"NULL")</f>
        <v>21</v>
      </c>
      <c r="H1397">
        <f>IF('Boletins Nuppa Site'!J1397&lt;&gt;0,'Boletins Nuppa Site'!J1397,"NULL")</f>
        <v>21</v>
      </c>
      <c r="J1397" t="str">
        <f t="shared" si="21"/>
        <v>INSERT INTO COTACAO (blt_id, pap_id, cot_prc_comum, cot_prc_min, cot_prc_max, cot_prc_med, cot_prc_mediana) VALUES (37, 4, 18, 18, 24, 21, 21);</v>
      </c>
    </row>
    <row r="1398" spans="1:10" x14ac:dyDescent="0.3">
      <c r="A1398">
        <v>1397</v>
      </c>
      <c r="B1398">
        <v>37</v>
      </c>
      <c r="C1398">
        <v>5</v>
      </c>
      <c r="D1398">
        <f>IF('Boletins Nuppa Site'!F1398&lt;&gt;0,'Boletins Nuppa Site'!F1398,"NULL")</f>
        <v>18</v>
      </c>
      <c r="E1398">
        <f>IF('Boletins Nuppa Site'!G1398&lt;&gt;0,'Boletins Nuppa Site'!G1398,"NULL")</f>
        <v>18</v>
      </c>
      <c r="F1398">
        <f>IF('Boletins Nuppa Site'!H1398&lt;&gt;0,'Boletins Nuppa Site'!H1398,"NULL")</f>
        <v>24</v>
      </c>
      <c r="G1398">
        <f>IF('Boletins Nuppa Site'!I1398&lt;&gt;0,'Boletins Nuppa Site'!I1398,"NULL")</f>
        <v>21</v>
      </c>
      <c r="H1398">
        <f>IF('Boletins Nuppa Site'!J1398&lt;&gt;0,'Boletins Nuppa Site'!J1398,"NULL")</f>
        <v>21</v>
      </c>
      <c r="J1398" t="str">
        <f t="shared" si="21"/>
        <v>INSERT INTO COTACAO (blt_id, pap_id, cot_prc_comum, cot_prc_min, cot_prc_max, cot_prc_med, cot_prc_mediana) VALUES (37, 5, 18, 18, 24, 21, 21);</v>
      </c>
    </row>
    <row r="1399" spans="1:10" x14ac:dyDescent="0.3">
      <c r="A1399">
        <v>1398</v>
      </c>
      <c r="B1399">
        <v>37</v>
      </c>
      <c r="C1399">
        <v>6</v>
      </c>
      <c r="D1399">
        <f>IF('Boletins Nuppa Site'!F1399&lt;&gt;0,'Boletins Nuppa Site'!F1399,"NULL")</f>
        <v>60</v>
      </c>
      <c r="E1399">
        <f>IF('Boletins Nuppa Site'!G1399&lt;&gt;0,'Boletins Nuppa Site'!G1399,"NULL")</f>
        <v>60</v>
      </c>
      <c r="F1399">
        <f>IF('Boletins Nuppa Site'!H1399&lt;&gt;0,'Boletins Nuppa Site'!H1399,"NULL")</f>
        <v>60</v>
      </c>
      <c r="G1399">
        <f>IF('Boletins Nuppa Site'!I1399&lt;&gt;0,'Boletins Nuppa Site'!I1399,"NULL")</f>
        <v>60</v>
      </c>
      <c r="H1399">
        <f>IF('Boletins Nuppa Site'!J1399&lt;&gt;0,'Boletins Nuppa Site'!J1399,"NULL")</f>
        <v>60</v>
      </c>
      <c r="J1399" t="str">
        <f t="shared" si="21"/>
        <v>INSERT INTO COTACAO (blt_id, pap_id, cot_prc_comum, cot_prc_min, cot_prc_max, cot_prc_med, cot_prc_mediana) VALUES (37, 6, 60, 60, 60, 60, 60);</v>
      </c>
    </row>
    <row r="1400" spans="1:10" x14ac:dyDescent="0.3">
      <c r="A1400">
        <v>1399</v>
      </c>
      <c r="B1400">
        <v>37</v>
      </c>
      <c r="C1400">
        <v>7</v>
      </c>
      <c r="D1400" t="str">
        <f>IF('Boletins Nuppa Site'!F1400&lt;&gt;0,'Boletins Nuppa Site'!F1400,"NULL")</f>
        <v>NULL</v>
      </c>
      <c r="E1400">
        <f>IF('Boletins Nuppa Site'!G1400&lt;&gt;0,'Boletins Nuppa Site'!G1400,"NULL")</f>
        <v>42</v>
      </c>
      <c r="F1400">
        <f>IF('Boletins Nuppa Site'!H1400&lt;&gt;0,'Boletins Nuppa Site'!H1400,"NULL")</f>
        <v>72</v>
      </c>
      <c r="G1400">
        <f>IF('Boletins Nuppa Site'!I1400&lt;&gt;0,'Boletins Nuppa Site'!I1400,"NULL")</f>
        <v>58</v>
      </c>
      <c r="H1400">
        <f>IF('Boletins Nuppa Site'!J1400&lt;&gt;0,'Boletins Nuppa Site'!J1400,"NULL")</f>
        <v>60</v>
      </c>
      <c r="J1400" t="str">
        <f t="shared" si="21"/>
        <v>INSERT INTO COTACAO (blt_id, pap_id, cot_prc_comum, cot_prc_min, cot_prc_max, cot_prc_med, cot_prc_mediana) VALUES (37, 7, NULL, 42, 72, 58, 60);</v>
      </c>
    </row>
    <row r="1401" spans="1:10" x14ac:dyDescent="0.3">
      <c r="A1401">
        <v>1400</v>
      </c>
      <c r="B1401">
        <v>37</v>
      </c>
      <c r="C1401">
        <v>8</v>
      </c>
      <c r="D1401">
        <f>IF('Boletins Nuppa Site'!F1401&lt;&gt;0,'Boletins Nuppa Site'!F1401,"NULL")</f>
        <v>72</v>
      </c>
      <c r="E1401">
        <f>IF('Boletins Nuppa Site'!G1401&lt;&gt;0,'Boletins Nuppa Site'!G1401,"NULL")</f>
        <v>60</v>
      </c>
      <c r="F1401">
        <f>IF('Boletins Nuppa Site'!H1401&lt;&gt;0,'Boletins Nuppa Site'!H1401,"NULL")</f>
        <v>72</v>
      </c>
      <c r="G1401">
        <f>IF('Boletins Nuppa Site'!I1401&lt;&gt;0,'Boletins Nuppa Site'!I1401,"NULL")</f>
        <v>69</v>
      </c>
      <c r="H1401">
        <f>IF('Boletins Nuppa Site'!J1401&lt;&gt;0,'Boletins Nuppa Site'!J1401,"NULL")</f>
        <v>72</v>
      </c>
      <c r="J1401" t="str">
        <f t="shared" si="21"/>
        <v>INSERT INTO COTACAO (blt_id, pap_id, cot_prc_comum, cot_prc_min, cot_prc_max, cot_prc_med, cot_prc_mediana) VALUES (37, 8, 72, 60, 72, 69, 72);</v>
      </c>
    </row>
    <row r="1402" spans="1:10" x14ac:dyDescent="0.3">
      <c r="A1402">
        <v>1401</v>
      </c>
      <c r="B1402">
        <v>37</v>
      </c>
      <c r="C1402">
        <v>9</v>
      </c>
      <c r="D1402">
        <f>IF('Boletins Nuppa Site'!F1402&lt;&gt;0,'Boletins Nuppa Site'!F1402,"NULL")</f>
        <v>18</v>
      </c>
      <c r="E1402">
        <f>IF('Boletins Nuppa Site'!G1402&lt;&gt;0,'Boletins Nuppa Site'!G1402,"NULL")</f>
        <v>18</v>
      </c>
      <c r="F1402">
        <f>IF('Boletins Nuppa Site'!H1402&lt;&gt;0,'Boletins Nuppa Site'!H1402,"NULL")</f>
        <v>24</v>
      </c>
      <c r="G1402">
        <f>IF('Boletins Nuppa Site'!I1402&lt;&gt;0,'Boletins Nuppa Site'!I1402,"NULL")</f>
        <v>21</v>
      </c>
      <c r="H1402">
        <f>IF('Boletins Nuppa Site'!J1402&lt;&gt;0,'Boletins Nuppa Site'!J1402,"NULL")</f>
        <v>21</v>
      </c>
      <c r="J1402" t="str">
        <f t="shared" si="21"/>
        <v>INSERT INTO COTACAO (blt_id, pap_id, cot_prc_comum, cot_prc_min, cot_prc_max, cot_prc_med, cot_prc_mediana) VALUES (37, 9, 18, 18, 24, 21, 21);</v>
      </c>
    </row>
    <row r="1403" spans="1:10" x14ac:dyDescent="0.3">
      <c r="A1403">
        <v>1402</v>
      </c>
      <c r="B1403">
        <v>37</v>
      </c>
      <c r="C1403">
        <v>10</v>
      </c>
      <c r="D1403" t="str">
        <f>IF('Boletins Nuppa Site'!F1403&lt;&gt;0,'Boletins Nuppa Site'!F1403,"NULL")</f>
        <v>NULL</v>
      </c>
      <c r="E1403">
        <f>IF('Boletins Nuppa Site'!G1403&lt;&gt;0,'Boletins Nuppa Site'!G1403,"NULL")</f>
        <v>50</v>
      </c>
      <c r="F1403">
        <f>IF('Boletins Nuppa Site'!H1403&lt;&gt;0,'Boletins Nuppa Site'!H1403,"NULL")</f>
        <v>78</v>
      </c>
      <c r="G1403" t="str">
        <f>IF('Boletins Nuppa Site'!I1403&lt;&gt;0,'Boletins Nuppa Site'!I1403,"NULL")</f>
        <v>62.67</v>
      </c>
      <c r="H1403">
        <f>IF('Boletins Nuppa Site'!J1403&lt;&gt;0,'Boletins Nuppa Site'!J1403,"NULL")</f>
        <v>60</v>
      </c>
      <c r="J1403" t="str">
        <f t="shared" si="21"/>
        <v>INSERT INTO COTACAO (blt_id, pap_id, cot_prc_comum, cot_prc_min, cot_prc_max, cot_prc_med, cot_prc_mediana) VALUES (37, 10, NULL, 50, 78, 62.67, 60);</v>
      </c>
    </row>
    <row r="1404" spans="1:10" x14ac:dyDescent="0.3">
      <c r="A1404">
        <v>1403</v>
      </c>
      <c r="B1404">
        <v>37</v>
      </c>
      <c r="C1404">
        <v>11</v>
      </c>
      <c r="D1404">
        <f>IF('Boletins Nuppa Site'!F1404&lt;&gt;0,'Boletins Nuppa Site'!F1404,"NULL")</f>
        <v>18</v>
      </c>
      <c r="E1404">
        <f>IF('Boletins Nuppa Site'!G1404&lt;&gt;0,'Boletins Nuppa Site'!G1404,"NULL")</f>
        <v>18</v>
      </c>
      <c r="F1404">
        <f>IF('Boletins Nuppa Site'!H1404&lt;&gt;0,'Boletins Nuppa Site'!H1404,"NULL")</f>
        <v>24</v>
      </c>
      <c r="G1404">
        <f>IF('Boletins Nuppa Site'!I1404&lt;&gt;0,'Boletins Nuppa Site'!I1404,"NULL")</f>
        <v>21</v>
      </c>
      <c r="H1404">
        <f>IF('Boletins Nuppa Site'!J1404&lt;&gt;0,'Boletins Nuppa Site'!J1404,"NULL")</f>
        <v>21</v>
      </c>
      <c r="J1404" t="str">
        <f t="shared" si="21"/>
        <v>INSERT INTO COTACAO (blt_id, pap_id, cot_prc_comum, cot_prc_min, cot_prc_max, cot_prc_med, cot_prc_mediana) VALUES (37, 11, 18, 18, 24, 21, 21);</v>
      </c>
    </row>
    <row r="1405" spans="1:10" x14ac:dyDescent="0.3">
      <c r="A1405">
        <v>1404</v>
      </c>
      <c r="B1405">
        <v>37</v>
      </c>
      <c r="C1405">
        <v>12</v>
      </c>
      <c r="D1405">
        <f>IF('Boletins Nuppa Site'!F1405&lt;&gt;0,'Boletins Nuppa Site'!F1405,"NULL")</f>
        <v>60</v>
      </c>
      <c r="E1405">
        <f>IF('Boletins Nuppa Site'!G1405&lt;&gt;0,'Boletins Nuppa Site'!G1405,"NULL")</f>
        <v>48</v>
      </c>
      <c r="F1405">
        <f>IF('Boletins Nuppa Site'!H1405&lt;&gt;0,'Boletins Nuppa Site'!H1405,"NULL")</f>
        <v>60</v>
      </c>
      <c r="G1405">
        <f>IF('Boletins Nuppa Site'!I1405&lt;&gt;0,'Boletins Nuppa Site'!I1405,"NULL")</f>
        <v>56</v>
      </c>
      <c r="H1405">
        <f>IF('Boletins Nuppa Site'!J1405&lt;&gt;0,'Boletins Nuppa Site'!J1405,"NULL")</f>
        <v>60</v>
      </c>
      <c r="J1405" t="str">
        <f t="shared" si="21"/>
        <v>INSERT INTO COTACAO (blt_id, pap_id, cot_prc_comum, cot_prc_min, cot_prc_max, cot_prc_med, cot_prc_mediana) VALUES (37, 12, 60, 48, 60, 56, 60);</v>
      </c>
    </row>
    <row r="1406" spans="1:10" x14ac:dyDescent="0.3">
      <c r="A1406">
        <v>1405</v>
      </c>
      <c r="B1406">
        <v>37</v>
      </c>
      <c r="C1406">
        <v>13</v>
      </c>
      <c r="D1406">
        <f>IF('Boletins Nuppa Site'!F1406&lt;&gt;0,'Boletins Nuppa Site'!F1406,"NULL")</f>
        <v>60</v>
      </c>
      <c r="E1406">
        <f>IF('Boletins Nuppa Site'!G1406&lt;&gt;0,'Boletins Nuppa Site'!G1406,"NULL")</f>
        <v>36</v>
      </c>
      <c r="F1406">
        <f>IF('Boletins Nuppa Site'!H1406&lt;&gt;0,'Boletins Nuppa Site'!H1406,"NULL")</f>
        <v>60</v>
      </c>
      <c r="G1406">
        <f>IF('Boletins Nuppa Site'!I1406&lt;&gt;0,'Boletins Nuppa Site'!I1406,"NULL")</f>
        <v>51</v>
      </c>
      <c r="H1406">
        <f>IF('Boletins Nuppa Site'!J1406&lt;&gt;0,'Boletins Nuppa Site'!J1406,"NULL")</f>
        <v>54</v>
      </c>
      <c r="J1406" t="str">
        <f t="shared" si="21"/>
        <v>INSERT INTO COTACAO (blt_id, pap_id, cot_prc_comum, cot_prc_min, cot_prc_max, cot_prc_med, cot_prc_mediana) VALUES (37, 13, 60, 36, 60, 51, 54);</v>
      </c>
    </row>
    <row r="1407" spans="1:10" x14ac:dyDescent="0.3">
      <c r="A1407">
        <v>1406</v>
      </c>
      <c r="B1407">
        <v>37</v>
      </c>
      <c r="C1407">
        <v>14</v>
      </c>
      <c r="D1407" t="str">
        <f>IF('Boletins Nuppa Site'!F1407&lt;&gt;0,'Boletins Nuppa Site'!F1407,"NULL")</f>
        <v>NULL</v>
      </c>
      <c r="E1407">
        <f>IF('Boletins Nuppa Site'!G1407&lt;&gt;0,'Boletins Nuppa Site'!G1407,"NULL")</f>
        <v>48</v>
      </c>
      <c r="F1407">
        <f>IF('Boletins Nuppa Site'!H1407&lt;&gt;0,'Boletins Nuppa Site'!H1407,"NULL")</f>
        <v>72</v>
      </c>
      <c r="G1407">
        <f>IF('Boletins Nuppa Site'!I1407&lt;&gt;0,'Boletins Nuppa Site'!I1407,"NULL")</f>
        <v>60</v>
      </c>
      <c r="H1407">
        <f>IF('Boletins Nuppa Site'!J1407&lt;&gt;0,'Boletins Nuppa Site'!J1407,"NULL")</f>
        <v>60</v>
      </c>
      <c r="J1407" t="str">
        <f t="shared" si="21"/>
        <v>INSERT INTO COTACAO (blt_id, pap_id, cot_prc_comum, cot_prc_min, cot_prc_max, cot_prc_med, cot_prc_mediana) VALUES (37, 14, NULL, 48, 72, 60, 60);</v>
      </c>
    </row>
    <row r="1408" spans="1:10" x14ac:dyDescent="0.3">
      <c r="A1408">
        <v>1407</v>
      </c>
      <c r="B1408">
        <v>37</v>
      </c>
      <c r="C1408">
        <v>15</v>
      </c>
      <c r="D1408">
        <f>IF('Boletins Nuppa Site'!F1408&lt;&gt;0,'Boletins Nuppa Site'!F1408,"NULL")</f>
        <v>24</v>
      </c>
      <c r="E1408">
        <f>IF('Boletins Nuppa Site'!G1408&lt;&gt;0,'Boletins Nuppa Site'!G1408,"NULL")</f>
        <v>24</v>
      </c>
      <c r="F1408">
        <f>IF('Boletins Nuppa Site'!H1408&lt;&gt;0,'Boletins Nuppa Site'!H1408,"NULL")</f>
        <v>36</v>
      </c>
      <c r="G1408" t="str">
        <f>IF('Boletins Nuppa Site'!I1408&lt;&gt;0,'Boletins Nuppa Site'!I1408,"NULL")</f>
        <v>28.5</v>
      </c>
      <c r="H1408">
        <f>IF('Boletins Nuppa Site'!J1408&lt;&gt;0,'Boletins Nuppa Site'!J1408,"NULL")</f>
        <v>27</v>
      </c>
      <c r="J1408" t="str">
        <f t="shared" si="21"/>
        <v>INSERT INTO COTACAO (blt_id, pap_id, cot_prc_comum, cot_prc_min, cot_prc_max, cot_prc_med, cot_prc_mediana) VALUES (37, 15, 24, 24, 36, 28.5, 27);</v>
      </c>
    </row>
    <row r="1409" spans="1:10" x14ac:dyDescent="0.3">
      <c r="A1409">
        <v>1408</v>
      </c>
      <c r="B1409">
        <v>37</v>
      </c>
      <c r="C1409">
        <v>17</v>
      </c>
      <c r="D1409">
        <f>IF('Boletins Nuppa Site'!F1409&lt;&gt;0,'Boletins Nuppa Site'!F1409,"NULL")</f>
        <v>5</v>
      </c>
      <c r="E1409">
        <f>IF('Boletins Nuppa Site'!G1409&lt;&gt;0,'Boletins Nuppa Site'!G1409,"NULL")</f>
        <v>5</v>
      </c>
      <c r="F1409">
        <f>IF('Boletins Nuppa Site'!H1409&lt;&gt;0,'Boletins Nuppa Site'!H1409,"NULL")</f>
        <v>5</v>
      </c>
      <c r="G1409">
        <f>IF('Boletins Nuppa Site'!I1409&lt;&gt;0,'Boletins Nuppa Site'!I1409,"NULL")</f>
        <v>5</v>
      </c>
      <c r="H1409">
        <f>IF('Boletins Nuppa Site'!J1409&lt;&gt;0,'Boletins Nuppa Site'!J1409,"NULL")</f>
        <v>5</v>
      </c>
      <c r="J1409" t="str">
        <f t="shared" si="21"/>
        <v>INSERT INTO COTACAO (blt_id, pap_id, cot_prc_comum, cot_prc_min, cot_prc_max, cot_prc_med, cot_prc_mediana) VALUES (37, 17, 5, 5, 5, 5, 5);</v>
      </c>
    </row>
    <row r="1410" spans="1:10" x14ac:dyDescent="0.3">
      <c r="A1410">
        <v>1409</v>
      </c>
      <c r="B1410">
        <v>37</v>
      </c>
      <c r="C1410">
        <v>18</v>
      </c>
      <c r="D1410">
        <f>IF('Boletins Nuppa Site'!F1410&lt;&gt;0,'Boletins Nuppa Site'!F1410,"NULL")</f>
        <v>12</v>
      </c>
      <c r="E1410">
        <f>IF('Boletins Nuppa Site'!G1410&lt;&gt;0,'Boletins Nuppa Site'!G1410,"NULL")</f>
        <v>12</v>
      </c>
      <c r="F1410">
        <f>IF('Boletins Nuppa Site'!H1410&lt;&gt;0,'Boletins Nuppa Site'!H1410,"NULL")</f>
        <v>15</v>
      </c>
      <c r="G1410" t="str">
        <f>IF('Boletins Nuppa Site'!I1410&lt;&gt;0,'Boletins Nuppa Site'!I1410,"NULL")</f>
        <v>13.5</v>
      </c>
      <c r="H1410" t="str">
        <f>IF('Boletins Nuppa Site'!J1410&lt;&gt;0,'Boletins Nuppa Site'!J1410,"NULL")</f>
        <v>13.5</v>
      </c>
      <c r="J1410" t="str">
        <f t="shared" si="21"/>
        <v>INSERT INTO COTACAO (blt_id, pap_id, cot_prc_comum, cot_prc_min, cot_prc_max, cot_prc_med, cot_prc_mediana) VALUES (37, 18, 12, 12, 15, 13.5, 13.5);</v>
      </c>
    </row>
    <row r="1411" spans="1:10" x14ac:dyDescent="0.3">
      <c r="A1411">
        <v>1410</v>
      </c>
      <c r="B1411">
        <v>37</v>
      </c>
      <c r="C1411">
        <v>19</v>
      </c>
      <c r="D1411" t="str">
        <f>IF('Boletins Nuppa Site'!F1411&lt;&gt;0,'Boletins Nuppa Site'!F1411,"NULL")</f>
        <v>NULL</v>
      </c>
      <c r="E1411">
        <f>IF('Boletins Nuppa Site'!G1411&lt;&gt;0,'Boletins Nuppa Site'!G1411,"NULL")</f>
        <v>35</v>
      </c>
      <c r="F1411">
        <f>IF('Boletins Nuppa Site'!H1411&lt;&gt;0,'Boletins Nuppa Site'!H1411,"NULL")</f>
        <v>20</v>
      </c>
      <c r="G1411">
        <f>IF('Boletins Nuppa Site'!I1411&lt;&gt;0,'Boletins Nuppa Site'!I1411,"NULL")</f>
        <v>35</v>
      </c>
      <c r="H1411" t="str">
        <f>IF('Boletins Nuppa Site'!J1411&lt;&gt;0,'Boletins Nuppa Site'!J1411,"NULL")</f>
        <v>28.75</v>
      </c>
      <c r="J1411" t="str">
        <f t="shared" ref="J1411:J1430" si="22">"INSERT INTO COTACAO (blt_id, pap_id, cot_prc_comum, cot_prc_min, cot_prc_max, cot_prc_med, cot_prc_mediana) VALUES ("&amp;B1411&amp;", "&amp;C1411&amp;", "&amp;D1411&amp;", "&amp;E1411&amp;", "&amp;F1411&amp;", "&amp;G1411&amp;", "&amp;H1411&amp;");"</f>
        <v>INSERT INTO COTACAO (blt_id, pap_id, cot_prc_comum, cot_prc_min, cot_prc_max, cot_prc_med, cot_prc_mediana) VALUES (37, 19, NULL, 35, 20, 35, 28.75);</v>
      </c>
    </row>
    <row r="1412" spans="1:10" x14ac:dyDescent="0.3">
      <c r="A1412">
        <v>1411</v>
      </c>
      <c r="B1412">
        <v>37</v>
      </c>
      <c r="C1412">
        <v>20</v>
      </c>
      <c r="D1412" t="str">
        <f>IF('Boletins Nuppa Site'!F1412&lt;&gt;0,'Boletins Nuppa Site'!F1412,"NULL")</f>
        <v>NULL</v>
      </c>
      <c r="E1412">
        <f>IF('Boletins Nuppa Site'!G1412&lt;&gt;0,'Boletins Nuppa Site'!G1412,"NULL")</f>
        <v>80</v>
      </c>
      <c r="F1412">
        <f>IF('Boletins Nuppa Site'!H1412&lt;&gt;0,'Boletins Nuppa Site'!H1412,"NULL")</f>
        <v>80</v>
      </c>
      <c r="G1412">
        <f>IF('Boletins Nuppa Site'!I1412&lt;&gt;0,'Boletins Nuppa Site'!I1412,"NULL")</f>
        <v>80</v>
      </c>
      <c r="H1412">
        <f>IF('Boletins Nuppa Site'!J1412&lt;&gt;0,'Boletins Nuppa Site'!J1412,"NULL")</f>
        <v>80</v>
      </c>
      <c r="J1412" t="str">
        <f t="shared" si="22"/>
        <v>INSERT INTO COTACAO (blt_id, pap_id, cot_prc_comum, cot_prc_min, cot_prc_max, cot_prc_med, cot_prc_mediana) VALUES (37, 20, NULL, 80, 80, 80, 80);</v>
      </c>
    </row>
    <row r="1413" spans="1:10" x14ac:dyDescent="0.3">
      <c r="A1413">
        <v>1412</v>
      </c>
      <c r="B1413">
        <v>37</v>
      </c>
      <c r="C1413">
        <v>21</v>
      </c>
      <c r="D1413">
        <f>IF('Boletins Nuppa Site'!F1413&lt;&gt;0,'Boletins Nuppa Site'!F1413,"NULL")</f>
        <v>40</v>
      </c>
      <c r="E1413">
        <f>IF('Boletins Nuppa Site'!G1413&lt;&gt;0,'Boletins Nuppa Site'!G1413,"NULL")</f>
        <v>30</v>
      </c>
      <c r="F1413">
        <f>IF('Boletins Nuppa Site'!H1413&lt;&gt;0,'Boletins Nuppa Site'!H1413,"NULL")</f>
        <v>40</v>
      </c>
      <c r="G1413">
        <f>IF('Boletins Nuppa Site'!I1413&lt;&gt;0,'Boletins Nuppa Site'!I1413,"NULL")</f>
        <v>35</v>
      </c>
      <c r="H1413">
        <f>IF('Boletins Nuppa Site'!J1413&lt;&gt;0,'Boletins Nuppa Site'!J1413,"NULL")</f>
        <v>35</v>
      </c>
      <c r="J1413" t="str">
        <f t="shared" si="22"/>
        <v>INSERT INTO COTACAO (blt_id, pap_id, cot_prc_comum, cot_prc_min, cot_prc_max, cot_prc_med, cot_prc_mediana) VALUES (37, 21, 40, 30, 40, 35, 35);</v>
      </c>
    </row>
    <row r="1414" spans="1:10" x14ac:dyDescent="0.3">
      <c r="A1414">
        <v>1413</v>
      </c>
      <c r="B1414">
        <v>37</v>
      </c>
      <c r="C1414">
        <v>22</v>
      </c>
      <c r="D1414">
        <f>IF('Boletins Nuppa Site'!F1414&lt;&gt;0,'Boletins Nuppa Site'!F1414,"NULL")</f>
        <v>45</v>
      </c>
      <c r="E1414">
        <f>IF('Boletins Nuppa Site'!G1414&lt;&gt;0,'Boletins Nuppa Site'!G1414,"NULL")</f>
        <v>45</v>
      </c>
      <c r="F1414">
        <f>IF('Boletins Nuppa Site'!H1414&lt;&gt;0,'Boletins Nuppa Site'!H1414,"NULL")</f>
        <v>70</v>
      </c>
      <c r="G1414" t="str">
        <f>IF('Boletins Nuppa Site'!I1414&lt;&gt;0,'Boletins Nuppa Site'!I1414,"NULL")</f>
        <v>56.25</v>
      </c>
      <c r="H1414">
        <f>IF('Boletins Nuppa Site'!J1414&lt;&gt;0,'Boletins Nuppa Site'!J1414,"NULL")</f>
        <v>55</v>
      </c>
      <c r="J1414" t="str">
        <f t="shared" si="22"/>
        <v>INSERT INTO COTACAO (blt_id, pap_id, cot_prc_comum, cot_prc_min, cot_prc_max, cot_prc_med, cot_prc_mediana) VALUES (37, 22, 45, 45, 70, 56.25, 55);</v>
      </c>
    </row>
    <row r="1415" spans="1:10" x14ac:dyDescent="0.3">
      <c r="A1415">
        <v>1414</v>
      </c>
      <c r="B1415">
        <v>37</v>
      </c>
      <c r="C1415">
        <v>23</v>
      </c>
      <c r="D1415" t="str">
        <f>IF('Boletins Nuppa Site'!F1415&lt;&gt;0,'Boletins Nuppa Site'!F1415,"NULL")</f>
        <v>NULL</v>
      </c>
      <c r="E1415">
        <f>IF('Boletins Nuppa Site'!G1415&lt;&gt;0,'Boletins Nuppa Site'!G1415,"NULL")</f>
        <v>50</v>
      </c>
      <c r="F1415">
        <f>IF('Boletins Nuppa Site'!H1415&lt;&gt;0,'Boletins Nuppa Site'!H1415,"NULL")</f>
        <v>70</v>
      </c>
      <c r="G1415">
        <f>IF('Boletins Nuppa Site'!I1415&lt;&gt;0,'Boletins Nuppa Site'!I1415,"NULL")</f>
        <v>60</v>
      </c>
      <c r="H1415">
        <f>IF('Boletins Nuppa Site'!J1415&lt;&gt;0,'Boletins Nuppa Site'!J1415,"NULL")</f>
        <v>60</v>
      </c>
      <c r="J1415" t="str">
        <f t="shared" si="22"/>
        <v>INSERT INTO COTACAO (blt_id, pap_id, cot_prc_comum, cot_prc_min, cot_prc_max, cot_prc_med, cot_prc_mediana) VALUES (37, 23, NULL, 50, 70, 60, 60);</v>
      </c>
    </row>
    <row r="1416" spans="1:10" x14ac:dyDescent="0.3">
      <c r="A1416">
        <v>1415</v>
      </c>
      <c r="B1416">
        <v>37</v>
      </c>
      <c r="C1416">
        <v>24</v>
      </c>
      <c r="D1416" t="str">
        <f>IF('Boletins Nuppa Site'!F1416&lt;&gt;0,'Boletins Nuppa Site'!F1416,"NULL")</f>
        <v>NULL</v>
      </c>
      <c r="E1416">
        <f>IF('Boletins Nuppa Site'!G1416&lt;&gt;0,'Boletins Nuppa Site'!G1416,"NULL")</f>
        <v>45</v>
      </c>
      <c r="F1416">
        <f>IF('Boletins Nuppa Site'!H1416&lt;&gt;0,'Boletins Nuppa Site'!H1416,"NULL")</f>
        <v>110</v>
      </c>
      <c r="G1416" t="str">
        <f>IF('Boletins Nuppa Site'!I1416&lt;&gt;0,'Boletins Nuppa Site'!I1416,"NULL")</f>
        <v>81.67</v>
      </c>
      <c r="H1416">
        <f>IF('Boletins Nuppa Site'!J1416&lt;&gt;0,'Boletins Nuppa Site'!J1416,"NULL")</f>
        <v>90</v>
      </c>
      <c r="J1416" t="str">
        <f t="shared" si="22"/>
        <v>INSERT INTO COTACAO (blt_id, pap_id, cot_prc_comum, cot_prc_min, cot_prc_max, cot_prc_med, cot_prc_mediana) VALUES (37, 24, NULL, 45, 110, 81.67, 90);</v>
      </c>
    </row>
    <row r="1417" spans="1:10" x14ac:dyDescent="0.3">
      <c r="A1417">
        <v>1416</v>
      </c>
      <c r="B1417">
        <v>37</v>
      </c>
      <c r="C1417">
        <v>26</v>
      </c>
      <c r="D1417">
        <f>IF('Boletins Nuppa Site'!F1417&lt;&gt;0,'Boletins Nuppa Site'!F1417,"NULL")</f>
        <v>55</v>
      </c>
      <c r="E1417">
        <f>IF('Boletins Nuppa Site'!G1417&lt;&gt;0,'Boletins Nuppa Site'!G1417,"NULL")</f>
        <v>40</v>
      </c>
      <c r="F1417">
        <f>IF('Boletins Nuppa Site'!H1417&lt;&gt;0,'Boletins Nuppa Site'!H1417,"NULL")</f>
        <v>55</v>
      </c>
      <c r="G1417" t="str">
        <f>IF('Boletins Nuppa Site'!I1417&lt;&gt;0,'Boletins Nuppa Site'!I1417,"NULL")</f>
        <v>48.75</v>
      </c>
      <c r="H1417">
        <f>IF('Boletins Nuppa Site'!J1417&lt;&gt;0,'Boletins Nuppa Site'!J1417,"NULL")</f>
        <v>50</v>
      </c>
      <c r="J1417" t="str">
        <f t="shared" si="22"/>
        <v>INSERT INTO COTACAO (blt_id, pap_id, cot_prc_comum, cot_prc_min, cot_prc_max, cot_prc_med, cot_prc_mediana) VALUES (37, 26, 55, 40, 55, 48.75, 50);</v>
      </c>
    </row>
    <row r="1418" spans="1:10" x14ac:dyDescent="0.3">
      <c r="A1418">
        <v>1417</v>
      </c>
      <c r="B1418">
        <v>37</v>
      </c>
      <c r="C1418">
        <v>27</v>
      </c>
      <c r="D1418" t="str">
        <f>IF('Boletins Nuppa Site'!F1418&lt;&gt;0,'Boletins Nuppa Site'!F1418,"NULL")</f>
        <v>NULL</v>
      </c>
      <c r="E1418">
        <f>IF('Boletins Nuppa Site'!G1418&lt;&gt;0,'Boletins Nuppa Site'!G1418,"NULL")</f>
        <v>55</v>
      </c>
      <c r="F1418">
        <f>IF('Boletins Nuppa Site'!H1418&lt;&gt;0,'Boletins Nuppa Site'!H1418,"NULL")</f>
        <v>85</v>
      </c>
      <c r="G1418" t="str">
        <f>IF('Boletins Nuppa Site'!I1418&lt;&gt;0,'Boletins Nuppa Site'!I1418,"NULL")</f>
        <v>68.75</v>
      </c>
      <c r="H1418" t="str">
        <f>IF('Boletins Nuppa Site'!J1418&lt;&gt;0,'Boletins Nuppa Site'!J1418,"NULL")</f>
        <v>67.5</v>
      </c>
      <c r="J1418" t="str">
        <f t="shared" si="22"/>
        <v>INSERT INTO COTACAO (blt_id, pap_id, cot_prc_comum, cot_prc_min, cot_prc_max, cot_prc_med, cot_prc_mediana) VALUES (37, 27, NULL, 55, 85, 68.75, 67.5);</v>
      </c>
    </row>
    <row r="1419" spans="1:10" x14ac:dyDescent="0.3">
      <c r="A1419">
        <v>1418</v>
      </c>
      <c r="B1419">
        <v>37</v>
      </c>
      <c r="C1419">
        <v>28</v>
      </c>
      <c r="D1419" t="str">
        <f>IF('Boletins Nuppa Site'!F1419&lt;&gt;0,'Boletins Nuppa Site'!F1419,"NULL")</f>
        <v>NULL</v>
      </c>
      <c r="E1419">
        <f>IF('Boletins Nuppa Site'!G1419&lt;&gt;0,'Boletins Nuppa Site'!G1419,"NULL")</f>
        <v>90</v>
      </c>
      <c r="F1419">
        <f>IF('Boletins Nuppa Site'!H1419&lt;&gt;0,'Boletins Nuppa Site'!H1419,"NULL")</f>
        <v>100</v>
      </c>
      <c r="G1419">
        <f>IF('Boletins Nuppa Site'!I1419&lt;&gt;0,'Boletins Nuppa Site'!I1419,"NULL")</f>
        <v>95</v>
      </c>
      <c r="H1419">
        <f>IF('Boletins Nuppa Site'!J1419&lt;&gt;0,'Boletins Nuppa Site'!J1419,"NULL")</f>
        <v>95</v>
      </c>
      <c r="J1419" t="str">
        <f t="shared" si="22"/>
        <v>INSERT INTO COTACAO (blt_id, pap_id, cot_prc_comum, cot_prc_min, cot_prc_max, cot_prc_med, cot_prc_mediana) VALUES (37, 28, NULL, 90, 100, 95, 95);</v>
      </c>
    </row>
    <row r="1420" spans="1:10" x14ac:dyDescent="0.3">
      <c r="A1420">
        <v>1419</v>
      </c>
      <c r="B1420">
        <v>37</v>
      </c>
      <c r="C1420">
        <v>29</v>
      </c>
      <c r="D1420" t="str">
        <f>IF('Boletins Nuppa Site'!F1420&lt;&gt;0,'Boletins Nuppa Site'!F1420,"NULL")</f>
        <v>NULL</v>
      </c>
      <c r="E1420">
        <f>IF('Boletins Nuppa Site'!G1420&lt;&gt;0,'Boletins Nuppa Site'!G1420,"NULL")</f>
        <v>70</v>
      </c>
      <c r="F1420">
        <f>IF('Boletins Nuppa Site'!H1420&lt;&gt;0,'Boletins Nuppa Site'!H1420,"NULL")</f>
        <v>70</v>
      </c>
      <c r="G1420">
        <f>IF('Boletins Nuppa Site'!I1420&lt;&gt;0,'Boletins Nuppa Site'!I1420,"NULL")</f>
        <v>70</v>
      </c>
      <c r="H1420">
        <f>IF('Boletins Nuppa Site'!J1420&lt;&gt;0,'Boletins Nuppa Site'!J1420,"NULL")</f>
        <v>70</v>
      </c>
      <c r="J1420" t="str">
        <f t="shared" si="22"/>
        <v>INSERT INTO COTACAO (blt_id, pap_id, cot_prc_comum, cot_prc_min, cot_prc_max, cot_prc_med, cot_prc_mediana) VALUES (37, 29, NULL, 70, 70, 70, 70);</v>
      </c>
    </row>
    <row r="1421" spans="1:10" x14ac:dyDescent="0.3">
      <c r="A1421">
        <v>1420</v>
      </c>
      <c r="B1421">
        <v>37</v>
      </c>
      <c r="C1421">
        <v>30</v>
      </c>
      <c r="D1421" t="str">
        <f>IF('Boletins Nuppa Site'!F1421&lt;&gt;0,'Boletins Nuppa Site'!F1421,"NULL")</f>
        <v>NULL</v>
      </c>
      <c r="E1421">
        <f>IF('Boletins Nuppa Site'!G1421&lt;&gt;0,'Boletins Nuppa Site'!G1421,"NULL")</f>
        <v>70</v>
      </c>
      <c r="F1421">
        <f>IF('Boletins Nuppa Site'!H1421&lt;&gt;0,'Boletins Nuppa Site'!H1421,"NULL")</f>
        <v>80</v>
      </c>
      <c r="G1421">
        <f>IF('Boletins Nuppa Site'!I1421&lt;&gt;0,'Boletins Nuppa Site'!I1421,"NULL")</f>
        <v>75</v>
      </c>
      <c r="H1421">
        <f>IF('Boletins Nuppa Site'!J1421&lt;&gt;0,'Boletins Nuppa Site'!J1421,"NULL")</f>
        <v>75</v>
      </c>
      <c r="J1421" t="str">
        <f t="shared" si="22"/>
        <v>INSERT INTO COTACAO (blt_id, pap_id, cot_prc_comum, cot_prc_min, cot_prc_max, cot_prc_med, cot_prc_mediana) VALUES (37, 30, NULL, 70, 80, 75, 75);</v>
      </c>
    </row>
    <row r="1422" spans="1:10" x14ac:dyDescent="0.3">
      <c r="A1422">
        <v>1421</v>
      </c>
      <c r="B1422">
        <v>37</v>
      </c>
      <c r="C1422">
        <v>31</v>
      </c>
      <c r="D1422">
        <f>IF('Boletins Nuppa Site'!F1422&lt;&gt;0,'Boletins Nuppa Site'!F1422,"NULL")</f>
        <v>100</v>
      </c>
      <c r="E1422">
        <f>IF('Boletins Nuppa Site'!G1422&lt;&gt;0,'Boletins Nuppa Site'!G1422,"NULL")</f>
        <v>75</v>
      </c>
      <c r="F1422">
        <f>IF('Boletins Nuppa Site'!H1422&lt;&gt;0,'Boletins Nuppa Site'!H1422,"NULL")</f>
        <v>100</v>
      </c>
      <c r="G1422" t="str">
        <f>IF('Boletins Nuppa Site'!I1422&lt;&gt;0,'Boletins Nuppa Site'!I1422,"NULL")</f>
        <v>88.75</v>
      </c>
      <c r="H1422">
        <f>IF('Boletins Nuppa Site'!J1422&lt;&gt;0,'Boletins Nuppa Site'!J1422,"NULL")</f>
        <v>90</v>
      </c>
      <c r="J1422" t="str">
        <f t="shared" si="22"/>
        <v>INSERT INTO COTACAO (blt_id, pap_id, cot_prc_comum, cot_prc_min, cot_prc_max, cot_prc_med, cot_prc_mediana) VALUES (37, 31, 100, 75, 100, 88.75, 90);</v>
      </c>
    </row>
    <row r="1423" spans="1:10" x14ac:dyDescent="0.3">
      <c r="A1423">
        <v>1422</v>
      </c>
      <c r="B1423">
        <v>37</v>
      </c>
      <c r="C1423">
        <v>32</v>
      </c>
      <c r="D1423">
        <f>IF('Boletins Nuppa Site'!F1423&lt;&gt;0,'Boletins Nuppa Site'!F1423,"NULL")</f>
        <v>45</v>
      </c>
      <c r="E1423">
        <f>IF('Boletins Nuppa Site'!G1423&lt;&gt;0,'Boletins Nuppa Site'!G1423,"NULL")</f>
        <v>45</v>
      </c>
      <c r="F1423">
        <f>IF('Boletins Nuppa Site'!H1423&lt;&gt;0,'Boletins Nuppa Site'!H1423,"NULL")</f>
        <v>85</v>
      </c>
      <c r="G1423" t="str">
        <f>IF('Boletins Nuppa Site'!I1423&lt;&gt;0,'Boletins Nuppa Site'!I1423,"NULL")</f>
        <v>57.5</v>
      </c>
      <c r="H1423">
        <f>IF('Boletins Nuppa Site'!J1423&lt;&gt;0,'Boletins Nuppa Site'!J1423,"NULL")</f>
        <v>50</v>
      </c>
      <c r="J1423" t="str">
        <f t="shared" si="22"/>
        <v>INSERT INTO COTACAO (blt_id, pap_id, cot_prc_comum, cot_prc_min, cot_prc_max, cot_prc_med, cot_prc_mediana) VALUES (37, 32, 45, 45, 85, 57.5, 50);</v>
      </c>
    </row>
    <row r="1424" spans="1:10" x14ac:dyDescent="0.3">
      <c r="A1424">
        <v>1423</v>
      </c>
      <c r="B1424">
        <v>37</v>
      </c>
      <c r="C1424">
        <v>33</v>
      </c>
      <c r="D1424">
        <f>IF('Boletins Nuppa Site'!F1424&lt;&gt;0,'Boletins Nuppa Site'!F1424,"NULL")</f>
        <v>160</v>
      </c>
      <c r="E1424">
        <f>IF('Boletins Nuppa Site'!G1424&lt;&gt;0,'Boletins Nuppa Site'!G1424,"NULL")</f>
        <v>150</v>
      </c>
      <c r="F1424">
        <f>IF('Boletins Nuppa Site'!H1424&lt;&gt;0,'Boletins Nuppa Site'!H1424,"NULL")</f>
        <v>180</v>
      </c>
      <c r="G1424" t="str">
        <f>IF('Boletins Nuppa Site'!I1424&lt;&gt;0,'Boletins Nuppa Site'!I1424,"NULL")</f>
        <v>162.5</v>
      </c>
      <c r="H1424">
        <f>IF('Boletins Nuppa Site'!J1424&lt;&gt;0,'Boletins Nuppa Site'!J1424,"NULL")</f>
        <v>160</v>
      </c>
      <c r="J1424" t="str">
        <f t="shared" si="22"/>
        <v>INSERT INTO COTACAO (blt_id, pap_id, cot_prc_comum, cot_prc_min, cot_prc_max, cot_prc_med, cot_prc_mediana) VALUES (37, 33, 160, 150, 180, 162.5, 160);</v>
      </c>
    </row>
    <row r="1425" spans="1:10" x14ac:dyDescent="0.3">
      <c r="A1425">
        <v>1424</v>
      </c>
      <c r="B1425">
        <v>37</v>
      </c>
      <c r="C1425">
        <v>34</v>
      </c>
      <c r="D1425" t="str">
        <f>IF('Boletins Nuppa Site'!F1425&lt;&gt;0,'Boletins Nuppa Site'!F1425,"NULL")</f>
        <v>NULL</v>
      </c>
      <c r="E1425">
        <f>IF('Boletins Nuppa Site'!G1425&lt;&gt;0,'Boletins Nuppa Site'!G1425,"NULL")</f>
        <v>50</v>
      </c>
      <c r="F1425">
        <f>IF('Boletins Nuppa Site'!H1425&lt;&gt;0,'Boletins Nuppa Site'!H1425,"NULL")</f>
        <v>80</v>
      </c>
      <c r="G1425">
        <f>IF('Boletins Nuppa Site'!I1425&lt;&gt;0,'Boletins Nuppa Site'!I1425,"NULL")</f>
        <v>65</v>
      </c>
      <c r="H1425">
        <f>IF('Boletins Nuppa Site'!J1425&lt;&gt;0,'Boletins Nuppa Site'!J1425,"NULL")</f>
        <v>65</v>
      </c>
      <c r="J1425" t="str">
        <f t="shared" si="22"/>
        <v>INSERT INTO COTACAO (blt_id, pap_id, cot_prc_comum, cot_prc_min, cot_prc_max, cot_prc_med, cot_prc_mediana) VALUES (37, 34, NULL, 50, 80, 65, 65);</v>
      </c>
    </row>
    <row r="1426" spans="1:10" x14ac:dyDescent="0.3">
      <c r="A1426">
        <v>1425</v>
      </c>
      <c r="B1426">
        <v>37</v>
      </c>
      <c r="C1426">
        <v>35</v>
      </c>
      <c r="D1426" t="str">
        <f>IF('Boletins Nuppa Site'!F1426&lt;&gt;0,'Boletins Nuppa Site'!F1426,"NULL")</f>
        <v>NULL</v>
      </c>
      <c r="E1426" t="str">
        <f>IF('Boletins Nuppa Site'!G1426&lt;&gt;0,'Boletins Nuppa Site'!G1426,"NULL")</f>
        <v>NULL</v>
      </c>
      <c r="F1426">
        <f>IF('Boletins Nuppa Site'!H1426&lt;&gt;0,'Boletins Nuppa Site'!H1426,"NULL")</f>
        <v>90</v>
      </c>
      <c r="G1426">
        <f>IF('Boletins Nuppa Site'!I1426&lt;&gt;0,'Boletins Nuppa Site'!I1426,"NULL")</f>
        <v>120</v>
      </c>
      <c r="H1426" t="str">
        <f>IF('Boletins Nuppa Site'!J1426&lt;&gt;0,'Boletins Nuppa Site'!J1426,"NULL")</f>
        <v>103.33</v>
      </c>
      <c r="J1426" t="str">
        <f t="shared" si="22"/>
        <v>INSERT INTO COTACAO (blt_id, pap_id, cot_prc_comum, cot_prc_min, cot_prc_max, cot_prc_med, cot_prc_mediana) VALUES (37, 35, NULL, NULL, 90, 120, 103.33);</v>
      </c>
    </row>
    <row r="1427" spans="1:10" x14ac:dyDescent="0.3">
      <c r="A1427">
        <v>1426</v>
      </c>
      <c r="B1427">
        <v>37</v>
      </c>
      <c r="C1427">
        <v>36</v>
      </c>
      <c r="D1427" t="str">
        <f>IF('Boletins Nuppa Site'!F1427&lt;&gt;0,'Boletins Nuppa Site'!F1427,"NULL")</f>
        <v>NULL</v>
      </c>
      <c r="E1427" t="str">
        <f>IF('Boletins Nuppa Site'!G1427&lt;&gt;0,'Boletins Nuppa Site'!G1427,"NULL")</f>
        <v>NULL</v>
      </c>
      <c r="F1427" t="str">
        <f>IF('Boletins Nuppa Site'!H1427&lt;&gt;0,'Boletins Nuppa Site'!H1427,"NULL")</f>
        <v>NULL</v>
      </c>
      <c r="G1427" t="str">
        <f>IF('Boletins Nuppa Site'!I1427&lt;&gt;0,'Boletins Nuppa Site'!I1427,"NULL")</f>
        <v>NULL</v>
      </c>
      <c r="H1427" t="str">
        <f>IF('Boletins Nuppa Site'!J1427&lt;&gt;0,'Boletins Nuppa Site'!J1427,"NULL")</f>
        <v>NULL</v>
      </c>
      <c r="J1427" t="str">
        <f t="shared" si="22"/>
        <v>INSERT INTO COTACAO (blt_id, pap_id, cot_prc_comum, cot_prc_min, cot_prc_max, cot_prc_med, cot_prc_mediana) VALUES (37, 36, NULL, NULL, NULL, NULL, NULL);</v>
      </c>
    </row>
    <row r="1428" spans="1:10" x14ac:dyDescent="0.3">
      <c r="A1428">
        <v>1427</v>
      </c>
      <c r="B1428">
        <v>37</v>
      </c>
      <c r="C1428">
        <v>37</v>
      </c>
      <c r="D1428" t="str">
        <f>IF('Boletins Nuppa Site'!F1428&lt;&gt;0,'Boletins Nuppa Site'!F1428,"NULL")</f>
        <v>NULL</v>
      </c>
      <c r="E1428" t="str">
        <f>IF('Boletins Nuppa Site'!G1428&lt;&gt;0,'Boletins Nuppa Site'!G1428,"NULL")</f>
        <v>NULL</v>
      </c>
      <c r="F1428" t="str">
        <f>IF('Boletins Nuppa Site'!H1428&lt;&gt;0,'Boletins Nuppa Site'!H1428,"NULL")</f>
        <v>NULL</v>
      </c>
      <c r="G1428" t="str">
        <f>IF('Boletins Nuppa Site'!I1428&lt;&gt;0,'Boletins Nuppa Site'!I1428,"NULL")</f>
        <v>NULL</v>
      </c>
      <c r="H1428" t="str">
        <f>IF('Boletins Nuppa Site'!J1428&lt;&gt;0,'Boletins Nuppa Site'!J1428,"NULL")</f>
        <v>NULL</v>
      </c>
      <c r="J1428" t="str">
        <f t="shared" si="22"/>
        <v>INSERT INTO COTACAO (blt_id, pap_id, cot_prc_comum, cot_prc_min, cot_prc_max, cot_prc_med, cot_prc_mediana) VALUES (37, 37, NULL, NULL, NULL, NULL, NULL);</v>
      </c>
    </row>
    <row r="1429" spans="1:10" x14ac:dyDescent="0.3">
      <c r="A1429">
        <v>1428</v>
      </c>
      <c r="B1429">
        <v>37</v>
      </c>
      <c r="C1429">
        <v>38</v>
      </c>
      <c r="D1429" t="str">
        <f>IF('Boletins Nuppa Site'!F1429&lt;&gt;0,'Boletins Nuppa Site'!F1429,"NULL")</f>
        <v>NULL</v>
      </c>
      <c r="E1429" t="str">
        <f>IF('Boletins Nuppa Site'!G1429&lt;&gt;0,'Boletins Nuppa Site'!G1429,"NULL")</f>
        <v>NULL</v>
      </c>
      <c r="F1429" t="str">
        <f>IF('Boletins Nuppa Site'!H1429&lt;&gt;0,'Boletins Nuppa Site'!H1429,"NULL")</f>
        <v>NULL</v>
      </c>
      <c r="G1429" t="str">
        <f>IF('Boletins Nuppa Site'!I1429&lt;&gt;0,'Boletins Nuppa Site'!I1429,"NULL")</f>
        <v>NULL</v>
      </c>
      <c r="H1429" t="str">
        <f>IF('Boletins Nuppa Site'!J1429&lt;&gt;0,'Boletins Nuppa Site'!J1429,"NULL")</f>
        <v>NULL</v>
      </c>
      <c r="J1429" t="str">
        <f t="shared" si="22"/>
        <v>INSERT INTO COTACAO (blt_id, pap_id, cot_prc_comum, cot_prc_min, cot_prc_max, cot_prc_med, cot_prc_mediana) VALUES (37, 38, NULL, NULL, NULL, NULL, NULL);</v>
      </c>
    </row>
    <row r="1430" spans="1:10" x14ac:dyDescent="0.3">
      <c r="A1430">
        <v>1429</v>
      </c>
      <c r="B1430">
        <v>37</v>
      </c>
      <c r="C1430">
        <v>39</v>
      </c>
      <c r="D1430" t="str">
        <f>IF('Boletins Nuppa Site'!F1430&lt;&gt;0,'Boletins Nuppa Site'!F1430,"NULL")</f>
        <v>NULL</v>
      </c>
      <c r="E1430">
        <f>IF('Boletins Nuppa Site'!G1430&lt;&gt;0,'Boletins Nuppa Site'!G1430,"NULL")</f>
        <v>70</v>
      </c>
      <c r="F1430">
        <f>IF('Boletins Nuppa Site'!H1430&lt;&gt;0,'Boletins Nuppa Site'!H1430,"NULL")</f>
        <v>70</v>
      </c>
      <c r="G1430">
        <f>IF('Boletins Nuppa Site'!I1430&lt;&gt;0,'Boletins Nuppa Site'!I1430,"NULL")</f>
        <v>70</v>
      </c>
      <c r="H1430">
        <f>IF('Boletins Nuppa Site'!J1430&lt;&gt;0,'Boletins Nuppa Site'!J1430,"NULL")</f>
        <v>70</v>
      </c>
      <c r="J1430" t="str">
        <f t="shared" si="22"/>
        <v>INSERT INTO COTACAO (blt_id, pap_id, cot_prc_comum, cot_prc_min, cot_prc_max, cot_prc_med, cot_prc_mediana) VALUES (37, 39, NULL, 70, 70, 70, 70);</v>
      </c>
    </row>
  </sheetData>
  <autoFilter ref="A1:H1430" xr:uid="{00000000-0001-0000-0900-000000000000}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zoomScaleNormal="100" workbookViewId="0">
      <selection activeCell="F2" sqref="F2"/>
    </sheetView>
  </sheetViews>
  <sheetFormatPr defaultColWidth="8.44140625" defaultRowHeight="14.4" x14ac:dyDescent="0.3"/>
  <cols>
    <col min="1" max="1" width="10.44140625" customWidth="1"/>
    <col min="2" max="2" width="7.21875" customWidth="1"/>
    <col min="3" max="3" width="7.77734375" customWidth="1"/>
    <col min="4" max="5" width="9.21875" customWidth="1"/>
    <col min="6" max="6" width="9.33203125" customWidth="1"/>
    <col min="7" max="7" width="4" customWidth="1"/>
    <col min="8" max="8" width="7.6640625" customWidth="1"/>
    <col min="9" max="9" width="10.21875" customWidth="1"/>
    <col min="10" max="10" width="14.44140625" customWidth="1"/>
    <col min="11" max="11" width="11.21875" customWidth="1"/>
    <col min="12" max="12" width="11.6640625" customWidth="1"/>
    <col min="13" max="13" width="11.77734375" customWidth="1"/>
    <col min="14" max="14" width="15.44140625" customWidth="1"/>
  </cols>
  <sheetData>
    <row r="1" spans="1:14" x14ac:dyDescent="0.3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E2" sqref="E2:E5"/>
    </sheetView>
  </sheetViews>
  <sheetFormatPr defaultColWidth="8.44140625" defaultRowHeight="14.4" x14ac:dyDescent="0.3"/>
  <cols>
    <col min="2" max="2" width="9.21875" customWidth="1"/>
    <col min="3" max="3" width="72.109375" customWidth="1"/>
  </cols>
  <sheetData>
    <row r="1" spans="1:5" x14ac:dyDescent="0.3">
      <c r="A1" t="s">
        <v>117</v>
      </c>
      <c r="B1" t="s">
        <v>106</v>
      </c>
      <c r="C1" t="s">
        <v>118</v>
      </c>
    </row>
    <row r="2" spans="1:5" x14ac:dyDescent="0.3">
      <c r="A2">
        <v>1</v>
      </c>
      <c r="B2" t="s">
        <v>119</v>
      </c>
      <c r="C2" t="s">
        <v>120</v>
      </c>
      <c r="D2" t="str">
        <f>"INSERT INTO GRUPO_ALIMENTAR (grp_id, grp_nome, grp_desc) VALUES ("&amp;A2&amp;", '"&amp;B2&amp;"', '"&amp;C2&amp;"');"</f>
        <v>INSERT INTO GRUPO_ALIMENTAR (grp_id, grp_nome, grp_desc) VALUES (1, 'A', 'Verduras (folhosas, flores e hastes)');</v>
      </c>
      <c r="E2" t="s">
        <v>121</v>
      </c>
    </row>
    <row r="3" spans="1:5" x14ac:dyDescent="0.3">
      <c r="A3">
        <v>2</v>
      </c>
      <c r="B3" t="s">
        <v>122</v>
      </c>
      <c r="C3" t="s">
        <v>123</v>
      </c>
      <c r="D3" t="str">
        <f>"INSERT INTO GRUPO_ALIMENTAR (grp_id, grp_nome, grp_desc) VALUES ("&amp;A3&amp;", '"&amp;B3&amp;"', '"&amp;C3&amp;"');"</f>
        <v>INSERT INTO GRUPO_ALIMENTAR (grp_id, grp_nome, grp_desc) VALUES (2, 'B', 'Hortaliças condimentares (temperos)');</v>
      </c>
      <c r="E3" t="s">
        <v>124</v>
      </c>
    </row>
    <row r="4" spans="1:5" x14ac:dyDescent="0.3">
      <c r="A4">
        <v>3</v>
      </c>
      <c r="B4" t="s">
        <v>125</v>
      </c>
      <c r="C4" t="s">
        <v>126</v>
      </c>
      <c r="D4" t="str">
        <f>"INSERT INTO GRUPO_ALIMENTAR (grp_id, grp_nome, grp_desc) VALUES ("&amp;A4&amp;", '"&amp;B4&amp;"', '"&amp;C4&amp;"');"</f>
        <v>INSERT INTO GRUPO_ALIMENTAR (grp_id, grp_nome, grp_desc) VALUES (3, 'C', 'Hortaliças legumes (leguminosas (vagens), frutos, raízes tuberosas, tuberculos, bulbos)');</v>
      </c>
      <c r="E4" t="s">
        <v>127</v>
      </c>
    </row>
    <row r="5" spans="1:5" x14ac:dyDescent="0.3">
      <c r="A5">
        <v>4</v>
      </c>
      <c r="B5" t="s">
        <v>128</v>
      </c>
      <c r="C5" t="s">
        <v>129</v>
      </c>
      <c r="D5" t="str">
        <f>"INSERT INTO GRUPO_ALIMENTAR (grp_id, grp_nome, grp_desc) VALUES ("&amp;A5&amp;", '"&amp;B5&amp;"', '"&amp;C5&amp;"');"</f>
        <v>INSERT INTO GRUPO_ALIMENTAR (grp_id, grp_nome, grp_desc) VALUES (4, 'D', 'Frutas');</v>
      </c>
      <c r="E5" t="s">
        <v>130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selection activeCell="F2" sqref="F2:F11"/>
    </sheetView>
  </sheetViews>
  <sheetFormatPr defaultColWidth="8.44140625" defaultRowHeight="14.4" x14ac:dyDescent="0.3"/>
  <sheetData>
    <row r="1" spans="1:6" x14ac:dyDescent="0.3">
      <c r="A1" t="s">
        <v>131</v>
      </c>
      <c r="B1" t="s">
        <v>117</v>
      </c>
      <c r="C1" t="s">
        <v>107</v>
      </c>
    </row>
    <row r="2" spans="1:6" x14ac:dyDescent="0.3">
      <c r="A2">
        <v>1</v>
      </c>
      <c r="B2">
        <v>1</v>
      </c>
      <c r="C2" t="s">
        <v>132</v>
      </c>
      <c r="E2" t="str">
        <f t="shared" ref="E2:E11" si="0">"INSERT INTO CATEGORIA (grp_id, cat_nome) VALUES ("&amp;B2&amp;", '"&amp;C2&amp;"');"</f>
        <v>INSERT INTO CATEGORIA (grp_id, cat_nome) VALUES (1, 'Folhosas');</v>
      </c>
      <c r="F2" t="s">
        <v>133</v>
      </c>
    </row>
    <row r="3" spans="1:6" x14ac:dyDescent="0.3">
      <c r="A3">
        <v>2</v>
      </c>
      <c r="B3">
        <v>1</v>
      </c>
      <c r="C3" t="s">
        <v>134</v>
      </c>
      <c r="E3" t="str">
        <f t="shared" si="0"/>
        <v>INSERT INTO CATEGORIA (grp_id, cat_nome) VALUES (1, 'Flores');</v>
      </c>
      <c r="F3" t="s">
        <v>135</v>
      </c>
    </row>
    <row r="4" spans="1:6" x14ac:dyDescent="0.3">
      <c r="A4">
        <v>3</v>
      </c>
      <c r="B4">
        <v>1</v>
      </c>
      <c r="C4" t="s">
        <v>136</v>
      </c>
      <c r="E4" t="str">
        <f t="shared" si="0"/>
        <v>INSERT INTO CATEGORIA (grp_id, cat_nome) VALUES (1, 'Hastes');</v>
      </c>
      <c r="F4" t="s">
        <v>137</v>
      </c>
    </row>
    <row r="5" spans="1:6" x14ac:dyDescent="0.3">
      <c r="A5">
        <v>4</v>
      </c>
      <c r="B5">
        <v>2</v>
      </c>
      <c r="C5" t="s">
        <v>138</v>
      </c>
      <c r="E5" t="str">
        <f t="shared" si="0"/>
        <v>INSERT INTO CATEGORIA (grp_id, cat_nome) VALUES (2, 'Temperos');</v>
      </c>
      <c r="F5" t="s">
        <v>139</v>
      </c>
    </row>
    <row r="6" spans="1:6" x14ac:dyDescent="0.3">
      <c r="A6">
        <v>5</v>
      </c>
      <c r="B6">
        <v>3</v>
      </c>
      <c r="C6" t="s">
        <v>140</v>
      </c>
      <c r="E6" t="str">
        <f t="shared" si="0"/>
        <v>INSERT INTO CATEGORIA (grp_id, cat_nome) VALUES (3, 'Leguminosas (vagens)');</v>
      </c>
      <c r="F6" t="s">
        <v>141</v>
      </c>
    </row>
    <row r="7" spans="1:6" x14ac:dyDescent="0.3">
      <c r="A7">
        <v>6</v>
      </c>
      <c r="B7">
        <v>3</v>
      </c>
      <c r="C7" t="s">
        <v>142</v>
      </c>
      <c r="E7" t="str">
        <f t="shared" si="0"/>
        <v>INSERT INTO CATEGORIA (grp_id, cat_nome) VALUES (3, 'Frutos');</v>
      </c>
      <c r="F7" t="s">
        <v>143</v>
      </c>
    </row>
    <row r="8" spans="1:6" x14ac:dyDescent="0.3">
      <c r="A8">
        <v>7</v>
      </c>
      <c r="B8">
        <v>3</v>
      </c>
      <c r="C8" t="s">
        <v>144</v>
      </c>
      <c r="E8" t="str">
        <f t="shared" si="0"/>
        <v>INSERT INTO CATEGORIA (grp_id, cat_nome) VALUES (3, 'Raízes Tuberosas');</v>
      </c>
      <c r="F8" t="s">
        <v>145</v>
      </c>
    </row>
    <row r="9" spans="1:6" x14ac:dyDescent="0.3">
      <c r="A9">
        <v>8</v>
      </c>
      <c r="B9">
        <v>3</v>
      </c>
      <c r="C9" t="s">
        <v>146</v>
      </c>
      <c r="E9" t="str">
        <f t="shared" si="0"/>
        <v>INSERT INTO CATEGORIA (grp_id, cat_nome) VALUES (3, 'Tubérculos');</v>
      </c>
      <c r="F9" t="s">
        <v>147</v>
      </c>
    </row>
    <row r="10" spans="1:6" x14ac:dyDescent="0.3">
      <c r="A10">
        <v>9</v>
      </c>
      <c r="B10">
        <v>3</v>
      </c>
      <c r="C10" t="s">
        <v>148</v>
      </c>
      <c r="E10" t="str">
        <f t="shared" si="0"/>
        <v>INSERT INTO CATEGORIA (grp_id, cat_nome) VALUES (3, 'Bulbos');</v>
      </c>
      <c r="F10" t="s">
        <v>149</v>
      </c>
    </row>
    <row r="11" spans="1:6" x14ac:dyDescent="0.3">
      <c r="A11">
        <v>10</v>
      </c>
      <c r="B11">
        <v>4</v>
      </c>
      <c r="C11" t="s">
        <v>129</v>
      </c>
      <c r="E11" t="str">
        <f t="shared" si="0"/>
        <v>INSERT INTO CATEGORIA (grp_id, cat_nome) VALUES (4, 'Frutas');</v>
      </c>
      <c r="F11" t="s">
        <v>150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zoomScaleNormal="100" workbookViewId="0">
      <selection activeCell="C10" sqref="C10"/>
    </sheetView>
  </sheetViews>
  <sheetFormatPr defaultColWidth="8.44140625" defaultRowHeight="14.4" x14ac:dyDescent="0.3"/>
  <cols>
    <col min="3" max="3" width="19.88671875" customWidth="1"/>
    <col min="4" max="4" width="12.5546875" customWidth="1"/>
  </cols>
  <sheetData>
    <row r="1" spans="1:8" x14ac:dyDescent="0.3">
      <c r="A1" t="s">
        <v>151</v>
      </c>
      <c r="B1" t="s">
        <v>131</v>
      </c>
      <c r="C1" t="s">
        <v>108</v>
      </c>
      <c r="D1" t="s">
        <v>152</v>
      </c>
      <c r="E1" t="s">
        <v>153</v>
      </c>
    </row>
    <row r="2" spans="1:8" x14ac:dyDescent="0.3">
      <c r="A2">
        <v>1</v>
      </c>
      <c r="B2">
        <v>1</v>
      </c>
      <c r="C2" t="s">
        <v>12</v>
      </c>
      <c r="E2">
        <v>1</v>
      </c>
      <c r="G2" t="str">
        <f t="shared" ref="G2:G41" si="0">"INSERT INTO PRODUTO (cat_id, prd_nome, prd_var, prd_atv) VALUES ("&amp;B2&amp;", '"&amp;C2&amp;"', '"&amp;D2&amp;"', "&amp;E2&amp;");"</f>
        <v>INSERT INTO PRODUTO (cat_id, prd_nome, prd_var, prd_atv) VALUES (1, 'Acelga', '', 1);</v>
      </c>
      <c r="H2" t="s">
        <v>154</v>
      </c>
    </row>
    <row r="3" spans="1:8" x14ac:dyDescent="0.3">
      <c r="A3">
        <v>2</v>
      </c>
      <c r="B3">
        <v>1</v>
      </c>
      <c r="C3" t="s">
        <v>14</v>
      </c>
      <c r="E3">
        <v>1</v>
      </c>
      <c r="G3" t="str">
        <f t="shared" si="0"/>
        <v>INSERT INTO PRODUTO (cat_id, prd_nome, prd_var, prd_atv) VALUES (1, 'Agrião', '', 1);</v>
      </c>
      <c r="H3" t="s">
        <v>155</v>
      </c>
    </row>
    <row r="4" spans="1:8" x14ac:dyDescent="0.3">
      <c r="A4">
        <v>3</v>
      </c>
      <c r="B4">
        <v>1</v>
      </c>
      <c r="C4" t="s">
        <v>156</v>
      </c>
      <c r="D4" t="s">
        <v>157</v>
      </c>
      <c r="E4">
        <v>1</v>
      </c>
      <c r="G4" t="str">
        <f t="shared" si="0"/>
        <v>INSERT INTO PRODUTO (cat_id, prd_nome, prd_var, prd_atv) VALUES (1, 'Alface', 'Americana', 1);</v>
      </c>
      <c r="H4" t="s">
        <v>158</v>
      </c>
    </row>
    <row r="5" spans="1:8" x14ac:dyDescent="0.3">
      <c r="A5">
        <v>4</v>
      </c>
      <c r="B5">
        <v>1</v>
      </c>
      <c r="C5" t="s">
        <v>156</v>
      </c>
      <c r="D5" t="s">
        <v>159</v>
      </c>
      <c r="E5">
        <v>1</v>
      </c>
      <c r="G5" t="str">
        <f t="shared" si="0"/>
        <v>INSERT INTO PRODUTO (cat_id, prd_nome, prd_var, prd_atv) VALUES (1, 'Alface', 'Crespa', 1);</v>
      </c>
      <c r="H5" t="s">
        <v>160</v>
      </c>
    </row>
    <row r="6" spans="1:8" x14ac:dyDescent="0.3">
      <c r="A6">
        <v>5</v>
      </c>
      <c r="B6">
        <v>1</v>
      </c>
      <c r="C6" t="s">
        <v>156</v>
      </c>
      <c r="D6" t="s">
        <v>161</v>
      </c>
      <c r="E6">
        <v>1</v>
      </c>
      <c r="G6" t="str">
        <f t="shared" si="0"/>
        <v>INSERT INTO PRODUTO (cat_id, prd_nome, prd_var, prd_atv) VALUES (1, 'Alface', 'Lisa', 1);</v>
      </c>
      <c r="H6" t="s">
        <v>162</v>
      </c>
    </row>
    <row r="7" spans="1:8" x14ac:dyDescent="0.3">
      <c r="A7">
        <v>6</v>
      </c>
      <c r="B7">
        <v>1</v>
      </c>
      <c r="C7" t="s">
        <v>18</v>
      </c>
      <c r="E7">
        <v>1</v>
      </c>
      <c r="G7" t="str">
        <f t="shared" si="0"/>
        <v>INSERT INTO PRODUTO (cat_id, prd_nome, prd_var, prd_atv) VALUES (1, 'Almeirão', '', 1);</v>
      </c>
      <c r="H7" t="s">
        <v>163</v>
      </c>
    </row>
    <row r="8" spans="1:8" x14ac:dyDescent="0.3">
      <c r="A8">
        <v>7</v>
      </c>
      <c r="B8">
        <v>2</v>
      </c>
      <c r="C8" t="s">
        <v>164</v>
      </c>
      <c r="D8" t="s">
        <v>165</v>
      </c>
      <c r="E8">
        <v>1</v>
      </c>
      <c r="G8" t="str">
        <f t="shared" si="0"/>
        <v>INSERT INTO PRODUTO (cat_id, prd_nome, prd_var, prd_atv) VALUES (2, 'Brócolis', 'Ninja/Japonês', 1);</v>
      </c>
      <c r="H8" t="s">
        <v>166</v>
      </c>
    </row>
    <row r="9" spans="1:8" x14ac:dyDescent="0.3">
      <c r="A9">
        <v>8</v>
      </c>
      <c r="B9">
        <v>2</v>
      </c>
      <c r="C9" t="s">
        <v>164</v>
      </c>
      <c r="D9" t="s">
        <v>167</v>
      </c>
      <c r="E9">
        <v>1</v>
      </c>
      <c r="G9" t="str">
        <f t="shared" si="0"/>
        <v>INSERT INTO PRODUTO (cat_id, prd_nome, prd_var, prd_atv) VALUES (2, 'Brócolis', 'Ramoso', 1);</v>
      </c>
      <c r="H9" t="s">
        <v>168</v>
      </c>
    </row>
    <row r="10" spans="1:8" x14ac:dyDescent="0.3">
      <c r="A10">
        <v>9</v>
      </c>
      <c r="B10">
        <v>1</v>
      </c>
      <c r="C10" t="s">
        <v>22</v>
      </c>
      <c r="D10" t="s">
        <v>169</v>
      </c>
      <c r="E10">
        <v>1</v>
      </c>
      <c r="G10" t="str">
        <f t="shared" si="0"/>
        <v>INSERT INTO PRODUTO (cat_id, prd_nome, prd_var, prd_atv) VALUES (1, 'Couve', 'Manteiga', 1);</v>
      </c>
      <c r="H10" t="s">
        <v>170</v>
      </c>
    </row>
    <row r="11" spans="1:8" x14ac:dyDescent="0.3">
      <c r="A11">
        <v>10</v>
      </c>
      <c r="B11">
        <v>2</v>
      </c>
      <c r="C11" t="s">
        <v>253</v>
      </c>
      <c r="E11">
        <v>1</v>
      </c>
      <c r="G11" t="str">
        <f t="shared" si="0"/>
        <v>INSERT INTO PRODUTO (cat_id, prd_nome, prd_var, prd_atv) VALUES (2, 'Couve-Flor', '', 1);</v>
      </c>
      <c r="H11" t="s">
        <v>171</v>
      </c>
    </row>
    <row r="12" spans="1:8" x14ac:dyDescent="0.3">
      <c r="A12">
        <v>11</v>
      </c>
      <c r="B12">
        <v>1</v>
      </c>
      <c r="C12" t="s">
        <v>23</v>
      </c>
      <c r="E12">
        <v>1</v>
      </c>
      <c r="G12" t="str">
        <f t="shared" si="0"/>
        <v>INSERT INTO PRODUTO (cat_id, prd_nome, prd_var, prd_atv) VALUES (1, 'Escarola', '', 1);</v>
      </c>
      <c r="H12" t="s">
        <v>172</v>
      </c>
    </row>
    <row r="13" spans="1:8" x14ac:dyDescent="0.3">
      <c r="A13">
        <v>12</v>
      </c>
      <c r="B13">
        <v>1</v>
      </c>
      <c r="C13" t="s">
        <v>24</v>
      </c>
      <c r="E13">
        <v>1</v>
      </c>
      <c r="G13" t="str">
        <f t="shared" si="0"/>
        <v>INSERT INTO PRODUTO (cat_id, prd_nome, prd_var, prd_atv) VALUES (1, 'Espinafre', '', 1);</v>
      </c>
      <c r="H13" t="s">
        <v>173</v>
      </c>
    </row>
    <row r="14" spans="1:8" x14ac:dyDescent="0.3">
      <c r="A14">
        <v>13</v>
      </c>
      <c r="B14">
        <v>7</v>
      </c>
      <c r="C14" t="s">
        <v>25</v>
      </c>
      <c r="E14">
        <v>1</v>
      </c>
      <c r="G14" t="str">
        <f t="shared" si="0"/>
        <v>INSERT INTO PRODUTO (cat_id, prd_nome, prd_var, prd_atv) VALUES (7, 'Rabanete', '', 1);</v>
      </c>
      <c r="H14" t="s">
        <v>174</v>
      </c>
    </row>
    <row r="15" spans="1:8" x14ac:dyDescent="0.3">
      <c r="A15">
        <v>14</v>
      </c>
      <c r="B15">
        <v>1</v>
      </c>
      <c r="C15" t="s">
        <v>175</v>
      </c>
      <c r="D15" t="s">
        <v>176</v>
      </c>
      <c r="E15">
        <v>1</v>
      </c>
      <c r="G15" t="str">
        <f t="shared" si="0"/>
        <v>INSERT INTO PRODUTO (cat_id, prd_nome, prd_var, prd_atv) VALUES (1, 'Repolho', 'Roxo', 1);</v>
      </c>
      <c r="H15" t="s">
        <v>177</v>
      </c>
    </row>
    <row r="16" spans="1:8" x14ac:dyDescent="0.3">
      <c r="A16">
        <v>15</v>
      </c>
      <c r="B16">
        <v>1</v>
      </c>
      <c r="C16" t="s">
        <v>175</v>
      </c>
      <c r="D16" t="s">
        <v>178</v>
      </c>
      <c r="E16">
        <v>1</v>
      </c>
      <c r="G16" t="str">
        <f t="shared" si="0"/>
        <v>INSERT INTO PRODUTO (cat_id, prd_nome, prd_var, prd_atv) VALUES (1, 'Repolho', 'Verde', 1);</v>
      </c>
      <c r="H16" t="s">
        <v>179</v>
      </c>
    </row>
    <row r="17" spans="1:8" x14ac:dyDescent="0.3">
      <c r="A17">
        <v>16</v>
      </c>
      <c r="B17">
        <v>1</v>
      </c>
      <c r="C17" t="s">
        <v>29</v>
      </c>
      <c r="E17">
        <v>1</v>
      </c>
      <c r="G17" t="str">
        <f t="shared" si="0"/>
        <v>INSERT INTO PRODUTO (cat_id, prd_nome, prd_var, prd_atv) VALUES (1, 'Rúcula', '', 1);</v>
      </c>
      <c r="H17" t="s">
        <v>180</v>
      </c>
    </row>
    <row r="18" spans="1:8" x14ac:dyDescent="0.3">
      <c r="A18">
        <v>17</v>
      </c>
      <c r="B18">
        <v>4</v>
      </c>
      <c r="C18" t="s">
        <v>31</v>
      </c>
      <c r="E18">
        <v>1</v>
      </c>
      <c r="G18" t="str">
        <f t="shared" si="0"/>
        <v>INSERT INTO PRODUTO (cat_id, prd_nome, prd_var, prd_atv) VALUES (4, 'Cebolinha', '', 1);</v>
      </c>
      <c r="H18" t="s">
        <v>181</v>
      </c>
    </row>
    <row r="19" spans="1:8" x14ac:dyDescent="0.3">
      <c r="A19">
        <v>18</v>
      </c>
      <c r="B19">
        <v>4</v>
      </c>
      <c r="C19" t="s">
        <v>33</v>
      </c>
      <c r="E19">
        <v>1</v>
      </c>
      <c r="G19" t="str">
        <f t="shared" si="0"/>
        <v>INSERT INTO PRODUTO (cat_id, prd_nome, prd_var, prd_atv) VALUES (4, 'Coentro', '', 1);</v>
      </c>
      <c r="H19" t="s">
        <v>182</v>
      </c>
    </row>
    <row r="20" spans="1:8" x14ac:dyDescent="0.3">
      <c r="A20">
        <v>19</v>
      </c>
      <c r="B20">
        <v>4</v>
      </c>
      <c r="C20" t="s">
        <v>35</v>
      </c>
      <c r="E20">
        <v>1</v>
      </c>
      <c r="G20" t="str">
        <f t="shared" si="0"/>
        <v>INSERT INTO PRODUTO (cat_id, prd_nome, prd_var, prd_atv) VALUES (4, 'Salsinha', '', 1);</v>
      </c>
      <c r="H20" t="s">
        <v>183</v>
      </c>
    </row>
    <row r="21" spans="1:8" x14ac:dyDescent="0.3">
      <c r="A21">
        <v>20</v>
      </c>
      <c r="B21">
        <v>6</v>
      </c>
      <c r="C21" t="s">
        <v>184</v>
      </c>
      <c r="D21" t="s">
        <v>185</v>
      </c>
      <c r="E21">
        <v>1</v>
      </c>
      <c r="G21" t="str">
        <f t="shared" si="0"/>
        <v>INSERT INTO PRODUTO (cat_id, prd_nome, prd_var, prd_atv) VALUES (6, 'Abóbora', 'Cabotiá', 1);</v>
      </c>
      <c r="H21" t="s">
        <v>186</v>
      </c>
    </row>
    <row r="22" spans="1:8" x14ac:dyDescent="0.3">
      <c r="A22">
        <v>21</v>
      </c>
      <c r="B22">
        <v>6</v>
      </c>
      <c r="C22" t="s">
        <v>187</v>
      </c>
      <c r="D22" t="s">
        <v>188</v>
      </c>
      <c r="E22">
        <v>1</v>
      </c>
      <c r="G22" t="str">
        <f t="shared" si="0"/>
        <v>INSERT INTO PRODUTO (cat_id, prd_nome, prd_var, prd_atv) VALUES (6, 'Abobrinha', 'Italiana', 1);</v>
      </c>
      <c r="H22" t="s">
        <v>189</v>
      </c>
    </row>
    <row r="23" spans="1:8" x14ac:dyDescent="0.3">
      <c r="A23">
        <v>22</v>
      </c>
      <c r="B23">
        <v>7</v>
      </c>
      <c r="C23" t="s">
        <v>39</v>
      </c>
      <c r="E23">
        <v>1</v>
      </c>
      <c r="G23" t="str">
        <f t="shared" si="0"/>
        <v>INSERT INTO PRODUTO (cat_id, prd_nome, prd_var, prd_atv) VALUES (7, 'Batata-doce', '', 1);</v>
      </c>
      <c r="H23" t="s">
        <v>190</v>
      </c>
    </row>
    <row r="24" spans="1:8" x14ac:dyDescent="0.3">
      <c r="A24">
        <v>23</v>
      </c>
      <c r="B24">
        <v>6</v>
      </c>
      <c r="C24" t="s">
        <v>191</v>
      </c>
      <c r="D24" t="s">
        <v>5</v>
      </c>
      <c r="E24">
        <v>1</v>
      </c>
      <c r="G24" t="str">
        <f t="shared" si="0"/>
        <v>INSERT INTO PRODUTO (cat_id, prd_nome, prd_var, prd_atv) VALUES (6, 'Berinjela', 'Comum', 1);</v>
      </c>
      <c r="H24" t="s">
        <v>192</v>
      </c>
    </row>
    <row r="25" spans="1:8" x14ac:dyDescent="0.3">
      <c r="A25">
        <v>24</v>
      </c>
      <c r="B25">
        <v>6</v>
      </c>
      <c r="C25" t="s">
        <v>191</v>
      </c>
      <c r="D25" t="s">
        <v>193</v>
      </c>
      <c r="E25">
        <v>1</v>
      </c>
      <c r="G25" t="str">
        <f t="shared" si="0"/>
        <v>INSERT INTO PRODUTO (cat_id, prd_nome, prd_var, prd_atv) VALUES (6, 'Berinjela', 'Japonesa', 1);</v>
      </c>
      <c r="H25" t="s">
        <v>194</v>
      </c>
    </row>
    <row r="26" spans="1:8" x14ac:dyDescent="0.3">
      <c r="A26">
        <v>25</v>
      </c>
      <c r="B26">
        <v>7</v>
      </c>
      <c r="C26" t="s">
        <v>44</v>
      </c>
      <c r="E26">
        <v>1</v>
      </c>
      <c r="G26" t="str">
        <f t="shared" si="0"/>
        <v>INSERT INTO PRODUTO (cat_id, prd_nome, prd_var, prd_atv) VALUES (7, 'Beterraba', '', 1);</v>
      </c>
      <c r="H26" t="s">
        <v>195</v>
      </c>
    </row>
    <row r="27" spans="1:8" x14ac:dyDescent="0.3">
      <c r="A27">
        <v>26</v>
      </c>
      <c r="B27">
        <v>7</v>
      </c>
      <c r="C27" t="s">
        <v>46</v>
      </c>
      <c r="E27">
        <v>1</v>
      </c>
      <c r="G27" t="str">
        <f t="shared" si="0"/>
        <v>INSERT INTO PRODUTO (cat_id, prd_nome, prd_var, prd_atv) VALUES (7, 'Cenoura', '', 1);</v>
      </c>
      <c r="H27" t="s">
        <v>196</v>
      </c>
    </row>
    <row r="28" spans="1:8" x14ac:dyDescent="0.3">
      <c r="A28">
        <v>27</v>
      </c>
      <c r="B28">
        <v>6</v>
      </c>
      <c r="C28" t="s">
        <v>47</v>
      </c>
      <c r="E28">
        <v>1</v>
      </c>
      <c r="G28" t="str">
        <f t="shared" si="0"/>
        <v>INSERT INTO PRODUTO (cat_id, prd_nome, prd_var, prd_atv) VALUES (6, 'Chuchu', '', 1);</v>
      </c>
      <c r="H28" t="s">
        <v>197</v>
      </c>
    </row>
    <row r="29" spans="1:8" x14ac:dyDescent="0.3">
      <c r="A29">
        <v>28</v>
      </c>
      <c r="B29">
        <v>6</v>
      </c>
      <c r="C29" t="s">
        <v>48</v>
      </c>
      <c r="E29">
        <v>1</v>
      </c>
      <c r="G29" t="str">
        <f t="shared" si="0"/>
        <v>INSERT INTO PRODUTO (cat_id, prd_nome, prd_var, prd_atv) VALUES (6, 'Jiló', '', 1);</v>
      </c>
      <c r="H29" t="s">
        <v>198</v>
      </c>
    </row>
    <row r="30" spans="1:8" x14ac:dyDescent="0.3">
      <c r="A30">
        <v>29</v>
      </c>
      <c r="B30">
        <v>7</v>
      </c>
      <c r="C30" t="s">
        <v>49</v>
      </c>
      <c r="E30">
        <v>1</v>
      </c>
      <c r="G30" t="str">
        <f t="shared" si="0"/>
        <v>INSERT INTO PRODUTO (cat_id, prd_nome, prd_var, prd_atv) VALUES (7, 'Mandioca', '', 1);</v>
      </c>
      <c r="H30" t="s">
        <v>199</v>
      </c>
    </row>
    <row r="31" spans="1:8" x14ac:dyDescent="0.3">
      <c r="A31">
        <v>30</v>
      </c>
      <c r="B31">
        <v>6</v>
      </c>
      <c r="C31" t="s">
        <v>200</v>
      </c>
      <c r="D31" t="s">
        <v>5</v>
      </c>
      <c r="E31">
        <v>1</v>
      </c>
      <c r="G31" t="str">
        <f t="shared" si="0"/>
        <v>INSERT INTO PRODUTO (cat_id, prd_nome, prd_var, prd_atv) VALUES (6, 'Pepino', 'Comum', 1);</v>
      </c>
      <c r="H31" t="s">
        <v>201</v>
      </c>
    </row>
    <row r="32" spans="1:8" x14ac:dyDescent="0.3">
      <c r="A32">
        <v>31</v>
      </c>
      <c r="B32">
        <v>6</v>
      </c>
      <c r="C32" t="s">
        <v>200</v>
      </c>
      <c r="D32" t="s">
        <v>202</v>
      </c>
      <c r="E32">
        <v>1</v>
      </c>
      <c r="G32" t="str">
        <f t="shared" si="0"/>
        <v>INSERT INTO PRODUTO (cat_id, prd_nome, prd_var, prd_atv) VALUES (6, 'Pepino', 'Japonês', 1);</v>
      </c>
      <c r="H32" t="s">
        <v>203</v>
      </c>
    </row>
    <row r="33" spans="1:8" x14ac:dyDescent="0.3">
      <c r="A33">
        <v>32</v>
      </c>
      <c r="B33">
        <v>6</v>
      </c>
      <c r="C33" t="s">
        <v>204</v>
      </c>
      <c r="D33" t="s">
        <v>178</v>
      </c>
      <c r="E33">
        <v>1</v>
      </c>
      <c r="G33" t="str">
        <f t="shared" si="0"/>
        <v>INSERT INTO PRODUTO (cat_id, prd_nome, prd_var, prd_atv) VALUES (6, 'Pimentão', 'Verde', 1);</v>
      </c>
      <c r="H33" t="s">
        <v>205</v>
      </c>
    </row>
    <row r="34" spans="1:8" x14ac:dyDescent="0.3">
      <c r="A34">
        <v>33</v>
      </c>
      <c r="B34">
        <v>6</v>
      </c>
      <c r="C34" t="s">
        <v>53</v>
      </c>
      <c r="E34">
        <v>1</v>
      </c>
      <c r="G34" t="str">
        <f t="shared" si="0"/>
        <v>INSERT INTO PRODUTO (cat_id, prd_nome, prd_var, prd_atv) VALUES (6, 'Quiabo', '', 1);</v>
      </c>
      <c r="H34" t="s">
        <v>206</v>
      </c>
    </row>
    <row r="35" spans="1:8" x14ac:dyDescent="0.3">
      <c r="A35">
        <v>34</v>
      </c>
      <c r="B35">
        <v>6</v>
      </c>
      <c r="C35" t="s">
        <v>207</v>
      </c>
      <c r="D35" t="s">
        <v>208</v>
      </c>
      <c r="E35">
        <v>1</v>
      </c>
      <c r="G35" t="str">
        <f t="shared" si="0"/>
        <v>INSERT INTO PRODUTO (cat_id, prd_nome, prd_var, prd_atv) VALUES (6, 'Tomate', 'Débora', 1);</v>
      </c>
      <c r="H35" t="s">
        <v>209</v>
      </c>
    </row>
    <row r="36" spans="1:8" x14ac:dyDescent="0.3">
      <c r="A36">
        <v>35</v>
      </c>
      <c r="B36">
        <v>5</v>
      </c>
      <c r="C36" t="s">
        <v>210</v>
      </c>
      <c r="D36" t="s">
        <v>211</v>
      </c>
      <c r="E36">
        <v>1</v>
      </c>
      <c r="G36" t="str">
        <f t="shared" si="0"/>
        <v>INSERT INTO PRODUTO (cat_id, prd_nome, prd_var, prd_atv) VALUES (5, 'Vagem', 'Macarrão', 1);</v>
      </c>
      <c r="H36" t="s">
        <v>212</v>
      </c>
    </row>
    <row r="37" spans="1:8" x14ac:dyDescent="0.3">
      <c r="A37">
        <v>36</v>
      </c>
      <c r="B37">
        <v>10</v>
      </c>
      <c r="C37" t="s">
        <v>213</v>
      </c>
      <c r="D37" t="s">
        <v>214</v>
      </c>
      <c r="E37">
        <v>1</v>
      </c>
      <c r="G37" t="str">
        <f t="shared" si="0"/>
        <v>INSERT INTO PRODUTO (cat_id, prd_nome, prd_var, prd_atv) VALUES (10, 'Caqui', 'Fuyu', 1);</v>
      </c>
      <c r="H37" t="s">
        <v>215</v>
      </c>
    </row>
    <row r="38" spans="1:8" x14ac:dyDescent="0.3">
      <c r="A38">
        <v>37</v>
      </c>
      <c r="B38">
        <v>10</v>
      </c>
      <c r="C38" t="s">
        <v>213</v>
      </c>
      <c r="D38" t="s">
        <v>216</v>
      </c>
      <c r="E38">
        <v>1</v>
      </c>
      <c r="G38" t="str">
        <f t="shared" si="0"/>
        <v>INSERT INTO PRODUTO (cat_id, prd_nome, prd_var, prd_atv) VALUES (10, 'Caqui', 'Guiombo', 1);</v>
      </c>
      <c r="H38" t="s">
        <v>217</v>
      </c>
    </row>
    <row r="39" spans="1:8" x14ac:dyDescent="0.3">
      <c r="A39">
        <v>38</v>
      </c>
      <c r="B39">
        <v>10</v>
      </c>
      <c r="C39" t="s">
        <v>213</v>
      </c>
      <c r="D39" t="s">
        <v>218</v>
      </c>
      <c r="E39">
        <v>1</v>
      </c>
      <c r="G39" t="str">
        <f t="shared" si="0"/>
        <v>INSERT INTO PRODUTO (cat_id, prd_nome, prd_var, prd_atv) VALUES (10, 'Caqui', 'Rama Forte', 1);</v>
      </c>
      <c r="H39" t="s">
        <v>219</v>
      </c>
    </row>
    <row r="40" spans="1:8" x14ac:dyDescent="0.3">
      <c r="A40">
        <v>39</v>
      </c>
      <c r="B40">
        <v>10</v>
      </c>
      <c r="C40" t="s">
        <v>61</v>
      </c>
      <c r="E40">
        <v>1</v>
      </c>
      <c r="G40" t="str">
        <f t="shared" si="0"/>
        <v>INSERT INTO PRODUTO (cat_id, prd_nome, prd_var, prd_atv) VALUES (10, 'Goiaba', '', 1);</v>
      </c>
      <c r="H40" t="s">
        <v>220</v>
      </c>
    </row>
    <row r="41" spans="1:8" x14ac:dyDescent="0.3">
      <c r="A41">
        <v>40</v>
      </c>
      <c r="B41">
        <v>10</v>
      </c>
      <c r="C41" t="s">
        <v>221</v>
      </c>
      <c r="D41" t="s">
        <v>222</v>
      </c>
      <c r="E41">
        <v>1</v>
      </c>
      <c r="G41" t="str">
        <f t="shared" si="0"/>
        <v>INSERT INTO PRODUTO (cat_id, prd_nome, prd_var, prd_atv) VALUES (10, 'Mexerica', 'Ponkan', 1);</v>
      </c>
      <c r="H41" t="s">
        <v>223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zoomScaleNormal="100" workbookViewId="0">
      <selection activeCell="F2" sqref="F2:F6"/>
    </sheetView>
  </sheetViews>
  <sheetFormatPr defaultColWidth="8.44140625" defaultRowHeight="14.4" x14ac:dyDescent="0.3"/>
  <cols>
    <col min="2" max="2" width="10.21875" customWidth="1"/>
  </cols>
  <sheetData>
    <row r="1" spans="1:6" x14ac:dyDescent="0.3">
      <c r="A1" t="s">
        <v>224</v>
      </c>
      <c r="B1" t="s">
        <v>111</v>
      </c>
      <c r="C1" t="s">
        <v>225</v>
      </c>
    </row>
    <row r="2" spans="1:6" x14ac:dyDescent="0.3">
      <c r="A2">
        <v>1</v>
      </c>
      <c r="B2" t="s">
        <v>226</v>
      </c>
      <c r="C2" t="s">
        <v>227</v>
      </c>
      <c r="E2" t="str">
        <f>"INSERT INTO UNIDADE_MEDIDA (umd_nome, umd_sigla) VALUES ('"&amp;B2&amp;"', '"&amp;C2&amp;"');"</f>
        <v>INSERT INTO UNIDADE_MEDIDA (umd_nome, umd_sigla) VALUES ('Quilograma', 'kg');</v>
      </c>
      <c r="F2" t="s">
        <v>228</v>
      </c>
    </row>
    <row r="3" spans="1:6" x14ac:dyDescent="0.3">
      <c r="A3">
        <v>2</v>
      </c>
      <c r="B3" t="s">
        <v>229</v>
      </c>
      <c r="C3" t="s">
        <v>230</v>
      </c>
      <c r="E3" t="str">
        <f>"INSERT INTO UNIDADE_MEDIDA (umd_nome, umd_sigla) VALUES ('"&amp;B3&amp;"', '"&amp;C3&amp;"');"</f>
        <v>INSERT INTO UNIDADE_MEDIDA (umd_nome, umd_sigla) VALUES ('Grama', 'g');</v>
      </c>
      <c r="F3" t="s">
        <v>231</v>
      </c>
    </row>
    <row r="4" spans="1:6" x14ac:dyDescent="0.3">
      <c r="A4">
        <v>3</v>
      </c>
      <c r="B4" t="s">
        <v>4</v>
      </c>
      <c r="C4" t="s">
        <v>232</v>
      </c>
      <c r="E4" t="str">
        <f>"INSERT INTO UNIDADE_MEDIDA (umd_nome, umd_sigla) VALUES ('"&amp;B4&amp;"', '"&amp;C4&amp;"');"</f>
        <v>INSERT INTO UNIDADE_MEDIDA (umd_nome, umd_sigla) VALUES ('Unidade', 'un');</v>
      </c>
      <c r="F4" t="s">
        <v>233</v>
      </c>
    </row>
    <row r="5" spans="1:6" x14ac:dyDescent="0.3">
      <c r="A5">
        <v>4</v>
      </c>
      <c r="B5" t="s">
        <v>234</v>
      </c>
      <c r="C5" t="s">
        <v>235</v>
      </c>
      <c r="E5" t="str">
        <f>"INSERT INTO UNIDADE_MEDIDA (umd_nome, umd_sigla) VALUES ('"&amp;B5&amp;"', '"&amp;C5&amp;"');"</f>
        <v>INSERT INTO UNIDADE_MEDIDA (umd_nome, umd_sigla) VALUES ('Mililitro', 'ml');</v>
      </c>
      <c r="F5" t="s">
        <v>236</v>
      </c>
    </row>
    <row r="6" spans="1:6" x14ac:dyDescent="0.3">
      <c r="A6">
        <v>5</v>
      </c>
      <c r="B6" t="s">
        <v>237</v>
      </c>
      <c r="C6" t="s">
        <v>238</v>
      </c>
      <c r="E6" t="str">
        <f>"INSERT INTO UNIDADE_MEDIDA (umd_nome, umd_sigla) VALUES ('"&amp;B6&amp;"', '"&amp;C6&amp;"');"</f>
        <v>INSERT INTO UNIDADE_MEDIDA (umd_nome, umd_sigla) VALUES ('Litro', 'L');</v>
      </c>
      <c r="F6" t="s">
        <v>239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Normal="100" workbookViewId="0">
      <selection activeCell="E2" sqref="E2"/>
    </sheetView>
  </sheetViews>
  <sheetFormatPr defaultColWidth="8.44140625" defaultRowHeight="14.4" x14ac:dyDescent="0.3"/>
  <sheetData>
    <row r="1" spans="1:5" x14ac:dyDescent="0.3">
      <c r="A1" t="s">
        <v>240</v>
      </c>
      <c r="B1" t="s">
        <v>241</v>
      </c>
    </row>
    <row r="2" spans="1:5" x14ac:dyDescent="0.3">
      <c r="A2">
        <v>1</v>
      </c>
      <c r="B2" t="s">
        <v>242</v>
      </c>
      <c r="E2" t="str">
        <f>"INSERT INTO TIPO_APRESENTACAO (tap_nome) VALUES ('"&amp;B2&amp;"');"</f>
        <v>INSERT INTO TIPO_APRESENTACAO (tap_nome) VALUES ('caixa');</v>
      </c>
    </row>
    <row r="3" spans="1:5" x14ac:dyDescent="0.3">
      <c r="A3">
        <v>2</v>
      </c>
      <c r="B3" t="s">
        <v>243</v>
      </c>
      <c r="E3" t="str">
        <f>"INSERT INTO TIPO_APRESENTACAO (tap_nome) VALUES ('"&amp;B3&amp;"');"</f>
        <v>INSERT INTO TIPO_APRESENTACAO (tap_nome) VALUES ('maço');</v>
      </c>
    </row>
    <row r="4" spans="1:5" x14ac:dyDescent="0.3">
      <c r="A4">
        <v>3</v>
      </c>
      <c r="B4" t="s">
        <v>244</v>
      </c>
      <c r="E4" t="str">
        <f>"INSERT INTO TIPO_APRESENTACAO (tap_nome) VALUES ('"&amp;B4&amp;"');"</f>
        <v>INSERT INTO TIPO_APRESENTACAO (tap_nome) VALUES ('dúzia');</v>
      </c>
    </row>
    <row r="5" spans="1:5" x14ac:dyDescent="0.3">
      <c r="A5">
        <v>4</v>
      </c>
      <c r="B5" t="s">
        <v>245</v>
      </c>
      <c r="E5" t="str">
        <f>"INSERT INTO TIPO_APRESENTACAO (tap_nome) VALUES ('"&amp;B5&amp;"');"</f>
        <v>INSERT INTO TIPO_APRESENTACAO (tap_nome) VALUES ('saco');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5"/>
  <sheetViews>
    <sheetView zoomScale="115" zoomScaleNormal="115" workbookViewId="0">
      <selection activeCell="G2" sqref="G2"/>
    </sheetView>
  </sheetViews>
  <sheetFormatPr defaultColWidth="8.44140625" defaultRowHeight="14.4" x14ac:dyDescent="0.3"/>
  <cols>
    <col min="4" max="4" width="10.5546875" customWidth="1"/>
    <col min="5" max="5" width="11.5546875" customWidth="1"/>
  </cols>
  <sheetData>
    <row r="1" spans="1:7" x14ac:dyDescent="0.3">
      <c r="A1" t="s">
        <v>246</v>
      </c>
      <c r="B1" t="s">
        <v>103</v>
      </c>
      <c r="C1" t="s">
        <v>104</v>
      </c>
      <c r="D1" t="s">
        <v>247</v>
      </c>
      <c r="E1" t="s">
        <v>248</v>
      </c>
    </row>
    <row r="2" spans="1:7" x14ac:dyDescent="0.3">
      <c r="A2">
        <v>1</v>
      </c>
      <c r="B2">
        <v>37</v>
      </c>
      <c r="C2">
        <v>2023</v>
      </c>
      <c r="D2" s="2">
        <v>44931</v>
      </c>
      <c r="G2" t="str">
        <f>"INSERT INTO BOLETIM (blt_numero, blt_ano, blt_data_lev, blt_data_cad) VALUES ("&amp;B2&amp;", "&amp;C2&amp;", TO_DATE('"&amp;TEXT(D2,"DD/MM/AAAA")&amp;"', 'DD/MM/YYYY'), SYSDATE);"</f>
        <v>INSERT INTO BOLETIM (blt_numero, blt_ano, blt_data_lev, blt_data_cad) VALUES (37, 2023, TO_DATE('05/01/2023', 'DD/MM/YYYY'), SYSDATE);</v>
      </c>
    </row>
    <row r="3" spans="1:7" x14ac:dyDescent="0.3">
      <c r="A3">
        <v>2</v>
      </c>
      <c r="B3">
        <v>38</v>
      </c>
      <c r="C3">
        <v>2023</v>
      </c>
      <c r="D3" s="2">
        <v>44938</v>
      </c>
      <c r="G3" t="str">
        <f t="shared" ref="G3:G45" si="0">"INSERT INTO BOLETIM (blt_numero, blt_ano, blt_data_lev, blt_data_cad) VALUES ("&amp;B3&amp;", "&amp;C3&amp;", TO_DATE('"&amp;TEXT(D3,"DD/MM/AAAA")&amp;"', 'DD/MM/YYYY'), SYSDATE);"</f>
        <v>INSERT INTO BOLETIM (blt_numero, blt_ano, blt_data_lev, blt_data_cad) VALUES (38, 2023, TO_DATE('12/01/2023', 'DD/MM/YYYY'), SYSDATE);</v>
      </c>
    </row>
    <row r="4" spans="1:7" x14ac:dyDescent="0.3">
      <c r="A4">
        <v>3</v>
      </c>
      <c r="B4">
        <v>39</v>
      </c>
      <c r="C4">
        <v>2023</v>
      </c>
      <c r="D4" s="2">
        <v>44945</v>
      </c>
      <c r="G4" t="str">
        <f t="shared" si="0"/>
        <v>INSERT INTO BOLETIM (blt_numero, blt_ano, blt_data_lev, blt_data_cad) VALUES (39, 2023, TO_DATE('19/01/2023', 'DD/MM/YYYY'), SYSDATE);</v>
      </c>
    </row>
    <row r="5" spans="1:7" x14ac:dyDescent="0.3">
      <c r="A5">
        <v>4</v>
      </c>
      <c r="B5">
        <v>40</v>
      </c>
      <c r="C5">
        <v>2023</v>
      </c>
      <c r="D5" s="2">
        <v>44952</v>
      </c>
      <c r="G5" t="str">
        <f t="shared" si="0"/>
        <v>INSERT INTO BOLETIM (blt_numero, blt_ano, blt_data_lev, blt_data_cad) VALUES (40, 2023, TO_DATE('26/01/2023', 'DD/MM/YYYY'), SYSDATE);</v>
      </c>
    </row>
    <row r="6" spans="1:7" x14ac:dyDescent="0.3">
      <c r="A6">
        <v>5</v>
      </c>
      <c r="B6">
        <v>41</v>
      </c>
      <c r="C6">
        <v>2023</v>
      </c>
      <c r="D6" s="2">
        <v>44959</v>
      </c>
      <c r="G6" t="str">
        <f t="shared" si="0"/>
        <v>INSERT INTO BOLETIM (blt_numero, blt_ano, blt_data_lev, blt_data_cad) VALUES (41, 2023, TO_DATE('02/02/2023', 'DD/MM/YYYY'), SYSDATE);</v>
      </c>
    </row>
    <row r="7" spans="1:7" x14ac:dyDescent="0.3">
      <c r="A7">
        <v>6</v>
      </c>
      <c r="B7">
        <v>42</v>
      </c>
      <c r="C7">
        <v>2023</v>
      </c>
      <c r="D7" s="2">
        <v>44966</v>
      </c>
      <c r="G7" t="str">
        <f t="shared" si="0"/>
        <v>INSERT INTO BOLETIM (blt_numero, blt_ano, blt_data_lev, blt_data_cad) VALUES (42, 2023, TO_DATE('09/02/2023', 'DD/MM/YYYY'), SYSDATE);</v>
      </c>
    </row>
    <row r="8" spans="1:7" x14ac:dyDescent="0.3">
      <c r="A8">
        <v>7</v>
      </c>
      <c r="B8">
        <v>43</v>
      </c>
      <c r="C8">
        <v>2023</v>
      </c>
      <c r="D8" s="2">
        <v>44973</v>
      </c>
      <c r="G8" t="str">
        <f t="shared" si="0"/>
        <v>INSERT INTO BOLETIM (blt_numero, blt_ano, blt_data_lev, blt_data_cad) VALUES (43, 2023, TO_DATE('16/02/2023', 'DD/MM/YYYY'), SYSDATE);</v>
      </c>
    </row>
    <row r="9" spans="1:7" x14ac:dyDescent="0.3">
      <c r="A9">
        <v>8</v>
      </c>
      <c r="B9">
        <v>44</v>
      </c>
      <c r="C9">
        <v>2024</v>
      </c>
      <c r="D9" s="2">
        <v>45357</v>
      </c>
      <c r="G9" t="str">
        <f t="shared" si="0"/>
        <v>INSERT INTO BOLETIM (blt_numero, blt_ano, blt_data_lev, blt_data_cad) VALUES (44, 2024, TO_DATE('06/03/2024', 'DD/MM/YYYY'), SYSDATE);</v>
      </c>
    </row>
    <row r="10" spans="1:7" x14ac:dyDescent="0.3">
      <c r="A10">
        <v>9</v>
      </c>
      <c r="B10">
        <v>45</v>
      </c>
      <c r="C10">
        <v>2024</v>
      </c>
      <c r="D10" s="2">
        <v>45364</v>
      </c>
      <c r="G10" t="str">
        <f t="shared" si="0"/>
        <v>INSERT INTO BOLETIM (blt_numero, blt_ano, blt_data_lev, blt_data_cad) VALUES (45, 2024, TO_DATE('13/03/2024', 'DD/MM/YYYY'), SYSDATE);</v>
      </c>
    </row>
    <row r="11" spans="1:7" x14ac:dyDescent="0.3">
      <c r="A11">
        <v>10</v>
      </c>
      <c r="B11">
        <v>46</v>
      </c>
      <c r="C11">
        <v>2024</v>
      </c>
      <c r="D11" s="2">
        <v>45371</v>
      </c>
      <c r="G11" t="str">
        <f t="shared" si="0"/>
        <v>INSERT INTO BOLETIM (blt_numero, blt_ano, blt_data_lev, blt_data_cad) VALUES (46, 2024, TO_DATE('20/03/2024', 'DD/MM/YYYY'), SYSDATE);</v>
      </c>
    </row>
    <row r="12" spans="1:7" x14ac:dyDescent="0.3">
      <c r="A12">
        <v>11</v>
      </c>
      <c r="B12">
        <v>47</v>
      </c>
      <c r="C12">
        <v>2024</v>
      </c>
      <c r="D12" s="2">
        <v>45385</v>
      </c>
      <c r="G12" t="str">
        <f t="shared" si="0"/>
        <v>INSERT INTO BOLETIM (blt_numero, blt_ano, blt_data_lev, blt_data_cad) VALUES (47, 2024, TO_DATE('03/04/2024', 'DD/MM/YYYY'), SYSDATE);</v>
      </c>
    </row>
    <row r="13" spans="1:7" x14ac:dyDescent="0.3">
      <c r="A13">
        <v>12</v>
      </c>
      <c r="B13">
        <v>48</v>
      </c>
      <c r="C13">
        <v>2024</v>
      </c>
      <c r="D13" s="2">
        <v>45392</v>
      </c>
      <c r="G13" t="str">
        <f t="shared" si="0"/>
        <v>INSERT INTO BOLETIM (blt_numero, blt_ano, blt_data_lev, blt_data_cad) VALUES (48, 2024, TO_DATE('10/04/2024', 'DD/MM/YYYY'), SYSDATE);</v>
      </c>
    </row>
    <row r="14" spans="1:7" x14ac:dyDescent="0.3">
      <c r="A14">
        <v>13</v>
      </c>
      <c r="B14">
        <v>49</v>
      </c>
      <c r="C14">
        <v>2024</v>
      </c>
      <c r="D14" s="2">
        <v>45399</v>
      </c>
      <c r="G14" t="str">
        <f t="shared" si="0"/>
        <v>INSERT INTO BOLETIM (blt_numero, blt_ano, blt_data_lev, blt_data_cad) VALUES (49, 2024, TO_DATE('17/04/2024', 'DD/MM/YYYY'), SYSDATE);</v>
      </c>
    </row>
    <row r="15" spans="1:7" x14ac:dyDescent="0.3">
      <c r="A15">
        <v>14</v>
      </c>
      <c r="B15">
        <v>50</v>
      </c>
      <c r="C15">
        <v>2024</v>
      </c>
      <c r="D15" s="2">
        <v>45406</v>
      </c>
      <c r="G15" t="str">
        <f t="shared" si="0"/>
        <v>INSERT INTO BOLETIM (blt_numero, blt_ano, blt_data_lev, blt_data_cad) VALUES (50, 2024, TO_DATE('24/04/2024', 'DD/MM/YYYY'), SYSDATE);</v>
      </c>
    </row>
    <row r="16" spans="1:7" x14ac:dyDescent="0.3">
      <c r="A16">
        <v>15</v>
      </c>
      <c r="B16">
        <v>51</v>
      </c>
      <c r="C16">
        <v>2024</v>
      </c>
      <c r="D16" s="2">
        <v>45420</v>
      </c>
      <c r="G16" t="str">
        <f t="shared" si="0"/>
        <v>INSERT INTO BOLETIM (blt_numero, blt_ano, blt_data_lev, blt_data_cad) VALUES (51, 2024, TO_DATE('08/05/2024', 'DD/MM/YYYY'), SYSDATE);</v>
      </c>
    </row>
    <row r="17" spans="1:7" x14ac:dyDescent="0.3">
      <c r="A17">
        <v>16</v>
      </c>
      <c r="B17">
        <v>52</v>
      </c>
      <c r="C17">
        <v>2024</v>
      </c>
      <c r="D17" s="2">
        <v>45427</v>
      </c>
      <c r="G17" t="str">
        <f t="shared" si="0"/>
        <v>INSERT INTO BOLETIM (blt_numero, blt_ano, blt_data_lev, blt_data_cad) VALUES (52, 2024, TO_DATE('15/05/2024', 'DD/MM/YYYY'), SYSDATE);</v>
      </c>
    </row>
    <row r="18" spans="1:7" x14ac:dyDescent="0.3">
      <c r="A18">
        <v>17</v>
      </c>
      <c r="B18">
        <v>53</v>
      </c>
      <c r="C18">
        <v>2024</v>
      </c>
      <c r="D18" s="2">
        <v>45434</v>
      </c>
      <c r="G18" t="str">
        <f t="shared" si="0"/>
        <v>INSERT INTO BOLETIM (blt_numero, blt_ano, blt_data_lev, blt_data_cad) VALUES (53, 2024, TO_DATE('22/05/2024', 'DD/MM/YYYY'), SYSDATE);</v>
      </c>
    </row>
    <row r="19" spans="1:7" x14ac:dyDescent="0.3">
      <c r="A19">
        <v>18</v>
      </c>
      <c r="B19">
        <v>54</v>
      </c>
      <c r="C19">
        <v>2024</v>
      </c>
      <c r="D19" s="2">
        <v>45441</v>
      </c>
      <c r="G19" t="str">
        <f t="shared" si="0"/>
        <v>INSERT INTO BOLETIM (blt_numero, blt_ano, blt_data_lev, blt_data_cad) VALUES (54, 2024, TO_DATE('29/05/2024', 'DD/MM/YYYY'), SYSDATE);</v>
      </c>
    </row>
    <row r="20" spans="1:7" x14ac:dyDescent="0.3">
      <c r="A20">
        <v>19</v>
      </c>
      <c r="B20">
        <v>55</v>
      </c>
      <c r="C20">
        <v>2024</v>
      </c>
      <c r="D20" s="2">
        <v>45448</v>
      </c>
      <c r="G20" t="str">
        <f t="shared" si="0"/>
        <v>INSERT INTO BOLETIM (blt_numero, blt_ano, blt_data_lev, blt_data_cad) VALUES (55, 2024, TO_DATE('05/06/2024', 'DD/MM/YYYY'), SYSDATE);</v>
      </c>
    </row>
    <row r="21" spans="1:7" x14ac:dyDescent="0.3">
      <c r="A21">
        <v>20</v>
      </c>
      <c r="B21">
        <v>56</v>
      </c>
      <c r="C21">
        <v>2024</v>
      </c>
      <c r="D21" s="2">
        <v>45455</v>
      </c>
      <c r="G21" t="str">
        <f t="shared" si="0"/>
        <v>INSERT INTO BOLETIM (blt_numero, blt_ano, blt_data_lev, blt_data_cad) VALUES (56, 2024, TO_DATE('12/06/2024', 'DD/MM/YYYY'), SYSDATE);</v>
      </c>
    </row>
    <row r="22" spans="1:7" x14ac:dyDescent="0.3">
      <c r="A22">
        <v>21</v>
      </c>
      <c r="B22">
        <v>57</v>
      </c>
      <c r="C22">
        <v>2024</v>
      </c>
      <c r="D22" s="2">
        <v>45462</v>
      </c>
      <c r="G22" t="str">
        <f t="shared" si="0"/>
        <v>INSERT INTO BOLETIM (blt_numero, blt_ano, blt_data_lev, blt_data_cad) VALUES (57, 2024, TO_DATE('19/06/2024', 'DD/MM/YYYY'), SYSDATE);</v>
      </c>
    </row>
    <row r="23" spans="1:7" x14ac:dyDescent="0.3">
      <c r="A23">
        <v>22</v>
      </c>
      <c r="B23">
        <v>58</v>
      </c>
      <c r="C23">
        <v>2024</v>
      </c>
      <c r="D23" s="2">
        <v>45469</v>
      </c>
      <c r="G23" t="str">
        <f t="shared" si="0"/>
        <v>INSERT INTO BOLETIM (blt_numero, blt_ano, blt_data_lev, blt_data_cad) VALUES (58, 2024, TO_DATE('26/06/2024', 'DD/MM/YYYY'), SYSDATE);</v>
      </c>
    </row>
    <row r="24" spans="1:7" x14ac:dyDescent="0.3">
      <c r="A24">
        <v>23</v>
      </c>
      <c r="B24">
        <v>59</v>
      </c>
      <c r="C24">
        <v>2024</v>
      </c>
      <c r="D24" s="2">
        <v>45476</v>
      </c>
      <c r="G24" t="str">
        <f t="shared" si="0"/>
        <v>INSERT INTO BOLETIM (blt_numero, blt_ano, blt_data_lev, blt_data_cad) VALUES (59, 2024, TO_DATE('03/07/2024', 'DD/MM/YYYY'), SYSDATE);</v>
      </c>
    </row>
    <row r="25" spans="1:7" x14ac:dyDescent="0.3">
      <c r="A25">
        <v>24</v>
      </c>
      <c r="B25">
        <v>60</v>
      </c>
      <c r="C25">
        <v>2024</v>
      </c>
      <c r="D25" s="2">
        <v>45483</v>
      </c>
      <c r="G25" t="str">
        <f t="shared" si="0"/>
        <v>INSERT INTO BOLETIM (blt_numero, blt_ano, blt_data_lev, blt_data_cad) VALUES (60, 2024, TO_DATE('10/07/2024', 'DD/MM/YYYY'), SYSDATE);</v>
      </c>
    </row>
    <row r="26" spans="1:7" x14ac:dyDescent="0.3">
      <c r="A26">
        <v>25</v>
      </c>
      <c r="B26">
        <v>61</v>
      </c>
      <c r="C26">
        <v>2024</v>
      </c>
      <c r="D26" s="2">
        <v>45490</v>
      </c>
      <c r="G26" t="str">
        <f t="shared" si="0"/>
        <v>INSERT INTO BOLETIM (blt_numero, blt_ano, blt_data_lev, blt_data_cad) VALUES (61, 2024, TO_DATE('17/07/2024', 'DD/MM/YYYY'), SYSDATE);</v>
      </c>
    </row>
    <row r="27" spans="1:7" x14ac:dyDescent="0.3">
      <c r="A27">
        <v>26</v>
      </c>
      <c r="B27">
        <v>62</v>
      </c>
      <c r="C27">
        <v>2024</v>
      </c>
      <c r="D27" s="2">
        <v>45497</v>
      </c>
      <c r="G27" t="str">
        <f t="shared" si="0"/>
        <v>INSERT INTO BOLETIM (blt_numero, blt_ano, blt_data_lev, blt_data_cad) VALUES (62, 2024, TO_DATE('24/07/2024', 'DD/MM/YYYY'), SYSDATE);</v>
      </c>
    </row>
    <row r="28" spans="1:7" x14ac:dyDescent="0.3">
      <c r="A28">
        <v>27</v>
      </c>
      <c r="B28">
        <v>63</v>
      </c>
      <c r="C28">
        <v>2024</v>
      </c>
      <c r="D28" s="2">
        <v>45505</v>
      </c>
      <c r="G28" t="str">
        <f t="shared" si="0"/>
        <v>INSERT INTO BOLETIM (blt_numero, blt_ano, blt_data_lev, blt_data_cad) VALUES (63, 2024, TO_DATE('01/08/2024', 'DD/MM/YYYY'), SYSDATE);</v>
      </c>
    </row>
    <row r="29" spans="1:7" x14ac:dyDescent="0.3">
      <c r="A29">
        <v>28</v>
      </c>
      <c r="B29">
        <v>64</v>
      </c>
      <c r="C29">
        <v>2024</v>
      </c>
      <c r="D29" s="2">
        <v>45513</v>
      </c>
      <c r="G29" t="str">
        <f t="shared" si="0"/>
        <v>INSERT INTO BOLETIM (blt_numero, blt_ano, blt_data_lev, blt_data_cad) VALUES (64, 2024, TO_DATE('09/08/2024', 'DD/MM/YYYY'), SYSDATE);</v>
      </c>
    </row>
    <row r="30" spans="1:7" x14ac:dyDescent="0.3">
      <c r="A30">
        <v>29</v>
      </c>
      <c r="B30">
        <v>65</v>
      </c>
      <c r="C30">
        <v>2024</v>
      </c>
      <c r="D30" s="2">
        <v>45520</v>
      </c>
      <c r="G30" t="str">
        <f t="shared" si="0"/>
        <v>INSERT INTO BOLETIM (blt_numero, blt_ano, blt_data_lev, blt_data_cad) VALUES (65, 2024, TO_DATE('16/08/2024', 'DD/MM/YYYY'), SYSDATE);</v>
      </c>
    </row>
    <row r="31" spans="1:7" x14ac:dyDescent="0.3">
      <c r="A31">
        <v>30</v>
      </c>
      <c r="B31">
        <v>66</v>
      </c>
      <c r="C31">
        <v>2024</v>
      </c>
      <c r="D31" s="2">
        <v>45527</v>
      </c>
      <c r="G31" t="str">
        <f t="shared" si="0"/>
        <v>INSERT INTO BOLETIM (blt_numero, blt_ano, blt_data_lev, blt_data_cad) VALUES (66, 2024, TO_DATE('23/08/2024', 'DD/MM/YYYY'), SYSDATE);</v>
      </c>
    </row>
    <row r="32" spans="1:7" x14ac:dyDescent="0.3">
      <c r="A32">
        <v>31</v>
      </c>
      <c r="B32">
        <v>67</v>
      </c>
      <c r="C32">
        <v>2024</v>
      </c>
      <c r="D32" s="2">
        <v>45534</v>
      </c>
      <c r="G32" t="str">
        <f t="shared" si="0"/>
        <v>INSERT INTO BOLETIM (blt_numero, blt_ano, blt_data_lev, blt_data_cad) VALUES (67, 2024, TO_DATE('30/08/2024', 'DD/MM/YYYY'), SYSDATE);</v>
      </c>
    </row>
    <row r="33" spans="1:7" x14ac:dyDescent="0.3">
      <c r="A33">
        <v>32</v>
      </c>
      <c r="B33">
        <v>68</v>
      </c>
      <c r="C33">
        <v>2024</v>
      </c>
      <c r="D33" s="2">
        <v>45541</v>
      </c>
      <c r="G33" t="str">
        <f t="shared" si="0"/>
        <v>INSERT INTO BOLETIM (blt_numero, blt_ano, blt_data_lev, blt_data_cad) VALUES (68, 2024, TO_DATE('06/09/2024', 'DD/MM/YYYY'), SYSDATE);</v>
      </c>
    </row>
    <row r="34" spans="1:7" x14ac:dyDescent="0.3">
      <c r="A34">
        <v>33</v>
      </c>
      <c r="B34">
        <v>69</v>
      </c>
      <c r="C34">
        <v>2024</v>
      </c>
      <c r="D34" s="2">
        <v>45548</v>
      </c>
      <c r="G34" t="str">
        <f t="shared" si="0"/>
        <v>INSERT INTO BOLETIM (blt_numero, blt_ano, blt_data_lev, blt_data_cad) VALUES (69, 2024, TO_DATE('13/09/2024', 'DD/MM/YYYY'), SYSDATE);</v>
      </c>
    </row>
    <row r="35" spans="1:7" x14ac:dyDescent="0.3">
      <c r="A35">
        <v>34</v>
      </c>
      <c r="B35">
        <v>70</v>
      </c>
      <c r="C35">
        <v>2024</v>
      </c>
      <c r="D35" s="2">
        <v>45555</v>
      </c>
      <c r="G35" t="str">
        <f t="shared" si="0"/>
        <v>INSERT INTO BOLETIM (blt_numero, blt_ano, blt_data_lev, blt_data_cad) VALUES (70, 2024, TO_DATE('20/09/2024', 'DD/MM/YYYY'), SYSDATE);</v>
      </c>
    </row>
    <row r="36" spans="1:7" x14ac:dyDescent="0.3">
      <c r="A36">
        <v>35</v>
      </c>
      <c r="B36">
        <v>71</v>
      </c>
      <c r="C36">
        <v>2024</v>
      </c>
      <c r="D36" s="2">
        <v>45562</v>
      </c>
      <c r="G36" t="str">
        <f t="shared" si="0"/>
        <v>INSERT INTO BOLETIM (blt_numero, blt_ano, blt_data_lev, blt_data_cad) VALUES (71, 2024, TO_DATE('27/09/2024', 'DD/MM/YYYY'), SYSDATE);</v>
      </c>
    </row>
    <row r="37" spans="1:7" x14ac:dyDescent="0.3">
      <c r="A37">
        <v>36</v>
      </c>
      <c r="B37">
        <v>72</v>
      </c>
      <c r="C37">
        <v>2024</v>
      </c>
      <c r="D37" s="2">
        <v>45569</v>
      </c>
      <c r="G37" t="str">
        <f t="shared" si="0"/>
        <v>INSERT INTO BOLETIM (blt_numero, blt_ano, blt_data_lev, blt_data_cad) VALUES (72, 2024, TO_DATE('04/10/2024', 'DD/MM/YYYY'), SYSDATE);</v>
      </c>
    </row>
    <row r="38" spans="1:7" x14ac:dyDescent="0.3">
      <c r="A38">
        <v>37</v>
      </c>
      <c r="B38">
        <v>73</v>
      </c>
      <c r="C38">
        <v>2024</v>
      </c>
      <c r="D38" s="2">
        <v>45576</v>
      </c>
      <c r="G38" t="str">
        <f t="shared" si="0"/>
        <v>INSERT INTO BOLETIM (blt_numero, blt_ano, blt_data_lev, blt_data_cad) VALUES (73, 2024, TO_DATE('11/10/2024', 'DD/MM/YYYY'), SYSDATE);</v>
      </c>
    </row>
    <row r="39" spans="1:7" x14ac:dyDescent="0.3">
      <c r="A39">
        <v>38</v>
      </c>
      <c r="B39">
        <v>74</v>
      </c>
      <c r="C39">
        <v>2024</v>
      </c>
      <c r="D39" s="2">
        <v>45583</v>
      </c>
      <c r="G39" t="str">
        <f t="shared" si="0"/>
        <v>INSERT INTO BOLETIM (blt_numero, blt_ano, blt_data_lev, blt_data_cad) VALUES (74, 2024, TO_DATE('18/10/2024', 'DD/MM/YYYY'), SYSDATE);</v>
      </c>
    </row>
    <row r="40" spans="1:7" x14ac:dyDescent="0.3">
      <c r="A40">
        <v>39</v>
      </c>
      <c r="B40">
        <v>75</v>
      </c>
      <c r="C40">
        <v>2024</v>
      </c>
      <c r="D40" s="2">
        <v>45590</v>
      </c>
      <c r="G40" t="str">
        <f t="shared" si="0"/>
        <v>INSERT INTO BOLETIM (blt_numero, blt_ano, blt_data_lev, blt_data_cad) VALUES (75, 2024, TO_DATE('25/10/2024', 'DD/MM/YYYY'), SYSDATE);</v>
      </c>
    </row>
    <row r="41" spans="1:7" x14ac:dyDescent="0.3">
      <c r="A41">
        <v>40</v>
      </c>
      <c r="B41">
        <v>76</v>
      </c>
      <c r="C41">
        <v>2024</v>
      </c>
      <c r="D41" s="2">
        <v>45597</v>
      </c>
      <c r="G41" t="str">
        <f t="shared" si="0"/>
        <v>INSERT INTO BOLETIM (blt_numero, blt_ano, blt_data_lev, blt_data_cad) VALUES (76, 2024, TO_DATE('01/11/2024', 'DD/MM/YYYY'), SYSDATE);</v>
      </c>
    </row>
    <row r="42" spans="1:7" x14ac:dyDescent="0.3">
      <c r="A42">
        <v>41</v>
      </c>
      <c r="B42">
        <v>77</v>
      </c>
      <c r="C42">
        <v>2024</v>
      </c>
      <c r="D42" s="2">
        <v>45604</v>
      </c>
      <c r="G42" t="str">
        <f t="shared" si="0"/>
        <v>INSERT INTO BOLETIM (blt_numero, blt_ano, blt_data_lev, blt_data_cad) VALUES (77, 2024, TO_DATE('08/11/2024', 'DD/MM/YYYY'), SYSDATE);</v>
      </c>
    </row>
    <row r="43" spans="1:7" x14ac:dyDescent="0.3">
      <c r="A43">
        <v>42</v>
      </c>
      <c r="B43">
        <v>78</v>
      </c>
      <c r="C43">
        <v>2024</v>
      </c>
      <c r="D43" s="2">
        <v>45611</v>
      </c>
      <c r="G43" t="str">
        <f t="shared" si="0"/>
        <v>INSERT INTO BOLETIM (blt_numero, blt_ano, blt_data_lev, blt_data_cad) VALUES (78, 2024, TO_DATE('15/11/2024', 'DD/MM/YYYY'), SYSDATE);</v>
      </c>
    </row>
    <row r="44" spans="1:7" x14ac:dyDescent="0.3">
      <c r="A44">
        <v>43</v>
      </c>
      <c r="B44">
        <v>79</v>
      </c>
      <c r="C44">
        <v>2024</v>
      </c>
      <c r="D44" s="2">
        <v>45618</v>
      </c>
      <c r="G44" t="str">
        <f t="shared" si="0"/>
        <v>INSERT INTO BOLETIM (blt_numero, blt_ano, blt_data_lev, blt_data_cad) VALUES (79, 2024, TO_DATE('22/11/2024', 'DD/MM/YYYY'), SYSDATE);</v>
      </c>
    </row>
    <row r="45" spans="1:7" x14ac:dyDescent="0.3">
      <c r="A45">
        <v>44</v>
      </c>
      <c r="B45">
        <v>80</v>
      </c>
      <c r="C45">
        <v>2024</v>
      </c>
      <c r="D45" s="2">
        <v>45625</v>
      </c>
      <c r="G45" t="str">
        <f t="shared" si="0"/>
        <v>INSERT INTO BOLETIM (blt_numero, blt_ano, blt_data_lev, blt_data_cad) VALUES (80, 2024, TO_DATE('29/11/2024', 'DD/MM/YYYY'), SYSDATE);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topLeftCell="A13" zoomScaleNormal="100" workbookViewId="0">
      <selection activeCell="N6" sqref="N6"/>
    </sheetView>
  </sheetViews>
  <sheetFormatPr defaultColWidth="8.44140625" defaultRowHeight="14.4" x14ac:dyDescent="0.3"/>
  <sheetData>
    <row r="1" spans="1:8" x14ac:dyDescent="0.3">
      <c r="A1" t="s">
        <v>249</v>
      </c>
      <c r="B1" t="s">
        <v>151</v>
      </c>
      <c r="C1" t="s">
        <v>240</v>
      </c>
      <c r="D1" t="s">
        <v>110</v>
      </c>
      <c r="E1" t="s">
        <v>224</v>
      </c>
      <c r="F1" t="s">
        <v>250</v>
      </c>
    </row>
    <row r="2" spans="1:8" x14ac:dyDescent="0.3">
      <c r="A2">
        <v>1</v>
      </c>
      <c r="B2">
        <v>1</v>
      </c>
      <c r="C2">
        <v>3</v>
      </c>
      <c r="D2">
        <v>1</v>
      </c>
      <c r="F2" s="11">
        <v>1</v>
      </c>
      <c r="H2" t="str">
        <f>"INSERT INTO PRODUTO_APRESENTACAO (prd_id, tap_id, pap_qtd, umd_id, pap_atv) VALUES ("&amp;B2&amp;", "&amp;C2&amp;", "&amp;D2&amp;", "&amp;E2&amp;", "&amp;F2&amp;");"</f>
        <v>INSERT INTO PRODUTO_APRESENTACAO (prd_id, tap_id, pap_qtd, umd_id, pap_atv) VALUES (1, 3, 1, , 1);</v>
      </c>
    </row>
    <row r="3" spans="1:8" x14ac:dyDescent="0.3">
      <c r="A3">
        <v>2</v>
      </c>
      <c r="B3">
        <v>2</v>
      </c>
      <c r="C3">
        <v>3</v>
      </c>
      <c r="D3">
        <v>1</v>
      </c>
      <c r="F3">
        <v>1</v>
      </c>
      <c r="H3" t="str">
        <f t="shared" ref="H3:H41" si="0">"INSERT INTO PRODUTO_APRESENTACAO (prd_id, tap_id, pap_qtd, umd_id, pap_atv) VALUES ("&amp;B3&amp;", "&amp;C3&amp;", "&amp;D3&amp;", "&amp;E3&amp;", "&amp;F3&amp;");"</f>
        <v>INSERT INTO PRODUTO_APRESENTACAO (prd_id, tap_id, pap_qtd, umd_id, pap_atv) VALUES (2, 3, 1, , 1);</v>
      </c>
    </row>
    <row r="4" spans="1:8" x14ac:dyDescent="0.3">
      <c r="A4">
        <v>3</v>
      </c>
      <c r="B4">
        <v>3</v>
      </c>
      <c r="C4">
        <v>3</v>
      </c>
      <c r="D4">
        <v>1</v>
      </c>
      <c r="F4">
        <v>1</v>
      </c>
      <c r="H4" t="str">
        <f t="shared" si="0"/>
        <v>INSERT INTO PRODUTO_APRESENTACAO (prd_id, tap_id, pap_qtd, umd_id, pap_atv) VALUES (3, 3, 1, , 1);</v>
      </c>
    </row>
    <row r="5" spans="1:8" x14ac:dyDescent="0.3">
      <c r="A5">
        <v>4</v>
      </c>
      <c r="B5">
        <v>4</v>
      </c>
      <c r="C5">
        <v>3</v>
      </c>
      <c r="D5">
        <v>1</v>
      </c>
      <c r="F5">
        <v>1</v>
      </c>
      <c r="H5" t="str">
        <f t="shared" si="0"/>
        <v>INSERT INTO PRODUTO_APRESENTACAO (prd_id, tap_id, pap_qtd, umd_id, pap_atv) VALUES (4, 3, 1, , 1);</v>
      </c>
    </row>
    <row r="6" spans="1:8" x14ac:dyDescent="0.3">
      <c r="A6">
        <v>5</v>
      </c>
      <c r="B6">
        <v>5</v>
      </c>
      <c r="C6">
        <v>3</v>
      </c>
      <c r="D6">
        <v>1</v>
      </c>
      <c r="F6">
        <v>1</v>
      </c>
      <c r="H6" t="str">
        <f t="shared" si="0"/>
        <v>INSERT INTO PRODUTO_APRESENTACAO (prd_id, tap_id, pap_qtd, umd_id, pap_atv) VALUES (5, 3, 1, , 1);</v>
      </c>
    </row>
    <row r="7" spans="1:8" x14ac:dyDescent="0.3">
      <c r="A7">
        <v>6</v>
      </c>
      <c r="B7">
        <v>6</v>
      </c>
      <c r="C7">
        <v>3</v>
      </c>
      <c r="D7">
        <v>1</v>
      </c>
      <c r="F7">
        <v>1</v>
      </c>
      <c r="H7" t="str">
        <f t="shared" si="0"/>
        <v>INSERT INTO PRODUTO_APRESENTACAO (prd_id, tap_id, pap_qtd, umd_id, pap_atv) VALUES (6, 3, 1, , 1);</v>
      </c>
    </row>
    <row r="8" spans="1:8" x14ac:dyDescent="0.3">
      <c r="A8">
        <v>7</v>
      </c>
      <c r="B8">
        <v>7</v>
      </c>
      <c r="C8">
        <v>3</v>
      </c>
      <c r="D8">
        <v>1</v>
      </c>
      <c r="F8">
        <v>1</v>
      </c>
      <c r="H8" t="str">
        <f t="shared" si="0"/>
        <v>INSERT INTO PRODUTO_APRESENTACAO (prd_id, tap_id, pap_qtd, umd_id, pap_atv) VALUES (7, 3, 1, , 1);</v>
      </c>
    </row>
    <row r="9" spans="1:8" x14ac:dyDescent="0.3">
      <c r="A9">
        <v>8</v>
      </c>
      <c r="B9">
        <v>8</v>
      </c>
      <c r="C9">
        <v>3</v>
      </c>
      <c r="D9">
        <v>1</v>
      </c>
      <c r="F9">
        <v>1</v>
      </c>
      <c r="H9" t="str">
        <f t="shared" si="0"/>
        <v>INSERT INTO PRODUTO_APRESENTACAO (prd_id, tap_id, pap_qtd, umd_id, pap_atv) VALUES (8, 3, 1, , 1);</v>
      </c>
    </row>
    <row r="10" spans="1:8" x14ac:dyDescent="0.3">
      <c r="A10">
        <v>9</v>
      </c>
      <c r="B10">
        <v>9</v>
      </c>
      <c r="C10">
        <v>3</v>
      </c>
      <c r="D10">
        <v>1</v>
      </c>
      <c r="F10">
        <v>1</v>
      </c>
      <c r="H10" t="str">
        <f t="shared" si="0"/>
        <v>INSERT INTO PRODUTO_APRESENTACAO (prd_id, tap_id, pap_qtd, umd_id, pap_atv) VALUES (9, 3, 1, , 1);</v>
      </c>
    </row>
    <row r="11" spans="1:8" x14ac:dyDescent="0.3">
      <c r="A11">
        <v>10</v>
      </c>
      <c r="B11">
        <v>10</v>
      </c>
      <c r="C11">
        <v>3</v>
      </c>
      <c r="D11">
        <v>1</v>
      </c>
      <c r="F11">
        <v>1</v>
      </c>
      <c r="H11" t="str">
        <f t="shared" si="0"/>
        <v>INSERT INTO PRODUTO_APRESENTACAO (prd_id, tap_id, pap_qtd, umd_id, pap_atv) VALUES (10, 3, 1, , 1);</v>
      </c>
    </row>
    <row r="12" spans="1:8" x14ac:dyDescent="0.3">
      <c r="A12">
        <v>11</v>
      </c>
      <c r="B12">
        <v>11</v>
      </c>
      <c r="C12">
        <v>3</v>
      </c>
      <c r="D12">
        <v>1</v>
      </c>
      <c r="F12">
        <v>1</v>
      </c>
      <c r="H12" t="str">
        <f t="shared" si="0"/>
        <v>INSERT INTO PRODUTO_APRESENTACAO (prd_id, tap_id, pap_qtd, umd_id, pap_atv) VALUES (11, 3, 1, , 1);</v>
      </c>
    </row>
    <row r="13" spans="1:8" x14ac:dyDescent="0.3">
      <c r="A13">
        <v>12</v>
      </c>
      <c r="B13">
        <v>12</v>
      </c>
      <c r="C13">
        <v>3</v>
      </c>
      <c r="D13">
        <v>1</v>
      </c>
      <c r="F13">
        <v>1</v>
      </c>
      <c r="H13" t="str">
        <f t="shared" si="0"/>
        <v>INSERT INTO PRODUTO_APRESENTACAO (prd_id, tap_id, pap_qtd, umd_id, pap_atv) VALUES (12, 3, 1, , 1);</v>
      </c>
    </row>
    <row r="14" spans="1:8" x14ac:dyDescent="0.3">
      <c r="A14">
        <v>13</v>
      </c>
      <c r="B14">
        <v>13</v>
      </c>
      <c r="C14">
        <v>2</v>
      </c>
      <c r="D14">
        <v>12</v>
      </c>
      <c r="F14">
        <v>1</v>
      </c>
      <c r="H14" t="str">
        <f t="shared" si="0"/>
        <v>INSERT INTO PRODUTO_APRESENTACAO (prd_id, tap_id, pap_qtd, umd_id, pap_atv) VALUES (13, 2, 12, , 1);</v>
      </c>
    </row>
    <row r="15" spans="1:8" x14ac:dyDescent="0.3">
      <c r="A15">
        <v>14</v>
      </c>
      <c r="B15">
        <v>14</v>
      </c>
      <c r="C15">
        <v>3</v>
      </c>
      <c r="D15">
        <v>1</v>
      </c>
      <c r="F15">
        <v>1</v>
      </c>
      <c r="H15" t="str">
        <f t="shared" si="0"/>
        <v>INSERT INTO PRODUTO_APRESENTACAO (prd_id, tap_id, pap_qtd, umd_id, pap_atv) VALUES (14, 3, 1, , 1);</v>
      </c>
    </row>
    <row r="16" spans="1:8" x14ac:dyDescent="0.3">
      <c r="A16">
        <v>15</v>
      </c>
      <c r="B16">
        <v>15</v>
      </c>
      <c r="C16">
        <v>3</v>
      </c>
      <c r="D16">
        <v>1</v>
      </c>
      <c r="F16">
        <v>1</v>
      </c>
      <c r="H16" t="str">
        <f t="shared" si="0"/>
        <v>INSERT INTO PRODUTO_APRESENTACAO (prd_id, tap_id, pap_qtd, umd_id, pap_atv) VALUES (15, 3, 1, , 1);</v>
      </c>
    </row>
    <row r="17" spans="1:8" x14ac:dyDescent="0.3">
      <c r="A17">
        <v>16</v>
      </c>
      <c r="B17">
        <v>16</v>
      </c>
      <c r="C17">
        <v>3</v>
      </c>
      <c r="D17">
        <v>1</v>
      </c>
      <c r="F17">
        <v>1</v>
      </c>
      <c r="H17" t="str">
        <f t="shared" si="0"/>
        <v>INSERT INTO PRODUTO_APRESENTACAO (prd_id, tap_id, pap_qtd, umd_id, pap_atv) VALUES (16, 3, 1, , 1);</v>
      </c>
    </row>
    <row r="18" spans="1:8" x14ac:dyDescent="0.3">
      <c r="A18">
        <v>17</v>
      </c>
      <c r="B18">
        <v>17</v>
      </c>
      <c r="C18">
        <v>2</v>
      </c>
      <c r="D18">
        <v>0.5</v>
      </c>
      <c r="E18">
        <v>1</v>
      </c>
      <c r="F18">
        <v>1</v>
      </c>
      <c r="H18" t="str">
        <f t="shared" si="0"/>
        <v>INSERT INTO PRODUTO_APRESENTACAO (prd_id, tap_id, pap_qtd, umd_id, pap_atv) VALUES (17, 2, 0,5, 1, 1);</v>
      </c>
    </row>
    <row r="19" spans="1:8" x14ac:dyDescent="0.3">
      <c r="A19">
        <v>18</v>
      </c>
      <c r="B19">
        <v>18</v>
      </c>
      <c r="C19">
        <v>2</v>
      </c>
      <c r="D19">
        <v>2</v>
      </c>
      <c r="E19">
        <v>1</v>
      </c>
      <c r="F19">
        <v>1</v>
      </c>
      <c r="H19" t="str">
        <f t="shared" si="0"/>
        <v>INSERT INTO PRODUTO_APRESENTACAO (prd_id, tap_id, pap_qtd, umd_id, pap_atv) VALUES (18, 2, 2, 1, 1);</v>
      </c>
    </row>
    <row r="20" spans="1:8" x14ac:dyDescent="0.3">
      <c r="A20">
        <v>19</v>
      </c>
      <c r="B20">
        <v>19</v>
      </c>
      <c r="C20">
        <v>2</v>
      </c>
      <c r="D20">
        <v>2</v>
      </c>
      <c r="E20">
        <v>1</v>
      </c>
      <c r="F20">
        <v>1</v>
      </c>
      <c r="H20" t="str">
        <f t="shared" si="0"/>
        <v>INSERT INTO PRODUTO_APRESENTACAO (prd_id, tap_id, pap_qtd, umd_id, pap_atv) VALUES (19, 2, 2, 1, 1);</v>
      </c>
    </row>
    <row r="21" spans="1:8" x14ac:dyDescent="0.3">
      <c r="A21">
        <v>20</v>
      </c>
      <c r="B21">
        <v>20</v>
      </c>
      <c r="C21">
        <v>1</v>
      </c>
      <c r="D21">
        <v>30</v>
      </c>
      <c r="E21">
        <v>1</v>
      </c>
      <c r="F21">
        <v>1</v>
      </c>
      <c r="H21" t="str">
        <f t="shared" si="0"/>
        <v>INSERT INTO PRODUTO_APRESENTACAO (prd_id, tap_id, pap_qtd, umd_id, pap_atv) VALUES (20, 1, 30, 1, 1);</v>
      </c>
    </row>
    <row r="22" spans="1:8" x14ac:dyDescent="0.3">
      <c r="A22">
        <v>21</v>
      </c>
      <c r="B22">
        <v>21</v>
      </c>
      <c r="C22">
        <v>1</v>
      </c>
      <c r="D22">
        <v>17</v>
      </c>
      <c r="E22">
        <v>1</v>
      </c>
      <c r="F22">
        <v>1</v>
      </c>
      <c r="H22" t="str">
        <f t="shared" si="0"/>
        <v>INSERT INTO PRODUTO_APRESENTACAO (prd_id, tap_id, pap_qtd, umd_id, pap_atv) VALUES (21, 1, 17, 1, 1);</v>
      </c>
    </row>
    <row r="23" spans="1:8" x14ac:dyDescent="0.3">
      <c r="A23">
        <v>22</v>
      </c>
      <c r="B23">
        <v>22</v>
      </c>
      <c r="C23">
        <v>1</v>
      </c>
      <c r="D23">
        <v>18</v>
      </c>
      <c r="E23">
        <v>1</v>
      </c>
      <c r="F23">
        <v>1</v>
      </c>
      <c r="H23" t="str">
        <f t="shared" si="0"/>
        <v>INSERT INTO PRODUTO_APRESENTACAO (prd_id, tap_id, pap_qtd, umd_id, pap_atv) VALUES (22, 1, 18, 1, 1);</v>
      </c>
    </row>
    <row r="24" spans="1:8" x14ac:dyDescent="0.3">
      <c r="A24">
        <v>23</v>
      </c>
      <c r="B24">
        <v>23</v>
      </c>
      <c r="C24">
        <v>1</v>
      </c>
      <c r="D24">
        <v>10</v>
      </c>
      <c r="E24">
        <v>1</v>
      </c>
      <c r="F24">
        <v>1</v>
      </c>
      <c r="H24" t="str">
        <f t="shared" si="0"/>
        <v>INSERT INTO PRODUTO_APRESENTACAO (prd_id, tap_id, pap_qtd, umd_id, pap_atv) VALUES (23, 1, 10, 1, 1);</v>
      </c>
    </row>
    <row r="25" spans="1:8" x14ac:dyDescent="0.3">
      <c r="A25">
        <v>24</v>
      </c>
      <c r="B25">
        <v>24</v>
      </c>
      <c r="C25">
        <v>1</v>
      </c>
      <c r="D25">
        <v>10</v>
      </c>
      <c r="E25">
        <v>1</v>
      </c>
      <c r="F25">
        <v>1</v>
      </c>
      <c r="H25" t="str">
        <f t="shared" si="0"/>
        <v>INSERT INTO PRODUTO_APRESENTACAO (prd_id, tap_id, pap_qtd, umd_id, pap_atv) VALUES (24, 1, 10, 1, 1);</v>
      </c>
    </row>
    <row r="26" spans="1:8" x14ac:dyDescent="0.3">
      <c r="A26">
        <v>25</v>
      </c>
      <c r="B26">
        <v>25</v>
      </c>
      <c r="C26">
        <v>1</v>
      </c>
      <c r="D26">
        <v>20</v>
      </c>
      <c r="E26">
        <v>1</v>
      </c>
      <c r="F26">
        <v>1</v>
      </c>
      <c r="H26" t="str">
        <f t="shared" si="0"/>
        <v>INSERT INTO PRODUTO_APRESENTACAO (prd_id, tap_id, pap_qtd, umd_id, pap_atv) VALUES (25, 1, 20, 1, 1);</v>
      </c>
    </row>
    <row r="27" spans="1:8" x14ac:dyDescent="0.3">
      <c r="A27">
        <v>26</v>
      </c>
      <c r="B27">
        <v>26</v>
      </c>
      <c r="C27">
        <v>1</v>
      </c>
      <c r="D27">
        <v>18</v>
      </c>
      <c r="E27">
        <v>1</v>
      </c>
      <c r="F27">
        <v>1</v>
      </c>
      <c r="H27" t="str">
        <f t="shared" si="0"/>
        <v>INSERT INTO PRODUTO_APRESENTACAO (prd_id, tap_id, pap_qtd, umd_id, pap_atv) VALUES (26, 1, 18, 1, 1);</v>
      </c>
    </row>
    <row r="28" spans="1:8" x14ac:dyDescent="0.3">
      <c r="A28">
        <v>27</v>
      </c>
      <c r="B28">
        <v>27</v>
      </c>
      <c r="C28">
        <v>1</v>
      </c>
      <c r="D28">
        <v>18</v>
      </c>
      <c r="E28">
        <v>1</v>
      </c>
      <c r="F28">
        <v>1</v>
      </c>
      <c r="H28" t="str">
        <f t="shared" si="0"/>
        <v>INSERT INTO PRODUTO_APRESENTACAO (prd_id, tap_id, pap_qtd, umd_id, pap_atv) VALUES (27, 1, 18, 1, 1);</v>
      </c>
    </row>
    <row r="29" spans="1:8" x14ac:dyDescent="0.3">
      <c r="A29">
        <v>28</v>
      </c>
      <c r="B29">
        <v>28</v>
      </c>
      <c r="C29">
        <v>1</v>
      </c>
      <c r="D29">
        <v>17</v>
      </c>
      <c r="E29">
        <v>1</v>
      </c>
      <c r="F29">
        <v>1</v>
      </c>
      <c r="H29" t="str">
        <f t="shared" si="0"/>
        <v>INSERT INTO PRODUTO_APRESENTACAO (prd_id, tap_id, pap_qtd, umd_id, pap_atv) VALUES (28, 1, 17, 1, 1);</v>
      </c>
    </row>
    <row r="30" spans="1:8" x14ac:dyDescent="0.3">
      <c r="A30">
        <v>29</v>
      </c>
      <c r="B30">
        <v>29</v>
      </c>
      <c r="C30">
        <v>1</v>
      </c>
      <c r="D30">
        <v>18</v>
      </c>
      <c r="E30">
        <v>1</v>
      </c>
      <c r="F30">
        <v>1</v>
      </c>
      <c r="H30" t="str">
        <f t="shared" si="0"/>
        <v>INSERT INTO PRODUTO_APRESENTACAO (prd_id, tap_id, pap_qtd, umd_id, pap_atv) VALUES (29, 1, 18, 1, 1);</v>
      </c>
    </row>
    <row r="31" spans="1:8" x14ac:dyDescent="0.3">
      <c r="A31">
        <v>30</v>
      </c>
      <c r="B31">
        <v>30</v>
      </c>
      <c r="C31">
        <v>1</v>
      </c>
      <c r="D31">
        <v>17</v>
      </c>
      <c r="E31">
        <v>1</v>
      </c>
      <c r="F31">
        <v>1</v>
      </c>
      <c r="H31" t="str">
        <f t="shared" si="0"/>
        <v>INSERT INTO PRODUTO_APRESENTACAO (prd_id, tap_id, pap_qtd, umd_id, pap_atv) VALUES (30, 1, 17, 1, 1);</v>
      </c>
    </row>
    <row r="32" spans="1:8" x14ac:dyDescent="0.3">
      <c r="A32">
        <v>31</v>
      </c>
      <c r="B32">
        <v>31</v>
      </c>
      <c r="C32">
        <v>1</v>
      </c>
      <c r="D32">
        <v>17</v>
      </c>
      <c r="E32">
        <v>1</v>
      </c>
      <c r="F32">
        <v>1</v>
      </c>
      <c r="H32" t="str">
        <f t="shared" si="0"/>
        <v>INSERT INTO PRODUTO_APRESENTACAO (prd_id, tap_id, pap_qtd, umd_id, pap_atv) VALUES (31, 1, 17, 1, 1);</v>
      </c>
    </row>
    <row r="33" spans="1:8" x14ac:dyDescent="0.3">
      <c r="A33">
        <v>32</v>
      </c>
      <c r="B33">
        <v>32</v>
      </c>
      <c r="C33">
        <v>1</v>
      </c>
      <c r="D33">
        <v>10</v>
      </c>
      <c r="E33">
        <v>1</v>
      </c>
      <c r="F33">
        <v>1</v>
      </c>
      <c r="H33" t="str">
        <f t="shared" si="0"/>
        <v>INSERT INTO PRODUTO_APRESENTACAO (prd_id, tap_id, pap_qtd, umd_id, pap_atv) VALUES (32, 1, 10, 1, 1);</v>
      </c>
    </row>
    <row r="34" spans="1:8" x14ac:dyDescent="0.3">
      <c r="A34">
        <v>33</v>
      </c>
      <c r="B34">
        <v>33</v>
      </c>
      <c r="C34">
        <v>1</v>
      </c>
      <c r="D34">
        <v>12</v>
      </c>
      <c r="E34">
        <v>1</v>
      </c>
      <c r="F34">
        <v>1</v>
      </c>
      <c r="H34" t="str">
        <f t="shared" si="0"/>
        <v>INSERT INTO PRODUTO_APRESENTACAO (prd_id, tap_id, pap_qtd, umd_id, pap_atv) VALUES (33, 1, 12, 1, 1);</v>
      </c>
    </row>
    <row r="35" spans="1:8" x14ac:dyDescent="0.3">
      <c r="A35">
        <v>34</v>
      </c>
      <c r="B35">
        <v>34</v>
      </c>
      <c r="C35">
        <v>1</v>
      </c>
      <c r="D35">
        <v>17</v>
      </c>
      <c r="E35">
        <v>1</v>
      </c>
      <c r="F35">
        <v>1</v>
      </c>
      <c r="H35" t="str">
        <f t="shared" si="0"/>
        <v>INSERT INTO PRODUTO_APRESENTACAO (prd_id, tap_id, pap_qtd, umd_id, pap_atv) VALUES (34, 1, 17, 1, 1);</v>
      </c>
    </row>
    <row r="36" spans="1:8" x14ac:dyDescent="0.3">
      <c r="A36">
        <v>35</v>
      </c>
      <c r="B36">
        <v>35</v>
      </c>
      <c r="C36">
        <v>1</v>
      </c>
      <c r="D36">
        <v>17</v>
      </c>
      <c r="E36">
        <v>1</v>
      </c>
      <c r="F36">
        <v>1</v>
      </c>
      <c r="H36" t="str">
        <f t="shared" si="0"/>
        <v>INSERT INTO PRODUTO_APRESENTACAO (prd_id, tap_id, pap_qtd, umd_id, pap_atv) VALUES (35, 1, 17, 1, 1);</v>
      </c>
    </row>
    <row r="37" spans="1:8" x14ac:dyDescent="0.3">
      <c r="A37">
        <v>36</v>
      </c>
      <c r="B37">
        <v>36</v>
      </c>
      <c r="C37">
        <v>1</v>
      </c>
      <c r="D37">
        <v>17</v>
      </c>
      <c r="E37">
        <v>1</v>
      </c>
      <c r="F37">
        <v>1</v>
      </c>
      <c r="H37" t="str">
        <f t="shared" si="0"/>
        <v>INSERT INTO PRODUTO_APRESENTACAO (prd_id, tap_id, pap_qtd, umd_id, pap_atv) VALUES (36, 1, 17, 1, 1);</v>
      </c>
    </row>
    <row r="38" spans="1:8" x14ac:dyDescent="0.3">
      <c r="A38">
        <v>37</v>
      </c>
      <c r="B38">
        <v>37</v>
      </c>
      <c r="C38">
        <v>1</v>
      </c>
      <c r="D38">
        <v>17</v>
      </c>
      <c r="E38">
        <v>1</v>
      </c>
      <c r="F38">
        <v>1</v>
      </c>
      <c r="H38" t="str">
        <f t="shared" si="0"/>
        <v>INSERT INTO PRODUTO_APRESENTACAO (prd_id, tap_id, pap_qtd, umd_id, pap_atv) VALUES (37, 1, 17, 1, 1);</v>
      </c>
    </row>
    <row r="39" spans="1:8" x14ac:dyDescent="0.3">
      <c r="A39">
        <v>38</v>
      </c>
      <c r="B39">
        <v>38</v>
      </c>
      <c r="C39">
        <v>1</v>
      </c>
      <c r="D39">
        <v>17</v>
      </c>
      <c r="E39">
        <v>1</v>
      </c>
      <c r="F39">
        <v>1</v>
      </c>
      <c r="H39" t="str">
        <f t="shared" si="0"/>
        <v>INSERT INTO PRODUTO_APRESENTACAO (prd_id, tap_id, pap_qtd, umd_id, pap_atv) VALUES (38, 1, 17, 1, 1);</v>
      </c>
    </row>
    <row r="40" spans="1:8" x14ac:dyDescent="0.3">
      <c r="A40">
        <v>39</v>
      </c>
      <c r="B40">
        <v>39</v>
      </c>
      <c r="C40">
        <v>1</v>
      </c>
      <c r="D40">
        <v>10</v>
      </c>
      <c r="E40">
        <v>1</v>
      </c>
      <c r="F40">
        <v>1</v>
      </c>
      <c r="H40" t="str">
        <f t="shared" si="0"/>
        <v>INSERT INTO PRODUTO_APRESENTACAO (prd_id, tap_id, pap_qtd, umd_id, pap_atv) VALUES (39, 1, 10, 1, 1);</v>
      </c>
    </row>
    <row r="41" spans="1:8" x14ac:dyDescent="0.3">
      <c r="A41">
        <v>40</v>
      </c>
      <c r="B41">
        <v>40</v>
      </c>
      <c r="C41">
        <v>1</v>
      </c>
      <c r="D41">
        <v>22</v>
      </c>
      <c r="E41">
        <v>1</v>
      </c>
      <c r="F41">
        <v>1</v>
      </c>
      <c r="H41" t="str">
        <f t="shared" si="0"/>
        <v>INSERT INTO PRODUTO_APRESENTACAO (prd_id, tap_id, pap_qtd, umd_id, pap_atv) VALUES (40, 1, 22, 1, 1);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Boletins Nuppa Site</vt:lpstr>
      <vt:lpstr>COTACAO</vt:lpstr>
      <vt:lpstr>completo</vt:lpstr>
      <vt:lpstr>GRUPO_ALIMENTAR</vt:lpstr>
      <vt:lpstr>CATEGORIA</vt:lpstr>
      <vt:lpstr>PRODUTO</vt:lpstr>
      <vt:lpstr>UNIDADE_MEDIDA</vt:lpstr>
      <vt:lpstr>TIPO_APRESENTACAO</vt:lpstr>
      <vt:lpstr>BOLETIM</vt:lpstr>
      <vt:lpstr>PRODUTO_APRESENTACAO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Shampz</dc:creator>
  <dc:description/>
  <cp:lastModifiedBy>Shampz</cp:lastModifiedBy>
  <cp:revision>23</cp:revision>
  <dcterms:created xsi:type="dcterms:W3CDTF">2026-09-01T15:47:40Z</dcterms:created>
  <dcterms:modified xsi:type="dcterms:W3CDTF">2026-09-04T10:45:06Z</dcterms:modified>
  <dc:language>pt-BR</dc:language>
</cp:coreProperties>
</file>