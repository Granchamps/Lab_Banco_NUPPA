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letins Nuppa Site" sheetId="1" state="visible" r:id="rId3"/>
    <sheet name="Planilha11" sheetId="2" state="visible" r:id="rId4"/>
    <sheet name="COTACAO" sheetId="3" state="visible" r:id="rId5"/>
    <sheet name="GRUPO_ALIMENTAR" sheetId="4" state="visible" r:id="rId6"/>
    <sheet name="CATEGORIA" sheetId="5" state="visible" r:id="rId7"/>
    <sheet name="PRODUTO" sheetId="6" state="visible" r:id="rId8"/>
    <sheet name="UNIDADE_MEDIDA" sheetId="7" state="visible" r:id="rId9"/>
    <sheet name="TIPO_APRESENTACAO" sheetId="8" state="visible" r:id="rId10"/>
    <sheet name="BOLETIM" sheetId="9" state="visible" r:id="rId11"/>
    <sheet name="PRODUTO_APRESENTACAO" sheetId="10" state="visible" r:id="rId12"/>
  </sheets>
  <definedNames>
    <definedName function="false" hidden="true" localSheetId="0" name="_xlnm._FilterDatabase" vbProcedure="false">'Boletins Nuppa Site'!$A$1:$K$1430</definedName>
    <definedName function="false" hidden="true" localSheetId="2" name="_xlnm._FilterDatabase" vbProcedure="false">COTACAO!$A$1:$H$1430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<sst xmlns="http://schemas.openxmlformats.org/spreadsheetml/2006/main" count="10481" uniqueCount="780">
  <si>
    <t xml:space="preserve">blt_numero</t>
  </si>
  <si>
    <t xml:space="preserve">blt_ano</t>
  </si>
  <si>
    <t xml:space="preserve">blt_data_lev</t>
  </si>
  <si>
    <t xml:space="preserve">Grupo</t>
  </si>
  <si>
    <t xml:space="preserve">Produto</t>
  </si>
  <si>
    <t xml:space="preserve">Unidade</t>
  </si>
  <si>
    <t xml:space="preserve">Comum</t>
  </si>
  <si>
    <t xml:space="preserve">Mínimo</t>
  </si>
  <si>
    <t xml:space="preserve">Máximo</t>
  </si>
  <si>
    <t xml:space="preserve">Média</t>
  </si>
  <si>
    <t xml:space="preserve">Mediana</t>
  </si>
  <si>
    <t xml:space="preserve">GRUPO A - Verduras (Folhosas, Flores e Hastes)</t>
  </si>
  <si>
    <t xml:space="preserve">Acelga</t>
  </si>
  <si>
    <t xml:space="preserve">12 unidades</t>
  </si>
  <si>
    <t xml:space="preserve">Agrião</t>
  </si>
  <si>
    <t xml:space="preserve">Alface Americana</t>
  </si>
  <si>
    <t xml:space="preserve">Alface crespa</t>
  </si>
  <si>
    <t xml:space="preserve">Alface lisa</t>
  </si>
  <si>
    <t xml:space="preserve">Almeirão</t>
  </si>
  <si>
    <t xml:space="preserve">Brócolos ninja/japonês</t>
  </si>
  <si>
    <t xml:space="preserve">Brócolos ramoso</t>
  </si>
  <si>
    <t xml:space="preserve">Couve-Manteiga</t>
  </si>
  <si>
    <t xml:space="preserve">Couve</t>
  </si>
  <si>
    <t xml:space="preserve">Escarola</t>
  </si>
  <si>
    <t xml:space="preserve">Espinafre</t>
  </si>
  <si>
    <t xml:space="preserve">Rabanete</t>
  </si>
  <si>
    <t xml:space="preserve">12 maços</t>
  </si>
  <si>
    <t xml:space="preserve">Repolho roxo</t>
  </si>
  <si>
    <t xml:space="preserve">Repolho Verde</t>
  </si>
  <si>
    <t xml:space="preserve">Rúcula</t>
  </si>
  <si>
    <t xml:space="preserve">GRUPO B - Hortaliças Condimentares (Temperos)</t>
  </si>
  <si>
    <t xml:space="preserve">Cebolinha</t>
  </si>
  <si>
    <t xml:space="preserve">Maço 0,5 kg</t>
  </si>
  <si>
    <t xml:space="preserve">3.67</t>
  </si>
  <si>
    <t xml:space="preserve">Coentro</t>
  </si>
  <si>
    <t xml:space="preserve">Maço 2 kg</t>
  </si>
  <si>
    <t xml:space="preserve">Salsinha</t>
  </si>
  <si>
    <t xml:space="preserve">22.5</t>
  </si>
  <si>
    <t xml:space="preserve">GRUPO C - Hortaliças Legumes (Leguminosas (Vagens), Frutos, Raízes Tuberosas, Tubérculos e Bulbos)</t>
  </si>
  <si>
    <t xml:space="preserve">Abobrinha Italiana</t>
  </si>
  <si>
    <t xml:space="preserve">17 kg</t>
  </si>
  <si>
    <t xml:space="preserve">57.5</t>
  </si>
  <si>
    <t xml:space="preserve">Batata-doce</t>
  </si>
  <si>
    <t xml:space="preserve">18 kg</t>
  </si>
  <si>
    <t xml:space="preserve">Berinjela comum</t>
  </si>
  <si>
    <t xml:space="preserve">10 kg</t>
  </si>
  <si>
    <t xml:space="preserve">44.17</t>
  </si>
  <si>
    <t xml:space="preserve">42.5</t>
  </si>
  <si>
    <t xml:space="preserve">Berinjela japonesa</t>
  </si>
  <si>
    <t xml:space="preserve">Beterraba</t>
  </si>
  <si>
    <t xml:space="preserve">20 kg</t>
  </si>
  <si>
    <t xml:space="preserve">52.67</t>
  </si>
  <si>
    <t xml:space="preserve">Cenoura</t>
  </si>
  <si>
    <t xml:space="preserve">Chuchu</t>
  </si>
  <si>
    <t xml:space="preserve">Jiló</t>
  </si>
  <si>
    <t xml:space="preserve">56.67</t>
  </si>
  <si>
    <t xml:space="preserve">Mandioca</t>
  </si>
  <si>
    <t xml:space="preserve">Pepino comum</t>
  </si>
  <si>
    <t xml:space="preserve">Pepino japonês</t>
  </si>
  <si>
    <t xml:space="preserve">Pimentão verde</t>
  </si>
  <si>
    <t xml:space="preserve">Quiabo</t>
  </si>
  <si>
    <t xml:space="preserve">12 kg</t>
  </si>
  <si>
    <t xml:space="preserve">68.33</t>
  </si>
  <si>
    <t xml:space="preserve">Tomate Débora</t>
  </si>
  <si>
    <t xml:space="preserve">Vagem macarrão</t>
  </si>
  <si>
    <t xml:space="preserve">GRUPO D - Frutas</t>
  </si>
  <si>
    <t xml:space="preserve">Caqui Fuyu</t>
  </si>
  <si>
    <t xml:space="preserve">Caqui Guimbo</t>
  </si>
  <si>
    <t xml:space="preserve">Caqui Rama Forte</t>
  </si>
  <si>
    <t xml:space="preserve">Goiaba</t>
  </si>
  <si>
    <t xml:space="preserve">Mexerica Polkan</t>
  </si>
  <si>
    <t xml:space="preserve">22 kg</t>
  </si>
  <si>
    <t xml:space="preserve">21.5</t>
  </si>
  <si>
    <t xml:space="preserve">Couve-flor</t>
  </si>
  <si>
    <t xml:space="preserve">3.5</t>
  </si>
  <si>
    <t xml:space="preserve">4.13</t>
  </si>
  <si>
    <t xml:space="preserve">95.71</t>
  </si>
  <si>
    <t xml:space="preserve">Batata</t>
  </si>
  <si>
    <t xml:space="preserve">52.5</t>
  </si>
  <si>
    <t xml:space="preserve">71.43</t>
  </si>
  <si>
    <t xml:space="preserve">62.5</t>
  </si>
  <si>
    <t xml:space="preserve">39.38</t>
  </si>
  <si>
    <t xml:space="preserve">102.86</t>
  </si>
  <si>
    <t xml:space="preserve">64.67</t>
  </si>
  <si>
    <t xml:space="preserve">67.5</t>
  </si>
  <si>
    <t xml:space="preserve">28.33</t>
  </si>
  <si>
    <t xml:space="preserve">37.5</t>
  </si>
  <si>
    <t xml:space="preserve">4.33</t>
  </si>
  <si>
    <t xml:space="preserve">20.67</t>
  </si>
  <si>
    <t xml:space="preserve">55.83</t>
  </si>
  <si>
    <t xml:space="preserve">45.83</t>
  </si>
  <si>
    <t xml:space="preserve">47.5</t>
  </si>
  <si>
    <t xml:space="preserve">53.75</t>
  </si>
  <si>
    <t xml:space="preserve">73.33</t>
  </si>
  <si>
    <t xml:space="preserve">68.75</t>
  </si>
  <si>
    <t xml:space="preserve">84.17</t>
  </si>
  <si>
    <t xml:space="preserve">30.33</t>
  </si>
  <si>
    <t xml:space="preserve">4.5</t>
  </si>
  <si>
    <t xml:space="preserve">43.33</t>
  </si>
  <si>
    <t xml:space="preserve">47.86</t>
  </si>
  <si>
    <t xml:space="preserve">38.57</t>
  </si>
  <si>
    <t xml:space="preserve">58.75</t>
  </si>
  <si>
    <t xml:space="preserve">66.67</t>
  </si>
  <si>
    <t xml:space="preserve">70.83</t>
  </si>
  <si>
    <t xml:space="preserve">39.17</t>
  </si>
  <si>
    <t xml:space="preserve">107.5</t>
  </si>
  <si>
    <t xml:space="preserve">34.25</t>
  </si>
  <si>
    <t xml:space="preserve">32.5</t>
  </si>
  <si>
    <t xml:space="preserve">31.67</t>
  </si>
  <si>
    <t xml:space="preserve">4.17</t>
  </si>
  <si>
    <t xml:space="preserve">23.33</t>
  </si>
  <si>
    <t xml:space="preserve">50.71</t>
  </si>
  <si>
    <t xml:space="preserve">49.29</t>
  </si>
  <si>
    <t xml:space="preserve">37.86</t>
  </si>
  <si>
    <t xml:space="preserve">103.33</t>
  </si>
  <si>
    <t xml:space="preserve">49.17</t>
  </si>
  <si>
    <t xml:space="preserve">36.43</t>
  </si>
  <si>
    <t xml:space="preserve">78.57</t>
  </si>
  <si>
    <t xml:space="preserve">21.6</t>
  </si>
  <si>
    <t xml:space="preserve">24.75</t>
  </si>
  <si>
    <t xml:space="preserve">20.25</t>
  </si>
  <si>
    <t xml:space="preserve">69.33</t>
  </si>
  <si>
    <t xml:space="preserve">20.5</t>
  </si>
  <si>
    <t xml:space="preserve">36.75</t>
  </si>
  <si>
    <t xml:space="preserve">4.25</t>
  </si>
  <si>
    <t xml:space="preserve">21.4</t>
  </si>
  <si>
    <t xml:space="preserve">56.88</t>
  </si>
  <si>
    <t xml:space="preserve">46.67</t>
  </si>
  <si>
    <t xml:space="preserve">65.56</t>
  </si>
  <si>
    <t xml:space="preserve">59.38</t>
  </si>
  <si>
    <t xml:space="preserve">68.57</t>
  </si>
  <si>
    <t xml:space="preserve">61.67</t>
  </si>
  <si>
    <t xml:space="preserve">72.14</t>
  </si>
  <si>
    <t xml:space="preserve">73.13</t>
  </si>
  <si>
    <t xml:space="preserve">77.5</t>
  </si>
  <si>
    <t xml:space="preserve">4.38</t>
  </si>
  <si>
    <t xml:space="preserve">26.67</t>
  </si>
  <si>
    <t xml:space="preserve">48.75</t>
  </si>
  <si>
    <t xml:space="preserve">51.67</t>
  </si>
  <si>
    <t xml:space="preserve">38.75</t>
  </si>
  <si>
    <t xml:space="preserve">117.5</t>
  </si>
  <si>
    <t xml:space="preserve">61.5</t>
  </si>
  <si>
    <t xml:space="preserve">51.75</t>
  </si>
  <si>
    <t xml:space="preserve">38.6</t>
  </si>
  <si>
    <t xml:space="preserve">35.75</t>
  </si>
  <si>
    <t xml:space="preserve">35.5</t>
  </si>
  <si>
    <t xml:space="preserve">93.6</t>
  </si>
  <si>
    <t xml:space="preserve">33.25</t>
  </si>
  <si>
    <t xml:space="preserve">61.2</t>
  </si>
  <si>
    <t xml:space="preserve">4.63</t>
  </si>
  <si>
    <t xml:space="preserve">4.75</t>
  </si>
  <si>
    <t xml:space="preserve">26.25</t>
  </si>
  <si>
    <t xml:space="preserve">27.6</t>
  </si>
  <si>
    <t xml:space="preserve">Aboborá Cabotiá</t>
  </si>
  <si>
    <t xml:space="preserve">30 kg</t>
  </si>
  <si>
    <t xml:space="preserve">78.75</t>
  </si>
  <si>
    <t xml:space="preserve">97.5</t>
  </si>
  <si>
    <t xml:space="preserve">89.67</t>
  </si>
  <si>
    <t xml:space="preserve">76.67</t>
  </si>
  <si>
    <t xml:space="preserve">48.33</t>
  </si>
  <si>
    <t xml:space="preserve">117.14</t>
  </si>
  <si>
    <t xml:space="preserve">54.67</t>
  </si>
  <si>
    <t xml:space="preserve">30.5</t>
  </si>
  <si>
    <t xml:space="preserve">66.33</t>
  </si>
  <si>
    <t xml:space="preserve">4.83</t>
  </si>
  <si>
    <t xml:space="preserve">113.75</t>
  </si>
  <si>
    <t xml:space="preserve">112.5</t>
  </si>
  <si>
    <t xml:space="preserve">122.5</t>
  </si>
  <si>
    <t xml:space="preserve">82.5</t>
  </si>
  <si>
    <t xml:space="preserve">106.25</t>
  </si>
  <si>
    <t xml:space="preserve">137.5</t>
  </si>
  <si>
    <t xml:space="preserve">136.67</t>
  </si>
  <si>
    <t xml:space="preserve">62.67</t>
  </si>
  <si>
    <t xml:space="preserve">49.5</t>
  </si>
  <si>
    <t xml:space="preserve">46.5</t>
  </si>
  <si>
    <t xml:space="preserve">41.75</t>
  </si>
  <si>
    <t xml:space="preserve">38.5</t>
  </si>
  <si>
    <t xml:space="preserve">45.67</t>
  </si>
  <si>
    <t xml:space="preserve">64.5</t>
  </si>
  <si>
    <t xml:space="preserve">28.5</t>
  </si>
  <si>
    <t xml:space="preserve">35.67</t>
  </si>
  <si>
    <t xml:space="preserve">67.33</t>
  </si>
  <si>
    <t xml:space="preserve">20.83</t>
  </si>
  <si>
    <t xml:space="preserve">102.5</t>
  </si>
  <si>
    <t xml:space="preserve">96.67</t>
  </si>
  <si>
    <t xml:space="preserve">42.33</t>
  </si>
  <si>
    <t xml:space="preserve">81.8</t>
  </si>
  <si>
    <t xml:space="preserve">62.33</t>
  </si>
  <si>
    <t xml:space="preserve">115.83</t>
  </si>
  <si>
    <t xml:space="preserve">86.88</t>
  </si>
  <si>
    <t xml:space="preserve">117.86</t>
  </si>
  <si>
    <t xml:space="preserve">81.25</t>
  </si>
  <si>
    <t xml:space="preserve">82.14</t>
  </si>
  <si>
    <t xml:space="preserve">221.67</t>
  </si>
  <si>
    <t xml:space="preserve">144.29</t>
  </si>
  <si>
    <t xml:space="preserve">101.33</t>
  </si>
  <si>
    <t xml:space="preserve">93.33</t>
  </si>
  <si>
    <t xml:space="preserve">59.67</t>
  </si>
  <si>
    <t xml:space="preserve">118.33</t>
  </si>
  <si>
    <t xml:space="preserve">69.17</t>
  </si>
  <si>
    <t xml:space="preserve">72.5</t>
  </si>
  <si>
    <t xml:space="preserve">116.67</t>
  </si>
  <si>
    <t xml:space="preserve">56.33</t>
  </si>
  <si>
    <t xml:space="preserve">101.67</t>
  </si>
  <si>
    <t xml:space="preserve">172.5</t>
  </si>
  <si>
    <t xml:space="preserve">49.33</t>
  </si>
  <si>
    <t xml:space="preserve">78.67</t>
  </si>
  <si>
    <t xml:space="preserve">32.75</t>
  </si>
  <si>
    <t xml:space="preserve">33.67</t>
  </si>
  <si>
    <t xml:space="preserve">31.5</t>
  </si>
  <si>
    <t xml:space="preserve">54.33</t>
  </si>
  <si>
    <t xml:space="preserve">5.38</t>
  </si>
  <si>
    <t xml:space="preserve">5.5</t>
  </si>
  <si>
    <t xml:space="preserve">33.75</t>
  </si>
  <si>
    <t xml:space="preserve">113.33</t>
  </si>
  <si>
    <t xml:space="preserve">68.6</t>
  </si>
  <si>
    <t xml:space="preserve">91.25</t>
  </si>
  <si>
    <t xml:space="preserve">99.5</t>
  </si>
  <si>
    <t xml:space="preserve">81.5</t>
  </si>
  <si>
    <t xml:space="preserve">59.33</t>
  </si>
  <si>
    <t xml:space="preserve">27.67</t>
  </si>
  <si>
    <t xml:space="preserve">33.33</t>
  </si>
  <si>
    <t xml:space="preserve">62.78</t>
  </si>
  <si>
    <t xml:space="preserve">44.38</t>
  </si>
  <si>
    <t xml:space="preserve">125.71</t>
  </si>
  <si>
    <t xml:space="preserve">61.25</t>
  </si>
  <si>
    <t xml:space="preserve">98.57</t>
  </si>
  <si>
    <t xml:space="preserve">93.13</t>
  </si>
  <si>
    <t xml:space="preserve">74.29</t>
  </si>
  <si>
    <t xml:space="preserve">92.14</t>
  </si>
  <si>
    <t xml:space="preserve">91.67</t>
  </si>
  <si>
    <t xml:space="preserve">99.67</t>
  </si>
  <si>
    <t xml:space="preserve">70.33</t>
  </si>
  <si>
    <t xml:space="preserve">43.75</t>
  </si>
  <si>
    <t xml:space="preserve">132.5</t>
  </si>
  <si>
    <t xml:space="preserve">56.25</t>
  </si>
  <si>
    <t xml:space="preserve">25.25</t>
  </si>
  <si>
    <t xml:space="preserve">25.67</t>
  </si>
  <si>
    <t xml:space="preserve">60.5</t>
  </si>
  <si>
    <t xml:space="preserve">87.5</t>
  </si>
  <si>
    <t xml:space="preserve">127.5</t>
  </si>
  <si>
    <t xml:space="preserve">63.33</t>
  </si>
  <si>
    <t xml:space="preserve">53.33</t>
  </si>
  <si>
    <t xml:space="preserve">128.75</t>
  </si>
  <si>
    <t xml:space="preserve">86.67</t>
  </si>
  <si>
    <t xml:space="preserve">111.67</t>
  </si>
  <si>
    <t xml:space="preserve">58.5</t>
  </si>
  <si>
    <t xml:space="preserve">44.5</t>
  </si>
  <si>
    <t xml:space="preserve">75.5</t>
  </si>
  <si>
    <t xml:space="preserve">55.6</t>
  </si>
  <si>
    <t xml:space="preserve">5.25</t>
  </si>
  <si>
    <t xml:space="preserve">123.33</t>
  </si>
  <si>
    <t xml:space="preserve">85.33</t>
  </si>
  <si>
    <t xml:space="preserve">5.33</t>
  </si>
  <si>
    <t xml:space="preserve">51.25</t>
  </si>
  <si>
    <t xml:space="preserve">116.25</t>
  </si>
  <si>
    <t xml:space="preserve">193.75</t>
  </si>
  <si>
    <t xml:space="preserve">27.5</t>
  </si>
  <si>
    <t xml:space="preserve">58.33</t>
  </si>
  <si>
    <t xml:space="preserve">98.33</t>
  </si>
  <si>
    <t xml:space="preserve">108.33</t>
  </si>
  <si>
    <t xml:space="preserve">120.83</t>
  </si>
  <si>
    <t xml:space="preserve">78.33</t>
  </si>
  <si>
    <t xml:space="preserve">106.67</t>
  </si>
  <si>
    <t xml:space="preserve">223.33</t>
  </si>
  <si>
    <t xml:space="preserve">66.25</t>
  </si>
  <si>
    <t xml:space="preserve">176.67</t>
  </si>
  <si>
    <t xml:space="preserve">68.5</t>
  </si>
  <si>
    <t xml:space="preserve">60.83</t>
  </si>
  <si>
    <t xml:space="preserve">143.33</t>
  </si>
  <si>
    <t xml:space="preserve">83.33</t>
  </si>
  <si>
    <t xml:space="preserve">24.5</t>
  </si>
  <si>
    <t xml:space="preserve">71.5</t>
  </si>
  <si>
    <t xml:space="preserve">17.25</t>
  </si>
  <si>
    <t xml:space="preserve">71.25</t>
  </si>
  <si>
    <t xml:space="preserve">51.5</t>
  </si>
  <si>
    <t xml:space="preserve">25.5</t>
  </si>
  <si>
    <t xml:space="preserve">66.5</t>
  </si>
  <si>
    <t xml:space="preserve">13.5</t>
  </si>
  <si>
    <t xml:space="preserve">71.67</t>
  </si>
  <si>
    <t xml:space="preserve">74.4</t>
  </si>
  <si>
    <t xml:space="preserve">22.8</t>
  </si>
  <si>
    <t xml:space="preserve">25.2</t>
  </si>
  <si>
    <t xml:space="preserve">62.4</t>
  </si>
  <si>
    <t xml:space="preserve">43.4</t>
  </si>
  <si>
    <t xml:space="preserve">12.4</t>
  </si>
  <si>
    <t xml:space="preserve">63.75</t>
  </si>
  <si>
    <t xml:space="preserve">133.33</t>
  </si>
  <si>
    <t xml:space="preserve">52.8</t>
  </si>
  <si>
    <t xml:space="preserve">35.8</t>
  </si>
  <si>
    <t xml:space="preserve">20.8</t>
  </si>
  <si>
    <t xml:space="preserve">21.8</t>
  </si>
  <si>
    <t xml:space="preserve">55.2</t>
  </si>
  <si>
    <t xml:space="preserve">41.6</t>
  </si>
  <si>
    <t xml:space="preserve">50.4</t>
  </si>
  <si>
    <t xml:space="preserve">4.8</t>
  </si>
  <si>
    <t xml:space="preserve">11.2</t>
  </si>
  <si>
    <t xml:space="preserve">143.75</t>
  </si>
  <si>
    <t xml:space="preserve">11.33</t>
  </si>
  <si>
    <t xml:space="preserve">21.67</t>
  </si>
  <si>
    <t xml:space="preserve">59.4</t>
  </si>
  <si>
    <t xml:space="preserve">118.75</t>
  </si>
  <si>
    <t xml:space="preserve">55.8</t>
  </si>
  <si>
    <t xml:space="preserve">53.25</t>
  </si>
  <si>
    <t xml:space="preserve">38.8</t>
  </si>
  <si>
    <t xml:space="preserve">49.2</t>
  </si>
  <si>
    <t xml:space="preserve">157.5</t>
  </si>
  <si>
    <t xml:space="preserve">39.25</t>
  </si>
  <si>
    <t xml:space="preserve">5.13</t>
  </si>
  <si>
    <t xml:space="preserve">18.75</t>
  </si>
  <si>
    <t xml:space="preserve">17.5</t>
  </si>
  <si>
    <t xml:space="preserve">93.75</t>
  </si>
  <si>
    <t xml:space="preserve">92.5</t>
  </si>
  <si>
    <t xml:space="preserve">147.5</t>
  </si>
  <si>
    <t xml:space="preserve">34.5</t>
  </si>
  <si>
    <t xml:space="preserve">23.75</t>
  </si>
  <si>
    <t xml:space="preserve">69.6</t>
  </si>
  <si>
    <t xml:space="preserve">20.4</t>
  </si>
  <si>
    <t xml:space="preserve">33.6</t>
  </si>
  <si>
    <t xml:space="preserve">32.2</t>
  </si>
  <si>
    <t xml:space="preserve">51.8</t>
  </si>
  <si>
    <t xml:space="preserve">46.6</t>
  </si>
  <si>
    <t xml:space="preserve">61.17</t>
  </si>
  <si>
    <t xml:space="preserve">18.33</t>
  </si>
  <si>
    <t xml:space="preserve">41.4</t>
  </si>
  <si>
    <t xml:space="preserve">44.2</t>
  </si>
  <si>
    <t xml:space="preserve">42.2</t>
  </si>
  <si>
    <t xml:space="preserve">42.4</t>
  </si>
  <si>
    <t xml:space="preserve">42.75</t>
  </si>
  <si>
    <t xml:space="preserve">41.67</t>
  </si>
  <si>
    <t xml:space="preserve">38.4</t>
  </si>
  <si>
    <t xml:space="preserve">23.4</t>
  </si>
  <si>
    <t xml:space="preserve">67.2</t>
  </si>
  <si>
    <t xml:space="preserve">65.5</t>
  </si>
  <si>
    <t xml:space="preserve">31.6</t>
  </si>
  <si>
    <t xml:space="preserve">10.4</t>
  </si>
  <si>
    <t xml:space="preserve">64.17</t>
  </si>
  <si>
    <t xml:space="preserve">50.83</t>
  </si>
  <si>
    <t xml:space="preserve">121.67</t>
  </si>
  <si>
    <t xml:space="preserve">39.6</t>
  </si>
  <si>
    <t xml:space="preserve">30.25</t>
  </si>
  <si>
    <t xml:space="preserve">25.6</t>
  </si>
  <si>
    <t xml:space="preserve">19.5</t>
  </si>
  <si>
    <t xml:space="preserve">4.67</t>
  </si>
  <si>
    <t xml:space="preserve">11.75</t>
  </si>
  <si>
    <t xml:space="preserve">21.25</t>
  </si>
  <si>
    <t xml:space="preserve">126.25</t>
  </si>
  <si>
    <t xml:space="preserve">43.67</t>
  </si>
  <si>
    <t xml:space="preserve">12.75</t>
  </si>
  <si>
    <t xml:space="preserve">41.25</t>
  </si>
  <si>
    <t xml:space="preserve">151.25</t>
  </si>
  <si>
    <t xml:space="preserve">73.75</t>
  </si>
  <si>
    <t xml:space="preserve">34.75</t>
  </si>
  <si>
    <t xml:space="preserve">28.75</t>
  </si>
  <si>
    <t xml:space="preserve">81.67</t>
  </si>
  <si>
    <t xml:space="preserve">88.75</t>
  </si>
  <si>
    <t xml:space="preserve">162.5</t>
  </si>
  <si>
    <t xml:space="preserve">R$ 48,00</t>
  </si>
  <si>
    <t xml:space="preserve">R$ 60,00</t>
  </si>
  <si>
    <t xml:space="preserve">R$ 54,00</t>
  </si>
  <si>
    <t xml:space="preserve">R$ 72,00</t>
  </si>
  <si>
    <t xml:space="preserve">R$ 84,00</t>
  </si>
  <si>
    <t xml:space="preserve">R$ 30,00</t>
  </si>
  <si>
    <t xml:space="preserve">R$ 42,00</t>
  </si>
  <si>
    <t xml:space="preserve">R$ 34,50</t>
  </si>
  <si>
    <t xml:space="preserve">R$ 33,00</t>
  </si>
  <si>
    <t xml:space="preserve">R$ 24,00</t>
  </si>
  <si>
    <t xml:space="preserve">R$ 18,00</t>
  </si>
  <si>
    <t xml:space="preserve">R$ 22,50</t>
  </si>
  <si>
    <t xml:space="preserve">R$ 64,00</t>
  </si>
  <si>
    <t xml:space="preserve">R$ 70,00</t>
  </si>
  <si>
    <t xml:space="preserve">R$ 71,50</t>
  </si>
  <si>
    <t xml:space="preserve">R$ 21,50</t>
  </si>
  <si>
    <t xml:space="preserve">R$ 22,00</t>
  </si>
  <si>
    <t xml:space="preserve">R$ 63,33</t>
  </si>
  <si>
    <t xml:space="preserve">R$ 63,00</t>
  </si>
  <si>
    <t xml:space="preserve">R$ 25,50</t>
  </si>
  <si>
    <t xml:space="preserve">R$ 51,00</t>
  </si>
  <si>
    <t xml:space="preserve">R$ 5,00</t>
  </si>
  <si>
    <t xml:space="preserve">R$ 15,00</t>
  </si>
  <si>
    <t xml:space="preserve">R$ 12,00</t>
  </si>
  <si>
    <t xml:space="preserve">R$ 14,25</t>
  </si>
  <si>
    <t xml:space="preserve">R$ 20,00</t>
  </si>
  <si>
    <t xml:space="preserve">R$ 26,25</t>
  </si>
  <si>
    <t xml:space="preserve">R$ 27,50</t>
  </si>
  <si>
    <t xml:space="preserve">R$ 75,00</t>
  </si>
  <si>
    <t xml:space="preserve">R$ 80,00</t>
  </si>
  <si>
    <t xml:space="preserve">R$ 77,50</t>
  </si>
  <si>
    <t xml:space="preserve">R$ 35,00</t>
  </si>
  <si>
    <t xml:space="preserve">R$ 33,75</t>
  </si>
  <si>
    <t xml:space="preserve">R$ 45,00</t>
  </si>
  <si>
    <t xml:space="preserve">R$ 62,50</t>
  </si>
  <si>
    <t xml:space="preserve">R$ 51,67</t>
  </si>
  <si>
    <t xml:space="preserve">R$ 50,00</t>
  </si>
  <si>
    <t xml:space="preserve">R$ 65,00</t>
  </si>
  <si>
    <t xml:space="preserve">R$ 56,25</t>
  </si>
  <si>
    <t xml:space="preserve">R$ 55,00</t>
  </si>
  <si>
    <t xml:space="preserve">R$ 40,00</t>
  </si>
  <si>
    <t xml:space="preserve">R$ 48,75</t>
  </si>
  <si>
    <t xml:space="preserve">R$ 57,50</t>
  </si>
  <si>
    <t xml:space="preserve">R$ 52,50</t>
  </si>
  <si>
    <t xml:space="preserve">R$ 120,00</t>
  </si>
  <si>
    <t xml:space="preserve">R$ 103,33</t>
  </si>
  <si>
    <t xml:space="preserve">R$ 110,00</t>
  </si>
  <si>
    <t xml:space="preserve">R$ 47,50</t>
  </si>
  <si>
    <t xml:space="preserve">R$ 90,00</t>
  </si>
  <si>
    <t xml:space="preserve">R$ 73,75</t>
  </si>
  <si>
    <t xml:space="preserve">R$ 46,25</t>
  </si>
  <si>
    <t xml:space="preserve">R$ 150,00</t>
  </si>
  <si>
    <t xml:space="preserve">R$ 180,00</t>
  </si>
  <si>
    <t xml:space="preserve">R$ 163,33</t>
  </si>
  <si>
    <t xml:space="preserve">R$ 160,00</t>
  </si>
  <si>
    <t xml:space="preserve">R$ 95,00</t>
  </si>
  <si>
    <t xml:space="preserve">R$ 81,25</t>
  </si>
  <si>
    <t xml:space="preserve">R$ 123,33</t>
  </si>
  <si>
    <t xml:space="preserve">R$ 100,00</t>
  </si>
  <si>
    <t xml:space="preserve">R$ 66,00</t>
  </si>
  <si>
    <t xml:space="preserve">R$ 78,00</t>
  </si>
  <si>
    <t xml:space="preserve">R$ 69,00</t>
  </si>
  <si>
    <t xml:space="preserve">R$ 25,00</t>
  </si>
  <si>
    <t xml:space="preserve">R$ 17,50</t>
  </si>
  <si>
    <t xml:space="preserve">R$ 61,00</t>
  </si>
  <si>
    <t xml:space="preserve">R$ 53,00</t>
  </si>
  <si>
    <t xml:space="preserve">R$ 58,00</t>
  </si>
  <si>
    <t xml:space="preserve">R$ 113,33</t>
  </si>
  <si>
    <t xml:space="preserve">R$ 200,00</t>
  </si>
  <si>
    <t xml:space="preserve">R$ 178,00</t>
  </si>
  <si>
    <t xml:space="preserve">R$ 83,33</t>
  </si>
  <si>
    <t xml:space="preserve">R$ 52,00</t>
  </si>
  <si>
    <t xml:space="preserve">R$ 68,00</t>
  </si>
  <si>
    <t xml:space="preserve">R$ 36,00</t>
  </si>
  <si>
    <t xml:space="preserve">R$ 27,25</t>
  </si>
  <si>
    <t xml:space="preserve">R$ 26,33</t>
  </si>
  <si>
    <t xml:space="preserve">R$ 56,00</t>
  </si>
  <si>
    <t xml:space="preserve">R$ 67,50</t>
  </si>
  <si>
    <t xml:space="preserve">R$ 24,25</t>
  </si>
  <si>
    <t xml:space="preserve">R$ 24,50</t>
  </si>
  <si>
    <t xml:space="preserve">R$ 44,00</t>
  </si>
  <si>
    <t xml:space="preserve">R$ 28,50</t>
  </si>
  <si>
    <t xml:space="preserve">R$ 49,50</t>
  </si>
  <si>
    <t xml:space="preserve">R$ 42,50</t>
  </si>
  <si>
    <t xml:space="preserve">R$ 53,33</t>
  </si>
  <si>
    <t xml:space="preserve">R$ 52,67</t>
  </si>
  <si>
    <t xml:space="preserve">R$ 74,00</t>
  </si>
  <si>
    <t xml:space="preserve">R$ 78,33</t>
  </si>
  <si>
    <t xml:space="preserve">R$ 58,60</t>
  </si>
  <si>
    <t xml:space="preserve">R$ 105,00</t>
  </si>
  <si>
    <t xml:space="preserve">R$ 59,00</t>
  </si>
  <si>
    <t xml:space="preserve">R$ 94,00</t>
  </si>
  <si>
    <t xml:space="preserve">R$ 43,75</t>
  </si>
  <si>
    <t xml:space="preserve">R$ 49,00</t>
  </si>
  <si>
    <t xml:space="preserve">R$ 130,00</t>
  </si>
  <si>
    <t xml:space="preserve">R$ 142,00</t>
  </si>
  <si>
    <t xml:space="preserve">R$ 79,00</t>
  </si>
  <si>
    <t xml:space="preserve">R$ 39,00</t>
  </si>
  <si>
    <t xml:space="preserve">R$ 31,50</t>
  </si>
  <si>
    <t xml:space="preserve">R$ 61,50</t>
  </si>
  <si>
    <t xml:space="preserve">R$ 58,50</t>
  </si>
  <si>
    <t xml:space="preserve">R$ 57,00</t>
  </si>
  <si>
    <t xml:space="preserve">R$ 23,00</t>
  </si>
  <si>
    <t xml:space="preserve">R$ 4,00</t>
  </si>
  <si>
    <t xml:space="preserve">R$ 4,75</t>
  </si>
  <si>
    <t xml:space="preserve">R$ 17,00</t>
  </si>
  <si>
    <t xml:space="preserve">R$ 16,50</t>
  </si>
  <si>
    <t xml:space="preserve">R$ 44,17</t>
  </si>
  <si>
    <t xml:space="preserve">R$ 45,71</t>
  </si>
  <si>
    <t xml:space="preserve">R$ 58,75</t>
  </si>
  <si>
    <t xml:space="preserve">R$ 33,33</t>
  </si>
  <si>
    <t xml:space="preserve">R$ 92,00</t>
  </si>
  <si>
    <t xml:space="preserve">R$ 43,00</t>
  </si>
  <si>
    <t xml:space="preserve">R$ 46,43</t>
  </si>
  <si>
    <t xml:space="preserve">R$ 50,71</t>
  </si>
  <si>
    <t xml:space="preserve">R$ 96,00</t>
  </si>
  <si>
    <t xml:space="preserve">R$ 67,00</t>
  </si>
  <si>
    <t xml:space="preserve">R$ 62,00</t>
  </si>
  <si>
    <t xml:space="preserve">R$ 30,20</t>
  </si>
  <si>
    <t xml:space="preserve">R$ 30,25</t>
  </si>
  <si>
    <t xml:space="preserve">R$ 21,20</t>
  </si>
  <si>
    <t xml:space="preserve">R$ 57,60</t>
  </si>
  <si>
    <t xml:space="preserve">R$ 37,20</t>
  </si>
  <si>
    <t xml:space="preserve">R$ 51,60</t>
  </si>
  <si>
    <t xml:space="preserve">R$ 4,80</t>
  </si>
  <si>
    <t xml:space="preserve">R$ 16,00</t>
  </si>
  <si>
    <t xml:space="preserve">R$ 71,67</t>
  </si>
  <si>
    <t xml:space="preserve">R$ 85,00</t>
  </si>
  <si>
    <t xml:space="preserve">R$ 46,00</t>
  </si>
  <si>
    <t xml:space="preserve">R$ 46,50</t>
  </si>
  <si>
    <t xml:space="preserve">R$ 28,33</t>
  </si>
  <si>
    <t xml:space="preserve">R$ 71,33</t>
  </si>
  <si>
    <t xml:space="preserve">R$ 20,50</t>
  </si>
  <si>
    <t xml:space="preserve">R$ 76,00</t>
  </si>
  <si>
    <t xml:space="preserve">R$ 58,67</t>
  </si>
  <si>
    <t xml:space="preserve">R$ 15,75</t>
  </si>
  <si>
    <t xml:space="preserve">R$ 60,83</t>
  </si>
  <si>
    <t xml:space="preserve">R$ 48,33</t>
  </si>
  <si>
    <t xml:space="preserve">R$ 50,83</t>
  </si>
  <si>
    <t xml:space="preserve">R$ 43,33</t>
  </si>
  <si>
    <t xml:space="preserve">R$ 82,50</t>
  </si>
  <si>
    <t xml:space="preserve">R$ 51,25</t>
  </si>
  <si>
    <t xml:space="preserve">R$ 140,00</t>
  </si>
  <si>
    <t xml:space="preserve">R$ 116,67</t>
  </si>
  <si>
    <t xml:space="preserve">R$ 138,00</t>
  </si>
  <si>
    <t xml:space="preserve">R$ 81,00</t>
  </si>
  <si>
    <t xml:space="preserve">R$ 46,80</t>
  </si>
  <si>
    <t xml:space="preserve">R$ 69,60</t>
  </si>
  <si>
    <t xml:space="preserve">R$ 82,00</t>
  </si>
  <si>
    <t xml:space="preserve">R$ 29,00</t>
  </si>
  <si>
    <t xml:space="preserve">R$ 68,50</t>
  </si>
  <si>
    <t xml:space="preserve">R$ 71,00</t>
  </si>
  <si>
    <t xml:space="preserve">R$ 35,60</t>
  </si>
  <si>
    <t xml:space="preserve">R$ 55,20</t>
  </si>
  <si>
    <t xml:space="preserve">R$ 19,20</t>
  </si>
  <si>
    <t xml:space="preserve">R$ 61,67</t>
  </si>
  <si>
    <t xml:space="preserve">R$ 83,75</t>
  </si>
  <si>
    <t xml:space="preserve">R$ 106,25</t>
  </si>
  <si>
    <t xml:space="preserve">R$ 166,67</t>
  </si>
  <si>
    <t xml:space="preserve">Abóbora Cabotiá</t>
  </si>
  <si>
    <t xml:space="preserve">R$ 87,00</t>
  </si>
  <si>
    <t xml:space="preserve">R$ 45,60</t>
  </si>
  <si>
    <t xml:space="preserve">R$ 31,40</t>
  </si>
  <si>
    <t xml:space="preserve">R$ 31,75</t>
  </si>
  <si>
    <t xml:space="preserve">R$ 67,20</t>
  </si>
  <si>
    <t xml:space="preserve">R$ 26,40</t>
  </si>
  <si>
    <t xml:space="preserve">R$ 62,40</t>
  </si>
  <si>
    <t xml:space="preserve">R$ 60,50</t>
  </si>
  <si>
    <t xml:space="preserve">R$ 28,00</t>
  </si>
  <si>
    <t xml:space="preserve">R$ 97,50</t>
  </si>
  <si>
    <t xml:space="preserve">R$ 72,50</t>
  </si>
  <si>
    <t xml:space="preserve">R$ 66,67</t>
  </si>
  <si>
    <t xml:space="preserve">R$ 36,25</t>
  </si>
  <si>
    <t xml:space="preserve">R$ 88,75</t>
  </si>
  <si>
    <t xml:space="preserve">R$ 91,50</t>
  </si>
  <si>
    <t xml:space="preserve">R$ 49,20</t>
  </si>
  <si>
    <t xml:space="preserve">R$ 31,60</t>
  </si>
  <si>
    <t xml:space="preserve">R$ 27,60</t>
  </si>
  <si>
    <t xml:space="preserve">R$ 86,40</t>
  </si>
  <si>
    <t xml:space="preserve">R$ 24,40</t>
  </si>
  <si>
    <t xml:space="preserve">R$ 95,50</t>
  </si>
  <si>
    <t xml:space="preserve">R$ 56,75</t>
  </si>
  <si>
    <t xml:space="preserve">R$ 41,60</t>
  </si>
  <si>
    <t xml:space="preserve">R$ 55,50</t>
  </si>
  <si>
    <t xml:space="preserve">R$ 101,67</t>
  </si>
  <si>
    <t xml:space="preserve">-</t>
  </si>
  <si>
    <t xml:space="preserve">R$ 88,00</t>
  </si>
  <si>
    <t xml:space="preserve">R$ 46,75</t>
  </si>
  <si>
    <t xml:space="preserve">R$ 43,50</t>
  </si>
  <si>
    <t xml:space="preserve">R$ 30,50</t>
  </si>
  <si>
    <t xml:space="preserve">R$ 27,00</t>
  </si>
  <si>
    <t xml:space="preserve">R$ 25,75</t>
  </si>
  <si>
    <t xml:space="preserve">R$ 67,67</t>
  </si>
  <si>
    <t xml:space="preserve">R$ 28,75</t>
  </si>
  <si>
    <t xml:space="preserve">R$ 53,75</t>
  </si>
  <si>
    <t xml:space="preserve">R$ 96,25</t>
  </si>
  <si>
    <t xml:space="preserve">R$ 76,25</t>
  </si>
  <si>
    <t xml:space="preserve">R$ 48,25</t>
  </si>
  <si>
    <t xml:space="preserve">R$ 64,50</t>
  </si>
  <si>
    <t xml:space="preserve">R$ 93,00</t>
  </si>
  <si>
    <t xml:space="preserve">R$ 76,50</t>
  </si>
  <si>
    <t xml:space="preserve">R$ 73,50</t>
  </si>
  <si>
    <t xml:space="preserve">R$ 30,75</t>
  </si>
  <si>
    <t xml:space="preserve">R$ 86,25</t>
  </si>
  <si>
    <t xml:space="preserve">R$ 87,50</t>
  </si>
  <si>
    <t xml:space="preserve">R$ 115,00</t>
  </si>
  <si>
    <t xml:space="preserve">R$ 31,00</t>
  </si>
  <si>
    <t xml:space="preserve">R$ 144,00</t>
  </si>
  <si>
    <t xml:space="preserve">R$ 104,00</t>
  </si>
  <si>
    <t xml:space="preserve">R$ 108,00</t>
  </si>
  <si>
    <t xml:space="preserve">R$ 98,00</t>
  </si>
  <si>
    <t xml:space="preserve">R$ 102,00</t>
  </si>
  <si>
    <t xml:space="preserve">R$ 32,33</t>
  </si>
  <si>
    <t xml:space="preserve">R$ 73,33</t>
  </si>
  <si>
    <t xml:space="preserve">R$ 37,50</t>
  </si>
  <si>
    <t xml:space="preserve">R$ 107,50</t>
  </si>
  <si>
    <t xml:space="preserve">R$ 250,00</t>
  </si>
  <si>
    <t xml:space="preserve">R$ 62,33</t>
  </si>
  <si>
    <t xml:space="preserve">R$ 44,50</t>
  </si>
  <si>
    <t xml:space="preserve">R$ 81,67</t>
  </si>
  <si>
    <t xml:space="preserve">R$ 38,75</t>
  </si>
  <si>
    <t xml:space="preserve">R$ 78,75</t>
  </si>
  <si>
    <t xml:space="preserve">R$ 99,67</t>
  </si>
  <si>
    <t xml:space="preserve">R$ 95,33</t>
  </si>
  <si>
    <t xml:space="preserve">R$ 32,67</t>
  </si>
  <si>
    <t xml:space="preserve">R$ 32,00</t>
  </si>
  <si>
    <t xml:space="preserve">R$ 111,00</t>
  </si>
  <si>
    <t xml:space="preserve">R$ 86,00</t>
  </si>
  <si>
    <t xml:space="preserve">R$ 84,67</t>
  </si>
  <si>
    <t xml:space="preserve">R$ 60,33</t>
  </si>
  <si>
    <t xml:space="preserve">R$ 36,67</t>
  </si>
  <si>
    <t xml:space="preserve">R$ 63,75</t>
  </si>
  <si>
    <t xml:space="preserve">R$ 89,00</t>
  </si>
  <si>
    <t xml:space="preserve">R$ 122,50</t>
  </si>
  <si>
    <t xml:space="preserve">R$ 125,00</t>
  </si>
  <si>
    <t xml:space="preserve">R$ 56,67</t>
  </si>
  <si>
    <t xml:space="preserve">R$ 77,00</t>
  </si>
  <si>
    <t xml:space="preserve">R$ 106,00</t>
  </si>
  <si>
    <t xml:space="preserve">R$ 99,00</t>
  </si>
  <si>
    <t xml:space="preserve">R$ 66,33</t>
  </si>
  <si>
    <t xml:space="preserve">R$ 5,50</t>
  </si>
  <si>
    <t xml:space="preserve">R$ 5,17</t>
  </si>
  <si>
    <t xml:space="preserve">R$ 92,50</t>
  </si>
  <si>
    <t xml:space="preserve">R$ 68,33</t>
  </si>
  <si>
    <t xml:space="preserve">R$ 97,00</t>
  </si>
  <si>
    <t xml:space="preserve">R$ 114,00</t>
  </si>
  <si>
    <t xml:space="preserve">R$ 38,00</t>
  </si>
  <si>
    <t xml:space="preserve">R$ 42,67</t>
  </si>
  <si>
    <t xml:space="preserve">R$ 146,67</t>
  </si>
  <si>
    <t xml:space="preserve">R$ 156,67</t>
  </si>
  <si>
    <t xml:space="preserve">R$ 50,25</t>
  </si>
  <si>
    <t xml:space="preserve">R$ 168,00</t>
  </si>
  <si>
    <t xml:space="preserve">R$ 93,50</t>
  </si>
  <si>
    <t xml:space="preserve">R$ 106,67</t>
  </si>
  <si>
    <t xml:space="preserve">R$ 53,50</t>
  </si>
  <si>
    <t xml:space="preserve">R$ 6,00</t>
  </si>
  <si>
    <t xml:space="preserve">R$ 5,25</t>
  </si>
  <si>
    <t xml:space="preserve">R$ 86,67</t>
  </si>
  <si>
    <t xml:space="preserve">R$ 93,75</t>
  </si>
  <si>
    <t xml:space="preserve">R$ 135,00</t>
  </si>
  <si>
    <t xml:space="preserve">R$ 152,50</t>
  </si>
  <si>
    <t xml:space="preserve">R$ 60,67</t>
  </si>
  <si>
    <t xml:space="preserve">R$ 5,33</t>
  </si>
  <si>
    <t xml:space="preserve">R$ 41,67</t>
  </si>
  <si>
    <t xml:space="preserve">R$ 170,00</t>
  </si>
  <si>
    <t xml:space="preserve">R$ 126,67</t>
  </si>
  <si>
    <t xml:space="preserve">R$ 67,33</t>
  </si>
  <si>
    <t xml:space="preserve">R$ 29,67</t>
  </si>
  <si>
    <t xml:space="preserve">R$ 104,67</t>
  </si>
  <si>
    <t xml:space="preserve">R$ 73,00</t>
  </si>
  <si>
    <t xml:space="preserve">R$ 58,33</t>
  </si>
  <si>
    <t xml:space="preserve">R$ 52,33</t>
  </si>
  <si>
    <t xml:space="preserve">R$ 46,67</t>
  </si>
  <si>
    <t xml:space="preserve">R$ 143,33</t>
  </si>
  <si>
    <t xml:space="preserve">R$ 190,00</t>
  </si>
  <si>
    <t xml:space="preserve">Numero do boletim</t>
  </si>
  <si>
    <t xml:space="preserve">Ano do boletim</t>
  </si>
  <si>
    <t xml:space="preserve">Unidade de medida</t>
  </si>
  <si>
    <t xml:space="preserve">cot_id</t>
  </si>
  <si>
    <t xml:space="preserve">blt_id</t>
  </si>
  <si>
    <t xml:space="preserve">pap_id</t>
  </si>
  <si>
    <t xml:space="preserve">cot_prc_comum</t>
  </si>
  <si>
    <t xml:space="preserve">cot_prc_min</t>
  </si>
  <si>
    <t xml:space="preserve">cot_prc_max</t>
  </si>
  <si>
    <t xml:space="preserve">cot_prc_med</t>
  </si>
  <si>
    <t xml:space="preserve">cot_prc_mediana</t>
  </si>
  <si>
    <t xml:space="preserve">grp_id</t>
  </si>
  <si>
    <t xml:space="preserve">grp_nome</t>
  </si>
  <si>
    <t xml:space="preserve">grp_desc</t>
  </si>
  <si>
    <t xml:space="preserve">A</t>
  </si>
  <si>
    <t xml:space="preserve">Verduras (folhosas, flores e hastes)</t>
  </si>
  <si>
    <t xml:space="preserve">INSERT INTO GRUPO_ALIMENTAR (grp_id, grp_nome, grp_desc) VALUES (1, 'A', 'Verduras (folhosas, flores e hastes)');</t>
  </si>
  <si>
    <t xml:space="preserve">B</t>
  </si>
  <si>
    <t xml:space="preserve">Hortaliças condimentares (temperos)</t>
  </si>
  <si>
    <t xml:space="preserve">INSERT INTO GRUPO_ALIMENTAR (grp_id, grp_nome, grp_desc) VALUES (2, 'B', 'Hortaliças condimentares (temperos)');</t>
  </si>
  <si>
    <t xml:space="preserve">C</t>
  </si>
  <si>
    <t xml:space="preserve">Hortaliças legumes (leguminosas (vagens), frutos, raízes tuberosas, tuberculos, bulbos)</t>
  </si>
  <si>
    <t xml:space="preserve">INSERT INTO GRUPO_ALIMENTAR (grp_id, grp_nome, grp_desc) VALUES (3, 'C', 'Hortaliças legumes (leguminosas (vagens), frutos, raízes tuberosas, tuberculos, bulbos)');</t>
  </si>
  <si>
    <t xml:space="preserve">D</t>
  </si>
  <si>
    <t xml:space="preserve">Frutas</t>
  </si>
  <si>
    <t xml:space="preserve">INSERT INTO GRUPO_ALIMENTAR (grp_id, grp_nome, grp_desc) VALUES (4, 'D', 'Frutas');</t>
  </si>
  <si>
    <t xml:space="preserve">cat_id</t>
  </si>
  <si>
    <t xml:space="preserve">cat_nome</t>
  </si>
  <si>
    <t xml:space="preserve">Folhosas</t>
  </si>
  <si>
    <t xml:space="preserve">INSERT INTO CATEGORIA (grp_id, cat_nome) VALUES (1, 'Folhosas');</t>
  </si>
  <si>
    <t xml:space="preserve">Flores</t>
  </si>
  <si>
    <t xml:space="preserve">INSERT INTO CATEGORIA (grp_id, cat_nome) VALUES (1, 'Flores');</t>
  </si>
  <si>
    <t xml:space="preserve">Hastes</t>
  </si>
  <si>
    <t xml:space="preserve">INSERT INTO CATEGORIA (grp_id, cat_nome) VALUES (1, 'Hastes');</t>
  </si>
  <si>
    <t xml:space="preserve">Temperos</t>
  </si>
  <si>
    <t xml:space="preserve">INSERT INTO CATEGORIA (grp_id, cat_nome) VALUES (2, 'Temperos');</t>
  </si>
  <si>
    <t xml:space="preserve">Leguminosas (vagens)</t>
  </si>
  <si>
    <t xml:space="preserve">INSERT INTO CATEGORIA (grp_id, cat_nome) VALUES (3, 'Leguminosas (vagens)');</t>
  </si>
  <si>
    <t xml:space="preserve">Frutos</t>
  </si>
  <si>
    <t xml:space="preserve">INSERT INTO CATEGORIA (grp_id, cat_nome) VALUES (3, 'Frutos');</t>
  </si>
  <si>
    <t xml:space="preserve">Raízes Tuberosas</t>
  </si>
  <si>
    <t xml:space="preserve">INSERT INTO CATEGORIA (grp_id, cat_nome) VALUES (3, 'Raízes Tuberosas');</t>
  </si>
  <si>
    <t xml:space="preserve">Tubérculos</t>
  </si>
  <si>
    <t xml:space="preserve">INSERT INTO CATEGORIA (grp_id, cat_nome) VALUES (3, 'Tubérculos');</t>
  </si>
  <si>
    <t xml:space="preserve">Bulbos</t>
  </si>
  <si>
    <t xml:space="preserve">INSERT INTO CATEGORIA (grp_id, cat_nome) VALUES (3, 'Bulbos');</t>
  </si>
  <si>
    <t xml:space="preserve">INSERT INTO CATEGORIA (grp_id, cat_nome) VALUES (4, 'Frutas');</t>
  </si>
  <si>
    <t xml:space="preserve">prd_id</t>
  </si>
  <si>
    <t xml:space="preserve">prd_nome</t>
  </si>
  <si>
    <t xml:space="preserve">prd_var</t>
  </si>
  <si>
    <t xml:space="preserve">prd_atv</t>
  </si>
  <si>
    <t xml:space="preserve">INSERT INTO PRODUTO (cat_id, prd_nome, prd_var, prd_atv) VALUES (1, 'Acelga', '', 1);</t>
  </si>
  <si>
    <t xml:space="preserve">INSERT INTO PRODUTO (cat_id, prd_nome, prd_var, prd_atv) VALUES (1, 'Agrião', '', 1);</t>
  </si>
  <si>
    <t xml:space="preserve">Alface</t>
  </si>
  <si>
    <t xml:space="preserve">Americana</t>
  </si>
  <si>
    <t xml:space="preserve">INSERT INTO PRODUTO (cat_id, prd_nome, prd_var, prd_atv) VALUES (1, 'Alface', 'Americana', 1);</t>
  </si>
  <si>
    <t xml:space="preserve">Crespa</t>
  </si>
  <si>
    <t xml:space="preserve">INSERT INTO PRODUTO (cat_id, prd_nome, prd_var, prd_atv) VALUES (1, 'Alface', 'Crespa', 1);</t>
  </si>
  <si>
    <t xml:space="preserve">Lisa</t>
  </si>
  <si>
    <t xml:space="preserve">INSERT INTO PRODUTO (cat_id, prd_nome, prd_var, prd_atv) VALUES (1, 'Alface', 'Lisa', 1);</t>
  </si>
  <si>
    <t xml:space="preserve">INSERT INTO PRODUTO (cat_id, prd_nome, prd_var, prd_atv) VALUES (1, 'Almeirão', '', 1);</t>
  </si>
  <si>
    <t xml:space="preserve">Brócolis</t>
  </si>
  <si>
    <t xml:space="preserve">Ninja/Japonês</t>
  </si>
  <si>
    <t xml:space="preserve">INSERT INTO PRODUTO (cat_id, prd_nome, prd_var, prd_atv) VALUES (2, 'Brócolis', 'Ninja/Japonês', 1);</t>
  </si>
  <si>
    <t xml:space="preserve">Ramoso</t>
  </si>
  <si>
    <t xml:space="preserve">INSERT INTO PRODUTO (cat_id, prd_nome, prd_var, prd_atv) VALUES (2, 'Brócolis', 'Ramoso', 1);</t>
  </si>
  <si>
    <t xml:space="preserve">Manteiga</t>
  </si>
  <si>
    <t xml:space="preserve">INSERT INTO PRODUTO (cat_id, prd_nome, prd_var, prd_atv) VALUES (1, 'Couve', 'Manteiga', 1);</t>
  </si>
  <si>
    <t xml:space="preserve">Couve-Flor</t>
  </si>
  <si>
    <t xml:space="preserve">INSERT INTO PRODUTO (cat_id, prd_nome, prd_var, prd_atv) VALUES (2, 'Couve', '', 1);</t>
  </si>
  <si>
    <t xml:space="preserve">INSERT INTO PRODUTO (cat_id, prd_nome, prd_var, prd_atv) VALUES (1, 'Escarola', '', 1);</t>
  </si>
  <si>
    <t xml:space="preserve">INSERT INTO PRODUTO (cat_id, prd_nome, prd_var, prd_atv) VALUES (1, 'Espinafre', '', 1);</t>
  </si>
  <si>
    <t xml:space="preserve">INSERT INTO PRODUTO (cat_id, prd_nome, prd_var, prd_atv) VALUES (7, 'Rabanete', '', 1);</t>
  </si>
  <si>
    <t xml:space="preserve">Repolho</t>
  </si>
  <si>
    <t xml:space="preserve">Roxo</t>
  </si>
  <si>
    <t xml:space="preserve">INSERT INTO PRODUTO (cat_id, prd_nome, prd_var, prd_atv) VALUES (1, 'Repolho', 'Roxo', 1);</t>
  </si>
  <si>
    <t xml:space="preserve">Verde</t>
  </si>
  <si>
    <t xml:space="preserve">INSERT INTO PRODUTO (cat_id, prd_nome, prd_var, prd_atv) VALUES (1, 'Repolho', 'Verde', 1);</t>
  </si>
  <si>
    <t xml:space="preserve">INSERT INTO PRODUTO (cat_id, prd_nome, prd_var, prd_atv) VALUES (1, 'Rúcula', '', 1);</t>
  </si>
  <si>
    <t xml:space="preserve">INSERT INTO PRODUTO (cat_id, prd_nome, prd_var, prd_atv) VALUES (4, 'Cebolinha', '', 1);</t>
  </si>
  <si>
    <t xml:space="preserve">INSERT INTO PRODUTO (cat_id, prd_nome, prd_var, prd_atv) VALUES (4, 'Coentro', '', 1);</t>
  </si>
  <si>
    <t xml:space="preserve">INSERT INTO PRODUTO (cat_id, prd_nome, prd_var, prd_atv) VALUES (4, 'Salsinha', '', 1);</t>
  </si>
  <si>
    <t xml:space="preserve">Abóbora</t>
  </si>
  <si>
    <t xml:space="preserve">Cabotiá</t>
  </si>
  <si>
    <t xml:space="preserve">INSERT INTO PRODUTO (cat_id, prd_nome, prd_var, prd_atv) VALUES (6, 'Abóbora', 'Cabotiá', 1);</t>
  </si>
  <si>
    <t xml:space="preserve">Abobrinha</t>
  </si>
  <si>
    <t xml:space="preserve">Italiana</t>
  </si>
  <si>
    <t xml:space="preserve">INSERT INTO PRODUTO (cat_id, prd_nome, prd_var, prd_atv) VALUES (6, 'Abobrinha', 'Italiana', 1);</t>
  </si>
  <si>
    <t xml:space="preserve">INSERT INTO PRODUTO (cat_id, prd_nome, prd_var, prd_atv) VALUES (7, 'Batata-doce', '', 1);</t>
  </si>
  <si>
    <t xml:space="preserve">Berinjela</t>
  </si>
  <si>
    <t xml:space="preserve">INSERT INTO PRODUTO (cat_id, prd_nome, prd_var, prd_atv) VALUES (6, 'Berinjela', 'Comum', 1);</t>
  </si>
  <si>
    <t xml:space="preserve">Japonesa</t>
  </si>
  <si>
    <t xml:space="preserve">INSERT INTO PRODUTO (cat_id, prd_nome, prd_var, prd_atv) VALUES (6, 'Berinjela', 'Japonesa', 1);</t>
  </si>
  <si>
    <t xml:space="preserve">INSERT INTO PRODUTO (cat_id, prd_nome, prd_var, prd_atv) VALUES (7, 'Beterraba', '', 1);</t>
  </si>
  <si>
    <t xml:space="preserve">INSERT INTO PRODUTO (cat_id, prd_nome, prd_var, prd_atv) VALUES (7, 'Cenoura', '', 1);</t>
  </si>
  <si>
    <t xml:space="preserve">INSERT INTO PRODUTO (cat_id, prd_nome, prd_var, prd_atv) VALUES (6, 'Chuchu', '', 1);</t>
  </si>
  <si>
    <t xml:space="preserve">INSERT INTO PRODUTO (cat_id, prd_nome, prd_var, prd_atv) VALUES (6, 'Jiló', '', 1);</t>
  </si>
  <si>
    <t xml:space="preserve">INSERT INTO PRODUTO (cat_id, prd_nome, prd_var, prd_atv) VALUES (7, 'Mandioca', '', 1);</t>
  </si>
  <si>
    <t xml:space="preserve">Pepino</t>
  </si>
  <si>
    <t xml:space="preserve">INSERT INTO PRODUTO (cat_id, prd_nome, prd_var, prd_atv) VALUES (6, 'Pepino', 'Comum', 1);</t>
  </si>
  <si>
    <t xml:space="preserve">Japonês</t>
  </si>
  <si>
    <t xml:space="preserve">INSERT INTO PRODUTO (cat_id, prd_nome, prd_var, prd_atv) VALUES (6, 'Pepino', 'Japonês', 1);</t>
  </si>
  <si>
    <t xml:space="preserve">Pimentão</t>
  </si>
  <si>
    <t xml:space="preserve">INSERT INTO PRODUTO (cat_id, prd_nome, prd_var, prd_atv) VALUES (6, 'Pimentão', 'Verde', 1);</t>
  </si>
  <si>
    <t xml:space="preserve">INSERT INTO PRODUTO (cat_id, prd_nome, prd_var, prd_atv) VALUES (6, 'Quiabo', '', 1);</t>
  </si>
  <si>
    <t xml:space="preserve">Tomate</t>
  </si>
  <si>
    <t xml:space="preserve">Débora</t>
  </si>
  <si>
    <t xml:space="preserve">INSERT INTO PRODUTO (cat_id, prd_nome, prd_var, prd_atv) VALUES (6, 'Tomate', 'Débora', 1);</t>
  </si>
  <si>
    <t xml:space="preserve">Vagem</t>
  </si>
  <si>
    <t xml:space="preserve">Macarrão</t>
  </si>
  <si>
    <t xml:space="preserve">INSERT INTO PRODUTO (cat_id, prd_nome, prd_var, prd_atv) VALUES (5, 'Vagem', 'Macarrão', 1);</t>
  </si>
  <si>
    <t xml:space="preserve">Caqui</t>
  </si>
  <si>
    <t xml:space="preserve">Fuyu</t>
  </si>
  <si>
    <t xml:space="preserve">INSERT INTO PRODUTO (cat_id, prd_nome, prd_var, prd_atv) VALUES (10, 'Caqui', 'Fuyu', 1);</t>
  </si>
  <si>
    <t xml:space="preserve">Guiombo</t>
  </si>
  <si>
    <t xml:space="preserve">INSERT INTO PRODUTO (cat_id, prd_nome, prd_var, prd_atv) VALUES (10, 'Caqui', 'Guiombo', 1);</t>
  </si>
  <si>
    <t xml:space="preserve">Rama Forte</t>
  </si>
  <si>
    <t xml:space="preserve">INSERT INTO PRODUTO (cat_id, prd_nome, prd_var, prd_atv) VALUES (10, 'Caqui', 'Rama Forte', 1);</t>
  </si>
  <si>
    <t xml:space="preserve">INSERT INTO PRODUTO (cat_id, prd_nome, prd_var, prd_atv) VALUES (10, 'Goiaba', '', 1);</t>
  </si>
  <si>
    <t xml:space="preserve">Mexerica</t>
  </si>
  <si>
    <t xml:space="preserve">Ponkan</t>
  </si>
  <si>
    <t xml:space="preserve">INSERT INTO PRODUTO (cat_id, prd_nome, prd_var, prd_atv) VALUES (10, 'Mexerica', 'Ponkan', 1);</t>
  </si>
  <si>
    <t xml:space="preserve">umd_id</t>
  </si>
  <si>
    <t xml:space="preserve">umd_nome</t>
  </si>
  <si>
    <t xml:space="preserve">umd_sigla</t>
  </si>
  <si>
    <t xml:space="preserve">Quilograma</t>
  </si>
  <si>
    <t xml:space="preserve">kg</t>
  </si>
  <si>
    <t xml:space="preserve">INSERT INTO UNIDADE_MEDIDA (umd_nome, umd_sigla) VALUES ('Quilograma', 'kg');</t>
  </si>
  <si>
    <t xml:space="preserve">Grama</t>
  </si>
  <si>
    <t xml:space="preserve">g</t>
  </si>
  <si>
    <t xml:space="preserve">INSERT INTO UNIDADE_MEDIDA (umd_nome, umd_sigla) VALUES ('Grama', 'g');</t>
  </si>
  <si>
    <t xml:space="preserve">un</t>
  </si>
  <si>
    <t xml:space="preserve">INSERT INTO UNIDADE_MEDIDA (umd_nome, umd_sigla) VALUES ('Unidade', 'un');</t>
  </si>
  <si>
    <t xml:space="preserve">Mililitro</t>
  </si>
  <si>
    <t xml:space="preserve">ml</t>
  </si>
  <si>
    <t xml:space="preserve">INSERT INTO UNIDADE_MEDIDA (umd_nome, umd_sigla) VALUES ('Mililitro', 'ml');</t>
  </si>
  <si>
    <t xml:space="preserve">Litro</t>
  </si>
  <si>
    <t xml:space="preserve">L</t>
  </si>
  <si>
    <t xml:space="preserve">INSERT INTO UNIDADE_MEDIDA (umd_nome, umd_sigla) VALUES ('Litro', 'L');</t>
  </si>
  <si>
    <t xml:space="preserve">tap_id</t>
  </si>
  <si>
    <t xml:space="preserve">tap_nome</t>
  </si>
  <si>
    <t xml:space="preserve">caixa</t>
  </si>
  <si>
    <t xml:space="preserve">maço</t>
  </si>
  <si>
    <t xml:space="preserve">dúzia</t>
  </si>
  <si>
    <t xml:space="preserve">saco</t>
  </si>
  <si>
    <t xml:space="preserve">blt_data_cad</t>
  </si>
  <si>
    <t xml:space="preserve">pap_qtd</t>
  </si>
  <si>
    <t xml:space="preserve">pap_atv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</si>
</sst>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&quot;R$ &quot;#,##0.00"/>
    <numFmt numFmtId="167" formatCode="[$R$-416]\ #,##0.00;[RED]\-[$R$-416]\ #,##0.00"/>
    <numFmt numFmtId="168" formatCode="dd/mm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C3E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CF0F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E1548" activePane="bottomLeft" state="frozen"/>
      <selection pane="topLeft" activeCell="A1" activeCellId="0" sqref="A1"/>
      <selection pane="bottomLeft" activeCell="F1591" activeCellId="0" sqref="F1591"/>
    </sheetView>
  </sheetViews>
  <sheetFormatPr defaultColWidth="32.4453125" defaultRowHeight="14.2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7.84"/>
    <col collapsed="false" customWidth="true" hidden="false" outlineLevel="0" max="3" min="3" style="1" width="10.37"/>
    <col collapsed="false" customWidth="true" hidden="false" outlineLevel="0" max="4" min="4" style="1" width="31.88"/>
    <col collapsed="false" customWidth="true" hidden="false" outlineLevel="0" max="5" min="5" style="1" width="19.88"/>
    <col collapsed="false" customWidth="true" hidden="false" outlineLevel="0" max="6" min="6" style="1" width="10.78"/>
    <col collapsed="false" customWidth="true" hidden="false" outlineLevel="0" max="9" min="7" style="1" width="9"/>
    <col collapsed="false" customWidth="true" hidden="false" outlineLevel="0" max="10" min="10" style="1" width="9.39"/>
    <col collapsed="false" customWidth="true" hidden="false" outlineLevel="0" max="11" min="11" style="1" width="9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25" hidden="false" customHeight="false" outlineLevel="0" collapsed="false">
      <c r="A2" s="1" t="n">
        <v>37</v>
      </c>
      <c r="B2" s="1" t="n">
        <v>2023</v>
      </c>
      <c r="C2" s="3" t="n">
        <v>44931</v>
      </c>
      <c r="D2" s="4" t="s">
        <v>11</v>
      </c>
      <c r="E2" s="5" t="s">
        <v>12</v>
      </c>
      <c r="F2" s="5" t="s">
        <v>13</v>
      </c>
      <c r="G2" s="6"/>
      <c r="H2" s="7" t="n">
        <v>32</v>
      </c>
      <c r="I2" s="7" t="n">
        <v>32</v>
      </c>
      <c r="J2" s="7" t="n">
        <v>32</v>
      </c>
      <c r="K2" s="7" t="n">
        <v>32</v>
      </c>
    </row>
    <row r="3" customFormat="false" ht="25" hidden="false" customHeight="false" outlineLevel="0" collapsed="false">
      <c r="A3" s="1" t="n">
        <v>37</v>
      </c>
      <c r="B3" s="1" t="n">
        <v>2023</v>
      </c>
      <c r="C3" s="3" t="n">
        <v>44931</v>
      </c>
      <c r="D3" s="8" t="s">
        <v>11</v>
      </c>
      <c r="E3" s="9" t="s">
        <v>14</v>
      </c>
      <c r="F3" s="9" t="s">
        <v>13</v>
      </c>
      <c r="G3" s="10"/>
      <c r="H3" s="11" t="n">
        <v>60</v>
      </c>
      <c r="I3" s="11" t="n">
        <v>60</v>
      </c>
      <c r="J3" s="11" t="n">
        <v>60</v>
      </c>
      <c r="K3" s="11" t="n">
        <v>60</v>
      </c>
    </row>
    <row r="4" customFormat="false" ht="25" hidden="false" customHeight="false" outlineLevel="0" collapsed="false">
      <c r="A4" s="1" t="n">
        <v>37</v>
      </c>
      <c r="B4" s="1" t="n">
        <v>2023</v>
      </c>
      <c r="C4" s="3" t="n">
        <v>44931</v>
      </c>
      <c r="D4" s="4" t="s">
        <v>11</v>
      </c>
      <c r="E4" s="5" t="s">
        <v>15</v>
      </c>
      <c r="F4" s="5" t="s">
        <v>13</v>
      </c>
      <c r="G4" s="6"/>
      <c r="H4" s="7" t="n">
        <v>24</v>
      </c>
      <c r="I4" s="7" t="n">
        <v>36</v>
      </c>
      <c r="J4" s="7" t="n">
        <v>30</v>
      </c>
      <c r="K4" s="7" t="n">
        <v>30</v>
      </c>
    </row>
    <row r="5" customFormat="false" ht="25" hidden="false" customHeight="false" outlineLevel="0" collapsed="false">
      <c r="A5" s="1" t="n">
        <v>37</v>
      </c>
      <c r="B5" s="1" t="n">
        <v>2023</v>
      </c>
      <c r="C5" s="3" t="n">
        <v>44931</v>
      </c>
      <c r="D5" s="8" t="s">
        <v>11</v>
      </c>
      <c r="E5" s="9" t="s">
        <v>16</v>
      </c>
      <c r="F5" s="9" t="s">
        <v>13</v>
      </c>
      <c r="G5" s="10"/>
      <c r="H5" s="11" t="n">
        <v>18</v>
      </c>
      <c r="I5" s="11" t="n">
        <v>30</v>
      </c>
      <c r="J5" s="11" t="n">
        <v>24</v>
      </c>
      <c r="K5" s="11" t="n">
        <v>24</v>
      </c>
    </row>
    <row r="6" customFormat="false" ht="25" hidden="false" customHeight="false" outlineLevel="0" collapsed="false">
      <c r="A6" s="1" t="n">
        <v>37</v>
      </c>
      <c r="B6" s="1" t="n">
        <v>2023</v>
      </c>
      <c r="C6" s="3" t="n">
        <v>44931</v>
      </c>
      <c r="D6" s="4" t="s">
        <v>11</v>
      </c>
      <c r="E6" s="5" t="s">
        <v>17</v>
      </c>
      <c r="F6" s="5" t="s">
        <v>13</v>
      </c>
      <c r="G6" s="6"/>
      <c r="H6" s="7" t="n">
        <v>18</v>
      </c>
      <c r="I6" s="7" t="n">
        <v>30</v>
      </c>
      <c r="J6" s="7" t="n">
        <v>24</v>
      </c>
      <c r="K6" s="7" t="n">
        <v>24</v>
      </c>
    </row>
    <row r="7" customFormat="false" ht="25" hidden="false" customHeight="false" outlineLevel="0" collapsed="false">
      <c r="A7" s="1" t="n">
        <v>37</v>
      </c>
      <c r="B7" s="1" t="n">
        <v>2023</v>
      </c>
      <c r="C7" s="3" t="n">
        <v>44931</v>
      </c>
      <c r="D7" s="8" t="s">
        <v>11</v>
      </c>
      <c r="E7" s="9" t="s">
        <v>18</v>
      </c>
      <c r="F7" s="9" t="s">
        <v>13</v>
      </c>
      <c r="G7" s="10"/>
      <c r="H7" s="11" t="n">
        <v>48</v>
      </c>
      <c r="I7" s="11" t="n">
        <v>48</v>
      </c>
      <c r="J7" s="11" t="n">
        <v>48</v>
      </c>
      <c r="K7" s="11" t="n">
        <v>48</v>
      </c>
    </row>
    <row r="8" customFormat="false" ht="25" hidden="false" customHeight="false" outlineLevel="0" collapsed="false">
      <c r="A8" s="1" t="n">
        <v>37</v>
      </c>
      <c r="B8" s="1" t="n">
        <v>2023</v>
      </c>
      <c r="C8" s="3" t="n">
        <v>44931</v>
      </c>
      <c r="D8" s="4" t="s">
        <v>11</v>
      </c>
      <c r="E8" s="5" t="s">
        <v>19</v>
      </c>
      <c r="F8" s="5" t="s">
        <v>13</v>
      </c>
      <c r="G8" s="6"/>
      <c r="H8" s="7" t="n">
        <v>60</v>
      </c>
      <c r="I8" s="7" t="n">
        <v>60</v>
      </c>
      <c r="J8" s="7" t="n">
        <v>60</v>
      </c>
      <c r="K8" s="7" t="n">
        <v>60</v>
      </c>
    </row>
    <row r="9" customFormat="false" ht="25" hidden="false" customHeight="false" outlineLevel="0" collapsed="false">
      <c r="A9" s="1" t="n">
        <v>37</v>
      </c>
      <c r="B9" s="1" t="n">
        <v>2023</v>
      </c>
      <c r="C9" s="3" t="n">
        <v>44931</v>
      </c>
      <c r="D9" s="8" t="s">
        <v>11</v>
      </c>
      <c r="E9" s="9" t="s">
        <v>20</v>
      </c>
      <c r="F9" s="9" t="s">
        <v>13</v>
      </c>
      <c r="G9" s="11" t="n">
        <v>48</v>
      </c>
      <c r="H9" s="11" t="n">
        <v>48</v>
      </c>
      <c r="I9" s="11" t="n">
        <v>60</v>
      </c>
      <c r="J9" s="11" t="n">
        <v>52</v>
      </c>
      <c r="K9" s="11" t="n">
        <v>48</v>
      </c>
    </row>
    <row r="10" customFormat="false" ht="25" hidden="false" customHeight="false" outlineLevel="0" collapsed="false">
      <c r="A10" s="1" t="n">
        <v>37</v>
      </c>
      <c r="B10" s="1" t="n">
        <v>2023</v>
      </c>
      <c r="C10" s="3" t="n">
        <v>44931</v>
      </c>
      <c r="D10" s="4" t="s">
        <v>11</v>
      </c>
      <c r="E10" s="5" t="s">
        <v>21</v>
      </c>
      <c r="F10" s="5" t="s">
        <v>13</v>
      </c>
      <c r="G10" s="7" t="n">
        <v>15</v>
      </c>
      <c r="H10" s="7" t="n">
        <v>15</v>
      </c>
      <c r="I10" s="7" t="n">
        <v>24</v>
      </c>
      <c r="J10" s="7" t="n">
        <v>18</v>
      </c>
      <c r="K10" s="7" t="n">
        <v>15</v>
      </c>
    </row>
    <row r="11" customFormat="false" ht="25" hidden="false" customHeight="false" outlineLevel="0" collapsed="false">
      <c r="A11" s="1" t="n">
        <v>37</v>
      </c>
      <c r="B11" s="1" t="n">
        <v>2023</v>
      </c>
      <c r="C11" s="3" t="n">
        <v>44931</v>
      </c>
      <c r="D11" s="8" t="s">
        <v>11</v>
      </c>
      <c r="E11" s="9" t="s">
        <v>22</v>
      </c>
      <c r="F11" s="9"/>
      <c r="G11" s="10"/>
      <c r="H11" s="11" t="n">
        <v>60</v>
      </c>
      <c r="I11" s="11" t="n">
        <v>60</v>
      </c>
      <c r="J11" s="11" t="n">
        <v>60</v>
      </c>
      <c r="K11" s="11" t="n">
        <v>60</v>
      </c>
    </row>
    <row r="12" customFormat="false" ht="25" hidden="false" customHeight="false" outlineLevel="0" collapsed="false">
      <c r="A12" s="1" t="n">
        <v>37</v>
      </c>
      <c r="B12" s="1" t="n">
        <v>2023</v>
      </c>
      <c r="C12" s="3" t="n">
        <v>44931</v>
      </c>
      <c r="D12" s="4" t="s">
        <v>11</v>
      </c>
      <c r="E12" s="5" t="s">
        <v>23</v>
      </c>
      <c r="F12" s="5" t="s">
        <v>13</v>
      </c>
      <c r="G12" s="6"/>
      <c r="H12" s="7" t="n">
        <v>18</v>
      </c>
      <c r="I12" s="7" t="n">
        <v>30</v>
      </c>
      <c r="J12" s="7" t="n">
        <v>24</v>
      </c>
      <c r="K12" s="7" t="n">
        <v>24</v>
      </c>
    </row>
    <row r="13" customFormat="false" ht="25" hidden="false" customHeight="false" outlineLevel="0" collapsed="false">
      <c r="A13" s="1" t="n">
        <v>37</v>
      </c>
      <c r="B13" s="1" t="n">
        <v>2023</v>
      </c>
      <c r="C13" s="3" t="n">
        <v>44931</v>
      </c>
      <c r="D13" s="8" t="s">
        <v>11</v>
      </c>
      <c r="E13" s="9" t="s">
        <v>24</v>
      </c>
      <c r="F13" s="9" t="s">
        <v>13</v>
      </c>
      <c r="G13" s="10"/>
      <c r="H13" s="11" t="n">
        <v>42</v>
      </c>
      <c r="I13" s="11" t="n">
        <v>54</v>
      </c>
      <c r="J13" s="11" t="n">
        <v>48</v>
      </c>
      <c r="K13" s="11" t="n">
        <v>48</v>
      </c>
    </row>
    <row r="14" customFormat="false" ht="25" hidden="false" customHeight="false" outlineLevel="0" collapsed="false">
      <c r="A14" s="1" t="n">
        <v>37</v>
      </c>
      <c r="B14" s="1" t="n">
        <v>2023</v>
      </c>
      <c r="C14" s="3" t="n">
        <v>44931</v>
      </c>
      <c r="D14" s="4" t="s">
        <v>11</v>
      </c>
      <c r="E14" s="5" t="s">
        <v>25</v>
      </c>
      <c r="F14" s="5" t="s">
        <v>26</v>
      </c>
      <c r="G14" s="6"/>
      <c r="H14" s="7" t="n">
        <v>36</v>
      </c>
      <c r="I14" s="7" t="n">
        <v>48</v>
      </c>
      <c r="J14" s="7" t="n">
        <v>42</v>
      </c>
      <c r="K14" s="7" t="n">
        <v>42</v>
      </c>
    </row>
    <row r="15" customFormat="false" ht="25" hidden="false" customHeight="false" outlineLevel="0" collapsed="false">
      <c r="A15" s="1" t="n">
        <v>37</v>
      </c>
      <c r="B15" s="1" t="n">
        <v>2023</v>
      </c>
      <c r="C15" s="3" t="n">
        <v>44931</v>
      </c>
      <c r="D15" s="8" t="s">
        <v>11</v>
      </c>
      <c r="E15" s="9" t="s">
        <v>27</v>
      </c>
      <c r="F15" s="9" t="s">
        <v>13</v>
      </c>
      <c r="G15" s="10"/>
      <c r="H15" s="11" t="n">
        <v>60</v>
      </c>
      <c r="I15" s="11" t="n">
        <v>60</v>
      </c>
      <c r="J15" s="11" t="n">
        <v>60</v>
      </c>
      <c r="K15" s="11" t="n">
        <v>60</v>
      </c>
    </row>
    <row r="16" customFormat="false" ht="25" hidden="false" customHeight="false" outlineLevel="0" collapsed="false">
      <c r="A16" s="1" t="n">
        <v>37</v>
      </c>
      <c r="B16" s="1" t="n">
        <v>2023</v>
      </c>
      <c r="C16" s="3" t="n">
        <v>44931</v>
      </c>
      <c r="D16" s="4" t="s">
        <v>11</v>
      </c>
      <c r="E16" s="5" t="s">
        <v>28</v>
      </c>
      <c r="F16" s="5" t="s">
        <v>13</v>
      </c>
      <c r="G16" s="6"/>
      <c r="H16" s="7" t="n">
        <v>24</v>
      </c>
      <c r="I16" s="7" t="n">
        <v>36</v>
      </c>
      <c r="J16" s="7" t="n">
        <v>30</v>
      </c>
      <c r="K16" s="7" t="n">
        <v>30</v>
      </c>
    </row>
    <row r="17" customFormat="false" ht="25" hidden="false" customHeight="false" outlineLevel="0" collapsed="false">
      <c r="A17" s="1" t="n">
        <v>37</v>
      </c>
      <c r="B17" s="1" t="n">
        <v>2023</v>
      </c>
      <c r="C17" s="3" t="n">
        <v>44931</v>
      </c>
      <c r="D17" s="8" t="s">
        <v>11</v>
      </c>
      <c r="E17" s="9" t="s">
        <v>29</v>
      </c>
      <c r="F17" s="9" t="s">
        <v>13</v>
      </c>
      <c r="G17" s="11" t="n">
        <v>42</v>
      </c>
      <c r="H17" s="11" t="n">
        <v>36</v>
      </c>
      <c r="I17" s="11" t="n">
        <v>42</v>
      </c>
      <c r="J17" s="11" t="n">
        <v>40</v>
      </c>
      <c r="K17" s="11" t="n">
        <v>42</v>
      </c>
    </row>
    <row r="18" customFormat="false" ht="25" hidden="false" customHeight="false" outlineLevel="0" collapsed="false">
      <c r="A18" s="1" t="n">
        <v>37</v>
      </c>
      <c r="B18" s="1" t="n">
        <v>2023</v>
      </c>
      <c r="C18" s="3" t="n">
        <v>44931</v>
      </c>
      <c r="D18" s="4" t="s">
        <v>30</v>
      </c>
      <c r="E18" s="5" t="s">
        <v>31</v>
      </c>
      <c r="F18" s="5" t="s">
        <v>32</v>
      </c>
      <c r="G18" s="7" t="n">
        <v>4</v>
      </c>
      <c r="H18" s="7" t="n">
        <v>3</v>
      </c>
      <c r="I18" s="7" t="n">
        <v>4</v>
      </c>
      <c r="J18" s="7" t="s">
        <v>33</v>
      </c>
      <c r="K18" s="7" t="n">
        <v>4</v>
      </c>
    </row>
    <row r="19" customFormat="false" ht="25" hidden="false" customHeight="false" outlineLevel="0" collapsed="false">
      <c r="A19" s="1" t="n">
        <v>37</v>
      </c>
      <c r="B19" s="1" t="n">
        <v>2023</v>
      </c>
      <c r="C19" s="3" t="n">
        <v>44931</v>
      </c>
      <c r="D19" s="8" t="s">
        <v>30</v>
      </c>
      <c r="E19" s="9" t="s">
        <v>34</v>
      </c>
      <c r="F19" s="9" t="s">
        <v>35</v>
      </c>
      <c r="G19" s="11" t="n">
        <v>25</v>
      </c>
      <c r="H19" s="11" t="n">
        <v>25</v>
      </c>
      <c r="I19" s="11" t="n">
        <v>25</v>
      </c>
      <c r="J19" s="11" t="n">
        <v>25</v>
      </c>
      <c r="K19" s="11" t="n">
        <v>25</v>
      </c>
    </row>
    <row r="20" customFormat="false" ht="25" hidden="false" customHeight="false" outlineLevel="0" collapsed="false">
      <c r="A20" s="1" t="n">
        <v>37</v>
      </c>
      <c r="B20" s="1" t="n">
        <v>2023</v>
      </c>
      <c r="C20" s="3" t="n">
        <v>44931</v>
      </c>
      <c r="D20" s="4" t="s">
        <v>30</v>
      </c>
      <c r="E20" s="5" t="s">
        <v>36</v>
      </c>
      <c r="F20" s="5" t="s">
        <v>35</v>
      </c>
      <c r="G20" s="7" t="n">
        <v>25</v>
      </c>
      <c r="H20" s="7" t="n">
        <v>20</v>
      </c>
      <c r="I20" s="7" t="n">
        <v>25</v>
      </c>
      <c r="J20" s="7" t="s">
        <v>37</v>
      </c>
      <c r="K20" s="7" t="s">
        <v>37</v>
      </c>
    </row>
    <row r="21" customFormat="false" ht="36.5" hidden="false" customHeight="false" outlineLevel="0" collapsed="false">
      <c r="A21" s="1" t="n">
        <v>37</v>
      </c>
      <c r="B21" s="1" t="n">
        <v>2023</v>
      </c>
      <c r="C21" s="3" t="n">
        <v>44931</v>
      </c>
      <c r="D21" s="8" t="s">
        <v>38</v>
      </c>
      <c r="E21" s="9" t="s">
        <v>39</v>
      </c>
      <c r="F21" s="9" t="s">
        <v>40</v>
      </c>
      <c r="G21" s="11" t="n">
        <v>60</v>
      </c>
      <c r="H21" s="11" t="n">
        <v>50</v>
      </c>
      <c r="I21" s="11" t="n">
        <v>60</v>
      </c>
      <c r="J21" s="11" t="s">
        <v>41</v>
      </c>
      <c r="K21" s="11" t="n">
        <v>60</v>
      </c>
    </row>
    <row r="22" customFormat="false" ht="36.5" hidden="false" customHeight="false" outlineLevel="0" collapsed="false">
      <c r="A22" s="1" t="n">
        <v>37</v>
      </c>
      <c r="B22" s="1" t="n">
        <v>2023</v>
      </c>
      <c r="C22" s="3" t="n">
        <v>44931</v>
      </c>
      <c r="D22" s="4" t="s">
        <v>38</v>
      </c>
      <c r="E22" s="5" t="s">
        <v>42</v>
      </c>
      <c r="F22" s="5" t="s">
        <v>43</v>
      </c>
      <c r="G22" s="7" t="n">
        <v>50</v>
      </c>
      <c r="H22" s="7" t="n">
        <v>50</v>
      </c>
      <c r="I22" s="7" t="n">
        <v>65</v>
      </c>
      <c r="J22" s="7" t="n">
        <v>55</v>
      </c>
      <c r="K22" s="7" t="n">
        <v>50</v>
      </c>
    </row>
    <row r="23" customFormat="false" ht="36.5" hidden="false" customHeight="false" outlineLevel="0" collapsed="false">
      <c r="A23" s="1" t="n">
        <v>37</v>
      </c>
      <c r="B23" s="1" t="n">
        <v>2023</v>
      </c>
      <c r="C23" s="3" t="n">
        <v>44931</v>
      </c>
      <c r="D23" s="8" t="s">
        <v>38</v>
      </c>
      <c r="E23" s="9" t="s">
        <v>44</v>
      </c>
      <c r="F23" s="9" t="s">
        <v>45</v>
      </c>
      <c r="G23" s="11" t="n">
        <v>40</v>
      </c>
      <c r="H23" s="11" t="n">
        <v>40</v>
      </c>
      <c r="I23" s="11" t="n">
        <v>50</v>
      </c>
      <c r="J23" s="11" t="s">
        <v>46</v>
      </c>
      <c r="K23" s="11" t="s">
        <v>47</v>
      </c>
    </row>
    <row r="24" customFormat="false" ht="36.5" hidden="false" customHeight="false" outlineLevel="0" collapsed="false">
      <c r="A24" s="1" t="n">
        <v>37</v>
      </c>
      <c r="B24" s="1" t="n">
        <v>2023</v>
      </c>
      <c r="C24" s="3" t="n">
        <v>44931</v>
      </c>
      <c r="D24" s="4" t="s">
        <v>38</v>
      </c>
      <c r="E24" s="5" t="s">
        <v>48</v>
      </c>
      <c r="F24" s="5" t="s">
        <v>45</v>
      </c>
      <c r="G24" s="6"/>
      <c r="H24" s="6"/>
      <c r="I24" s="6"/>
      <c r="J24" s="6"/>
      <c r="K24" s="6"/>
    </row>
    <row r="25" customFormat="false" ht="36.5" hidden="false" customHeight="false" outlineLevel="0" collapsed="false">
      <c r="A25" s="1" t="n">
        <v>37</v>
      </c>
      <c r="B25" s="1" t="n">
        <v>2023</v>
      </c>
      <c r="C25" s="3" t="n">
        <v>44931</v>
      </c>
      <c r="D25" s="8" t="s">
        <v>38</v>
      </c>
      <c r="E25" s="9" t="s">
        <v>49</v>
      </c>
      <c r="F25" s="9" t="s">
        <v>50</v>
      </c>
      <c r="G25" s="10"/>
      <c r="H25" s="11" t="n">
        <v>48</v>
      </c>
      <c r="I25" s="11" t="n">
        <v>60</v>
      </c>
      <c r="J25" s="11" t="s">
        <v>51</v>
      </c>
      <c r="K25" s="11" t="n">
        <v>50</v>
      </c>
    </row>
    <row r="26" customFormat="false" ht="36.5" hidden="false" customHeight="false" outlineLevel="0" collapsed="false">
      <c r="A26" s="1" t="n">
        <v>37</v>
      </c>
      <c r="B26" s="1" t="n">
        <v>2023</v>
      </c>
      <c r="C26" s="3" t="n">
        <v>44931</v>
      </c>
      <c r="D26" s="4" t="s">
        <v>38</v>
      </c>
      <c r="E26" s="5" t="s">
        <v>52</v>
      </c>
      <c r="F26" s="5" t="s">
        <v>43</v>
      </c>
      <c r="G26" s="7" t="n">
        <v>55</v>
      </c>
      <c r="H26" s="7" t="n">
        <v>50</v>
      </c>
      <c r="I26" s="7" t="n">
        <v>60</v>
      </c>
      <c r="J26" s="7" t="n">
        <v>55</v>
      </c>
      <c r="K26" s="7" t="n">
        <v>55</v>
      </c>
    </row>
    <row r="27" customFormat="false" ht="36.5" hidden="false" customHeight="false" outlineLevel="0" collapsed="false">
      <c r="A27" s="1" t="n">
        <v>37</v>
      </c>
      <c r="B27" s="1" t="n">
        <v>2023</v>
      </c>
      <c r="C27" s="3" t="n">
        <v>44931</v>
      </c>
      <c r="D27" s="8" t="s">
        <v>38</v>
      </c>
      <c r="E27" s="9" t="s">
        <v>53</v>
      </c>
      <c r="F27" s="9" t="s">
        <v>43</v>
      </c>
      <c r="G27" s="11" t="n">
        <v>40</v>
      </c>
      <c r="H27" s="11" t="n">
        <v>30</v>
      </c>
      <c r="I27" s="11" t="n">
        <v>50</v>
      </c>
      <c r="J27" s="11" t="n">
        <v>40</v>
      </c>
      <c r="K27" s="11" t="n">
        <v>40</v>
      </c>
    </row>
    <row r="28" customFormat="false" ht="36.5" hidden="false" customHeight="false" outlineLevel="0" collapsed="false">
      <c r="A28" s="1" t="n">
        <v>37</v>
      </c>
      <c r="B28" s="1" t="n">
        <v>2023</v>
      </c>
      <c r="C28" s="3" t="n">
        <v>44931</v>
      </c>
      <c r="D28" s="4" t="s">
        <v>38</v>
      </c>
      <c r="E28" s="5" t="s">
        <v>54</v>
      </c>
      <c r="F28" s="5" t="s">
        <v>40</v>
      </c>
      <c r="G28" s="7" t="n">
        <v>50</v>
      </c>
      <c r="H28" s="7" t="n">
        <v>50</v>
      </c>
      <c r="I28" s="7" t="n">
        <v>70</v>
      </c>
      <c r="J28" s="7" t="s">
        <v>55</v>
      </c>
      <c r="K28" s="7" t="n">
        <v>50</v>
      </c>
    </row>
    <row r="29" customFormat="false" ht="36.5" hidden="false" customHeight="false" outlineLevel="0" collapsed="false">
      <c r="A29" s="1" t="n">
        <v>37</v>
      </c>
      <c r="B29" s="1" t="n">
        <v>2023</v>
      </c>
      <c r="C29" s="3" t="n">
        <v>44931</v>
      </c>
      <c r="D29" s="8" t="s">
        <v>38</v>
      </c>
      <c r="E29" s="9" t="s">
        <v>56</v>
      </c>
      <c r="F29" s="9" t="s">
        <v>43</v>
      </c>
      <c r="G29" s="10"/>
      <c r="H29" s="10"/>
      <c r="I29" s="10"/>
      <c r="J29" s="10"/>
      <c r="K29" s="10"/>
    </row>
    <row r="30" customFormat="false" ht="36.5" hidden="false" customHeight="false" outlineLevel="0" collapsed="false">
      <c r="A30" s="1" t="n">
        <v>37</v>
      </c>
      <c r="B30" s="1" t="n">
        <v>2023</v>
      </c>
      <c r="C30" s="3" t="n">
        <v>44931</v>
      </c>
      <c r="D30" s="4" t="s">
        <v>38</v>
      </c>
      <c r="E30" s="5" t="s">
        <v>57</v>
      </c>
      <c r="F30" s="5" t="s">
        <v>40</v>
      </c>
      <c r="G30" s="7" t="n">
        <v>50</v>
      </c>
      <c r="H30" s="7" t="n">
        <v>40</v>
      </c>
      <c r="I30" s="7" t="n">
        <v>60</v>
      </c>
      <c r="J30" s="7" t="n">
        <v>50</v>
      </c>
      <c r="K30" s="7" t="n">
        <v>50</v>
      </c>
    </row>
    <row r="31" customFormat="false" ht="36.5" hidden="false" customHeight="false" outlineLevel="0" collapsed="false">
      <c r="A31" s="1" t="n">
        <v>37</v>
      </c>
      <c r="B31" s="1" t="n">
        <v>2023</v>
      </c>
      <c r="C31" s="3" t="n">
        <v>44931</v>
      </c>
      <c r="D31" s="8" t="s">
        <v>38</v>
      </c>
      <c r="E31" s="9" t="s">
        <v>58</v>
      </c>
      <c r="F31" s="9" t="s">
        <v>40</v>
      </c>
      <c r="G31" s="11" t="n">
        <v>50</v>
      </c>
      <c r="H31" s="11" t="n">
        <v>50</v>
      </c>
      <c r="I31" s="11" t="n">
        <v>60</v>
      </c>
      <c r="J31" s="11" t="n">
        <v>55</v>
      </c>
      <c r="K31" s="11" t="n">
        <v>55</v>
      </c>
    </row>
    <row r="32" customFormat="false" ht="36.5" hidden="false" customHeight="false" outlineLevel="0" collapsed="false">
      <c r="A32" s="1" t="n">
        <v>37</v>
      </c>
      <c r="B32" s="1" t="n">
        <v>2023</v>
      </c>
      <c r="C32" s="3" t="n">
        <v>44931</v>
      </c>
      <c r="D32" s="4" t="s">
        <v>38</v>
      </c>
      <c r="E32" s="5" t="s">
        <v>59</v>
      </c>
      <c r="F32" s="5" t="s">
        <v>45</v>
      </c>
      <c r="G32" s="6"/>
      <c r="H32" s="7" t="n">
        <v>30</v>
      </c>
      <c r="I32" s="7" t="n">
        <v>50</v>
      </c>
      <c r="J32" s="7" t="n">
        <v>40</v>
      </c>
      <c r="K32" s="7" t="n">
        <v>40</v>
      </c>
    </row>
    <row r="33" customFormat="false" ht="36.5" hidden="false" customHeight="false" outlineLevel="0" collapsed="false">
      <c r="A33" s="1" t="n">
        <v>37</v>
      </c>
      <c r="B33" s="1" t="n">
        <v>2023</v>
      </c>
      <c r="C33" s="3" t="n">
        <v>44931</v>
      </c>
      <c r="D33" s="8" t="s">
        <v>38</v>
      </c>
      <c r="E33" s="9" t="s">
        <v>60</v>
      </c>
      <c r="F33" s="9" t="s">
        <v>61</v>
      </c>
      <c r="G33" s="11" t="n">
        <v>70</v>
      </c>
      <c r="H33" s="11" t="n">
        <v>60</v>
      </c>
      <c r="I33" s="11" t="n">
        <v>80</v>
      </c>
      <c r="J33" s="11" t="s">
        <v>62</v>
      </c>
      <c r="K33" s="11" t="n">
        <v>70</v>
      </c>
    </row>
    <row r="34" customFormat="false" ht="36.5" hidden="false" customHeight="false" outlineLevel="0" collapsed="false">
      <c r="A34" s="1" t="n">
        <v>37</v>
      </c>
      <c r="B34" s="1" t="n">
        <v>2023</v>
      </c>
      <c r="C34" s="3" t="n">
        <v>44931</v>
      </c>
      <c r="D34" s="4" t="s">
        <v>38</v>
      </c>
      <c r="E34" s="5" t="s">
        <v>63</v>
      </c>
      <c r="F34" s="5" t="s">
        <v>40</v>
      </c>
      <c r="G34" s="7" t="n">
        <v>100</v>
      </c>
      <c r="H34" s="7" t="n">
        <v>90</v>
      </c>
      <c r="I34" s="7" t="n">
        <v>110</v>
      </c>
      <c r="J34" s="7" t="n">
        <v>100</v>
      </c>
      <c r="K34" s="7" t="n">
        <v>100</v>
      </c>
    </row>
    <row r="35" customFormat="false" ht="36.5" hidden="false" customHeight="false" outlineLevel="0" collapsed="false">
      <c r="A35" s="1" t="n">
        <v>37</v>
      </c>
      <c r="B35" s="1" t="n">
        <v>2023</v>
      </c>
      <c r="C35" s="3" t="n">
        <v>44931</v>
      </c>
      <c r="D35" s="8" t="s">
        <v>38</v>
      </c>
      <c r="E35" s="9" t="s">
        <v>64</v>
      </c>
      <c r="F35" s="9" t="s">
        <v>40</v>
      </c>
      <c r="G35" s="11" t="n">
        <v>80</v>
      </c>
      <c r="H35" s="11" t="n">
        <v>70</v>
      </c>
      <c r="I35" s="11" t="n">
        <v>100</v>
      </c>
      <c r="J35" s="11" t="n">
        <v>83</v>
      </c>
      <c r="K35" s="11" t="n">
        <v>80</v>
      </c>
    </row>
    <row r="36" customFormat="false" ht="14.25" hidden="false" customHeight="false" outlineLevel="0" collapsed="false">
      <c r="A36" s="1" t="n">
        <v>37</v>
      </c>
      <c r="B36" s="1" t="n">
        <v>2023</v>
      </c>
      <c r="C36" s="3" t="n">
        <v>44931</v>
      </c>
      <c r="D36" s="4" t="s">
        <v>65</v>
      </c>
      <c r="E36" s="5" t="s">
        <v>66</v>
      </c>
      <c r="F36" s="5" t="s">
        <v>40</v>
      </c>
      <c r="G36" s="6"/>
      <c r="H36" s="6"/>
      <c r="I36" s="6"/>
      <c r="J36" s="6"/>
      <c r="K36" s="6"/>
    </row>
    <row r="37" customFormat="false" ht="14.25" hidden="false" customHeight="false" outlineLevel="0" collapsed="false">
      <c r="A37" s="1" t="n">
        <v>37</v>
      </c>
      <c r="B37" s="1" t="n">
        <v>2023</v>
      </c>
      <c r="C37" s="3" t="n">
        <v>44931</v>
      </c>
      <c r="D37" s="8" t="s">
        <v>65</v>
      </c>
      <c r="E37" s="9" t="s">
        <v>67</v>
      </c>
      <c r="F37" s="9" t="s">
        <v>40</v>
      </c>
      <c r="G37" s="10"/>
      <c r="H37" s="10"/>
      <c r="I37" s="10"/>
      <c r="J37" s="10"/>
      <c r="K37" s="10"/>
    </row>
    <row r="38" customFormat="false" ht="14.25" hidden="false" customHeight="false" outlineLevel="0" collapsed="false">
      <c r="A38" s="1" t="n">
        <v>37</v>
      </c>
      <c r="B38" s="1" t="n">
        <v>2023</v>
      </c>
      <c r="C38" s="3" t="n">
        <v>44931</v>
      </c>
      <c r="D38" s="4" t="s">
        <v>65</v>
      </c>
      <c r="E38" s="5" t="s">
        <v>68</v>
      </c>
      <c r="F38" s="5" t="s">
        <v>40</v>
      </c>
      <c r="G38" s="6"/>
      <c r="H38" s="6"/>
      <c r="I38" s="6"/>
      <c r="J38" s="6"/>
      <c r="K38" s="6"/>
    </row>
    <row r="39" customFormat="false" ht="14.25" hidden="false" customHeight="false" outlineLevel="0" collapsed="false">
      <c r="A39" s="1" t="n">
        <v>37</v>
      </c>
      <c r="B39" s="1" t="n">
        <v>2023</v>
      </c>
      <c r="C39" s="3" t="n">
        <v>44931</v>
      </c>
      <c r="D39" s="8" t="s">
        <v>65</v>
      </c>
      <c r="E39" s="9" t="s">
        <v>69</v>
      </c>
      <c r="F39" s="9" t="s">
        <v>45</v>
      </c>
      <c r="G39" s="10"/>
      <c r="H39" s="10"/>
      <c r="I39" s="10"/>
      <c r="J39" s="10"/>
      <c r="K39" s="10"/>
    </row>
    <row r="40" customFormat="false" ht="14.25" hidden="false" customHeight="false" outlineLevel="0" collapsed="false">
      <c r="A40" s="1" t="n">
        <v>37</v>
      </c>
      <c r="B40" s="1" t="n">
        <v>2023</v>
      </c>
      <c r="C40" s="3" t="n">
        <v>44931</v>
      </c>
      <c r="D40" s="4" t="s">
        <v>65</v>
      </c>
      <c r="E40" s="5" t="s">
        <v>70</v>
      </c>
      <c r="F40" s="5" t="s">
        <v>71</v>
      </c>
      <c r="G40" s="6"/>
      <c r="H40" s="6"/>
      <c r="I40" s="6"/>
      <c r="J40" s="6"/>
      <c r="K40" s="6"/>
    </row>
    <row r="41" customFormat="false" ht="25" hidden="false" customHeight="false" outlineLevel="0" collapsed="false">
      <c r="A41" s="1" t="n">
        <v>38</v>
      </c>
      <c r="B41" s="1" t="n">
        <v>2023</v>
      </c>
      <c r="C41" s="3" t="n">
        <v>44938</v>
      </c>
      <c r="D41" s="4" t="s">
        <v>11</v>
      </c>
      <c r="E41" s="5" t="s">
        <v>12</v>
      </c>
      <c r="F41" s="5" t="s">
        <v>13</v>
      </c>
      <c r="G41" s="7" t="n">
        <v>42</v>
      </c>
      <c r="H41" s="7" t="n">
        <v>42</v>
      </c>
      <c r="I41" s="7" t="n">
        <v>42</v>
      </c>
      <c r="J41" s="7" t="n">
        <v>42</v>
      </c>
      <c r="K41" s="7" t="n">
        <v>42</v>
      </c>
    </row>
    <row r="42" customFormat="false" ht="25" hidden="false" customHeight="false" outlineLevel="0" collapsed="false">
      <c r="A42" s="1" t="n">
        <v>38</v>
      </c>
      <c r="B42" s="1" t="n">
        <v>2023</v>
      </c>
      <c r="C42" s="3" t="n">
        <v>44938</v>
      </c>
      <c r="D42" s="8" t="s">
        <v>11</v>
      </c>
      <c r="E42" s="9" t="s">
        <v>14</v>
      </c>
      <c r="F42" s="9" t="s">
        <v>13</v>
      </c>
      <c r="G42" s="11" t="n">
        <v>60</v>
      </c>
      <c r="H42" s="11" t="n">
        <v>60</v>
      </c>
      <c r="I42" s="11" t="n">
        <v>60</v>
      </c>
      <c r="J42" s="11" t="n">
        <v>60</v>
      </c>
      <c r="K42" s="11" t="n">
        <v>60</v>
      </c>
    </row>
    <row r="43" customFormat="false" ht="25" hidden="false" customHeight="false" outlineLevel="0" collapsed="false">
      <c r="A43" s="1" t="n">
        <v>38</v>
      </c>
      <c r="B43" s="1" t="n">
        <v>2023</v>
      </c>
      <c r="C43" s="3" t="n">
        <v>44938</v>
      </c>
      <c r="D43" s="4" t="s">
        <v>11</v>
      </c>
      <c r="E43" s="5" t="s">
        <v>15</v>
      </c>
      <c r="F43" s="5" t="s">
        <v>13</v>
      </c>
      <c r="G43" s="7" t="n">
        <v>30</v>
      </c>
      <c r="H43" s="7" t="n">
        <v>30</v>
      </c>
      <c r="I43" s="7" t="n">
        <v>36</v>
      </c>
      <c r="J43" s="7" t="n">
        <v>32</v>
      </c>
      <c r="K43" s="7" t="n">
        <v>30</v>
      </c>
    </row>
    <row r="44" customFormat="false" ht="25" hidden="false" customHeight="false" outlineLevel="0" collapsed="false">
      <c r="A44" s="1" t="n">
        <v>38</v>
      </c>
      <c r="B44" s="1" t="n">
        <v>2023</v>
      </c>
      <c r="C44" s="3" t="n">
        <v>44938</v>
      </c>
      <c r="D44" s="8" t="s">
        <v>11</v>
      </c>
      <c r="E44" s="9" t="s">
        <v>16</v>
      </c>
      <c r="F44" s="9" t="s">
        <v>13</v>
      </c>
      <c r="G44" s="11" t="n">
        <v>24</v>
      </c>
      <c r="H44" s="11" t="n">
        <v>18</v>
      </c>
      <c r="I44" s="11" t="n">
        <v>24</v>
      </c>
      <c r="J44" s="11" t="s">
        <v>72</v>
      </c>
      <c r="K44" s="11" t="n">
        <v>22</v>
      </c>
    </row>
    <row r="45" customFormat="false" ht="25" hidden="false" customHeight="false" outlineLevel="0" collapsed="false">
      <c r="A45" s="1" t="n">
        <v>38</v>
      </c>
      <c r="B45" s="1" t="n">
        <v>2023</v>
      </c>
      <c r="C45" s="3" t="n">
        <v>44938</v>
      </c>
      <c r="D45" s="4" t="s">
        <v>11</v>
      </c>
      <c r="E45" s="5" t="s">
        <v>17</v>
      </c>
      <c r="F45" s="5" t="s">
        <v>13</v>
      </c>
      <c r="G45" s="6"/>
      <c r="H45" s="7" t="n">
        <v>15</v>
      </c>
      <c r="I45" s="7" t="n">
        <v>24</v>
      </c>
      <c r="J45" s="7" t="n">
        <v>19</v>
      </c>
      <c r="K45" s="7" t="n">
        <v>18</v>
      </c>
    </row>
    <row r="46" customFormat="false" ht="25" hidden="false" customHeight="false" outlineLevel="0" collapsed="false">
      <c r="A46" s="1" t="n">
        <v>38</v>
      </c>
      <c r="B46" s="1" t="n">
        <v>2023</v>
      </c>
      <c r="C46" s="3" t="n">
        <v>44938</v>
      </c>
      <c r="D46" s="8" t="s">
        <v>11</v>
      </c>
      <c r="E46" s="9" t="s">
        <v>18</v>
      </c>
      <c r="F46" s="9" t="s">
        <v>13</v>
      </c>
      <c r="G46" s="10"/>
      <c r="H46" s="11" t="n">
        <v>42</v>
      </c>
      <c r="I46" s="11" t="n">
        <v>48</v>
      </c>
      <c r="J46" s="11" t="n">
        <v>45</v>
      </c>
      <c r="K46" s="11" t="n">
        <v>45</v>
      </c>
    </row>
    <row r="47" customFormat="false" ht="25" hidden="false" customHeight="false" outlineLevel="0" collapsed="false">
      <c r="A47" s="1" t="n">
        <v>38</v>
      </c>
      <c r="B47" s="1" t="n">
        <v>2023</v>
      </c>
      <c r="C47" s="3" t="n">
        <v>44938</v>
      </c>
      <c r="D47" s="4" t="s">
        <v>11</v>
      </c>
      <c r="E47" s="5" t="s">
        <v>19</v>
      </c>
      <c r="F47" s="5" t="s">
        <v>13</v>
      </c>
      <c r="G47" s="6"/>
      <c r="H47" s="7" t="n">
        <v>66</v>
      </c>
      <c r="I47" s="7" t="n">
        <v>72</v>
      </c>
      <c r="J47" s="7" t="n">
        <v>69</v>
      </c>
      <c r="K47" s="7" t="n">
        <v>69</v>
      </c>
    </row>
    <row r="48" customFormat="false" ht="25" hidden="false" customHeight="false" outlineLevel="0" collapsed="false">
      <c r="A48" s="1" t="n">
        <v>38</v>
      </c>
      <c r="B48" s="1" t="n">
        <v>2023</v>
      </c>
      <c r="C48" s="3" t="n">
        <v>44938</v>
      </c>
      <c r="D48" s="8" t="s">
        <v>11</v>
      </c>
      <c r="E48" s="9" t="s">
        <v>20</v>
      </c>
      <c r="F48" s="9" t="s">
        <v>13</v>
      </c>
      <c r="G48" s="10"/>
      <c r="H48" s="11" t="n">
        <v>48</v>
      </c>
      <c r="I48" s="11" t="n">
        <v>72</v>
      </c>
      <c r="J48" s="11" t="n">
        <v>60</v>
      </c>
      <c r="K48" s="11" t="n">
        <v>60</v>
      </c>
    </row>
    <row r="49" customFormat="false" ht="25" hidden="false" customHeight="false" outlineLevel="0" collapsed="false">
      <c r="A49" s="1" t="n">
        <v>38</v>
      </c>
      <c r="B49" s="1" t="n">
        <v>2023</v>
      </c>
      <c r="C49" s="3" t="n">
        <v>44938</v>
      </c>
      <c r="D49" s="4" t="s">
        <v>11</v>
      </c>
      <c r="E49" s="5" t="s">
        <v>22</v>
      </c>
      <c r="F49" s="5"/>
      <c r="G49" s="6"/>
      <c r="H49" s="7" t="n">
        <v>15</v>
      </c>
      <c r="I49" s="7" t="n">
        <v>24</v>
      </c>
      <c r="J49" s="7" t="n">
        <v>19</v>
      </c>
      <c r="K49" s="7" t="n">
        <v>18</v>
      </c>
    </row>
    <row r="50" customFormat="false" ht="25" hidden="false" customHeight="false" outlineLevel="0" collapsed="false">
      <c r="A50" s="1" t="n">
        <v>38</v>
      </c>
      <c r="B50" s="1" t="n">
        <v>2023</v>
      </c>
      <c r="C50" s="3" t="n">
        <v>44938</v>
      </c>
      <c r="D50" s="8" t="s">
        <v>11</v>
      </c>
      <c r="E50" s="9" t="s">
        <v>73</v>
      </c>
      <c r="F50" s="9" t="s">
        <v>13</v>
      </c>
      <c r="G50" s="11" t="n">
        <v>60</v>
      </c>
      <c r="H50" s="11" t="n">
        <v>60</v>
      </c>
      <c r="I50" s="11" t="n">
        <v>66</v>
      </c>
      <c r="J50" s="11" t="n">
        <v>62</v>
      </c>
      <c r="K50" s="11" t="n">
        <v>60</v>
      </c>
    </row>
    <row r="51" customFormat="false" ht="25" hidden="false" customHeight="false" outlineLevel="0" collapsed="false">
      <c r="A51" s="1" t="n">
        <v>38</v>
      </c>
      <c r="B51" s="1" t="n">
        <v>2023</v>
      </c>
      <c r="C51" s="3" t="n">
        <v>44938</v>
      </c>
      <c r="D51" s="4" t="s">
        <v>11</v>
      </c>
      <c r="E51" s="5" t="s">
        <v>23</v>
      </c>
      <c r="F51" s="5" t="s">
        <v>13</v>
      </c>
      <c r="G51" s="6"/>
      <c r="H51" s="7" t="n">
        <v>15</v>
      </c>
      <c r="I51" s="7" t="n">
        <v>24</v>
      </c>
      <c r="J51" s="7" t="n">
        <v>19</v>
      </c>
      <c r="K51" s="7" t="n">
        <v>18</v>
      </c>
    </row>
    <row r="52" customFormat="false" ht="25" hidden="false" customHeight="false" outlineLevel="0" collapsed="false">
      <c r="A52" s="1" t="n">
        <v>38</v>
      </c>
      <c r="B52" s="1" t="n">
        <v>2023</v>
      </c>
      <c r="C52" s="3" t="n">
        <v>44938</v>
      </c>
      <c r="D52" s="8" t="s">
        <v>11</v>
      </c>
      <c r="E52" s="9" t="s">
        <v>24</v>
      </c>
      <c r="F52" s="9" t="s">
        <v>13</v>
      </c>
      <c r="G52" s="10"/>
      <c r="H52" s="11" t="n">
        <v>54</v>
      </c>
      <c r="I52" s="11" t="n">
        <v>60</v>
      </c>
      <c r="J52" s="11" t="n">
        <v>57</v>
      </c>
      <c r="K52" s="11" t="n">
        <v>57</v>
      </c>
    </row>
    <row r="53" customFormat="false" ht="25" hidden="false" customHeight="false" outlineLevel="0" collapsed="false">
      <c r="A53" s="1" t="n">
        <v>38</v>
      </c>
      <c r="B53" s="1" t="n">
        <v>2023</v>
      </c>
      <c r="C53" s="3" t="n">
        <v>44938</v>
      </c>
      <c r="D53" s="4" t="s">
        <v>11</v>
      </c>
      <c r="E53" s="5" t="s">
        <v>25</v>
      </c>
      <c r="F53" s="5" t="s">
        <v>26</v>
      </c>
      <c r="G53" s="6"/>
      <c r="H53" s="7" t="n">
        <v>54</v>
      </c>
      <c r="I53" s="7" t="n">
        <v>60</v>
      </c>
      <c r="J53" s="7" t="n">
        <v>57</v>
      </c>
      <c r="K53" s="7" t="n">
        <v>57</v>
      </c>
    </row>
    <row r="54" customFormat="false" ht="25" hidden="false" customHeight="false" outlineLevel="0" collapsed="false">
      <c r="A54" s="1" t="n">
        <v>38</v>
      </c>
      <c r="B54" s="1" t="n">
        <v>2023</v>
      </c>
      <c r="C54" s="3" t="n">
        <v>44938</v>
      </c>
      <c r="D54" s="8" t="s">
        <v>11</v>
      </c>
      <c r="E54" s="9" t="s">
        <v>27</v>
      </c>
      <c r="F54" s="9" t="s">
        <v>13</v>
      </c>
      <c r="G54" s="10"/>
      <c r="H54" s="11" t="n">
        <v>30</v>
      </c>
      <c r="I54" s="11" t="n">
        <v>60</v>
      </c>
      <c r="J54" s="11" t="n">
        <v>42</v>
      </c>
      <c r="K54" s="11" t="n">
        <v>36</v>
      </c>
    </row>
    <row r="55" customFormat="false" ht="25" hidden="false" customHeight="false" outlineLevel="0" collapsed="false">
      <c r="A55" s="1" t="n">
        <v>38</v>
      </c>
      <c r="B55" s="1" t="n">
        <v>2023</v>
      </c>
      <c r="C55" s="3" t="n">
        <v>44938</v>
      </c>
      <c r="D55" s="4" t="s">
        <v>11</v>
      </c>
      <c r="E55" s="5" t="s">
        <v>28</v>
      </c>
      <c r="F55" s="5" t="s">
        <v>13</v>
      </c>
      <c r="G55" s="6"/>
      <c r="H55" s="7" t="n">
        <v>20</v>
      </c>
      <c r="I55" s="7" t="n">
        <v>36</v>
      </c>
      <c r="J55" s="7" t="n">
        <v>27</v>
      </c>
      <c r="K55" s="7" t="n">
        <v>25</v>
      </c>
    </row>
    <row r="56" customFormat="false" ht="25" hidden="false" customHeight="false" outlineLevel="0" collapsed="false">
      <c r="A56" s="1" t="n">
        <v>38</v>
      </c>
      <c r="B56" s="1" t="n">
        <v>2023</v>
      </c>
      <c r="C56" s="3" t="n">
        <v>44938</v>
      </c>
      <c r="D56" s="8" t="s">
        <v>11</v>
      </c>
      <c r="E56" s="9" t="s">
        <v>29</v>
      </c>
      <c r="F56" s="9" t="s">
        <v>13</v>
      </c>
      <c r="G56" s="11" t="n">
        <v>42</v>
      </c>
      <c r="H56" s="11" t="n">
        <v>36</v>
      </c>
      <c r="I56" s="11" t="n">
        <v>42</v>
      </c>
      <c r="J56" s="11" t="n">
        <v>40</v>
      </c>
      <c r="K56" s="11" t="n">
        <v>42</v>
      </c>
    </row>
    <row r="57" customFormat="false" ht="25" hidden="false" customHeight="false" outlineLevel="0" collapsed="false">
      <c r="A57" s="1" t="n">
        <v>38</v>
      </c>
      <c r="B57" s="1" t="n">
        <v>2023</v>
      </c>
      <c r="C57" s="3" t="n">
        <v>44938</v>
      </c>
      <c r="D57" s="4" t="s">
        <v>30</v>
      </c>
      <c r="E57" s="5" t="s">
        <v>31</v>
      </c>
      <c r="F57" s="5" t="s">
        <v>32</v>
      </c>
      <c r="G57" s="7" t="n">
        <v>4</v>
      </c>
      <c r="H57" s="7" t="s">
        <v>74</v>
      </c>
      <c r="I57" s="7" t="n">
        <v>5</v>
      </c>
      <c r="J57" s="7" t="s">
        <v>75</v>
      </c>
      <c r="K57" s="7" t="n">
        <v>4</v>
      </c>
    </row>
    <row r="58" customFormat="false" ht="25" hidden="false" customHeight="false" outlineLevel="0" collapsed="false">
      <c r="A58" s="1" t="n">
        <v>38</v>
      </c>
      <c r="B58" s="1" t="n">
        <v>2023</v>
      </c>
      <c r="C58" s="3" t="n">
        <v>44938</v>
      </c>
      <c r="D58" s="8" t="s">
        <v>30</v>
      </c>
      <c r="E58" s="9" t="s">
        <v>34</v>
      </c>
      <c r="F58" s="9" t="s">
        <v>35</v>
      </c>
      <c r="G58" s="11" t="n">
        <v>20</v>
      </c>
      <c r="H58" s="11" t="n">
        <v>20</v>
      </c>
      <c r="I58" s="11" t="n">
        <v>25</v>
      </c>
      <c r="J58" s="11" t="n">
        <v>21</v>
      </c>
      <c r="K58" s="11" t="n">
        <v>20</v>
      </c>
    </row>
    <row r="59" customFormat="false" ht="25" hidden="false" customHeight="false" outlineLevel="0" collapsed="false">
      <c r="A59" s="1" t="n">
        <v>38</v>
      </c>
      <c r="B59" s="1" t="n">
        <v>2023</v>
      </c>
      <c r="C59" s="3" t="n">
        <v>44938</v>
      </c>
      <c r="D59" s="4" t="s">
        <v>30</v>
      </c>
      <c r="E59" s="5" t="s">
        <v>36</v>
      </c>
      <c r="F59" s="5" t="s">
        <v>35</v>
      </c>
      <c r="G59" s="7" t="n">
        <v>20</v>
      </c>
      <c r="H59" s="7" t="n">
        <v>20</v>
      </c>
      <c r="I59" s="7" t="n">
        <v>25</v>
      </c>
      <c r="J59" s="7" t="s">
        <v>37</v>
      </c>
      <c r="K59" s="7" t="s">
        <v>37</v>
      </c>
    </row>
    <row r="60" customFormat="false" ht="36.5" hidden="false" customHeight="false" outlineLevel="0" collapsed="false">
      <c r="A60" s="1" t="n">
        <v>38</v>
      </c>
      <c r="B60" s="1" t="n">
        <v>2023</v>
      </c>
      <c r="C60" s="3" t="n">
        <v>44938</v>
      </c>
      <c r="D60" s="8" t="s">
        <v>38</v>
      </c>
      <c r="E60" s="9" t="s">
        <v>39</v>
      </c>
      <c r="F60" s="9" t="s">
        <v>40</v>
      </c>
      <c r="G60" s="11" t="n">
        <v>100</v>
      </c>
      <c r="H60" s="11" t="n">
        <v>80</v>
      </c>
      <c r="I60" s="11" t="n">
        <v>100</v>
      </c>
      <c r="J60" s="11" t="s">
        <v>76</v>
      </c>
      <c r="K60" s="11" t="n">
        <v>100</v>
      </c>
    </row>
    <row r="61" customFormat="false" ht="36.5" hidden="false" customHeight="false" outlineLevel="0" collapsed="false">
      <c r="A61" s="1" t="n">
        <v>38</v>
      </c>
      <c r="B61" s="1" t="n">
        <v>2023</v>
      </c>
      <c r="C61" s="3" t="n">
        <v>44938</v>
      </c>
      <c r="D61" s="4" t="s">
        <v>38</v>
      </c>
      <c r="E61" s="5" t="s">
        <v>77</v>
      </c>
      <c r="F61" s="5"/>
      <c r="G61" s="6"/>
      <c r="H61" s="7" t="n">
        <v>40</v>
      </c>
      <c r="I61" s="7" t="n">
        <v>65</v>
      </c>
      <c r="J61" s="7" t="s">
        <v>78</v>
      </c>
      <c r="K61" s="7" t="s">
        <v>78</v>
      </c>
    </row>
    <row r="62" customFormat="false" ht="36.5" hidden="false" customHeight="false" outlineLevel="0" collapsed="false">
      <c r="A62" s="1" t="n">
        <v>38</v>
      </c>
      <c r="B62" s="1" t="n">
        <v>2023</v>
      </c>
      <c r="C62" s="3" t="n">
        <v>44938</v>
      </c>
      <c r="D62" s="8" t="s">
        <v>38</v>
      </c>
      <c r="E62" s="9" t="s">
        <v>44</v>
      </c>
      <c r="F62" s="9" t="s">
        <v>45</v>
      </c>
      <c r="G62" s="11" t="n">
        <v>50</v>
      </c>
      <c r="H62" s="11" t="n">
        <v>45</v>
      </c>
      <c r="I62" s="11" t="n">
        <v>55</v>
      </c>
      <c r="J62" s="11" t="n">
        <v>50</v>
      </c>
      <c r="K62" s="11" t="n">
        <v>50</v>
      </c>
    </row>
    <row r="63" customFormat="false" ht="36.5" hidden="false" customHeight="false" outlineLevel="0" collapsed="false">
      <c r="A63" s="1" t="n">
        <v>38</v>
      </c>
      <c r="B63" s="1" t="n">
        <v>2023</v>
      </c>
      <c r="C63" s="3" t="n">
        <v>44938</v>
      </c>
      <c r="D63" s="4" t="s">
        <v>38</v>
      </c>
      <c r="E63" s="5" t="s">
        <v>48</v>
      </c>
      <c r="F63" s="5" t="s">
        <v>45</v>
      </c>
      <c r="G63" s="6"/>
      <c r="H63" s="6"/>
      <c r="I63" s="6"/>
      <c r="J63" s="6"/>
      <c r="K63" s="6"/>
    </row>
    <row r="64" customFormat="false" ht="36.5" hidden="false" customHeight="false" outlineLevel="0" collapsed="false">
      <c r="A64" s="1" t="n">
        <v>38</v>
      </c>
      <c r="B64" s="1" t="n">
        <v>2023</v>
      </c>
      <c r="C64" s="3" t="n">
        <v>44938</v>
      </c>
      <c r="D64" s="8" t="s">
        <v>38</v>
      </c>
      <c r="E64" s="9" t="s">
        <v>49</v>
      </c>
      <c r="F64" s="9" t="s">
        <v>50</v>
      </c>
      <c r="G64" s="11" t="n">
        <v>50</v>
      </c>
      <c r="H64" s="11" t="n">
        <v>50</v>
      </c>
      <c r="I64" s="11" t="n">
        <v>60</v>
      </c>
      <c r="J64" s="11" t="n">
        <v>55</v>
      </c>
      <c r="K64" s="11" t="n">
        <v>55</v>
      </c>
    </row>
    <row r="65" customFormat="false" ht="36.5" hidden="false" customHeight="false" outlineLevel="0" collapsed="false">
      <c r="A65" s="1" t="n">
        <v>38</v>
      </c>
      <c r="B65" s="1" t="n">
        <v>2023</v>
      </c>
      <c r="C65" s="3" t="n">
        <v>44938</v>
      </c>
      <c r="D65" s="4" t="s">
        <v>38</v>
      </c>
      <c r="E65" s="5" t="s">
        <v>52</v>
      </c>
      <c r="F65" s="5" t="s">
        <v>43</v>
      </c>
      <c r="G65" s="7" t="n">
        <v>50</v>
      </c>
      <c r="H65" s="7" t="n">
        <v>40</v>
      </c>
      <c r="I65" s="7" t="n">
        <v>75</v>
      </c>
      <c r="J65" s="7" t="s">
        <v>55</v>
      </c>
      <c r="K65" s="7" t="s">
        <v>78</v>
      </c>
    </row>
    <row r="66" customFormat="false" ht="36.5" hidden="false" customHeight="false" outlineLevel="0" collapsed="false">
      <c r="A66" s="1" t="n">
        <v>38</v>
      </c>
      <c r="B66" s="1" t="n">
        <v>2023</v>
      </c>
      <c r="C66" s="3" t="n">
        <v>44938</v>
      </c>
      <c r="D66" s="8" t="s">
        <v>38</v>
      </c>
      <c r="E66" s="9" t="s">
        <v>53</v>
      </c>
      <c r="F66" s="9" t="s">
        <v>43</v>
      </c>
      <c r="G66" s="11" t="n">
        <v>70</v>
      </c>
      <c r="H66" s="11" t="n">
        <v>50</v>
      </c>
      <c r="I66" s="11" t="n">
        <v>90</v>
      </c>
      <c r="J66" s="11" t="s">
        <v>79</v>
      </c>
      <c r="K66" s="11" t="n">
        <v>70</v>
      </c>
    </row>
    <row r="67" customFormat="false" ht="36.5" hidden="false" customHeight="false" outlineLevel="0" collapsed="false">
      <c r="A67" s="1" t="n">
        <v>38</v>
      </c>
      <c r="B67" s="1" t="n">
        <v>2023</v>
      </c>
      <c r="C67" s="3" t="n">
        <v>44938</v>
      </c>
      <c r="D67" s="4" t="s">
        <v>38</v>
      </c>
      <c r="E67" s="5" t="s">
        <v>54</v>
      </c>
      <c r="F67" s="5" t="s">
        <v>40</v>
      </c>
      <c r="G67" s="6"/>
      <c r="H67" s="7" t="n">
        <v>60</v>
      </c>
      <c r="I67" s="7" t="n">
        <v>65</v>
      </c>
      <c r="J67" s="7" t="s">
        <v>80</v>
      </c>
      <c r="K67" s="7" t="s">
        <v>80</v>
      </c>
    </row>
    <row r="68" customFormat="false" ht="36.5" hidden="false" customHeight="false" outlineLevel="0" collapsed="false">
      <c r="A68" s="1" t="n">
        <v>38</v>
      </c>
      <c r="B68" s="1" t="n">
        <v>2023</v>
      </c>
      <c r="C68" s="3" t="n">
        <v>44938</v>
      </c>
      <c r="D68" s="8" t="s">
        <v>38</v>
      </c>
      <c r="E68" s="9" t="s">
        <v>56</v>
      </c>
      <c r="F68" s="9" t="s">
        <v>43</v>
      </c>
      <c r="G68" s="10"/>
      <c r="H68" s="11" t="n">
        <v>60</v>
      </c>
      <c r="I68" s="11" t="n">
        <v>65</v>
      </c>
      <c r="J68" s="11" t="s">
        <v>80</v>
      </c>
      <c r="K68" s="11" t="s">
        <v>80</v>
      </c>
    </row>
    <row r="69" customFormat="false" ht="36.5" hidden="false" customHeight="false" outlineLevel="0" collapsed="false">
      <c r="A69" s="1" t="n">
        <v>38</v>
      </c>
      <c r="B69" s="1" t="n">
        <v>2023</v>
      </c>
      <c r="C69" s="3" t="n">
        <v>44938</v>
      </c>
      <c r="D69" s="4" t="s">
        <v>38</v>
      </c>
      <c r="E69" s="5" t="s">
        <v>57</v>
      </c>
      <c r="F69" s="5" t="s">
        <v>40</v>
      </c>
      <c r="G69" s="7" t="n">
        <v>60</v>
      </c>
      <c r="H69" s="7" t="n">
        <v>50</v>
      </c>
      <c r="I69" s="7" t="n">
        <v>60</v>
      </c>
      <c r="J69" s="7" t="s">
        <v>41</v>
      </c>
      <c r="K69" s="7" t="n">
        <v>60</v>
      </c>
    </row>
    <row r="70" customFormat="false" ht="36.5" hidden="false" customHeight="false" outlineLevel="0" collapsed="false">
      <c r="A70" s="1" t="n">
        <v>38</v>
      </c>
      <c r="B70" s="1" t="n">
        <v>2023</v>
      </c>
      <c r="C70" s="3" t="n">
        <v>44938</v>
      </c>
      <c r="D70" s="8" t="s">
        <v>38</v>
      </c>
      <c r="E70" s="9" t="s">
        <v>58</v>
      </c>
      <c r="F70" s="9" t="s">
        <v>40</v>
      </c>
      <c r="G70" s="11" t="n">
        <v>70</v>
      </c>
      <c r="H70" s="11" t="n">
        <v>70</v>
      </c>
      <c r="I70" s="11" t="n">
        <v>80</v>
      </c>
      <c r="J70" s="11" t="n">
        <v>73</v>
      </c>
      <c r="K70" s="11" t="n">
        <v>70</v>
      </c>
    </row>
    <row r="71" customFormat="false" ht="36.5" hidden="false" customHeight="false" outlineLevel="0" collapsed="false">
      <c r="A71" s="1" t="n">
        <v>38</v>
      </c>
      <c r="B71" s="1" t="n">
        <v>2023</v>
      </c>
      <c r="C71" s="3" t="n">
        <v>44938</v>
      </c>
      <c r="D71" s="4" t="s">
        <v>38</v>
      </c>
      <c r="E71" s="5" t="s">
        <v>59</v>
      </c>
      <c r="F71" s="5" t="s">
        <v>45</v>
      </c>
      <c r="G71" s="7" t="n">
        <v>40</v>
      </c>
      <c r="H71" s="7" t="n">
        <v>30</v>
      </c>
      <c r="I71" s="7" t="n">
        <v>50</v>
      </c>
      <c r="J71" s="7" t="s">
        <v>81</v>
      </c>
      <c r="K71" s="7" t="n">
        <v>40</v>
      </c>
    </row>
    <row r="72" customFormat="false" ht="36.5" hidden="false" customHeight="false" outlineLevel="0" collapsed="false">
      <c r="A72" s="1" t="n">
        <v>38</v>
      </c>
      <c r="B72" s="1" t="n">
        <v>2023</v>
      </c>
      <c r="C72" s="3" t="n">
        <v>44938</v>
      </c>
      <c r="D72" s="8" t="s">
        <v>38</v>
      </c>
      <c r="E72" s="9" t="s">
        <v>60</v>
      </c>
      <c r="F72" s="9" t="s">
        <v>61</v>
      </c>
      <c r="G72" s="11" t="n">
        <v>70</v>
      </c>
      <c r="H72" s="11" t="n">
        <v>70</v>
      </c>
      <c r="I72" s="11" t="n">
        <v>130</v>
      </c>
      <c r="J72" s="11" t="s">
        <v>82</v>
      </c>
      <c r="K72" s="11" t="n">
        <v>110</v>
      </c>
    </row>
    <row r="73" customFormat="false" ht="36.5" hidden="false" customHeight="false" outlineLevel="0" collapsed="false">
      <c r="A73" s="1" t="n">
        <v>38</v>
      </c>
      <c r="B73" s="1" t="n">
        <v>2023</v>
      </c>
      <c r="C73" s="3" t="n">
        <v>44938</v>
      </c>
      <c r="D73" s="4" t="s">
        <v>38</v>
      </c>
      <c r="E73" s="5" t="s">
        <v>63</v>
      </c>
      <c r="F73" s="5" t="s">
        <v>40</v>
      </c>
      <c r="G73" s="7" t="n">
        <v>90</v>
      </c>
      <c r="H73" s="7" t="n">
        <v>80</v>
      </c>
      <c r="I73" s="7" t="n">
        <v>100</v>
      </c>
      <c r="J73" s="7" t="n">
        <v>92</v>
      </c>
      <c r="K73" s="7" t="n">
        <v>90</v>
      </c>
    </row>
    <row r="74" customFormat="false" ht="36.5" hidden="false" customHeight="false" outlineLevel="0" collapsed="false">
      <c r="A74" s="1" t="n">
        <v>38</v>
      </c>
      <c r="B74" s="1" t="n">
        <v>2023</v>
      </c>
      <c r="C74" s="3" t="n">
        <v>44938</v>
      </c>
      <c r="D74" s="8" t="s">
        <v>38</v>
      </c>
      <c r="E74" s="9" t="s">
        <v>64</v>
      </c>
      <c r="F74" s="9" t="s">
        <v>40</v>
      </c>
      <c r="G74" s="11" t="n">
        <v>100</v>
      </c>
      <c r="H74" s="11" t="n">
        <v>100</v>
      </c>
      <c r="I74" s="11" t="n">
        <v>130</v>
      </c>
      <c r="J74" s="11" t="n">
        <v>108</v>
      </c>
      <c r="K74" s="11" t="n">
        <v>100</v>
      </c>
    </row>
    <row r="75" customFormat="false" ht="14.25" hidden="false" customHeight="false" outlineLevel="0" collapsed="false">
      <c r="A75" s="1" t="n">
        <v>38</v>
      </c>
      <c r="B75" s="1" t="n">
        <v>2023</v>
      </c>
      <c r="C75" s="3" t="n">
        <v>44938</v>
      </c>
      <c r="D75" s="4" t="s">
        <v>65</v>
      </c>
      <c r="E75" s="5" t="s">
        <v>66</v>
      </c>
      <c r="F75" s="5" t="s">
        <v>40</v>
      </c>
      <c r="G75" s="6"/>
      <c r="H75" s="6"/>
      <c r="I75" s="6"/>
      <c r="J75" s="6"/>
      <c r="K75" s="6"/>
    </row>
    <row r="76" customFormat="false" ht="14.25" hidden="false" customHeight="false" outlineLevel="0" collapsed="false">
      <c r="A76" s="1" t="n">
        <v>38</v>
      </c>
      <c r="B76" s="1" t="n">
        <v>2023</v>
      </c>
      <c r="C76" s="3" t="n">
        <v>44938</v>
      </c>
      <c r="D76" s="8" t="s">
        <v>65</v>
      </c>
      <c r="E76" s="9" t="s">
        <v>67</v>
      </c>
      <c r="F76" s="9" t="s">
        <v>40</v>
      </c>
      <c r="G76" s="10"/>
      <c r="H76" s="10"/>
      <c r="I76" s="10"/>
      <c r="J76" s="10"/>
      <c r="K76" s="10"/>
    </row>
    <row r="77" customFormat="false" ht="14.25" hidden="false" customHeight="false" outlineLevel="0" collapsed="false">
      <c r="A77" s="1" t="n">
        <v>38</v>
      </c>
      <c r="B77" s="1" t="n">
        <v>2023</v>
      </c>
      <c r="C77" s="3" t="n">
        <v>44938</v>
      </c>
      <c r="D77" s="4" t="s">
        <v>65</v>
      </c>
      <c r="E77" s="5" t="s">
        <v>68</v>
      </c>
      <c r="F77" s="5" t="s">
        <v>40</v>
      </c>
      <c r="G77" s="6"/>
      <c r="H77" s="6"/>
      <c r="I77" s="6"/>
      <c r="J77" s="6"/>
      <c r="K77" s="6"/>
    </row>
    <row r="78" customFormat="false" ht="14.25" hidden="false" customHeight="false" outlineLevel="0" collapsed="false">
      <c r="A78" s="1" t="n">
        <v>38</v>
      </c>
      <c r="B78" s="1" t="n">
        <v>2023</v>
      </c>
      <c r="C78" s="3" t="n">
        <v>44938</v>
      </c>
      <c r="D78" s="8" t="s">
        <v>65</v>
      </c>
      <c r="E78" s="9" t="s">
        <v>69</v>
      </c>
      <c r="F78" s="9" t="s">
        <v>45</v>
      </c>
      <c r="G78" s="10"/>
      <c r="H78" s="11" t="n">
        <v>28</v>
      </c>
      <c r="I78" s="11" t="n">
        <v>28</v>
      </c>
      <c r="J78" s="11" t="n">
        <v>28</v>
      </c>
      <c r="K78" s="11" t="n">
        <v>28</v>
      </c>
    </row>
    <row r="79" customFormat="false" ht="14.25" hidden="false" customHeight="false" outlineLevel="0" collapsed="false">
      <c r="A79" s="1" t="n">
        <v>38</v>
      </c>
      <c r="B79" s="1" t="n">
        <v>2023</v>
      </c>
      <c r="C79" s="3" t="n">
        <v>44938</v>
      </c>
      <c r="D79" s="4" t="s">
        <v>65</v>
      </c>
      <c r="E79" s="5" t="s">
        <v>70</v>
      </c>
      <c r="F79" s="5" t="s">
        <v>71</v>
      </c>
      <c r="G79" s="6"/>
      <c r="H79" s="6"/>
      <c r="I79" s="6"/>
      <c r="J79" s="6"/>
      <c r="K79" s="6"/>
    </row>
    <row r="80" customFormat="false" ht="25" hidden="false" customHeight="false" outlineLevel="0" collapsed="false">
      <c r="A80" s="1" t="n">
        <v>39</v>
      </c>
      <c r="B80" s="1" t="n">
        <v>2023</v>
      </c>
      <c r="C80" s="3" t="n">
        <v>44945</v>
      </c>
      <c r="D80" s="4" t="s">
        <v>11</v>
      </c>
      <c r="E80" s="5" t="s">
        <v>12</v>
      </c>
      <c r="F80" s="5" t="s">
        <v>13</v>
      </c>
      <c r="G80" s="7" t="n">
        <v>42</v>
      </c>
      <c r="H80" s="7" t="n">
        <v>42</v>
      </c>
      <c r="I80" s="7" t="n">
        <v>42</v>
      </c>
      <c r="J80" s="7" t="n">
        <v>42</v>
      </c>
      <c r="K80" s="7" t="n">
        <v>42</v>
      </c>
    </row>
    <row r="81" customFormat="false" ht="25" hidden="false" customHeight="false" outlineLevel="0" collapsed="false">
      <c r="A81" s="1" t="n">
        <v>39</v>
      </c>
      <c r="B81" s="1" t="n">
        <v>2023</v>
      </c>
      <c r="C81" s="3" t="n">
        <v>44945</v>
      </c>
      <c r="D81" s="8" t="s">
        <v>11</v>
      </c>
      <c r="E81" s="9" t="s">
        <v>14</v>
      </c>
      <c r="F81" s="9" t="s">
        <v>13</v>
      </c>
      <c r="G81" s="11" t="n">
        <v>60</v>
      </c>
      <c r="H81" s="11" t="n">
        <v>60</v>
      </c>
      <c r="I81" s="11" t="n">
        <v>60</v>
      </c>
      <c r="J81" s="11" t="n">
        <v>60</v>
      </c>
      <c r="K81" s="11" t="n">
        <v>60</v>
      </c>
    </row>
    <row r="82" customFormat="false" ht="25" hidden="false" customHeight="false" outlineLevel="0" collapsed="false">
      <c r="A82" s="1" t="n">
        <v>39</v>
      </c>
      <c r="B82" s="1" t="n">
        <v>2023</v>
      </c>
      <c r="C82" s="3" t="n">
        <v>44945</v>
      </c>
      <c r="D82" s="4" t="s">
        <v>11</v>
      </c>
      <c r="E82" s="5" t="s">
        <v>15</v>
      </c>
      <c r="F82" s="5" t="s">
        <v>13</v>
      </c>
      <c r="G82" s="7" t="n">
        <v>30</v>
      </c>
      <c r="H82" s="7" t="n">
        <v>30</v>
      </c>
      <c r="I82" s="7" t="n">
        <v>42</v>
      </c>
      <c r="J82" s="7" t="n">
        <v>34</v>
      </c>
      <c r="K82" s="7" t="n">
        <v>30</v>
      </c>
    </row>
    <row r="83" customFormat="false" ht="25" hidden="false" customHeight="false" outlineLevel="0" collapsed="false">
      <c r="A83" s="1" t="n">
        <v>39</v>
      </c>
      <c r="B83" s="1" t="n">
        <v>2023</v>
      </c>
      <c r="C83" s="3" t="n">
        <v>44945</v>
      </c>
      <c r="D83" s="8" t="s">
        <v>11</v>
      </c>
      <c r="E83" s="9" t="s">
        <v>16</v>
      </c>
      <c r="F83" s="9" t="s">
        <v>13</v>
      </c>
      <c r="G83" s="11" t="n">
        <v>24</v>
      </c>
      <c r="H83" s="11" t="n">
        <v>20</v>
      </c>
      <c r="I83" s="11" t="n">
        <v>24</v>
      </c>
      <c r="J83" s="11" t="s">
        <v>37</v>
      </c>
      <c r="K83" s="11" t="n">
        <v>23</v>
      </c>
    </row>
    <row r="84" customFormat="false" ht="25" hidden="false" customHeight="false" outlineLevel="0" collapsed="false">
      <c r="A84" s="1" t="n">
        <v>39</v>
      </c>
      <c r="B84" s="1" t="n">
        <v>2023</v>
      </c>
      <c r="C84" s="3" t="n">
        <v>44945</v>
      </c>
      <c r="D84" s="4" t="s">
        <v>11</v>
      </c>
      <c r="E84" s="5" t="s">
        <v>17</v>
      </c>
      <c r="F84" s="5" t="s">
        <v>13</v>
      </c>
      <c r="G84" s="6"/>
      <c r="H84" s="7" t="n">
        <v>18</v>
      </c>
      <c r="I84" s="7" t="n">
        <v>24</v>
      </c>
      <c r="J84" s="7" t="n">
        <v>21</v>
      </c>
      <c r="K84" s="7" t="n">
        <v>21</v>
      </c>
    </row>
    <row r="85" customFormat="false" ht="25" hidden="false" customHeight="false" outlineLevel="0" collapsed="false">
      <c r="A85" s="1" t="n">
        <v>39</v>
      </c>
      <c r="B85" s="1" t="n">
        <v>2023</v>
      </c>
      <c r="C85" s="3" t="n">
        <v>44945</v>
      </c>
      <c r="D85" s="8" t="s">
        <v>11</v>
      </c>
      <c r="E85" s="9" t="s">
        <v>18</v>
      </c>
      <c r="F85" s="9" t="s">
        <v>13</v>
      </c>
      <c r="G85" s="10"/>
      <c r="H85" s="11" t="n">
        <v>24</v>
      </c>
      <c r="I85" s="11" t="n">
        <v>48</v>
      </c>
      <c r="J85" s="11" t="n">
        <v>38</v>
      </c>
      <c r="K85" s="11" t="n">
        <v>42</v>
      </c>
    </row>
    <row r="86" customFormat="false" ht="25" hidden="false" customHeight="false" outlineLevel="0" collapsed="false">
      <c r="A86" s="1" t="n">
        <v>39</v>
      </c>
      <c r="B86" s="1" t="n">
        <v>2023</v>
      </c>
      <c r="C86" s="3" t="n">
        <v>44945</v>
      </c>
      <c r="D86" s="4" t="s">
        <v>11</v>
      </c>
      <c r="E86" s="5" t="s">
        <v>19</v>
      </c>
      <c r="F86" s="5" t="s">
        <v>13</v>
      </c>
      <c r="G86" s="6"/>
      <c r="H86" s="7" t="n">
        <v>72</v>
      </c>
      <c r="I86" s="7" t="n">
        <v>78</v>
      </c>
      <c r="J86" s="7" t="n">
        <v>75</v>
      </c>
      <c r="K86" s="7" t="n">
        <v>75</v>
      </c>
    </row>
    <row r="87" customFormat="false" ht="25" hidden="false" customHeight="false" outlineLevel="0" collapsed="false">
      <c r="A87" s="1" t="n">
        <v>39</v>
      </c>
      <c r="B87" s="1" t="n">
        <v>2023</v>
      </c>
      <c r="C87" s="3" t="n">
        <v>44945</v>
      </c>
      <c r="D87" s="8" t="s">
        <v>11</v>
      </c>
      <c r="E87" s="9" t="s">
        <v>20</v>
      </c>
      <c r="F87" s="9" t="s">
        <v>13</v>
      </c>
      <c r="G87" s="10"/>
      <c r="H87" s="11" t="n">
        <v>50</v>
      </c>
      <c r="I87" s="11" t="n">
        <v>84</v>
      </c>
      <c r="J87" s="11" t="s">
        <v>83</v>
      </c>
      <c r="K87" s="11" t="n">
        <v>60</v>
      </c>
    </row>
    <row r="88" customFormat="false" ht="25" hidden="false" customHeight="false" outlineLevel="0" collapsed="false">
      <c r="A88" s="1" t="n">
        <v>39</v>
      </c>
      <c r="B88" s="1" t="n">
        <v>2023</v>
      </c>
      <c r="C88" s="3" t="n">
        <v>44945</v>
      </c>
      <c r="D88" s="4" t="s">
        <v>11</v>
      </c>
      <c r="E88" s="5" t="s">
        <v>21</v>
      </c>
      <c r="F88" s="5" t="s">
        <v>13</v>
      </c>
      <c r="G88" s="7" t="n">
        <v>18</v>
      </c>
      <c r="H88" s="7" t="n">
        <v>18</v>
      </c>
      <c r="I88" s="7" t="n">
        <v>24</v>
      </c>
      <c r="J88" s="7" t="n">
        <v>20</v>
      </c>
      <c r="K88" s="7" t="n">
        <v>18</v>
      </c>
    </row>
    <row r="89" customFormat="false" ht="25" hidden="false" customHeight="false" outlineLevel="0" collapsed="false">
      <c r="A89" s="1" t="n">
        <v>39</v>
      </c>
      <c r="B89" s="1" t="n">
        <v>2023</v>
      </c>
      <c r="C89" s="3" t="n">
        <v>44945</v>
      </c>
      <c r="D89" s="8" t="s">
        <v>11</v>
      </c>
      <c r="E89" s="9" t="s">
        <v>22</v>
      </c>
      <c r="F89" s="9"/>
      <c r="G89" s="10"/>
      <c r="H89" s="11" t="n">
        <v>55</v>
      </c>
      <c r="I89" s="11" t="n">
        <v>80</v>
      </c>
      <c r="J89" s="11" t="s">
        <v>84</v>
      </c>
      <c r="K89" s="11" t="s">
        <v>84</v>
      </c>
    </row>
    <row r="90" customFormat="false" ht="25" hidden="false" customHeight="false" outlineLevel="0" collapsed="false">
      <c r="A90" s="1" t="n">
        <v>39</v>
      </c>
      <c r="B90" s="1" t="n">
        <v>2023</v>
      </c>
      <c r="C90" s="3" t="n">
        <v>44945</v>
      </c>
      <c r="D90" s="4" t="s">
        <v>11</v>
      </c>
      <c r="E90" s="5" t="s">
        <v>23</v>
      </c>
      <c r="F90" s="5" t="s">
        <v>13</v>
      </c>
      <c r="G90" s="6"/>
      <c r="H90" s="7" t="n">
        <v>18</v>
      </c>
      <c r="I90" s="7" t="n">
        <v>24</v>
      </c>
      <c r="J90" s="7" t="n">
        <v>21</v>
      </c>
      <c r="K90" s="7" t="n">
        <v>21</v>
      </c>
    </row>
    <row r="91" customFormat="false" ht="25" hidden="false" customHeight="false" outlineLevel="0" collapsed="false">
      <c r="A91" s="1" t="n">
        <v>39</v>
      </c>
      <c r="B91" s="1" t="n">
        <v>2023</v>
      </c>
      <c r="C91" s="3" t="n">
        <v>44945</v>
      </c>
      <c r="D91" s="8" t="s">
        <v>11</v>
      </c>
      <c r="E91" s="9" t="s">
        <v>24</v>
      </c>
      <c r="F91" s="9" t="s">
        <v>13</v>
      </c>
      <c r="G91" s="11" t="n">
        <v>60</v>
      </c>
      <c r="H91" s="11" t="n">
        <v>60</v>
      </c>
      <c r="I91" s="11" t="n">
        <v>60</v>
      </c>
      <c r="J91" s="11" t="n">
        <v>60</v>
      </c>
      <c r="K91" s="11" t="n">
        <v>60</v>
      </c>
    </row>
    <row r="92" customFormat="false" ht="25" hidden="false" customHeight="false" outlineLevel="0" collapsed="false">
      <c r="A92" s="1" t="n">
        <v>39</v>
      </c>
      <c r="B92" s="1" t="n">
        <v>2023</v>
      </c>
      <c r="C92" s="3" t="n">
        <v>44945</v>
      </c>
      <c r="D92" s="4" t="s">
        <v>11</v>
      </c>
      <c r="E92" s="5" t="s">
        <v>25</v>
      </c>
      <c r="F92" s="5" t="s">
        <v>26</v>
      </c>
      <c r="G92" s="6"/>
      <c r="H92" s="7" t="n">
        <v>48</v>
      </c>
      <c r="I92" s="7" t="n">
        <v>60</v>
      </c>
      <c r="J92" s="7" t="n">
        <v>54</v>
      </c>
      <c r="K92" s="7" t="n">
        <v>54</v>
      </c>
    </row>
    <row r="93" customFormat="false" ht="25" hidden="false" customHeight="false" outlineLevel="0" collapsed="false">
      <c r="A93" s="1" t="n">
        <v>39</v>
      </c>
      <c r="B93" s="1" t="n">
        <v>2023</v>
      </c>
      <c r="C93" s="3" t="n">
        <v>44945</v>
      </c>
      <c r="D93" s="8" t="s">
        <v>11</v>
      </c>
      <c r="E93" s="9" t="s">
        <v>27</v>
      </c>
      <c r="F93" s="9" t="s">
        <v>13</v>
      </c>
      <c r="G93" s="10"/>
      <c r="H93" s="11" t="n">
        <v>42</v>
      </c>
      <c r="I93" s="11" t="n">
        <v>66</v>
      </c>
      <c r="J93" s="11" t="n">
        <v>54</v>
      </c>
      <c r="K93" s="11" t="n">
        <v>54</v>
      </c>
    </row>
    <row r="94" customFormat="false" ht="25" hidden="false" customHeight="false" outlineLevel="0" collapsed="false">
      <c r="A94" s="1" t="n">
        <v>39</v>
      </c>
      <c r="B94" s="1" t="n">
        <v>2023</v>
      </c>
      <c r="C94" s="3" t="n">
        <v>44945</v>
      </c>
      <c r="D94" s="4" t="s">
        <v>11</v>
      </c>
      <c r="E94" s="5" t="s">
        <v>28</v>
      </c>
      <c r="F94" s="5" t="s">
        <v>13</v>
      </c>
      <c r="G94" s="7" t="n">
        <v>30</v>
      </c>
      <c r="H94" s="7" t="n">
        <v>25</v>
      </c>
      <c r="I94" s="7" t="n">
        <v>30</v>
      </c>
      <c r="J94" s="7" t="s">
        <v>85</v>
      </c>
      <c r="K94" s="7" t="n">
        <v>30</v>
      </c>
    </row>
    <row r="95" customFormat="false" ht="25" hidden="false" customHeight="false" outlineLevel="0" collapsed="false">
      <c r="A95" s="1" t="n">
        <v>39</v>
      </c>
      <c r="B95" s="1" t="n">
        <v>2023</v>
      </c>
      <c r="C95" s="3" t="n">
        <v>44945</v>
      </c>
      <c r="D95" s="8" t="s">
        <v>11</v>
      </c>
      <c r="E95" s="9" t="s">
        <v>29</v>
      </c>
      <c r="F95" s="9" t="s">
        <v>13</v>
      </c>
      <c r="G95" s="11" t="n">
        <v>42</v>
      </c>
      <c r="H95" s="11" t="n">
        <v>30</v>
      </c>
      <c r="I95" s="11" t="n">
        <v>42</v>
      </c>
      <c r="J95" s="11" t="s">
        <v>86</v>
      </c>
      <c r="K95" s="11" t="n">
        <v>39</v>
      </c>
    </row>
    <row r="96" customFormat="false" ht="25" hidden="false" customHeight="false" outlineLevel="0" collapsed="false">
      <c r="A96" s="1" t="n">
        <v>39</v>
      </c>
      <c r="B96" s="1" t="n">
        <v>2023</v>
      </c>
      <c r="C96" s="3" t="n">
        <v>44945</v>
      </c>
      <c r="D96" s="4" t="s">
        <v>30</v>
      </c>
      <c r="E96" s="5" t="s">
        <v>31</v>
      </c>
      <c r="F96" s="5" t="s">
        <v>32</v>
      </c>
      <c r="G96" s="7" t="n">
        <v>4</v>
      </c>
      <c r="H96" s="7" t="n">
        <v>4</v>
      </c>
      <c r="I96" s="7" t="n">
        <v>5</v>
      </c>
      <c r="J96" s="7" t="s">
        <v>87</v>
      </c>
      <c r="K96" s="7" t="n">
        <v>4</v>
      </c>
    </row>
    <row r="97" customFormat="false" ht="25" hidden="false" customHeight="false" outlineLevel="0" collapsed="false">
      <c r="A97" s="1" t="n">
        <v>39</v>
      </c>
      <c r="B97" s="1" t="n">
        <v>2023</v>
      </c>
      <c r="C97" s="3" t="n">
        <v>44945</v>
      </c>
      <c r="D97" s="8" t="s">
        <v>30</v>
      </c>
      <c r="E97" s="9" t="s">
        <v>34</v>
      </c>
      <c r="F97" s="9" t="s">
        <v>35</v>
      </c>
      <c r="G97" s="11" t="n">
        <v>20</v>
      </c>
      <c r="H97" s="11" t="n">
        <v>20</v>
      </c>
      <c r="I97" s="11" t="n">
        <v>22</v>
      </c>
      <c r="J97" s="11" t="s">
        <v>88</v>
      </c>
      <c r="K97" s="11" t="n">
        <v>20</v>
      </c>
    </row>
    <row r="98" customFormat="false" ht="25" hidden="false" customHeight="false" outlineLevel="0" collapsed="false">
      <c r="A98" s="1" t="n">
        <v>39</v>
      </c>
      <c r="B98" s="1" t="n">
        <v>2023</v>
      </c>
      <c r="C98" s="3" t="n">
        <v>44945</v>
      </c>
      <c r="D98" s="4" t="s">
        <v>30</v>
      </c>
      <c r="E98" s="5" t="s">
        <v>36</v>
      </c>
      <c r="F98" s="5" t="s">
        <v>35</v>
      </c>
      <c r="G98" s="7" t="n">
        <v>25</v>
      </c>
      <c r="H98" s="7" t="n">
        <v>25</v>
      </c>
      <c r="I98" s="7" t="n">
        <v>25</v>
      </c>
      <c r="J98" s="7" t="n">
        <v>25</v>
      </c>
      <c r="K98" s="7" t="n">
        <v>25</v>
      </c>
    </row>
    <row r="99" customFormat="false" ht="36.5" hidden="false" customHeight="false" outlineLevel="0" collapsed="false">
      <c r="A99" s="1" t="n">
        <v>39</v>
      </c>
      <c r="B99" s="1" t="n">
        <v>2023</v>
      </c>
      <c r="C99" s="3" t="n">
        <v>44945</v>
      </c>
      <c r="D99" s="8" t="s">
        <v>38</v>
      </c>
      <c r="E99" s="9" t="s">
        <v>39</v>
      </c>
      <c r="F99" s="9" t="s">
        <v>40</v>
      </c>
      <c r="G99" s="11" t="n">
        <v>60</v>
      </c>
      <c r="H99" s="11" t="n">
        <v>40</v>
      </c>
      <c r="I99" s="11" t="n">
        <v>60</v>
      </c>
      <c r="J99" s="11" t="n">
        <v>52</v>
      </c>
      <c r="K99" s="11" t="n">
        <v>55</v>
      </c>
    </row>
    <row r="100" customFormat="false" ht="36.5" hidden="false" customHeight="false" outlineLevel="0" collapsed="false">
      <c r="A100" s="1" t="n">
        <v>39</v>
      </c>
      <c r="B100" s="1" t="n">
        <v>2023</v>
      </c>
      <c r="C100" s="3" t="n">
        <v>44945</v>
      </c>
      <c r="D100" s="4" t="s">
        <v>38</v>
      </c>
      <c r="E100" s="5" t="s">
        <v>42</v>
      </c>
      <c r="F100" s="5" t="s">
        <v>43</v>
      </c>
      <c r="G100" s="7" t="n">
        <v>50</v>
      </c>
      <c r="H100" s="7" t="n">
        <v>50</v>
      </c>
      <c r="I100" s="7" t="n">
        <v>65</v>
      </c>
      <c r="J100" s="7" t="s">
        <v>89</v>
      </c>
      <c r="K100" s="7" t="n">
        <v>55</v>
      </c>
    </row>
    <row r="101" customFormat="false" ht="36.5" hidden="false" customHeight="false" outlineLevel="0" collapsed="false">
      <c r="A101" s="1" t="n">
        <v>39</v>
      </c>
      <c r="B101" s="1" t="n">
        <v>2023</v>
      </c>
      <c r="C101" s="3" t="n">
        <v>44945</v>
      </c>
      <c r="D101" s="8" t="s">
        <v>38</v>
      </c>
      <c r="E101" s="9" t="s">
        <v>44</v>
      </c>
      <c r="F101" s="9" t="s">
        <v>45</v>
      </c>
      <c r="G101" s="11" t="n">
        <v>50</v>
      </c>
      <c r="H101" s="11" t="n">
        <v>35</v>
      </c>
      <c r="I101" s="11" t="n">
        <v>55</v>
      </c>
      <c r="J101" s="11" t="s">
        <v>90</v>
      </c>
      <c r="K101" s="11" t="s">
        <v>91</v>
      </c>
    </row>
    <row r="102" customFormat="false" ht="36.5" hidden="false" customHeight="false" outlineLevel="0" collapsed="false">
      <c r="A102" s="1" t="n">
        <v>39</v>
      </c>
      <c r="B102" s="1" t="n">
        <v>2023</v>
      </c>
      <c r="C102" s="3" t="n">
        <v>44945</v>
      </c>
      <c r="D102" s="4" t="s">
        <v>38</v>
      </c>
      <c r="E102" s="5" t="s">
        <v>48</v>
      </c>
      <c r="F102" s="5" t="s">
        <v>45</v>
      </c>
      <c r="G102" s="6"/>
      <c r="H102" s="7" t="n">
        <v>120</v>
      </c>
      <c r="I102" s="7" t="n">
        <v>120</v>
      </c>
      <c r="J102" s="7" t="n">
        <v>120</v>
      </c>
      <c r="K102" s="7" t="n">
        <v>120</v>
      </c>
    </row>
    <row r="103" customFormat="false" ht="36.5" hidden="false" customHeight="false" outlineLevel="0" collapsed="false">
      <c r="A103" s="1" t="n">
        <v>39</v>
      </c>
      <c r="B103" s="1" t="n">
        <v>2023</v>
      </c>
      <c r="C103" s="3" t="n">
        <v>44945</v>
      </c>
      <c r="D103" s="8" t="s">
        <v>38</v>
      </c>
      <c r="E103" s="9" t="s">
        <v>49</v>
      </c>
      <c r="F103" s="9" t="s">
        <v>50</v>
      </c>
      <c r="G103" s="11" t="n">
        <v>50</v>
      </c>
      <c r="H103" s="11" t="n">
        <v>50</v>
      </c>
      <c r="I103" s="11" t="n">
        <v>60</v>
      </c>
      <c r="J103" s="11" t="s">
        <v>92</v>
      </c>
      <c r="K103" s="11" t="s">
        <v>78</v>
      </c>
    </row>
    <row r="104" customFormat="false" ht="36.5" hidden="false" customHeight="false" outlineLevel="0" collapsed="false">
      <c r="A104" s="1" t="n">
        <v>39</v>
      </c>
      <c r="B104" s="1" t="n">
        <v>2023</v>
      </c>
      <c r="C104" s="3" t="n">
        <v>44945</v>
      </c>
      <c r="D104" s="4" t="s">
        <v>38</v>
      </c>
      <c r="E104" s="5" t="s">
        <v>52</v>
      </c>
      <c r="F104" s="5" t="s">
        <v>43</v>
      </c>
      <c r="G104" s="7" t="n">
        <v>80</v>
      </c>
      <c r="H104" s="7" t="n">
        <v>50</v>
      </c>
      <c r="I104" s="7" t="n">
        <v>80</v>
      </c>
      <c r="J104" s="7" t="n">
        <v>66</v>
      </c>
      <c r="K104" s="7" t="n">
        <v>65</v>
      </c>
    </row>
    <row r="105" customFormat="false" ht="36.5" hidden="false" customHeight="false" outlineLevel="0" collapsed="false">
      <c r="A105" s="1" t="n">
        <v>39</v>
      </c>
      <c r="B105" s="1" t="n">
        <v>2023</v>
      </c>
      <c r="C105" s="3" t="n">
        <v>44945</v>
      </c>
      <c r="D105" s="8" t="s">
        <v>38</v>
      </c>
      <c r="E105" s="9" t="s">
        <v>53</v>
      </c>
      <c r="F105" s="9" t="s">
        <v>43</v>
      </c>
      <c r="G105" s="11" t="n">
        <v>70</v>
      </c>
      <c r="H105" s="11" t="n">
        <v>70</v>
      </c>
      <c r="I105" s="11" t="n">
        <v>80</v>
      </c>
      <c r="J105" s="11" t="s">
        <v>93</v>
      </c>
      <c r="K105" s="11" t="n">
        <v>70</v>
      </c>
    </row>
    <row r="106" customFormat="false" ht="36.5" hidden="false" customHeight="false" outlineLevel="0" collapsed="false">
      <c r="A106" s="1" t="n">
        <v>39</v>
      </c>
      <c r="B106" s="1" t="n">
        <v>2023</v>
      </c>
      <c r="C106" s="3" t="n">
        <v>44945</v>
      </c>
      <c r="D106" s="4" t="s">
        <v>38</v>
      </c>
      <c r="E106" s="5" t="s">
        <v>54</v>
      </c>
      <c r="F106" s="5" t="s">
        <v>40</v>
      </c>
      <c r="G106" s="7" t="n">
        <v>70</v>
      </c>
      <c r="H106" s="7" t="n">
        <v>60</v>
      </c>
      <c r="I106" s="7" t="n">
        <v>70</v>
      </c>
      <c r="J106" s="7" t="n">
        <v>66</v>
      </c>
      <c r="K106" s="7" t="n">
        <v>70</v>
      </c>
    </row>
    <row r="107" customFormat="false" ht="36.5" hidden="false" customHeight="false" outlineLevel="0" collapsed="false">
      <c r="A107" s="1" t="n">
        <v>39</v>
      </c>
      <c r="B107" s="1" t="n">
        <v>2023</v>
      </c>
      <c r="C107" s="3" t="n">
        <v>44945</v>
      </c>
      <c r="D107" s="8" t="s">
        <v>38</v>
      </c>
      <c r="E107" s="9" t="s">
        <v>56</v>
      </c>
      <c r="F107" s="9" t="s">
        <v>43</v>
      </c>
      <c r="G107" s="11" t="n">
        <v>60</v>
      </c>
      <c r="H107" s="11" t="n">
        <v>60</v>
      </c>
      <c r="I107" s="11" t="n">
        <v>60</v>
      </c>
      <c r="J107" s="11" t="n">
        <v>60</v>
      </c>
      <c r="K107" s="11" t="n">
        <v>60</v>
      </c>
    </row>
    <row r="108" customFormat="false" ht="36.5" hidden="false" customHeight="false" outlineLevel="0" collapsed="false">
      <c r="A108" s="1" t="n">
        <v>39</v>
      </c>
      <c r="B108" s="1" t="n">
        <v>2023</v>
      </c>
      <c r="C108" s="3" t="n">
        <v>44945</v>
      </c>
      <c r="D108" s="4" t="s">
        <v>38</v>
      </c>
      <c r="E108" s="5" t="s">
        <v>57</v>
      </c>
      <c r="F108" s="5" t="s">
        <v>40</v>
      </c>
      <c r="G108" s="7" t="n">
        <v>60</v>
      </c>
      <c r="H108" s="7" t="n">
        <v>40</v>
      </c>
      <c r="I108" s="7" t="n">
        <v>60</v>
      </c>
      <c r="J108" s="7" t="n">
        <v>53</v>
      </c>
      <c r="K108" s="7" t="n">
        <v>55</v>
      </c>
    </row>
    <row r="109" customFormat="false" ht="36.5" hidden="false" customHeight="false" outlineLevel="0" collapsed="false">
      <c r="A109" s="1" t="n">
        <v>39</v>
      </c>
      <c r="B109" s="1" t="n">
        <v>2023</v>
      </c>
      <c r="C109" s="3" t="n">
        <v>44945</v>
      </c>
      <c r="D109" s="8" t="s">
        <v>38</v>
      </c>
      <c r="E109" s="9" t="s">
        <v>58</v>
      </c>
      <c r="F109" s="9" t="s">
        <v>40</v>
      </c>
      <c r="G109" s="11" t="n">
        <v>70</v>
      </c>
      <c r="H109" s="11" t="n">
        <v>60</v>
      </c>
      <c r="I109" s="11" t="n">
        <v>80</v>
      </c>
      <c r="J109" s="11" t="n">
        <v>71</v>
      </c>
      <c r="K109" s="11" t="n">
        <v>70</v>
      </c>
    </row>
    <row r="110" customFormat="false" ht="36.5" hidden="false" customHeight="false" outlineLevel="0" collapsed="false">
      <c r="A110" s="1" t="n">
        <v>39</v>
      </c>
      <c r="B110" s="1" t="n">
        <v>2023</v>
      </c>
      <c r="C110" s="3" t="n">
        <v>44945</v>
      </c>
      <c r="D110" s="4" t="s">
        <v>38</v>
      </c>
      <c r="E110" s="5" t="s">
        <v>59</v>
      </c>
      <c r="F110" s="5" t="s">
        <v>45</v>
      </c>
      <c r="G110" s="7" t="n">
        <v>40</v>
      </c>
      <c r="H110" s="7" t="n">
        <v>35</v>
      </c>
      <c r="I110" s="7" t="n">
        <v>45</v>
      </c>
      <c r="J110" s="7" t="n">
        <v>40</v>
      </c>
      <c r="K110" s="7" t="n">
        <v>40</v>
      </c>
    </row>
    <row r="111" customFormat="false" ht="36.5" hidden="false" customHeight="false" outlineLevel="0" collapsed="false">
      <c r="A111" s="1" t="n">
        <v>39</v>
      </c>
      <c r="B111" s="1" t="n">
        <v>2023</v>
      </c>
      <c r="C111" s="3" t="n">
        <v>44945</v>
      </c>
      <c r="D111" s="8" t="s">
        <v>38</v>
      </c>
      <c r="E111" s="9" t="s">
        <v>60</v>
      </c>
      <c r="F111" s="9" t="s">
        <v>61</v>
      </c>
      <c r="G111" s="11" t="n">
        <v>70</v>
      </c>
      <c r="H111" s="11" t="n">
        <v>60</v>
      </c>
      <c r="I111" s="11" t="n">
        <v>75</v>
      </c>
      <c r="J111" s="11" t="s">
        <v>94</v>
      </c>
      <c r="K111" s="11" t="n">
        <v>70</v>
      </c>
    </row>
    <row r="112" customFormat="false" ht="36.5" hidden="false" customHeight="false" outlineLevel="0" collapsed="false">
      <c r="A112" s="1" t="n">
        <v>39</v>
      </c>
      <c r="B112" s="1" t="n">
        <v>2023</v>
      </c>
      <c r="C112" s="3" t="n">
        <v>44945</v>
      </c>
      <c r="D112" s="4" t="s">
        <v>38</v>
      </c>
      <c r="E112" s="5" t="s">
        <v>63</v>
      </c>
      <c r="F112" s="5" t="s">
        <v>40</v>
      </c>
      <c r="G112" s="7" t="n">
        <v>90</v>
      </c>
      <c r="H112" s="7" t="n">
        <v>70</v>
      </c>
      <c r="I112" s="7" t="n">
        <v>100</v>
      </c>
      <c r="J112" s="7" t="s">
        <v>95</v>
      </c>
      <c r="K112" s="7" t="n">
        <v>85</v>
      </c>
    </row>
    <row r="113" customFormat="false" ht="36.5" hidden="false" customHeight="false" outlineLevel="0" collapsed="false">
      <c r="A113" s="1" t="n">
        <v>39</v>
      </c>
      <c r="B113" s="1" t="n">
        <v>2023</v>
      </c>
      <c r="C113" s="3" t="n">
        <v>44945</v>
      </c>
      <c r="D113" s="8" t="s">
        <v>38</v>
      </c>
      <c r="E113" s="9" t="s">
        <v>64</v>
      </c>
      <c r="F113" s="9" t="s">
        <v>40</v>
      </c>
      <c r="G113" s="11" t="n">
        <v>120</v>
      </c>
      <c r="H113" s="11" t="n">
        <v>100</v>
      </c>
      <c r="I113" s="11" t="n">
        <v>120</v>
      </c>
      <c r="J113" s="11" t="n">
        <v>115</v>
      </c>
      <c r="K113" s="11" t="n">
        <v>120</v>
      </c>
    </row>
    <row r="114" customFormat="false" ht="14.25" hidden="false" customHeight="false" outlineLevel="0" collapsed="false">
      <c r="A114" s="1" t="n">
        <v>39</v>
      </c>
      <c r="B114" s="1" t="n">
        <v>2023</v>
      </c>
      <c r="C114" s="3" t="n">
        <v>44945</v>
      </c>
      <c r="D114" s="4" t="s">
        <v>65</v>
      </c>
      <c r="E114" s="5" t="s">
        <v>66</v>
      </c>
      <c r="F114" s="5" t="s">
        <v>40</v>
      </c>
      <c r="G114" s="6"/>
      <c r="H114" s="6"/>
      <c r="I114" s="6"/>
      <c r="J114" s="6"/>
      <c r="K114" s="6"/>
    </row>
    <row r="115" customFormat="false" ht="14.25" hidden="false" customHeight="false" outlineLevel="0" collapsed="false">
      <c r="A115" s="1" t="n">
        <v>39</v>
      </c>
      <c r="B115" s="1" t="n">
        <v>2023</v>
      </c>
      <c r="C115" s="3" t="n">
        <v>44945</v>
      </c>
      <c r="D115" s="8" t="s">
        <v>65</v>
      </c>
      <c r="E115" s="9" t="s">
        <v>67</v>
      </c>
      <c r="F115" s="9" t="s">
        <v>40</v>
      </c>
      <c r="G115" s="10"/>
      <c r="H115" s="10"/>
      <c r="I115" s="10"/>
      <c r="J115" s="10"/>
      <c r="K115" s="10"/>
    </row>
    <row r="116" customFormat="false" ht="14.25" hidden="false" customHeight="false" outlineLevel="0" collapsed="false">
      <c r="A116" s="1" t="n">
        <v>39</v>
      </c>
      <c r="B116" s="1" t="n">
        <v>2023</v>
      </c>
      <c r="C116" s="3" t="n">
        <v>44945</v>
      </c>
      <c r="D116" s="4" t="s">
        <v>65</v>
      </c>
      <c r="E116" s="5" t="s">
        <v>68</v>
      </c>
      <c r="F116" s="5" t="s">
        <v>40</v>
      </c>
      <c r="G116" s="6"/>
      <c r="H116" s="6"/>
      <c r="I116" s="6"/>
      <c r="J116" s="6"/>
      <c r="K116" s="6"/>
    </row>
    <row r="117" customFormat="false" ht="14.25" hidden="false" customHeight="false" outlineLevel="0" collapsed="false">
      <c r="A117" s="1" t="n">
        <v>39</v>
      </c>
      <c r="B117" s="1" t="n">
        <v>2023</v>
      </c>
      <c r="C117" s="3" t="n">
        <v>44945</v>
      </c>
      <c r="D117" s="8" t="s">
        <v>65</v>
      </c>
      <c r="E117" s="9" t="s">
        <v>69</v>
      </c>
      <c r="F117" s="9" t="s">
        <v>45</v>
      </c>
      <c r="G117" s="10"/>
      <c r="H117" s="10"/>
      <c r="I117" s="10"/>
      <c r="J117" s="10"/>
      <c r="K117" s="10"/>
    </row>
    <row r="118" customFormat="false" ht="14.25" hidden="false" customHeight="false" outlineLevel="0" collapsed="false">
      <c r="A118" s="1" t="n">
        <v>39</v>
      </c>
      <c r="B118" s="1" t="n">
        <v>2023</v>
      </c>
      <c r="C118" s="3" t="n">
        <v>44945</v>
      </c>
      <c r="D118" s="4" t="s">
        <v>65</v>
      </c>
      <c r="E118" s="5" t="s">
        <v>70</v>
      </c>
      <c r="F118" s="5" t="s">
        <v>71</v>
      </c>
      <c r="G118" s="6"/>
      <c r="H118" s="6"/>
      <c r="I118" s="6"/>
      <c r="J118" s="6"/>
      <c r="K118" s="6"/>
    </row>
    <row r="119" customFormat="false" ht="25" hidden="false" customHeight="false" outlineLevel="0" collapsed="false">
      <c r="A119" s="1" t="n">
        <v>40</v>
      </c>
      <c r="B119" s="1" t="n">
        <v>2023</v>
      </c>
      <c r="C119" s="3" t="n">
        <v>44952</v>
      </c>
      <c r="D119" s="4" t="s">
        <v>11</v>
      </c>
      <c r="E119" s="5" t="s">
        <v>12</v>
      </c>
      <c r="F119" s="5" t="s">
        <v>13</v>
      </c>
      <c r="G119" s="7" t="n">
        <v>42</v>
      </c>
      <c r="H119" s="7" t="n">
        <v>42</v>
      </c>
      <c r="I119" s="7" t="n">
        <v>42</v>
      </c>
      <c r="J119" s="7" t="n">
        <v>42</v>
      </c>
      <c r="K119" s="7" t="n">
        <v>42</v>
      </c>
    </row>
    <row r="120" customFormat="false" ht="25" hidden="false" customHeight="false" outlineLevel="0" collapsed="false">
      <c r="A120" s="1" t="n">
        <v>40</v>
      </c>
      <c r="B120" s="1" t="n">
        <v>2023</v>
      </c>
      <c r="C120" s="3" t="n">
        <v>44952</v>
      </c>
      <c r="D120" s="8" t="s">
        <v>11</v>
      </c>
      <c r="E120" s="9" t="s">
        <v>14</v>
      </c>
      <c r="F120" s="9" t="s">
        <v>13</v>
      </c>
      <c r="G120" s="11" t="n">
        <v>60</v>
      </c>
      <c r="H120" s="11" t="n">
        <v>60</v>
      </c>
      <c r="I120" s="11" t="n">
        <v>60</v>
      </c>
      <c r="J120" s="11" t="n">
        <v>60</v>
      </c>
      <c r="K120" s="11" t="n">
        <v>60</v>
      </c>
    </row>
    <row r="121" customFormat="false" ht="25" hidden="false" customHeight="false" outlineLevel="0" collapsed="false">
      <c r="A121" s="1" t="n">
        <v>40</v>
      </c>
      <c r="B121" s="1" t="n">
        <v>2023</v>
      </c>
      <c r="C121" s="3" t="n">
        <v>44952</v>
      </c>
      <c r="D121" s="4" t="s">
        <v>11</v>
      </c>
      <c r="E121" s="5" t="s">
        <v>15</v>
      </c>
      <c r="F121" s="5" t="s">
        <v>13</v>
      </c>
      <c r="G121" s="6"/>
      <c r="H121" s="7" t="n">
        <v>36</v>
      </c>
      <c r="I121" s="7" t="n">
        <v>42</v>
      </c>
      <c r="J121" s="7" t="n">
        <v>39</v>
      </c>
      <c r="K121" s="7" t="n">
        <v>39</v>
      </c>
    </row>
    <row r="122" customFormat="false" ht="25" hidden="false" customHeight="false" outlineLevel="0" collapsed="false">
      <c r="A122" s="1" t="n">
        <v>40</v>
      </c>
      <c r="B122" s="1" t="n">
        <v>2023</v>
      </c>
      <c r="C122" s="3" t="n">
        <v>44952</v>
      </c>
      <c r="D122" s="8" t="s">
        <v>11</v>
      </c>
      <c r="E122" s="9" t="s">
        <v>16</v>
      </c>
      <c r="F122" s="9" t="s">
        <v>13</v>
      </c>
      <c r="G122" s="11" t="n">
        <v>24</v>
      </c>
      <c r="H122" s="11" t="n">
        <v>18</v>
      </c>
      <c r="I122" s="11" t="n">
        <v>24</v>
      </c>
      <c r="J122" s="11" t="n">
        <v>22</v>
      </c>
      <c r="K122" s="11" t="n">
        <v>24</v>
      </c>
    </row>
    <row r="123" customFormat="false" ht="25" hidden="false" customHeight="false" outlineLevel="0" collapsed="false">
      <c r="A123" s="1" t="n">
        <v>40</v>
      </c>
      <c r="B123" s="1" t="n">
        <v>2023</v>
      </c>
      <c r="C123" s="3" t="n">
        <v>44952</v>
      </c>
      <c r="D123" s="4" t="s">
        <v>11</v>
      </c>
      <c r="E123" s="5" t="s">
        <v>17</v>
      </c>
      <c r="F123" s="5" t="s">
        <v>13</v>
      </c>
      <c r="G123" s="7" t="n">
        <v>24</v>
      </c>
      <c r="H123" s="7" t="n">
        <v>18</v>
      </c>
      <c r="I123" s="7" t="n">
        <v>24</v>
      </c>
      <c r="J123" s="7" t="n">
        <v>22</v>
      </c>
      <c r="K123" s="7" t="n">
        <v>24</v>
      </c>
    </row>
    <row r="124" customFormat="false" ht="25" hidden="false" customHeight="false" outlineLevel="0" collapsed="false">
      <c r="A124" s="1" t="n">
        <v>40</v>
      </c>
      <c r="B124" s="1" t="n">
        <v>2023</v>
      </c>
      <c r="C124" s="3" t="n">
        <v>44952</v>
      </c>
      <c r="D124" s="8" t="s">
        <v>11</v>
      </c>
      <c r="E124" s="9" t="s">
        <v>18</v>
      </c>
      <c r="F124" s="9" t="s">
        <v>13</v>
      </c>
      <c r="G124" s="10"/>
      <c r="H124" s="11" t="n">
        <v>42</v>
      </c>
      <c r="I124" s="11" t="n">
        <v>48</v>
      </c>
      <c r="J124" s="11" t="n">
        <v>45</v>
      </c>
      <c r="K124" s="11" t="n">
        <v>45</v>
      </c>
    </row>
    <row r="125" customFormat="false" ht="25" hidden="false" customHeight="false" outlineLevel="0" collapsed="false">
      <c r="A125" s="1" t="n">
        <v>40</v>
      </c>
      <c r="B125" s="1" t="n">
        <v>2023</v>
      </c>
      <c r="C125" s="3" t="n">
        <v>44952</v>
      </c>
      <c r="D125" s="4" t="s">
        <v>11</v>
      </c>
      <c r="E125" s="5" t="s">
        <v>19</v>
      </c>
      <c r="F125" s="5" t="s">
        <v>13</v>
      </c>
      <c r="G125" s="6"/>
      <c r="H125" s="7" t="n">
        <v>66</v>
      </c>
      <c r="I125" s="7" t="n">
        <v>78</v>
      </c>
      <c r="J125" s="7" t="n">
        <v>72</v>
      </c>
      <c r="K125" s="7" t="n">
        <v>72</v>
      </c>
    </row>
    <row r="126" customFormat="false" ht="25" hidden="false" customHeight="false" outlineLevel="0" collapsed="false">
      <c r="A126" s="1" t="n">
        <v>40</v>
      </c>
      <c r="B126" s="1" t="n">
        <v>2023</v>
      </c>
      <c r="C126" s="3" t="n">
        <v>44952</v>
      </c>
      <c r="D126" s="8" t="s">
        <v>11</v>
      </c>
      <c r="E126" s="9" t="s">
        <v>20</v>
      </c>
      <c r="F126" s="9" t="s">
        <v>13</v>
      </c>
      <c r="G126" s="10"/>
      <c r="H126" s="11" t="n">
        <v>60</v>
      </c>
      <c r="I126" s="11" t="n">
        <v>72</v>
      </c>
      <c r="J126" s="11" t="n">
        <v>66</v>
      </c>
      <c r="K126" s="11" t="n">
        <v>66</v>
      </c>
    </row>
    <row r="127" customFormat="false" ht="25" hidden="false" customHeight="false" outlineLevel="0" collapsed="false">
      <c r="A127" s="1" t="n">
        <v>40</v>
      </c>
      <c r="B127" s="1" t="n">
        <v>2023</v>
      </c>
      <c r="C127" s="3" t="n">
        <v>44952</v>
      </c>
      <c r="D127" s="4" t="s">
        <v>11</v>
      </c>
      <c r="E127" s="5" t="s">
        <v>22</v>
      </c>
      <c r="F127" s="5"/>
      <c r="G127" s="6"/>
      <c r="H127" s="7" t="n">
        <v>15</v>
      </c>
      <c r="I127" s="7" t="n">
        <v>24</v>
      </c>
      <c r="J127" s="7" t="n">
        <v>19</v>
      </c>
      <c r="K127" s="7" t="n">
        <v>18</v>
      </c>
    </row>
    <row r="128" customFormat="false" ht="25" hidden="false" customHeight="false" outlineLevel="0" collapsed="false">
      <c r="A128" s="1" t="n">
        <v>40</v>
      </c>
      <c r="B128" s="1" t="n">
        <v>2023</v>
      </c>
      <c r="C128" s="3" t="n">
        <v>44952</v>
      </c>
      <c r="D128" s="8" t="s">
        <v>11</v>
      </c>
      <c r="E128" s="9" t="s">
        <v>22</v>
      </c>
      <c r="F128" s="9"/>
      <c r="G128" s="10"/>
      <c r="H128" s="11" t="n">
        <v>60</v>
      </c>
      <c r="I128" s="11" t="n">
        <v>84</v>
      </c>
      <c r="J128" s="11" t="n">
        <v>72</v>
      </c>
      <c r="K128" s="11" t="n">
        <v>72</v>
      </c>
    </row>
    <row r="129" customFormat="false" ht="25" hidden="false" customHeight="false" outlineLevel="0" collapsed="false">
      <c r="A129" s="1" t="n">
        <v>40</v>
      </c>
      <c r="B129" s="1" t="n">
        <v>2023</v>
      </c>
      <c r="C129" s="3" t="n">
        <v>44952</v>
      </c>
      <c r="D129" s="4" t="s">
        <v>11</v>
      </c>
      <c r="E129" s="5" t="s">
        <v>23</v>
      </c>
      <c r="F129" s="5" t="s">
        <v>13</v>
      </c>
      <c r="G129" s="7" t="n">
        <v>24</v>
      </c>
      <c r="H129" s="7" t="n">
        <v>18</v>
      </c>
      <c r="I129" s="7" t="n">
        <v>24</v>
      </c>
      <c r="J129" s="7" t="n">
        <v>22</v>
      </c>
      <c r="K129" s="7" t="n">
        <v>24</v>
      </c>
    </row>
    <row r="130" customFormat="false" ht="25" hidden="false" customHeight="false" outlineLevel="0" collapsed="false">
      <c r="A130" s="1" t="n">
        <v>40</v>
      </c>
      <c r="B130" s="1" t="n">
        <v>2023</v>
      </c>
      <c r="C130" s="3" t="n">
        <v>44952</v>
      </c>
      <c r="D130" s="8" t="s">
        <v>11</v>
      </c>
      <c r="E130" s="9" t="s">
        <v>24</v>
      </c>
      <c r="F130" s="9" t="s">
        <v>13</v>
      </c>
      <c r="G130" s="11" t="n">
        <v>60</v>
      </c>
      <c r="H130" s="11" t="n">
        <v>60</v>
      </c>
      <c r="I130" s="11" t="n">
        <v>60</v>
      </c>
      <c r="J130" s="11" t="n">
        <v>60</v>
      </c>
      <c r="K130" s="11" t="n">
        <v>60</v>
      </c>
    </row>
    <row r="131" customFormat="false" ht="25" hidden="false" customHeight="false" outlineLevel="0" collapsed="false">
      <c r="A131" s="1" t="n">
        <v>40</v>
      </c>
      <c r="B131" s="1" t="n">
        <v>2023</v>
      </c>
      <c r="C131" s="3" t="n">
        <v>44952</v>
      </c>
      <c r="D131" s="4" t="s">
        <v>11</v>
      </c>
      <c r="E131" s="5" t="s">
        <v>25</v>
      </c>
      <c r="F131" s="5" t="s">
        <v>26</v>
      </c>
      <c r="G131" s="6"/>
      <c r="H131" s="7" t="n">
        <v>54</v>
      </c>
      <c r="I131" s="7" t="n">
        <v>60</v>
      </c>
      <c r="J131" s="7" t="n">
        <v>57</v>
      </c>
      <c r="K131" s="7" t="n">
        <v>57</v>
      </c>
    </row>
    <row r="132" customFormat="false" ht="25" hidden="false" customHeight="false" outlineLevel="0" collapsed="false">
      <c r="A132" s="1" t="n">
        <v>40</v>
      </c>
      <c r="B132" s="1" t="n">
        <v>2023</v>
      </c>
      <c r="C132" s="3" t="n">
        <v>44952</v>
      </c>
      <c r="D132" s="8" t="s">
        <v>11</v>
      </c>
      <c r="E132" s="9" t="s">
        <v>27</v>
      </c>
      <c r="F132" s="9" t="s">
        <v>13</v>
      </c>
      <c r="G132" s="10"/>
      <c r="H132" s="11" t="n">
        <v>40</v>
      </c>
      <c r="I132" s="11" t="n">
        <v>54</v>
      </c>
      <c r="J132" s="11" t="n">
        <v>47</v>
      </c>
      <c r="K132" s="11" t="n">
        <v>47</v>
      </c>
    </row>
    <row r="133" customFormat="false" ht="25" hidden="false" customHeight="false" outlineLevel="0" collapsed="false">
      <c r="A133" s="1" t="n">
        <v>40</v>
      </c>
      <c r="B133" s="1" t="n">
        <v>2023</v>
      </c>
      <c r="C133" s="3" t="n">
        <v>44952</v>
      </c>
      <c r="D133" s="4" t="s">
        <v>11</v>
      </c>
      <c r="E133" s="5" t="s">
        <v>28</v>
      </c>
      <c r="F133" s="5" t="s">
        <v>13</v>
      </c>
      <c r="G133" s="6"/>
      <c r="H133" s="7" t="n">
        <v>25</v>
      </c>
      <c r="I133" s="7" t="n">
        <v>36</v>
      </c>
      <c r="J133" s="7" t="s">
        <v>96</v>
      </c>
      <c r="K133" s="7" t="n">
        <v>30</v>
      </c>
    </row>
    <row r="134" customFormat="false" ht="25" hidden="false" customHeight="false" outlineLevel="0" collapsed="false">
      <c r="A134" s="1" t="n">
        <v>40</v>
      </c>
      <c r="B134" s="1" t="n">
        <v>2023</v>
      </c>
      <c r="C134" s="3" t="n">
        <v>44952</v>
      </c>
      <c r="D134" s="8" t="s">
        <v>11</v>
      </c>
      <c r="E134" s="9" t="s">
        <v>29</v>
      </c>
      <c r="F134" s="9" t="s">
        <v>13</v>
      </c>
      <c r="G134" s="11" t="n">
        <v>42</v>
      </c>
      <c r="H134" s="11" t="n">
        <v>42</v>
      </c>
      <c r="I134" s="11" t="n">
        <v>42</v>
      </c>
      <c r="J134" s="11" t="n">
        <v>42</v>
      </c>
      <c r="K134" s="11" t="n">
        <v>42</v>
      </c>
    </row>
    <row r="135" customFormat="false" ht="25" hidden="false" customHeight="false" outlineLevel="0" collapsed="false">
      <c r="A135" s="1" t="n">
        <v>40</v>
      </c>
      <c r="B135" s="1" t="n">
        <v>2023</v>
      </c>
      <c r="C135" s="3" t="n">
        <v>44952</v>
      </c>
      <c r="D135" s="4" t="s">
        <v>30</v>
      </c>
      <c r="E135" s="5" t="s">
        <v>31</v>
      </c>
      <c r="F135" s="5" t="s">
        <v>32</v>
      </c>
      <c r="G135" s="6"/>
      <c r="H135" s="7" t="n">
        <v>4</v>
      </c>
      <c r="I135" s="7" t="n">
        <v>5</v>
      </c>
      <c r="J135" s="7" t="s">
        <v>97</v>
      </c>
      <c r="K135" s="7" t="s">
        <v>97</v>
      </c>
    </row>
    <row r="136" customFormat="false" ht="25" hidden="false" customHeight="false" outlineLevel="0" collapsed="false">
      <c r="A136" s="1" t="n">
        <v>40</v>
      </c>
      <c r="B136" s="1" t="n">
        <v>2023</v>
      </c>
      <c r="C136" s="3" t="n">
        <v>44952</v>
      </c>
      <c r="D136" s="8" t="s">
        <v>30</v>
      </c>
      <c r="E136" s="9" t="s">
        <v>34</v>
      </c>
      <c r="F136" s="9" t="s">
        <v>35</v>
      </c>
      <c r="G136" s="10"/>
      <c r="H136" s="11" t="n">
        <v>18</v>
      </c>
      <c r="I136" s="11" t="n">
        <v>20</v>
      </c>
      <c r="J136" s="11" t="n">
        <v>19</v>
      </c>
      <c r="K136" s="11" t="n">
        <v>19</v>
      </c>
    </row>
    <row r="137" customFormat="false" ht="25" hidden="false" customHeight="false" outlineLevel="0" collapsed="false">
      <c r="A137" s="1" t="n">
        <v>40</v>
      </c>
      <c r="B137" s="1" t="n">
        <v>2023</v>
      </c>
      <c r="C137" s="3" t="n">
        <v>44952</v>
      </c>
      <c r="D137" s="4" t="s">
        <v>30</v>
      </c>
      <c r="E137" s="5" t="s">
        <v>36</v>
      </c>
      <c r="F137" s="5" t="s">
        <v>35</v>
      </c>
      <c r="G137" s="7" t="n">
        <v>25</v>
      </c>
      <c r="H137" s="7" t="n">
        <v>25</v>
      </c>
      <c r="I137" s="7" t="n">
        <v>25</v>
      </c>
      <c r="J137" s="7" t="n">
        <v>25</v>
      </c>
      <c r="K137" s="7" t="n">
        <v>25</v>
      </c>
    </row>
    <row r="138" customFormat="false" ht="36.5" hidden="false" customHeight="false" outlineLevel="0" collapsed="false">
      <c r="A138" s="1" t="n">
        <v>40</v>
      </c>
      <c r="B138" s="1" t="n">
        <v>2023</v>
      </c>
      <c r="C138" s="3" t="n">
        <v>44952</v>
      </c>
      <c r="D138" s="8" t="s">
        <v>38</v>
      </c>
      <c r="E138" s="9" t="s">
        <v>39</v>
      </c>
      <c r="F138" s="9" t="s">
        <v>40</v>
      </c>
      <c r="G138" s="11" t="n">
        <v>50</v>
      </c>
      <c r="H138" s="11" t="n">
        <v>30</v>
      </c>
      <c r="I138" s="11" t="n">
        <v>50</v>
      </c>
      <c r="J138" s="11" t="s">
        <v>98</v>
      </c>
      <c r="K138" s="11" t="n">
        <v>45</v>
      </c>
    </row>
    <row r="139" customFormat="false" ht="36.5" hidden="false" customHeight="false" outlineLevel="0" collapsed="false">
      <c r="A139" s="1" t="n">
        <v>40</v>
      </c>
      <c r="B139" s="1" t="n">
        <v>2023</v>
      </c>
      <c r="C139" s="3" t="n">
        <v>44952</v>
      </c>
      <c r="D139" s="4" t="s">
        <v>38</v>
      </c>
      <c r="E139" s="5" t="s">
        <v>42</v>
      </c>
      <c r="F139" s="5" t="s">
        <v>43</v>
      </c>
      <c r="G139" s="7" t="n">
        <v>45</v>
      </c>
      <c r="H139" s="7" t="n">
        <v>35</v>
      </c>
      <c r="I139" s="7" t="n">
        <v>60</v>
      </c>
      <c r="J139" s="7" t="s">
        <v>99</v>
      </c>
      <c r="K139" s="7" t="n">
        <v>45</v>
      </c>
    </row>
    <row r="140" customFormat="false" ht="36.5" hidden="false" customHeight="false" outlineLevel="0" collapsed="false">
      <c r="A140" s="1" t="n">
        <v>40</v>
      </c>
      <c r="B140" s="1" t="n">
        <v>2023</v>
      </c>
      <c r="C140" s="3" t="n">
        <v>44952</v>
      </c>
      <c r="D140" s="8" t="s">
        <v>38</v>
      </c>
      <c r="E140" s="9" t="s">
        <v>44</v>
      </c>
      <c r="F140" s="9" t="s">
        <v>45</v>
      </c>
      <c r="G140" s="11" t="n">
        <v>35</v>
      </c>
      <c r="H140" s="11" t="n">
        <v>30</v>
      </c>
      <c r="I140" s="11" t="n">
        <v>45</v>
      </c>
      <c r="J140" s="11" t="s">
        <v>100</v>
      </c>
      <c r="K140" s="11" t="n">
        <v>40</v>
      </c>
    </row>
    <row r="141" customFormat="false" ht="36.5" hidden="false" customHeight="false" outlineLevel="0" collapsed="false">
      <c r="A141" s="1" t="n">
        <v>40</v>
      </c>
      <c r="B141" s="1" t="n">
        <v>2023</v>
      </c>
      <c r="C141" s="3" t="n">
        <v>44952</v>
      </c>
      <c r="D141" s="4" t="s">
        <v>38</v>
      </c>
      <c r="E141" s="5" t="s">
        <v>48</v>
      </c>
      <c r="F141" s="5" t="s">
        <v>45</v>
      </c>
      <c r="G141" s="6"/>
      <c r="H141" s="7" t="n">
        <v>120</v>
      </c>
      <c r="I141" s="7" t="n">
        <v>120</v>
      </c>
      <c r="J141" s="7" t="n">
        <v>120</v>
      </c>
      <c r="K141" s="7" t="n">
        <v>120</v>
      </c>
    </row>
    <row r="142" customFormat="false" ht="36.5" hidden="false" customHeight="false" outlineLevel="0" collapsed="false">
      <c r="A142" s="1" t="n">
        <v>40</v>
      </c>
      <c r="B142" s="1" t="n">
        <v>2023</v>
      </c>
      <c r="C142" s="3" t="n">
        <v>44952</v>
      </c>
      <c r="D142" s="8" t="s">
        <v>38</v>
      </c>
      <c r="E142" s="9" t="s">
        <v>49</v>
      </c>
      <c r="F142" s="9" t="s">
        <v>50</v>
      </c>
      <c r="G142" s="11" t="n">
        <v>60</v>
      </c>
      <c r="H142" s="11" t="n">
        <v>50</v>
      </c>
      <c r="I142" s="11" t="n">
        <v>65</v>
      </c>
      <c r="J142" s="11" t="s">
        <v>101</v>
      </c>
      <c r="K142" s="11" t="n">
        <v>60</v>
      </c>
    </row>
    <row r="143" customFormat="false" ht="36.5" hidden="false" customHeight="false" outlineLevel="0" collapsed="false">
      <c r="A143" s="1" t="n">
        <v>40</v>
      </c>
      <c r="B143" s="1" t="n">
        <v>2023</v>
      </c>
      <c r="C143" s="3" t="n">
        <v>44952</v>
      </c>
      <c r="D143" s="4" t="s">
        <v>38</v>
      </c>
      <c r="E143" s="5" t="s">
        <v>52</v>
      </c>
      <c r="F143" s="5" t="s">
        <v>43</v>
      </c>
      <c r="G143" s="7" t="n">
        <v>60</v>
      </c>
      <c r="H143" s="7" t="n">
        <v>60</v>
      </c>
      <c r="I143" s="7" t="n">
        <v>80</v>
      </c>
      <c r="J143" s="7" t="n">
        <v>68</v>
      </c>
      <c r="K143" s="7" t="n">
        <v>60</v>
      </c>
    </row>
    <row r="144" customFormat="false" ht="36.5" hidden="false" customHeight="false" outlineLevel="0" collapsed="false">
      <c r="A144" s="1" t="n">
        <v>40</v>
      </c>
      <c r="B144" s="1" t="n">
        <v>2023</v>
      </c>
      <c r="C144" s="3" t="n">
        <v>44952</v>
      </c>
      <c r="D144" s="8" t="s">
        <v>38</v>
      </c>
      <c r="E144" s="9" t="s">
        <v>53</v>
      </c>
      <c r="F144" s="9" t="s">
        <v>43</v>
      </c>
      <c r="G144" s="11" t="n">
        <v>70</v>
      </c>
      <c r="H144" s="11" t="n">
        <v>50</v>
      </c>
      <c r="I144" s="11" t="n">
        <v>80</v>
      </c>
      <c r="J144" s="11" t="s">
        <v>102</v>
      </c>
      <c r="K144" s="11" t="n">
        <v>70</v>
      </c>
    </row>
    <row r="145" customFormat="false" ht="36.5" hidden="false" customHeight="false" outlineLevel="0" collapsed="false">
      <c r="A145" s="1" t="n">
        <v>40</v>
      </c>
      <c r="B145" s="1" t="n">
        <v>2023</v>
      </c>
      <c r="C145" s="3" t="n">
        <v>44952</v>
      </c>
      <c r="D145" s="4" t="s">
        <v>38</v>
      </c>
      <c r="E145" s="5" t="s">
        <v>54</v>
      </c>
      <c r="F145" s="5" t="s">
        <v>40</v>
      </c>
      <c r="G145" s="7" t="n">
        <v>70</v>
      </c>
      <c r="H145" s="7" t="n">
        <v>60</v>
      </c>
      <c r="I145" s="7" t="n">
        <v>70</v>
      </c>
      <c r="J145" s="7" t="s">
        <v>84</v>
      </c>
      <c r="K145" s="7" t="n">
        <v>70</v>
      </c>
    </row>
    <row r="146" customFormat="false" ht="36.5" hidden="false" customHeight="false" outlineLevel="0" collapsed="false">
      <c r="A146" s="1" t="n">
        <v>40</v>
      </c>
      <c r="B146" s="1" t="n">
        <v>2023</v>
      </c>
      <c r="C146" s="3" t="n">
        <v>44952</v>
      </c>
      <c r="D146" s="8" t="s">
        <v>38</v>
      </c>
      <c r="E146" s="9" t="s">
        <v>56</v>
      </c>
      <c r="F146" s="9" t="s">
        <v>43</v>
      </c>
      <c r="G146" s="10"/>
      <c r="H146" s="11" t="n">
        <v>60</v>
      </c>
      <c r="I146" s="11" t="n">
        <v>70</v>
      </c>
      <c r="J146" s="11" t="n">
        <v>65</v>
      </c>
      <c r="K146" s="11" t="n">
        <v>65</v>
      </c>
    </row>
    <row r="147" customFormat="false" ht="36.5" hidden="false" customHeight="false" outlineLevel="0" collapsed="false">
      <c r="A147" s="1" t="n">
        <v>40</v>
      </c>
      <c r="B147" s="1" t="n">
        <v>2023</v>
      </c>
      <c r="C147" s="3" t="n">
        <v>44952</v>
      </c>
      <c r="D147" s="4" t="s">
        <v>38</v>
      </c>
      <c r="E147" s="5" t="s">
        <v>57</v>
      </c>
      <c r="F147" s="5" t="s">
        <v>40</v>
      </c>
      <c r="G147" s="7" t="n">
        <v>60</v>
      </c>
      <c r="H147" s="7" t="n">
        <v>40</v>
      </c>
      <c r="I147" s="7" t="n">
        <v>60</v>
      </c>
      <c r="J147" s="7" t="n">
        <v>53</v>
      </c>
      <c r="K147" s="7" t="n">
        <v>60</v>
      </c>
    </row>
    <row r="148" customFormat="false" ht="36.5" hidden="false" customHeight="false" outlineLevel="0" collapsed="false">
      <c r="A148" s="1" t="n">
        <v>40</v>
      </c>
      <c r="B148" s="1" t="n">
        <v>2023</v>
      </c>
      <c r="C148" s="3" t="n">
        <v>44952</v>
      </c>
      <c r="D148" s="8" t="s">
        <v>38</v>
      </c>
      <c r="E148" s="9" t="s">
        <v>58</v>
      </c>
      <c r="F148" s="9" t="s">
        <v>40</v>
      </c>
      <c r="G148" s="11" t="n">
        <v>70</v>
      </c>
      <c r="H148" s="11" t="n">
        <v>50</v>
      </c>
      <c r="I148" s="11" t="n">
        <v>90</v>
      </c>
      <c r="J148" s="11" t="s">
        <v>103</v>
      </c>
      <c r="K148" s="11" t="n">
        <v>70</v>
      </c>
    </row>
    <row r="149" customFormat="false" ht="36.5" hidden="false" customHeight="false" outlineLevel="0" collapsed="false">
      <c r="A149" s="1" t="n">
        <v>40</v>
      </c>
      <c r="B149" s="1" t="n">
        <v>2023</v>
      </c>
      <c r="C149" s="3" t="n">
        <v>44952</v>
      </c>
      <c r="D149" s="4" t="s">
        <v>38</v>
      </c>
      <c r="E149" s="5" t="s">
        <v>59</v>
      </c>
      <c r="F149" s="5" t="s">
        <v>45</v>
      </c>
      <c r="G149" s="7" t="n">
        <v>40</v>
      </c>
      <c r="H149" s="7" t="n">
        <v>35</v>
      </c>
      <c r="I149" s="7" t="n">
        <v>40</v>
      </c>
      <c r="J149" s="7" t="s">
        <v>104</v>
      </c>
      <c r="K149" s="7" t="n">
        <v>40</v>
      </c>
    </row>
    <row r="150" customFormat="false" ht="36.5" hidden="false" customHeight="false" outlineLevel="0" collapsed="false">
      <c r="A150" s="1" t="n">
        <v>40</v>
      </c>
      <c r="B150" s="1" t="n">
        <v>2023</v>
      </c>
      <c r="C150" s="3" t="n">
        <v>44952</v>
      </c>
      <c r="D150" s="8" t="s">
        <v>38</v>
      </c>
      <c r="E150" s="9" t="s">
        <v>60</v>
      </c>
      <c r="F150" s="9" t="s">
        <v>61</v>
      </c>
      <c r="G150" s="11" t="n">
        <v>80</v>
      </c>
      <c r="H150" s="11" t="n">
        <v>80</v>
      </c>
      <c r="I150" s="11" t="n">
        <v>100</v>
      </c>
      <c r="J150" s="11" t="n">
        <v>85</v>
      </c>
      <c r="K150" s="11" t="n">
        <v>80</v>
      </c>
    </row>
    <row r="151" customFormat="false" ht="36.5" hidden="false" customHeight="false" outlineLevel="0" collapsed="false">
      <c r="A151" s="1" t="n">
        <v>40</v>
      </c>
      <c r="B151" s="1" t="n">
        <v>2023</v>
      </c>
      <c r="C151" s="3" t="n">
        <v>44952</v>
      </c>
      <c r="D151" s="4" t="s">
        <v>38</v>
      </c>
      <c r="E151" s="5" t="s">
        <v>63</v>
      </c>
      <c r="F151" s="5" t="s">
        <v>40</v>
      </c>
      <c r="G151" s="7" t="n">
        <v>70</v>
      </c>
      <c r="H151" s="7" t="n">
        <v>70</v>
      </c>
      <c r="I151" s="7" t="n">
        <v>80</v>
      </c>
      <c r="J151" s="7" t="s">
        <v>93</v>
      </c>
      <c r="K151" s="7" t="n">
        <v>70</v>
      </c>
    </row>
    <row r="152" customFormat="false" ht="36.5" hidden="false" customHeight="false" outlineLevel="0" collapsed="false">
      <c r="A152" s="1" t="n">
        <v>40</v>
      </c>
      <c r="B152" s="1" t="n">
        <v>2023</v>
      </c>
      <c r="C152" s="3" t="n">
        <v>44952</v>
      </c>
      <c r="D152" s="8" t="s">
        <v>38</v>
      </c>
      <c r="E152" s="9" t="s">
        <v>64</v>
      </c>
      <c r="F152" s="9" t="s">
        <v>40</v>
      </c>
      <c r="G152" s="11" t="n">
        <v>100</v>
      </c>
      <c r="H152" s="11" t="n">
        <v>100</v>
      </c>
      <c r="I152" s="11" t="n">
        <v>120</v>
      </c>
      <c r="J152" s="11" t="s">
        <v>105</v>
      </c>
      <c r="K152" s="11" t="n">
        <v>105</v>
      </c>
    </row>
    <row r="153" customFormat="false" ht="14.25" hidden="false" customHeight="false" outlineLevel="0" collapsed="false">
      <c r="A153" s="1" t="n">
        <v>40</v>
      </c>
      <c r="B153" s="1" t="n">
        <v>2023</v>
      </c>
      <c r="C153" s="3" t="n">
        <v>44952</v>
      </c>
      <c r="D153" s="4" t="s">
        <v>65</v>
      </c>
      <c r="E153" s="5" t="s">
        <v>66</v>
      </c>
      <c r="F153" s="5" t="s">
        <v>40</v>
      </c>
      <c r="G153" s="6"/>
      <c r="H153" s="6"/>
      <c r="I153" s="6"/>
      <c r="J153" s="6"/>
      <c r="K153" s="6"/>
    </row>
    <row r="154" customFormat="false" ht="14.25" hidden="false" customHeight="false" outlineLevel="0" collapsed="false">
      <c r="A154" s="1" t="n">
        <v>40</v>
      </c>
      <c r="B154" s="1" t="n">
        <v>2023</v>
      </c>
      <c r="C154" s="3" t="n">
        <v>44952</v>
      </c>
      <c r="D154" s="8" t="s">
        <v>65</v>
      </c>
      <c r="E154" s="9" t="s">
        <v>67</v>
      </c>
      <c r="F154" s="9" t="s">
        <v>40</v>
      </c>
      <c r="G154" s="10"/>
      <c r="H154" s="10"/>
      <c r="I154" s="10"/>
      <c r="J154" s="10"/>
      <c r="K154" s="10"/>
    </row>
    <row r="155" customFormat="false" ht="14.25" hidden="false" customHeight="false" outlineLevel="0" collapsed="false">
      <c r="A155" s="1" t="n">
        <v>40</v>
      </c>
      <c r="B155" s="1" t="n">
        <v>2023</v>
      </c>
      <c r="C155" s="3" t="n">
        <v>44952</v>
      </c>
      <c r="D155" s="4" t="s">
        <v>65</v>
      </c>
      <c r="E155" s="5" t="s">
        <v>68</v>
      </c>
      <c r="F155" s="5" t="s">
        <v>40</v>
      </c>
      <c r="G155" s="6"/>
      <c r="H155" s="6"/>
      <c r="I155" s="6"/>
      <c r="J155" s="6"/>
      <c r="K155" s="6"/>
    </row>
    <row r="156" customFormat="false" ht="14.25" hidden="false" customHeight="false" outlineLevel="0" collapsed="false">
      <c r="A156" s="1" t="n">
        <v>40</v>
      </c>
      <c r="B156" s="1" t="n">
        <v>2023</v>
      </c>
      <c r="C156" s="3" t="n">
        <v>44952</v>
      </c>
      <c r="D156" s="8" t="s">
        <v>65</v>
      </c>
      <c r="E156" s="9" t="s">
        <v>69</v>
      </c>
      <c r="F156" s="9" t="s">
        <v>45</v>
      </c>
      <c r="G156" s="10"/>
      <c r="H156" s="10"/>
      <c r="I156" s="10"/>
      <c r="J156" s="10"/>
      <c r="K156" s="10"/>
    </row>
    <row r="157" customFormat="false" ht="14.25" hidden="false" customHeight="false" outlineLevel="0" collapsed="false">
      <c r="A157" s="1" t="n">
        <v>40</v>
      </c>
      <c r="B157" s="1" t="n">
        <v>2023</v>
      </c>
      <c r="C157" s="3" t="n">
        <v>44952</v>
      </c>
      <c r="D157" s="4" t="s">
        <v>65</v>
      </c>
      <c r="E157" s="5" t="s">
        <v>70</v>
      </c>
      <c r="F157" s="5" t="s">
        <v>71</v>
      </c>
      <c r="G157" s="6"/>
      <c r="H157" s="6"/>
      <c r="I157" s="6"/>
      <c r="J157" s="6"/>
      <c r="K157" s="6"/>
    </row>
    <row r="158" customFormat="false" ht="25" hidden="false" customHeight="false" outlineLevel="0" collapsed="false">
      <c r="A158" s="1" t="n">
        <v>41</v>
      </c>
      <c r="B158" s="1" t="n">
        <v>2023</v>
      </c>
      <c r="C158" s="3" t="n">
        <v>44959</v>
      </c>
      <c r="D158" s="4" t="s">
        <v>11</v>
      </c>
      <c r="E158" s="5" t="s">
        <v>12</v>
      </c>
      <c r="F158" s="5" t="s">
        <v>13</v>
      </c>
      <c r="G158" s="7" t="n">
        <v>42</v>
      </c>
      <c r="H158" s="7" t="n">
        <v>42</v>
      </c>
      <c r="I158" s="7" t="n">
        <v>42</v>
      </c>
      <c r="J158" s="7" t="n">
        <v>42</v>
      </c>
      <c r="K158" s="7" t="n">
        <v>42</v>
      </c>
    </row>
    <row r="159" customFormat="false" ht="25" hidden="false" customHeight="false" outlineLevel="0" collapsed="false">
      <c r="A159" s="1" t="n">
        <v>41</v>
      </c>
      <c r="B159" s="1" t="n">
        <v>2023</v>
      </c>
      <c r="C159" s="3" t="n">
        <v>44959</v>
      </c>
      <c r="D159" s="8" t="s">
        <v>11</v>
      </c>
      <c r="E159" s="9" t="s">
        <v>14</v>
      </c>
      <c r="F159" s="9" t="s">
        <v>13</v>
      </c>
      <c r="G159" s="11" t="n">
        <v>60</v>
      </c>
      <c r="H159" s="11" t="n">
        <v>60</v>
      </c>
      <c r="I159" s="11" t="n">
        <v>60</v>
      </c>
      <c r="J159" s="11" t="n">
        <v>60</v>
      </c>
      <c r="K159" s="11" t="n">
        <v>60</v>
      </c>
    </row>
    <row r="160" customFormat="false" ht="25" hidden="false" customHeight="false" outlineLevel="0" collapsed="false">
      <c r="A160" s="1" t="n">
        <v>41</v>
      </c>
      <c r="B160" s="1" t="n">
        <v>2023</v>
      </c>
      <c r="C160" s="3" t="n">
        <v>44959</v>
      </c>
      <c r="D160" s="4" t="s">
        <v>11</v>
      </c>
      <c r="E160" s="5" t="s">
        <v>15</v>
      </c>
      <c r="F160" s="5" t="s">
        <v>13</v>
      </c>
      <c r="G160" s="7" t="n">
        <v>30</v>
      </c>
      <c r="H160" s="7" t="n">
        <v>30</v>
      </c>
      <c r="I160" s="7" t="n">
        <v>42</v>
      </c>
      <c r="J160" s="7" t="s">
        <v>106</v>
      </c>
      <c r="K160" s="7" t="s">
        <v>107</v>
      </c>
    </row>
    <row r="161" customFormat="false" ht="25" hidden="false" customHeight="false" outlineLevel="0" collapsed="false">
      <c r="A161" s="1" t="n">
        <v>41</v>
      </c>
      <c r="B161" s="1" t="n">
        <v>2023</v>
      </c>
      <c r="C161" s="3" t="n">
        <v>44959</v>
      </c>
      <c r="D161" s="8" t="s">
        <v>11</v>
      </c>
      <c r="E161" s="9" t="s">
        <v>16</v>
      </c>
      <c r="F161" s="9" t="s">
        <v>13</v>
      </c>
      <c r="G161" s="11" t="n">
        <v>18</v>
      </c>
      <c r="H161" s="11" t="n">
        <v>18</v>
      </c>
      <c r="I161" s="11" t="n">
        <v>24</v>
      </c>
      <c r="J161" s="11" t="n">
        <v>21</v>
      </c>
      <c r="K161" s="11" t="n">
        <v>21</v>
      </c>
    </row>
    <row r="162" customFormat="false" ht="25" hidden="false" customHeight="false" outlineLevel="0" collapsed="false">
      <c r="A162" s="1" t="n">
        <v>41</v>
      </c>
      <c r="B162" s="1" t="n">
        <v>2023</v>
      </c>
      <c r="C162" s="3" t="n">
        <v>44959</v>
      </c>
      <c r="D162" s="4" t="s">
        <v>11</v>
      </c>
      <c r="E162" s="5" t="s">
        <v>17</v>
      </c>
      <c r="F162" s="5" t="s">
        <v>13</v>
      </c>
      <c r="G162" s="7" t="n">
        <v>18</v>
      </c>
      <c r="H162" s="7" t="n">
        <v>18</v>
      </c>
      <c r="I162" s="7" t="n">
        <v>24</v>
      </c>
      <c r="J162" s="7" t="n">
        <v>21</v>
      </c>
      <c r="K162" s="7" t="n">
        <v>21</v>
      </c>
    </row>
    <row r="163" customFormat="false" ht="25" hidden="false" customHeight="false" outlineLevel="0" collapsed="false">
      <c r="A163" s="1" t="n">
        <v>41</v>
      </c>
      <c r="B163" s="1" t="n">
        <v>2023</v>
      </c>
      <c r="C163" s="3" t="n">
        <v>44959</v>
      </c>
      <c r="D163" s="8" t="s">
        <v>11</v>
      </c>
      <c r="E163" s="9" t="s">
        <v>18</v>
      </c>
      <c r="F163" s="9" t="s">
        <v>13</v>
      </c>
      <c r="G163" s="11" t="n">
        <v>42</v>
      </c>
      <c r="H163" s="11" t="n">
        <v>42</v>
      </c>
      <c r="I163" s="11" t="n">
        <v>48</v>
      </c>
      <c r="J163" s="11" t="n">
        <v>44</v>
      </c>
      <c r="K163" s="11" t="n">
        <v>42</v>
      </c>
    </row>
    <row r="164" customFormat="false" ht="25" hidden="false" customHeight="false" outlineLevel="0" collapsed="false">
      <c r="A164" s="1" t="n">
        <v>41</v>
      </c>
      <c r="B164" s="1" t="n">
        <v>2023</v>
      </c>
      <c r="C164" s="3" t="n">
        <v>44959</v>
      </c>
      <c r="D164" s="4" t="s">
        <v>11</v>
      </c>
      <c r="E164" s="5" t="s">
        <v>19</v>
      </c>
      <c r="F164" s="5" t="s">
        <v>13</v>
      </c>
      <c r="G164" s="6"/>
      <c r="H164" s="7" t="n">
        <v>72</v>
      </c>
      <c r="I164" s="7" t="n">
        <v>78</v>
      </c>
      <c r="J164" s="7" t="n">
        <v>75</v>
      </c>
      <c r="K164" s="7" t="n">
        <v>75</v>
      </c>
    </row>
    <row r="165" customFormat="false" ht="25" hidden="false" customHeight="false" outlineLevel="0" collapsed="false">
      <c r="A165" s="1" t="n">
        <v>41</v>
      </c>
      <c r="B165" s="1" t="n">
        <v>2023</v>
      </c>
      <c r="C165" s="3" t="n">
        <v>44959</v>
      </c>
      <c r="D165" s="8" t="s">
        <v>11</v>
      </c>
      <c r="E165" s="9" t="s">
        <v>20</v>
      </c>
      <c r="F165" s="9" t="s">
        <v>13</v>
      </c>
      <c r="G165" s="10"/>
      <c r="H165" s="11" t="n">
        <v>48</v>
      </c>
      <c r="I165" s="11" t="n">
        <v>60</v>
      </c>
      <c r="J165" s="11" t="n">
        <v>54</v>
      </c>
      <c r="K165" s="11" t="n">
        <v>54</v>
      </c>
    </row>
    <row r="166" customFormat="false" ht="25" hidden="false" customHeight="false" outlineLevel="0" collapsed="false">
      <c r="A166" s="1" t="n">
        <v>41</v>
      </c>
      <c r="B166" s="1" t="n">
        <v>2023</v>
      </c>
      <c r="C166" s="3" t="n">
        <v>44959</v>
      </c>
      <c r="D166" s="4" t="s">
        <v>11</v>
      </c>
      <c r="E166" s="5" t="s">
        <v>22</v>
      </c>
      <c r="F166" s="5"/>
      <c r="G166" s="6"/>
      <c r="H166" s="7" t="n">
        <v>18</v>
      </c>
      <c r="I166" s="7" t="n">
        <v>24</v>
      </c>
      <c r="J166" s="7" t="s">
        <v>88</v>
      </c>
      <c r="K166" s="7" t="n">
        <v>20</v>
      </c>
    </row>
    <row r="167" customFormat="false" ht="25" hidden="false" customHeight="false" outlineLevel="0" collapsed="false">
      <c r="A167" s="1" t="n">
        <v>41</v>
      </c>
      <c r="B167" s="1" t="n">
        <v>2023</v>
      </c>
      <c r="C167" s="3" t="n">
        <v>44959</v>
      </c>
      <c r="D167" s="8" t="s">
        <v>11</v>
      </c>
      <c r="E167" s="9" t="s">
        <v>22</v>
      </c>
      <c r="F167" s="9"/>
      <c r="G167" s="10"/>
      <c r="H167" s="11" t="n">
        <v>80</v>
      </c>
      <c r="I167" s="11" t="n">
        <v>80</v>
      </c>
      <c r="J167" s="11" t="n">
        <v>80</v>
      </c>
      <c r="K167" s="11" t="n">
        <v>80</v>
      </c>
    </row>
    <row r="168" customFormat="false" ht="25" hidden="false" customHeight="false" outlineLevel="0" collapsed="false">
      <c r="A168" s="1" t="n">
        <v>41</v>
      </c>
      <c r="B168" s="1" t="n">
        <v>2023</v>
      </c>
      <c r="C168" s="3" t="n">
        <v>44959</v>
      </c>
      <c r="D168" s="4" t="s">
        <v>11</v>
      </c>
      <c r="E168" s="5" t="s">
        <v>23</v>
      </c>
      <c r="F168" s="5" t="s">
        <v>13</v>
      </c>
      <c r="G168" s="7" t="n">
        <v>18</v>
      </c>
      <c r="H168" s="7" t="n">
        <v>18</v>
      </c>
      <c r="I168" s="7" t="n">
        <v>24</v>
      </c>
      <c r="J168" s="7" t="n">
        <v>21</v>
      </c>
      <c r="K168" s="7" t="n">
        <v>21</v>
      </c>
    </row>
    <row r="169" customFormat="false" ht="25" hidden="false" customHeight="false" outlineLevel="0" collapsed="false">
      <c r="A169" s="1" t="n">
        <v>41</v>
      </c>
      <c r="B169" s="1" t="n">
        <v>2023</v>
      </c>
      <c r="C169" s="3" t="n">
        <v>44959</v>
      </c>
      <c r="D169" s="8" t="s">
        <v>11</v>
      </c>
      <c r="E169" s="9" t="s">
        <v>24</v>
      </c>
      <c r="F169" s="9" t="s">
        <v>13</v>
      </c>
      <c r="G169" s="10"/>
      <c r="H169" s="11" t="n">
        <v>36</v>
      </c>
      <c r="I169" s="11" t="n">
        <v>60</v>
      </c>
      <c r="J169" s="11" t="n">
        <v>48</v>
      </c>
      <c r="K169" s="11" t="n">
        <v>48</v>
      </c>
    </row>
    <row r="170" customFormat="false" ht="25" hidden="false" customHeight="false" outlineLevel="0" collapsed="false">
      <c r="A170" s="1" t="n">
        <v>41</v>
      </c>
      <c r="B170" s="1" t="n">
        <v>2023</v>
      </c>
      <c r="C170" s="3" t="n">
        <v>44959</v>
      </c>
      <c r="D170" s="4" t="s">
        <v>11</v>
      </c>
      <c r="E170" s="5" t="s">
        <v>25</v>
      </c>
      <c r="F170" s="5" t="s">
        <v>26</v>
      </c>
      <c r="G170" s="6"/>
      <c r="H170" s="7" t="n">
        <v>36</v>
      </c>
      <c r="I170" s="7" t="n">
        <v>54</v>
      </c>
      <c r="J170" s="7" t="n">
        <v>46</v>
      </c>
      <c r="K170" s="7" t="n">
        <v>48</v>
      </c>
    </row>
    <row r="171" customFormat="false" ht="25" hidden="false" customHeight="false" outlineLevel="0" collapsed="false">
      <c r="A171" s="1" t="n">
        <v>41</v>
      </c>
      <c r="B171" s="1" t="n">
        <v>2023</v>
      </c>
      <c r="C171" s="3" t="n">
        <v>44959</v>
      </c>
      <c r="D171" s="8" t="s">
        <v>11</v>
      </c>
      <c r="E171" s="9" t="s">
        <v>27</v>
      </c>
      <c r="F171" s="9" t="s">
        <v>13</v>
      </c>
      <c r="G171" s="10"/>
      <c r="H171" s="11" t="n">
        <v>40</v>
      </c>
      <c r="I171" s="11" t="n">
        <v>40</v>
      </c>
      <c r="J171" s="11" t="n">
        <v>40</v>
      </c>
      <c r="K171" s="11" t="n">
        <v>40</v>
      </c>
    </row>
    <row r="172" customFormat="false" ht="25" hidden="false" customHeight="false" outlineLevel="0" collapsed="false">
      <c r="A172" s="1" t="n">
        <v>41</v>
      </c>
      <c r="B172" s="1" t="n">
        <v>2023</v>
      </c>
      <c r="C172" s="3" t="n">
        <v>44959</v>
      </c>
      <c r="D172" s="4" t="s">
        <v>11</v>
      </c>
      <c r="E172" s="5" t="s">
        <v>28</v>
      </c>
      <c r="F172" s="5" t="s">
        <v>13</v>
      </c>
      <c r="G172" s="6"/>
      <c r="H172" s="7" t="n">
        <v>25</v>
      </c>
      <c r="I172" s="7" t="n">
        <v>40</v>
      </c>
      <c r="J172" s="7" t="s">
        <v>108</v>
      </c>
      <c r="K172" s="7" t="n">
        <v>30</v>
      </c>
    </row>
    <row r="173" customFormat="false" ht="25" hidden="false" customHeight="false" outlineLevel="0" collapsed="false">
      <c r="A173" s="1" t="n">
        <v>41</v>
      </c>
      <c r="B173" s="1" t="n">
        <v>2023</v>
      </c>
      <c r="C173" s="3" t="n">
        <v>44959</v>
      </c>
      <c r="D173" s="8" t="s">
        <v>11</v>
      </c>
      <c r="E173" s="9" t="s">
        <v>29</v>
      </c>
      <c r="F173" s="9" t="s">
        <v>13</v>
      </c>
      <c r="G173" s="11" t="n">
        <v>36</v>
      </c>
      <c r="H173" s="11" t="n">
        <v>36</v>
      </c>
      <c r="I173" s="11" t="n">
        <v>42</v>
      </c>
      <c r="J173" s="11" t="n">
        <v>39</v>
      </c>
      <c r="K173" s="11" t="n">
        <v>39</v>
      </c>
    </row>
    <row r="174" customFormat="false" ht="25" hidden="false" customHeight="false" outlineLevel="0" collapsed="false">
      <c r="A174" s="1" t="n">
        <v>41</v>
      </c>
      <c r="B174" s="1" t="n">
        <v>2023</v>
      </c>
      <c r="C174" s="3" t="n">
        <v>44959</v>
      </c>
      <c r="D174" s="4" t="s">
        <v>30</v>
      </c>
      <c r="E174" s="5" t="s">
        <v>31</v>
      </c>
      <c r="F174" s="5" t="s">
        <v>32</v>
      </c>
      <c r="G174" s="6"/>
      <c r="H174" s="7" t="s">
        <v>74</v>
      </c>
      <c r="I174" s="7" t="n">
        <v>5</v>
      </c>
      <c r="J174" s="7" t="s">
        <v>109</v>
      </c>
      <c r="K174" s="7" t="n">
        <v>4</v>
      </c>
    </row>
    <row r="175" customFormat="false" ht="25" hidden="false" customHeight="false" outlineLevel="0" collapsed="false">
      <c r="A175" s="1" t="n">
        <v>41</v>
      </c>
      <c r="B175" s="1" t="n">
        <v>2023</v>
      </c>
      <c r="C175" s="3" t="n">
        <v>44959</v>
      </c>
      <c r="D175" s="8" t="s">
        <v>30</v>
      </c>
      <c r="E175" s="9" t="s">
        <v>34</v>
      </c>
      <c r="F175" s="9" t="s">
        <v>35</v>
      </c>
      <c r="G175" s="11" t="n">
        <v>20</v>
      </c>
      <c r="H175" s="11" t="n">
        <v>20</v>
      </c>
      <c r="I175" s="11" t="n">
        <v>22</v>
      </c>
      <c r="J175" s="11" t="s">
        <v>88</v>
      </c>
      <c r="K175" s="11" t="n">
        <v>20</v>
      </c>
    </row>
    <row r="176" customFormat="false" ht="25" hidden="false" customHeight="false" outlineLevel="0" collapsed="false">
      <c r="A176" s="1" t="n">
        <v>41</v>
      </c>
      <c r="B176" s="1" t="n">
        <v>2023</v>
      </c>
      <c r="C176" s="3" t="n">
        <v>44959</v>
      </c>
      <c r="D176" s="4" t="s">
        <v>30</v>
      </c>
      <c r="E176" s="5" t="s">
        <v>36</v>
      </c>
      <c r="F176" s="5" t="s">
        <v>35</v>
      </c>
      <c r="G176" s="7" t="n">
        <v>20</v>
      </c>
      <c r="H176" s="7" t="n">
        <v>20</v>
      </c>
      <c r="I176" s="7" t="n">
        <v>30</v>
      </c>
      <c r="J176" s="7" t="s">
        <v>110</v>
      </c>
      <c r="K176" s="7" t="n">
        <v>20</v>
      </c>
    </row>
    <row r="177" customFormat="false" ht="36.5" hidden="false" customHeight="false" outlineLevel="0" collapsed="false">
      <c r="A177" s="1" t="n">
        <v>41</v>
      </c>
      <c r="B177" s="1" t="n">
        <v>2023</v>
      </c>
      <c r="C177" s="3" t="n">
        <v>44959</v>
      </c>
      <c r="D177" s="8" t="s">
        <v>38</v>
      </c>
      <c r="E177" s="9" t="s">
        <v>39</v>
      </c>
      <c r="F177" s="9" t="s">
        <v>40</v>
      </c>
      <c r="G177" s="11" t="n">
        <v>35</v>
      </c>
      <c r="H177" s="11" t="n">
        <v>35</v>
      </c>
      <c r="I177" s="11" t="n">
        <v>65</v>
      </c>
      <c r="J177" s="11" t="s">
        <v>111</v>
      </c>
      <c r="K177" s="11" t="n">
        <v>50</v>
      </c>
    </row>
    <row r="178" customFormat="false" ht="36.5" hidden="false" customHeight="false" outlineLevel="0" collapsed="false">
      <c r="A178" s="1" t="n">
        <v>41</v>
      </c>
      <c r="B178" s="1" t="n">
        <v>2023</v>
      </c>
      <c r="C178" s="3" t="n">
        <v>44959</v>
      </c>
      <c r="D178" s="4" t="s">
        <v>38</v>
      </c>
      <c r="E178" s="5" t="s">
        <v>42</v>
      </c>
      <c r="F178" s="5" t="s">
        <v>43</v>
      </c>
      <c r="G178" s="7" t="n">
        <v>35</v>
      </c>
      <c r="H178" s="7" t="n">
        <v>35</v>
      </c>
      <c r="I178" s="7" t="n">
        <v>65</v>
      </c>
      <c r="J178" s="7" t="s">
        <v>112</v>
      </c>
      <c r="K178" s="7" t="n">
        <v>55</v>
      </c>
    </row>
    <row r="179" customFormat="false" ht="36.5" hidden="false" customHeight="false" outlineLevel="0" collapsed="false">
      <c r="A179" s="1" t="n">
        <v>41</v>
      </c>
      <c r="B179" s="1" t="n">
        <v>2023</v>
      </c>
      <c r="C179" s="3" t="n">
        <v>44959</v>
      </c>
      <c r="D179" s="8" t="s">
        <v>38</v>
      </c>
      <c r="E179" s="9" t="s">
        <v>44</v>
      </c>
      <c r="F179" s="9" t="s">
        <v>45</v>
      </c>
      <c r="G179" s="11" t="n">
        <v>35</v>
      </c>
      <c r="H179" s="11" t="n">
        <v>30</v>
      </c>
      <c r="I179" s="11" t="n">
        <v>50</v>
      </c>
      <c r="J179" s="11" t="s">
        <v>113</v>
      </c>
      <c r="K179" s="11" t="n">
        <v>35</v>
      </c>
    </row>
    <row r="180" customFormat="false" ht="36.5" hidden="false" customHeight="false" outlineLevel="0" collapsed="false">
      <c r="A180" s="1" t="n">
        <v>41</v>
      </c>
      <c r="B180" s="1" t="n">
        <v>2023</v>
      </c>
      <c r="C180" s="3" t="n">
        <v>44959</v>
      </c>
      <c r="D180" s="4" t="s">
        <v>38</v>
      </c>
      <c r="E180" s="5" t="s">
        <v>48</v>
      </c>
      <c r="F180" s="5" t="s">
        <v>45</v>
      </c>
      <c r="G180" s="7" t="n">
        <v>100</v>
      </c>
      <c r="H180" s="7" t="n">
        <v>100</v>
      </c>
      <c r="I180" s="7" t="n">
        <v>110</v>
      </c>
      <c r="J180" s="7" t="s">
        <v>114</v>
      </c>
      <c r="K180" s="7" t="n">
        <v>100</v>
      </c>
    </row>
    <row r="181" customFormat="false" ht="36.5" hidden="false" customHeight="false" outlineLevel="0" collapsed="false">
      <c r="A181" s="1" t="n">
        <v>41</v>
      </c>
      <c r="B181" s="1" t="n">
        <v>2023</v>
      </c>
      <c r="C181" s="3" t="n">
        <v>44959</v>
      </c>
      <c r="D181" s="8" t="s">
        <v>38</v>
      </c>
      <c r="E181" s="9" t="s">
        <v>49</v>
      </c>
      <c r="F181" s="9" t="s">
        <v>50</v>
      </c>
      <c r="G181" s="11" t="n">
        <v>50</v>
      </c>
      <c r="H181" s="11" t="n">
        <v>40</v>
      </c>
      <c r="I181" s="11" t="n">
        <v>55</v>
      </c>
      <c r="J181" s="11" t="s">
        <v>115</v>
      </c>
      <c r="K181" s="11" t="n">
        <v>50</v>
      </c>
    </row>
    <row r="182" customFormat="false" ht="36.5" hidden="false" customHeight="false" outlineLevel="0" collapsed="false">
      <c r="A182" s="1" t="n">
        <v>41</v>
      </c>
      <c r="B182" s="1" t="n">
        <v>2023</v>
      </c>
      <c r="C182" s="3" t="n">
        <v>44959</v>
      </c>
      <c r="D182" s="4" t="s">
        <v>38</v>
      </c>
      <c r="E182" s="5" t="s">
        <v>52</v>
      </c>
      <c r="F182" s="5" t="s">
        <v>43</v>
      </c>
      <c r="G182" s="7" t="n">
        <v>70</v>
      </c>
      <c r="H182" s="7" t="n">
        <v>60</v>
      </c>
      <c r="I182" s="7" t="n">
        <v>70</v>
      </c>
      <c r="J182" s="7" t="s">
        <v>102</v>
      </c>
      <c r="K182" s="7" t="s">
        <v>84</v>
      </c>
    </row>
    <row r="183" customFormat="false" ht="36.5" hidden="false" customHeight="false" outlineLevel="0" collapsed="false">
      <c r="A183" s="1" t="n">
        <v>41</v>
      </c>
      <c r="B183" s="1" t="n">
        <v>2023</v>
      </c>
      <c r="C183" s="3" t="n">
        <v>44959</v>
      </c>
      <c r="D183" s="8" t="s">
        <v>38</v>
      </c>
      <c r="E183" s="9" t="s">
        <v>53</v>
      </c>
      <c r="F183" s="9" t="s">
        <v>43</v>
      </c>
      <c r="G183" s="11" t="n">
        <v>70</v>
      </c>
      <c r="H183" s="11" t="n">
        <v>70</v>
      </c>
      <c r="I183" s="11" t="n">
        <v>75</v>
      </c>
      <c r="J183" s="11" t="s">
        <v>103</v>
      </c>
      <c r="K183" s="11" t="n">
        <v>70</v>
      </c>
    </row>
    <row r="184" customFormat="false" ht="36.5" hidden="false" customHeight="false" outlineLevel="0" collapsed="false">
      <c r="A184" s="1" t="n">
        <v>41</v>
      </c>
      <c r="B184" s="1" t="n">
        <v>2023</v>
      </c>
      <c r="C184" s="3" t="n">
        <v>44959</v>
      </c>
      <c r="D184" s="4" t="s">
        <v>38</v>
      </c>
      <c r="E184" s="5" t="s">
        <v>54</v>
      </c>
      <c r="F184" s="5" t="s">
        <v>40</v>
      </c>
      <c r="G184" s="7" t="n">
        <v>70</v>
      </c>
      <c r="H184" s="7" t="n">
        <v>60</v>
      </c>
      <c r="I184" s="7" t="n">
        <v>80</v>
      </c>
      <c r="J184" s="7" t="n">
        <v>70</v>
      </c>
      <c r="K184" s="7" t="n">
        <v>70</v>
      </c>
    </row>
    <row r="185" customFormat="false" ht="36.5" hidden="false" customHeight="false" outlineLevel="0" collapsed="false">
      <c r="A185" s="1" t="n">
        <v>41</v>
      </c>
      <c r="B185" s="1" t="n">
        <v>2023</v>
      </c>
      <c r="C185" s="3" t="n">
        <v>44959</v>
      </c>
      <c r="D185" s="8" t="s">
        <v>38</v>
      </c>
      <c r="E185" s="9" t="s">
        <v>56</v>
      </c>
      <c r="F185" s="9" t="s">
        <v>43</v>
      </c>
      <c r="G185" s="10"/>
      <c r="H185" s="11" t="n">
        <v>60</v>
      </c>
      <c r="I185" s="11" t="n">
        <v>60</v>
      </c>
      <c r="J185" s="11" t="n">
        <v>60</v>
      </c>
      <c r="K185" s="11" t="n">
        <v>60</v>
      </c>
    </row>
    <row r="186" customFormat="false" ht="36.5" hidden="false" customHeight="false" outlineLevel="0" collapsed="false">
      <c r="A186" s="1" t="n">
        <v>41</v>
      </c>
      <c r="B186" s="1" t="n">
        <v>2023</v>
      </c>
      <c r="C186" s="3" t="n">
        <v>44959</v>
      </c>
      <c r="D186" s="4" t="s">
        <v>38</v>
      </c>
      <c r="E186" s="5" t="s">
        <v>57</v>
      </c>
      <c r="F186" s="5" t="s">
        <v>40</v>
      </c>
      <c r="G186" s="7" t="n">
        <v>50</v>
      </c>
      <c r="H186" s="7" t="n">
        <v>40</v>
      </c>
      <c r="I186" s="7" t="n">
        <v>50</v>
      </c>
      <c r="J186" s="7" t="s">
        <v>91</v>
      </c>
      <c r="K186" s="7" t="n">
        <v>50</v>
      </c>
    </row>
    <row r="187" customFormat="false" ht="36.5" hidden="false" customHeight="false" outlineLevel="0" collapsed="false">
      <c r="A187" s="1" t="n">
        <v>41</v>
      </c>
      <c r="B187" s="1" t="n">
        <v>2023</v>
      </c>
      <c r="C187" s="3" t="n">
        <v>44959</v>
      </c>
      <c r="D187" s="8" t="s">
        <v>38</v>
      </c>
      <c r="E187" s="9" t="s">
        <v>58</v>
      </c>
      <c r="F187" s="9" t="s">
        <v>40</v>
      </c>
      <c r="G187" s="11" t="n">
        <v>80</v>
      </c>
      <c r="H187" s="11" t="n">
        <v>65</v>
      </c>
      <c r="I187" s="11" t="n">
        <v>80</v>
      </c>
      <c r="J187" s="11" t="n">
        <v>75</v>
      </c>
      <c r="K187" s="11" t="n">
        <v>80</v>
      </c>
    </row>
    <row r="188" customFormat="false" ht="36.5" hidden="false" customHeight="false" outlineLevel="0" collapsed="false">
      <c r="A188" s="1" t="n">
        <v>41</v>
      </c>
      <c r="B188" s="1" t="n">
        <v>2023</v>
      </c>
      <c r="C188" s="3" t="n">
        <v>44959</v>
      </c>
      <c r="D188" s="4" t="s">
        <v>38</v>
      </c>
      <c r="E188" s="5" t="s">
        <v>59</v>
      </c>
      <c r="F188" s="5" t="s">
        <v>45</v>
      </c>
      <c r="G188" s="7" t="n">
        <v>35</v>
      </c>
      <c r="H188" s="7" t="n">
        <v>30</v>
      </c>
      <c r="I188" s="7" t="n">
        <v>45</v>
      </c>
      <c r="J188" s="7" t="s">
        <v>116</v>
      </c>
      <c r="K188" s="7" t="n">
        <v>35</v>
      </c>
    </row>
    <row r="189" customFormat="false" ht="36.5" hidden="false" customHeight="false" outlineLevel="0" collapsed="false">
      <c r="A189" s="1" t="n">
        <v>41</v>
      </c>
      <c r="B189" s="1" t="n">
        <v>2023</v>
      </c>
      <c r="C189" s="3" t="n">
        <v>44959</v>
      </c>
      <c r="D189" s="8" t="s">
        <v>38</v>
      </c>
      <c r="E189" s="9" t="s">
        <v>60</v>
      </c>
      <c r="F189" s="9" t="s">
        <v>61</v>
      </c>
      <c r="G189" s="11" t="n">
        <v>70</v>
      </c>
      <c r="H189" s="11" t="n">
        <v>70</v>
      </c>
      <c r="I189" s="11" t="n">
        <v>100</v>
      </c>
      <c r="J189" s="11" t="s">
        <v>117</v>
      </c>
      <c r="K189" s="11" t="n">
        <v>70</v>
      </c>
    </row>
    <row r="190" customFormat="false" ht="36.5" hidden="false" customHeight="false" outlineLevel="0" collapsed="false">
      <c r="A190" s="1" t="n">
        <v>41</v>
      </c>
      <c r="B190" s="1" t="n">
        <v>2023</v>
      </c>
      <c r="C190" s="3" t="n">
        <v>44959</v>
      </c>
      <c r="D190" s="4" t="s">
        <v>38</v>
      </c>
      <c r="E190" s="5" t="s">
        <v>63</v>
      </c>
      <c r="F190" s="5" t="s">
        <v>40</v>
      </c>
      <c r="G190" s="7" t="n">
        <v>100</v>
      </c>
      <c r="H190" s="7" t="n">
        <v>90</v>
      </c>
      <c r="I190" s="7" t="n">
        <v>110</v>
      </c>
      <c r="J190" s="7" t="s">
        <v>82</v>
      </c>
      <c r="K190" s="7" t="n">
        <v>100</v>
      </c>
    </row>
    <row r="191" customFormat="false" ht="36.5" hidden="false" customHeight="false" outlineLevel="0" collapsed="false">
      <c r="A191" s="1" t="n">
        <v>41</v>
      </c>
      <c r="B191" s="1" t="n">
        <v>2023</v>
      </c>
      <c r="C191" s="3" t="n">
        <v>44959</v>
      </c>
      <c r="D191" s="8" t="s">
        <v>38</v>
      </c>
      <c r="E191" s="9" t="s">
        <v>64</v>
      </c>
      <c r="F191" s="9" t="s">
        <v>40</v>
      </c>
      <c r="G191" s="11" t="n">
        <v>35</v>
      </c>
      <c r="H191" s="11" t="n">
        <v>35</v>
      </c>
      <c r="I191" s="11" t="n">
        <v>65</v>
      </c>
      <c r="J191" s="11" t="s">
        <v>111</v>
      </c>
      <c r="K191" s="11" t="n">
        <v>50</v>
      </c>
    </row>
    <row r="192" customFormat="false" ht="14.25" hidden="false" customHeight="false" outlineLevel="0" collapsed="false">
      <c r="A192" s="1" t="n">
        <v>41</v>
      </c>
      <c r="B192" s="1" t="n">
        <v>2023</v>
      </c>
      <c r="C192" s="3" t="n">
        <v>44959</v>
      </c>
      <c r="D192" s="4" t="s">
        <v>65</v>
      </c>
      <c r="E192" s="5" t="s">
        <v>66</v>
      </c>
      <c r="F192" s="5" t="s">
        <v>40</v>
      </c>
      <c r="G192" s="6"/>
      <c r="H192" s="6"/>
      <c r="I192" s="6"/>
      <c r="J192" s="6"/>
      <c r="K192" s="6"/>
    </row>
    <row r="193" customFormat="false" ht="14.25" hidden="false" customHeight="false" outlineLevel="0" collapsed="false">
      <c r="A193" s="1" t="n">
        <v>41</v>
      </c>
      <c r="B193" s="1" t="n">
        <v>2023</v>
      </c>
      <c r="C193" s="3" t="n">
        <v>44959</v>
      </c>
      <c r="D193" s="8" t="s">
        <v>65</v>
      </c>
      <c r="E193" s="9" t="s">
        <v>67</v>
      </c>
      <c r="F193" s="9" t="s">
        <v>40</v>
      </c>
      <c r="G193" s="10"/>
      <c r="H193" s="10"/>
      <c r="I193" s="10"/>
      <c r="J193" s="10"/>
      <c r="K193" s="10"/>
    </row>
    <row r="194" customFormat="false" ht="14.25" hidden="false" customHeight="false" outlineLevel="0" collapsed="false">
      <c r="A194" s="1" t="n">
        <v>41</v>
      </c>
      <c r="B194" s="1" t="n">
        <v>2023</v>
      </c>
      <c r="C194" s="3" t="n">
        <v>44959</v>
      </c>
      <c r="D194" s="4" t="s">
        <v>65</v>
      </c>
      <c r="E194" s="5" t="s">
        <v>68</v>
      </c>
      <c r="F194" s="5" t="s">
        <v>40</v>
      </c>
      <c r="G194" s="6"/>
      <c r="H194" s="6"/>
      <c r="I194" s="6"/>
      <c r="J194" s="6"/>
      <c r="K194" s="6"/>
    </row>
    <row r="195" customFormat="false" ht="14.25" hidden="false" customHeight="false" outlineLevel="0" collapsed="false">
      <c r="A195" s="1" t="n">
        <v>41</v>
      </c>
      <c r="B195" s="1" t="n">
        <v>2023</v>
      </c>
      <c r="C195" s="3" t="n">
        <v>44959</v>
      </c>
      <c r="D195" s="8" t="s">
        <v>65</v>
      </c>
      <c r="E195" s="9" t="s">
        <v>69</v>
      </c>
      <c r="F195" s="9" t="s">
        <v>45</v>
      </c>
      <c r="G195" s="10"/>
      <c r="H195" s="10"/>
      <c r="I195" s="10"/>
      <c r="J195" s="10"/>
      <c r="K195" s="10"/>
    </row>
    <row r="196" customFormat="false" ht="14.25" hidden="false" customHeight="false" outlineLevel="0" collapsed="false">
      <c r="A196" s="1" t="n">
        <v>41</v>
      </c>
      <c r="B196" s="1" t="n">
        <v>2023</v>
      </c>
      <c r="C196" s="3" t="n">
        <v>44959</v>
      </c>
      <c r="D196" s="4" t="s">
        <v>65</v>
      </c>
      <c r="E196" s="5" t="s">
        <v>70</v>
      </c>
      <c r="F196" s="5" t="s">
        <v>71</v>
      </c>
      <c r="G196" s="6"/>
      <c r="H196" s="6"/>
      <c r="I196" s="6"/>
      <c r="J196" s="6"/>
      <c r="K196" s="6"/>
    </row>
    <row r="197" customFormat="false" ht="25" hidden="false" customHeight="false" outlineLevel="0" collapsed="false">
      <c r="A197" s="1" t="n">
        <v>42</v>
      </c>
      <c r="B197" s="1" t="n">
        <v>2023</v>
      </c>
      <c r="C197" s="3" t="n">
        <v>44966</v>
      </c>
      <c r="D197" s="4" t="s">
        <v>11</v>
      </c>
      <c r="E197" s="5" t="s">
        <v>12</v>
      </c>
      <c r="F197" s="5" t="s">
        <v>13</v>
      </c>
      <c r="G197" s="6"/>
      <c r="H197" s="7" t="n">
        <v>42</v>
      </c>
      <c r="I197" s="7" t="n">
        <v>48</v>
      </c>
      <c r="J197" s="7" t="n">
        <v>45</v>
      </c>
      <c r="K197" s="7" t="n">
        <v>45</v>
      </c>
    </row>
    <row r="198" customFormat="false" ht="25" hidden="false" customHeight="false" outlineLevel="0" collapsed="false">
      <c r="A198" s="1" t="n">
        <v>42</v>
      </c>
      <c r="B198" s="1" t="n">
        <v>2023</v>
      </c>
      <c r="C198" s="3" t="n">
        <v>44966</v>
      </c>
      <c r="D198" s="8" t="s">
        <v>11</v>
      </c>
      <c r="E198" s="9" t="s">
        <v>14</v>
      </c>
      <c r="F198" s="9" t="s">
        <v>13</v>
      </c>
      <c r="G198" s="11" t="n">
        <v>60</v>
      </c>
      <c r="H198" s="11" t="n">
        <v>60</v>
      </c>
      <c r="I198" s="11" t="n">
        <v>60</v>
      </c>
      <c r="J198" s="11" t="n">
        <v>60</v>
      </c>
      <c r="K198" s="11" t="n">
        <v>60</v>
      </c>
    </row>
    <row r="199" customFormat="false" ht="25" hidden="false" customHeight="false" outlineLevel="0" collapsed="false">
      <c r="A199" s="1" t="n">
        <v>42</v>
      </c>
      <c r="B199" s="1" t="n">
        <v>2023</v>
      </c>
      <c r="C199" s="3" t="n">
        <v>44966</v>
      </c>
      <c r="D199" s="4" t="s">
        <v>11</v>
      </c>
      <c r="E199" s="5" t="s">
        <v>15</v>
      </c>
      <c r="F199" s="5" t="s">
        <v>13</v>
      </c>
      <c r="G199" s="6"/>
      <c r="H199" s="7" t="n">
        <v>24</v>
      </c>
      <c r="I199" s="7" t="n">
        <v>36</v>
      </c>
      <c r="J199" s="7" t="n">
        <v>30</v>
      </c>
      <c r="K199" s="7" t="n">
        <v>30</v>
      </c>
    </row>
    <row r="200" customFormat="false" ht="25" hidden="false" customHeight="false" outlineLevel="0" collapsed="false">
      <c r="A200" s="1" t="n">
        <v>42</v>
      </c>
      <c r="B200" s="1" t="n">
        <v>2023</v>
      </c>
      <c r="C200" s="3" t="n">
        <v>44966</v>
      </c>
      <c r="D200" s="8" t="s">
        <v>11</v>
      </c>
      <c r="E200" s="9" t="s">
        <v>16</v>
      </c>
      <c r="F200" s="9" t="s">
        <v>13</v>
      </c>
      <c r="G200" s="11" t="n">
        <v>18</v>
      </c>
      <c r="H200" s="11" t="n">
        <v>18</v>
      </c>
      <c r="I200" s="11" t="n">
        <v>26</v>
      </c>
      <c r="J200" s="11" t="s">
        <v>118</v>
      </c>
      <c r="K200" s="11" t="n">
        <v>22</v>
      </c>
    </row>
    <row r="201" customFormat="false" ht="25" hidden="false" customHeight="false" outlineLevel="0" collapsed="false">
      <c r="A201" s="1" t="n">
        <v>42</v>
      </c>
      <c r="B201" s="1" t="n">
        <v>2023</v>
      </c>
      <c r="C201" s="3" t="n">
        <v>44966</v>
      </c>
      <c r="D201" s="4" t="s">
        <v>11</v>
      </c>
      <c r="E201" s="5" t="s">
        <v>17</v>
      </c>
      <c r="F201" s="5" t="s">
        <v>13</v>
      </c>
      <c r="G201" s="6"/>
      <c r="H201" s="7" t="n">
        <v>18</v>
      </c>
      <c r="I201" s="7" t="n">
        <v>35</v>
      </c>
      <c r="J201" s="7" t="s">
        <v>119</v>
      </c>
      <c r="K201" s="7" t="n">
        <v>23</v>
      </c>
    </row>
    <row r="202" customFormat="false" ht="25" hidden="false" customHeight="false" outlineLevel="0" collapsed="false">
      <c r="A202" s="1" t="n">
        <v>42</v>
      </c>
      <c r="B202" s="1" t="n">
        <v>2023</v>
      </c>
      <c r="C202" s="3" t="n">
        <v>44966</v>
      </c>
      <c r="D202" s="8" t="s">
        <v>11</v>
      </c>
      <c r="E202" s="9" t="s">
        <v>18</v>
      </c>
      <c r="F202" s="9" t="s">
        <v>13</v>
      </c>
      <c r="G202" s="10"/>
      <c r="H202" s="11" t="n">
        <v>48</v>
      </c>
      <c r="I202" s="11" t="n">
        <v>48</v>
      </c>
      <c r="J202" s="11" t="n">
        <v>48</v>
      </c>
      <c r="K202" s="11" t="n">
        <v>48</v>
      </c>
    </row>
    <row r="203" customFormat="false" ht="25" hidden="false" customHeight="false" outlineLevel="0" collapsed="false">
      <c r="A203" s="1" t="n">
        <v>42</v>
      </c>
      <c r="B203" s="1" t="n">
        <v>2023</v>
      </c>
      <c r="C203" s="3" t="n">
        <v>44966</v>
      </c>
      <c r="D203" s="4" t="s">
        <v>11</v>
      </c>
      <c r="E203" s="5" t="s">
        <v>19</v>
      </c>
      <c r="F203" s="5" t="s">
        <v>13</v>
      </c>
      <c r="G203" s="7" t="n">
        <v>72</v>
      </c>
      <c r="H203" s="7" t="n">
        <v>48</v>
      </c>
      <c r="I203" s="7" t="n">
        <v>72</v>
      </c>
      <c r="J203" s="7" t="n">
        <v>64</v>
      </c>
      <c r="K203" s="7" t="n">
        <v>72</v>
      </c>
    </row>
    <row r="204" customFormat="false" ht="25" hidden="false" customHeight="false" outlineLevel="0" collapsed="false">
      <c r="A204" s="1" t="n">
        <v>42</v>
      </c>
      <c r="B204" s="1" t="n">
        <v>2023</v>
      </c>
      <c r="C204" s="3" t="n">
        <v>44966</v>
      </c>
      <c r="D204" s="8" t="s">
        <v>11</v>
      </c>
      <c r="E204" s="9" t="s">
        <v>20</v>
      </c>
      <c r="F204" s="9" t="s">
        <v>13</v>
      </c>
      <c r="G204" s="11" t="n">
        <v>72</v>
      </c>
      <c r="H204" s="11" t="n">
        <v>72</v>
      </c>
      <c r="I204" s="11" t="n">
        <v>72</v>
      </c>
      <c r="J204" s="11" t="n">
        <v>72</v>
      </c>
      <c r="K204" s="11" t="n">
        <v>72</v>
      </c>
    </row>
    <row r="205" customFormat="false" ht="25" hidden="false" customHeight="false" outlineLevel="0" collapsed="false">
      <c r="A205" s="1" t="n">
        <v>42</v>
      </c>
      <c r="B205" s="1" t="n">
        <v>2023</v>
      </c>
      <c r="C205" s="3" t="n">
        <v>44966</v>
      </c>
      <c r="D205" s="4" t="s">
        <v>11</v>
      </c>
      <c r="E205" s="5" t="s">
        <v>21</v>
      </c>
      <c r="F205" s="5" t="s">
        <v>13</v>
      </c>
      <c r="G205" s="7" t="n">
        <v>24</v>
      </c>
      <c r="H205" s="7" t="n">
        <v>15</v>
      </c>
      <c r="I205" s="7" t="n">
        <v>24</v>
      </c>
      <c r="J205" s="7" t="s">
        <v>120</v>
      </c>
      <c r="K205" s="7" t="n">
        <v>21</v>
      </c>
    </row>
    <row r="206" customFormat="false" ht="25" hidden="false" customHeight="false" outlineLevel="0" collapsed="false">
      <c r="A206" s="1" t="n">
        <v>42</v>
      </c>
      <c r="B206" s="1" t="n">
        <v>2023</v>
      </c>
      <c r="C206" s="3" t="n">
        <v>44966</v>
      </c>
      <c r="D206" s="8" t="s">
        <v>11</v>
      </c>
      <c r="E206" s="9" t="s">
        <v>22</v>
      </c>
      <c r="F206" s="9"/>
      <c r="G206" s="10"/>
      <c r="H206" s="11" t="n">
        <v>60</v>
      </c>
      <c r="I206" s="11" t="n">
        <v>78</v>
      </c>
      <c r="J206" s="11" t="s">
        <v>121</v>
      </c>
      <c r="K206" s="11" t="n">
        <v>70</v>
      </c>
    </row>
    <row r="207" customFormat="false" ht="25" hidden="false" customHeight="false" outlineLevel="0" collapsed="false">
      <c r="A207" s="1" t="n">
        <v>42</v>
      </c>
      <c r="B207" s="1" t="n">
        <v>2023</v>
      </c>
      <c r="C207" s="3" t="n">
        <v>44966</v>
      </c>
      <c r="D207" s="4" t="s">
        <v>11</v>
      </c>
      <c r="E207" s="5" t="s">
        <v>23</v>
      </c>
      <c r="F207" s="5" t="s">
        <v>13</v>
      </c>
      <c r="G207" s="7" t="n">
        <v>18</v>
      </c>
      <c r="H207" s="7" t="n">
        <v>18</v>
      </c>
      <c r="I207" s="7" t="n">
        <v>24</v>
      </c>
      <c r="J207" s="7" t="s">
        <v>122</v>
      </c>
      <c r="K207" s="7" t="n">
        <v>20</v>
      </c>
    </row>
    <row r="208" customFormat="false" ht="25" hidden="false" customHeight="false" outlineLevel="0" collapsed="false">
      <c r="A208" s="1" t="n">
        <v>42</v>
      </c>
      <c r="B208" s="1" t="n">
        <v>2023</v>
      </c>
      <c r="C208" s="3" t="n">
        <v>44966</v>
      </c>
      <c r="D208" s="8" t="s">
        <v>11</v>
      </c>
      <c r="E208" s="9" t="s">
        <v>24</v>
      </c>
      <c r="F208" s="9" t="s">
        <v>13</v>
      </c>
      <c r="G208" s="10"/>
      <c r="H208" s="11" t="n">
        <v>54</v>
      </c>
      <c r="I208" s="11" t="n">
        <v>60</v>
      </c>
      <c r="J208" s="11" t="n">
        <v>57</v>
      </c>
      <c r="K208" s="11" t="n">
        <v>57</v>
      </c>
    </row>
    <row r="209" customFormat="false" ht="25" hidden="false" customHeight="false" outlineLevel="0" collapsed="false">
      <c r="A209" s="1" t="n">
        <v>42</v>
      </c>
      <c r="B209" s="1" t="n">
        <v>2023</v>
      </c>
      <c r="C209" s="3" t="n">
        <v>44966</v>
      </c>
      <c r="D209" s="4" t="s">
        <v>11</v>
      </c>
      <c r="E209" s="5" t="s">
        <v>25</v>
      </c>
      <c r="F209" s="5" t="s">
        <v>26</v>
      </c>
      <c r="G209" s="6"/>
      <c r="H209" s="7" t="n">
        <v>60</v>
      </c>
      <c r="I209" s="7" t="n">
        <v>60</v>
      </c>
      <c r="J209" s="7" t="n">
        <v>60</v>
      </c>
      <c r="K209" s="7" t="n">
        <v>60</v>
      </c>
    </row>
    <row r="210" customFormat="false" ht="25" hidden="false" customHeight="false" outlineLevel="0" collapsed="false">
      <c r="A210" s="1" t="n">
        <v>42</v>
      </c>
      <c r="B210" s="1" t="n">
        <v>2023</v>
      </c>
      <c r="C210" s="3" t="n">
        <v>44966</v>
      </c>
      <c r="D210" s="8" t="s">
        <v>11</v>
      </c>
      <c r="E210" s="9" t="s">
        <v>27</v>
      </c>
      <c r="F210" s="9" t="s">
        <v>13</v>
      </c>
      <c r="G210" s="10"/>
      <c r="H210" s="11" t="n">
        <v>48</v>
      </c>
      <c r="I210" s="11" t="n">
        <v>60</v>
      </c>
      <c r="J210" s="11" t="n">
        <v>54</v>
      </c>
      <c r="K210" s="11" t="n">
        <v>54</v>
      </c>
    </row>
    <row r="211" customFormat="false" ht="25" hidden="false" customHeight="false" outlineLevel="0" collapsed="false">
      <c r="A211" s="1" t="n">
        <v>42</v>
      </c>
      <c r="B211" s="1" t="n">
        <v>2023</v>
      </c>
      <c r="C211" s="3" t="n">
        <v>44966</v>
      </c>
      <c r="D211" s="4" t="s">
        <v>11</v>
      </c>
      <c r="E211" s="5" t="s">
        <v>28</v>
      </c>
      <c r="F211" s="5" t="s">
        <v>13</v>
      </c>
      <c r="G211" s="7" t="n">
        <v>36</v>
      </c>
      <c r="H211" s="7" t="n">
        <v>35</v>
      </c>
      <c r="I211" s="7" t="n">
        <v>40</v>
      </c>
      <c r="J211" s="7" t="s">
        <v>123</v>
      </c>
      <c r="K211" s="7" t="n">
        <v>36</v>
      </c>
    </row>
    <row r="212" customFormat="false" ht="25" hidden="false" customHeight="false" outlineLevel="0" collapsed="false">
      <c r="A212" s="1" t="n">
        <v>42</v>
      </c>
      <c r="B212" s="1" t="n">
        <v>2023</v>
      </c>
      <c r="C212" s="3" t="n">
        <v>44966</v>
      </c>
      <c r="D212" s="8" t="s">
        <v>11</v>
      </c>
      <c r="E212" s="9" t="s">
        <v>29</v>
      </c>
      <c r="F212" s="9" t="s">
        <v>13</v>
      </c>
      <c r="G212" s="11" t="n">
        <v>42</v>
      </c>
      <c r="H212" s="11" t="n">
        <v>42</v>
      </c>
      <c r="I212" s="11" t="n">
        <v>42</v>
      </c>
      <c r="J212" s="11" t="n">
        <v>42</v>
      </c>
      <c r="K212" s="11" t="n">
        <v>42</v>
      </c>
    </row>
    <row r="213" customFormat="false" ht="25" hidden="false" customHeight="false" outlineLevel="0" collapsed="false">
      <c r="A213" s="1" t="n">
        <v>42</v>
      </c>
      <c r="B213" s="1" t="n">
        <v>2023</v>
      </c>
      <c r="C213" s="3" t="n">
        <v>44966</v>
      </c>
      <c r="D213" s="4" t="s">
        <v>30</v>
      </c>
      <c r="E213" s="5" t="s">
        <v>31</v>
      </c>
      <c r="F213" s="5" t="s">
        <v>32</v>
      </c>
      <c r="G213" s="7" t="n">
        <v>4</v>
      </c>
      <c r="H213" s="7" t="n">
        <v>4</v>
      </c>
      <c r="I213" s="7" t="n">
        <v>5</v>
      </c>
      <c r="J213" s="7" t="s">
        <v>124</v>
      </c>
      <c r="K213" s="7" t="n">
        <v>4</v>
      </c>
    </row>
    <row r="214" customFormat="false" ht="25" hidden="false" customHeight="false" outlineLevel="0" collapsed="false">
      <c r="A214" s="1" t="n">
        <v>42</v>
      </c>
      <c r="B214" s="1" t="n">
        <v>2023</v>
      </c>
      <c r="C214" s="3" t="n">
        <v>44966</v>
      </c>
      <c r="D214" s="8" t="s">
        <v>30</v>
      </c>
      <c r="E214" s="9" t="s">
        <v>34</v>
      </c>
      <c r="F214" s="9" t="s">
        <v>35</v>
      </c>
      <c r="G214" s="11" t="n">
        <v>25</v>
      </c>
      <c r="H214" s="11" t="n">
        <v>15</v>
      </c>
      <c r="I214" s="11" t="n">
        <v>25</v>
      </c>
      <c r="J214" s="11" t="s">
        <v>125</v>
      </c>
      <c r="K214" s="11" t="n">
        <v>22</v>
      </c>
    </row>
    <row r="215" customFormat="false" ht="25" hidden="false" customHeight="false" outlineLevel="0" collapsed="false">
      <c r="A215" s="1" t="n">
        <v>42</v>
      </c>
      <c r="B215" s="1" t="n">
        <v>2023</v>
      </c>
      <c r="C215" s="3" t="n">
        <v>44966</v>
      </c>
      <c r="D215" s="4" t="s">
        <v>30</v>
      </c>
      <c r="E215" s="5" t="s">
        <v>36</v>
      </c>
      <c r="F215" s="5" t="s">
        <v>35</v>
      </c>
      <c r="G215" s="7" t="n">
        <v>25</v>
      </c>
      <c r="H215" s="7" t="n">
        <v>25</v>
      </c>
      <c r="I215" s="7" t="n">
        <v>25</v>
      </c>
      <c r="J215" s="7" t="n">
        <v>25</v>
      </c>
      <c r="K215" s="7" t="n">
        <v>25</v>
      </c>
    </row>
    <row r="216" customFormat="false" ht="36.5" hidden="false" customHeight="false" outlineLevel="0" collapsed="false">
      <c r="A216" s="1" t="n">
        <v>42</v>
      </c>
      <c r="B216" s="1" t="n">
        <v>2023</v>
      </c>
      <c r="C216" s="3" t="n">
        <v>44966</v>
      </c>
      <c r="D216" s="8" t="s">
        <v>38</v>
      </c>
      <c r="E216" s="9" t="s">
        <v>39</v>
      </c>
      <c r="F216" s="9" t="s">
        <v>40</v>
      </c>
      <c r="G216" s="11" t="n">
        <v>70</v>
      </c>
      <c r="H216" s="11" t="n">
        <v>35</v>
      </c>
      <c r="I216" s="11" t="n">
        <v>70</v>
      </c>
      <c r="J216" s="11" t="s">
        <v>126</v>
      </c>
      <c r="K216" s="11" t="n">
        <v>60</v>
      </c>
    </row>
    <row r="217" customFormat="false" ht="36.5" hidden="false" customHeight="false" outlineLevel="0" collapsed="false">
      <c r="A217" s="1" t="n">
        <v>42</v>
      </c>
      <c r="B217" s="1" t="n">
        <v>2023</v>
      </c>
      <c r="C217" s="3" t="n">
        <v>44966</v>
      </c>
      <c r="D217" s="4" t="s">
        <v>38</v>
      </c>
      <c r="E217" s="5" t="s">
        <v>42</v>
      </c>
      <c r="F217" s="5" t="s">
        <v>43</v>
      </c>
      <c r="G217" s="7" t="n">
        <v>35</v>
      </c>
      <c r="H217" s="7" t="n">
        <v>35</v>
      </c>
      <c r="I217" s="7" t="n">
        <v>65</v>
      </c>
      <c r="J217" s="7" t="s">
        <v>127</v>
      </c>
      <c r="K217" s="7" t="n">
        <v>40</v>
      </c>
    </row>
    <row r="218" customFormat="false" ht="36.5" hidden="false" customHeight="false" outlineLevel="0" collapsed="false">
      <c r="A218" s="1" t="n">
        <v>42</v>
      </c>
      <c r="B218" s="1" t="n">
        <v>2023</v>
      </c>
      <c r="C218" s="3" t="n">
        <v>44966</v>
      </c>
      <c r="D218" s="8" t="s">
        <v>38</v>
      </c>
      <c r="E218" s="9" t="s">
        <v>44</v>
      </c>
      <c r="F218" s="9" t="s">
        <v>45</v>
      </c>
      <c r="G218" s="11" t="n">
        <v>40</v>
      </c>
      <c r="H218" s="11" t="n">
        <v>40</v>
      </c>
      <c r="I218" s="11" t="n">
        <v>40</v>
      </c>
      <c r="J218" s="11" t="n">
        <v>40</v>
      </c>
      <c r="K218" s="11" t="n">
        <v>40</v>
      </c>
    </row>
    <row r="219" customFormat="false" ht="36.5" hidden="false" customHeight="false" outlineLevel="0" collapsed="false">
      <c r="A219" s="1" t="n">
        <v>42</v>
      </c>
      <c r="B219" s="1" t="n">
        <v>2023</v>
      </c>
      <c r="C219" s="3" t="n">
        <v>44966</v>
      </c>
      <c r="D219" s="4" t="s">
        <v>38</v>
      </c>
      <c r="E219" s="5" t="s">
        <v>48</v>
      </c>
      <c r="F219" s="5" t="s">
        <v>45</v>
      </c>
      <c r="G219" s="7" t="n">
        <v>100</v>
      </c>
      <c r="H219" s="7" t="n">
        <v>100</v>
      </c>
      <c r="I219" s="7" t="n">
        <v>100</v>
      </c>
      <c r="J219" s="7" t="n">
        <v>100</v>
      </c>
      <c r="K219" s="7" t="n">
        <v>100</v>
      </c>
    </row>
    <row r="220" customFormat="false" ht="36.5" hidden="false" customHeight="false" outlineLevel="0" collapsed="false">
      <c r="A220" s="1" t="n">
        <v>42</v>
      </c>
      <c r="B220" s="1" t="n">
        <v>2023</v>
      </c>
      <c r="C220" s="3" t="n">
        <v>44966</v>
      </c>
      <c r="D220" s="8" t="s">
        <v>38</v>
      </c>
      <c r="E220" s="9" t="s">
        <v>49</v>
      </c>
      <c r="F220" s="9" t="s">
        <v>50</v>
      </c>
      <c r="G220" s="11" t="n">
        <v>40</v>
      </c>
      <c r="H220" s="11" t="n">
        <v>40</v>
      </c>
      <c r="I220" s="11" t="n">
        <v>60</v>
      </c>
      <c r="J220" s="11" t="s">
        <v>112</v>
      </c>
      <c r="K220" s="11" t="n">
        <v>50</v>
      </c>
    </row>
    <row r="221" customFormat="false" ht="36.5" hidden="false" customHeight="false" outlineLevel="0" collapsed="false">
      <c r="A221" s="1" t="n">
        <v>42</v>
      </c>
      <c r="B221" s="1" t="n">
        <v>2023</v>
      </c>
      <c r="C221" s="3" t="n">
        <v>44966</v>
      </c>
      <c r="D221" s="4" t="s">
        <v>38</v>
      </c>
      <c r="E221" s="5" t="s">
        <v>52</v>
      </c>
      <c r="F221" s="5" t="s">
        <v>43</v>
      </c>
      <c r="G221" s="7" t="n">
        <v>75</v>
      </c>
      <c r="H221" s="7" t="n">
        <v>45</v>
      </c>
      <c r="I221" s="7" t="n">
        <v>80</v>
      </c>
      <c r="J221" s="7" t="s">
        <v>128</v>
      </c>
      <c r="K221" s="7" t="n">
        <v>75</v>
      </c>
    </row>
    <row r="222" customFormat="false" ht="36.5" hidden="false" customHeight="false" outlineLevel="0" collapsed="false">
      <c r="A222" s="1" t="n">
        <v>42</v>
      </c>
      <c r="B222" s="1" t="n">
        <v>2023</v>
      </c>
      <c r="C222" s="3" t="n">
        <v>44966</v>
      </c>
      <c r="D222" s="8" t="s">
        <v>38</v>
      </c>
      <c r="E222" s="9" t="s">
        <v>53</v>
      </c>
      <c r="F222" s="9" t="s">
        <v>43</v>
      </c>
      <c r="G222" s="11" t="n">
        <v>55</v>
      </c>
      <c r="H222" s="11" t="n">
        <v>50</v>
      </c>
      <c r="I222" s="11" t="n">
        <v>70</v>
      </c>
      <c r="J222" s="11" t="s">
        <v>129</v>
      </c>
      <c r="K222" s="11" t="s">
        <v>41</v>
      </c>
    </row>
    <row r="223" customFormat="false" ht="36.5" hidden="false" customHeight="false" outlineLevel="0" collapsed="false">
      <c r="A223" s="1" t="n">
        <v>42</v>
      </c>
      <c r="B223" s="1" t="n">
        <v>2023</v>
      </c>
      <c r="C223" s="3" t="n">
        <v>44966</v>
      </c>
      <c r="D223" s="4" t="s">
        <v>38</v>
      </c>
      <c r="E223" s="5" t="s">
        <v>54</v>
      </c>
      <c r="F223" s="5" t="s">
        <v>40</v>
      </c>
      <c r="G223" s="7" t="n">
        <v>70</v>
      </c>
      <c r="H223" s="7" t="n">
        <v>50</v>
      </c>
      <c r="I223" s="7" t="n">
        <v>80</v>
      </c>
      <c r="J223" s="7" t="s">
        <v>130</v>
      </c>
      <c r="K223" s="7" t="n">
        <v>70</v>
      </c>
    </row>
    <row r="224" customFormat="false" ht="36.5" hidden="false" customHeight="false" outlineLevel="0" collapsed="false">
      <c r="A224" s="1" t="n">
        <v>42</v>
      </c>
      <c r="B224" s="1" t="n">
        <v>2023</v>
      </c>
      <c r="C224" s="3" t="n">
        <v>44966</v>
      </c>
      <c r="D224" s="8" t="s">
        <v>38</v>
      </c>
      <c r="E224" s="9" t="s">
        <v>56</v>
      </c>
      <c r="F224" s="9" t="s">
        <v>43</v>
      </c>
      <c r="G224" s="10"/>
      <c r="H224" s="11" t="n">
        <v>55</v>
      </c>
      <c r="I224" s="11" t="n">
        <v>70</v>
      </c>
      <c r="J224" s="11" t="s">
        <v>131</v>
      </c>
      <c r="K224" s="11" t="n">
        <v>60</v>
      </c>
    </row>
    <row r="225" customFormat="false" ht="36.5" hidden="false" customHeight="false" outlineLevel="0" collapsed="false">
      <c r="A225" s="1" t="n">
        <v>42</v>
      </c>
      <c r="B225" s="1" t="n">
        <v>2023</v>
      </c>
      <c r="C225" s="3" t="n">
        <v>44966</v>
      </c>
      <c r="D225" s="4" t="s">
        <v>38</v>
      </c>
      <c r="E225" s="5" t="s">
        <v>57</v>
      </c>
      <c r="F225" s="5" t="s">
        <v>40</v>
      </c>
      <c r="G225" s="6"/>
      <c r="H225" s="7" t="n">
        <v>45</v>
      </c>
      <c r="I225" s="7" t="n">
        <v>65</v>
      </c>
      <c r="J225" s="7" t="n">
        <v>55</v>
      </c>
      <c r="K225" s="7" t="n">
        <v>55</v>
      </c>
    </row>
    <row r="226" customFormat="false" ht="36.5" hidden="false" customHeight="false" outlineLevel="0" collapsed="false">
      <c r="A226" s="1" t="n">
        <v>42</v>
      </c>
      <c r="B226" s="1" t="n">
        <v>2023</v>
      </c>
      <c r="C226" s="3" t="n">
        <v>44966</v>
      </c>
      <c r="D226" s="8" t="s">
        <v>38</v>
      </c>
      <c r="E226" s="9" t="s">
        <v>58</v>
      </c>
      <c r="F226" s="9" t="s">
        <v>40</v>
      </c>
      <c r="G226" s="11" t="n">
        <v>85</v>
      </c>
      <c r="H226" s="11" t="n">
        <v>50</v>
      </c>
      <c r="I226" s="11" t="n">
        <v>85</v>
      </c>
      <c r="J226" s="11" t="s">
        <v>132</v>
      </c>
      <c r="K226" s="11" t="n">
        <v>75</v>
      </c>
    </row>
    <row r="227" customFormat="false" ht="36.5" hidden="false" customHeight="false" outlineLevel="0" collapsed="false">
      <c r="A227" s="1" t="n">
        <v>42</v>
      </c>
      <c r="B227" s="1" t="n">
        <v>2023</v>
      </c>
      <c r="C227" s="3" t="n">
        <v>44966</v>
      </c>
      <c r="D227" s="4" t="s">
        <v>38</v>
      </c>
      <c r="E227" s="5" t="s">
        <v>59</v>
      </c>
      <c r="F227" s="5" t="s">
        <v>45</v>
      </c>
      <c r="G227" s="7" t="n">
        <v>30</v>
      </c>
      <c r="H227" s="7" t="n">
        <v>20</v>
      </c>
      <c r="I227" s="7" t="n">
        <v>50</v>
      </c>
      <c r="J227" s="7" t="n">
        <v>35</v>
      </c>
      <c r="K227" s="7" t="n">
        <v>35</v>
      </c>
    </row>
    <row r="228" customFormat="false" ht="36.5" hidden="false" customHeight="false" outlineLevel="0" collapsed="false">
      <c r="A228" s="1" t="n">
        <v>42</v>
      </c>
      <c r="B228" s="1" t="n">
        <v>2023</v>
      </c>
      <c r="C228" s="3" t="n">
        <v>44966</v>
      </c>
      <c r="D228" s="8" t="s">
        <v>38</v>
      </c>
      <c r="E228" s="9" t="s">
        <v>60</v>
      </c>
      <c r="F228" s="9" t="s">
        <v>61</v>
      </c>
      <c r="G228" s="11" t="n">
        <v>80</v>
      </c>
      <c r="H228" s="11" t="n">
        <v>50</v>
      </c>
      <c r="I228" s="11" t="n">
        <v>80</v>
      </c>
      <c r="J228" s="11" t="s">
        <v>133</v>
      </c>
      <c r="K228" s="11" t="s">
        <v>134</v>
      </c>
    </row>
    <row r="229" customFormat="false" ht="36.5" hidden="false" customHeight="false" outlineLevel="0" collapsed="false">
      <c r="A229" s="1" t="n">
        <v>42</v>
      </c>
      <c r="B229" s="1" t="n">
        <v>2023</v>
      </c>
      <c r="C229" s="3" t="n">
        <v>44966</v>
      </c>
      <c r="D229" s="4" t="s">
        <v>38</v>
      </c>
      <c r="E229" s="5" t="s">
        <v>63</v>
      </c>
      <c r="F229" s="5" t="s">
        <v>40</v>
      </c>
      <c r="G229" s="7" t="n">
        <v>100</v>
      </c>
      <c r="H229" s="7" t="n">
        <v>75</v>
      </c>
      <c r="I229" s="7" t="n">
        <v>100</v>
      </c>
      <c r="J229" s="7" t="n">
        <v>90</v>
      </c>
      <c r="K229" s="7" t="n">
        <v>95</v>
      </c>
    </row>
    <row r="230" customFormat="false" ht="36.5" hidden="false" customHeight="false" outlineLevel="0" collapsed="false">
      <c r="A230" s="1" t="n">
        <v>42</v>
      </c>
      <c r="B230" s="1" t="n">
        <v>2023</v>
      </c>
      <c r="C230" s="3" t="n">
        <v>44966</v>
      </c>
      <c r="D230" s="8" t="s">
        <v>38</v>
      </c>
      <c r="E230" s="9" t="s">
        <v>64</v>
      </c>
      <c r="F230" s="9" t="s">
        <v>40</v>
      </c>
      <c r="G230" s="11" t="n">
        <v>120</v>
      </c>
      <c r="H230" s="11" t="n">
        <v>110</v>
      </c>
      <c r="I230" s="11" t="n">
        <v>130</v>
      </c>
      <c r="J230" s="11" t="n">
        <v>120</v>
      </c>
      <c r="K230" s="11" t="n">
        <v>120</v>
      </c>
    </row>
    <row r="231" customFormat="false" ht="14.25" hidden="false" customHeight="false" outlineLevel="0" collapsed="false">
      <c r="A231" s="1" t="n">
        <v>42</v>
      </c>
      <c r="B231" s="1" t="n">
        <v>2023</v>
      </c>
      <c r="C231" s="3" t="n">
        <v>44966</v>
      </c>
      <c r="D231" s="4" t="s">
        <v>65</v>
      </c>
      <c r="E231" s="5" t="s">
        <v>66</v>
      </c>
      <c r="F231" s="5" t="s">
        <v>40</v>
      </c>
      <c r="G231" s="6"/>
      <c r="H231" s="6"/>
      <c r="I231" s="6"/>
      <c r="J231" s="6"/>
      <c r="K231" s="6"/>
    </row>
    <row r="232" customFormat="false" ht="14.25" hidden="false" customHeight="false" outlineLevel="0" collapsed="false">
      <c r="A232" s="1" t="n">
        <v>42</v>
      </c>
      <c r="B232" s="1" t="n">
        <v>2023</v>
      </c>
      <c r="C232" s="3" t="n">
        <v>44966</v>
      </c>
      <c r="D232" s="8" t="s">
        <v>65</v>
      </c>
      <c r="E232" s="9" t="s">
        <v>67</v>
      </c>
      <c r="F232" s="9" t="s">
        <v>40</v>
      </c>
      <c r="G232" s="10"/>
      <c r="H232" s="10"/>
      <c r="I232" s="10"/>
      <c r="J232" s="10"/>
      <c r="K232" s="10"/>
    </row>
    <row r="233" customFormat="false" ht="14.25" hidden="false" customHeight="false" outlineLevel="0" collapsed="false">
      <c r="A233" s="1" t="n">
        <v>42</v>
      </c>
      <c r="B233" s="1" t="n">
        <v>2023</v>
      </c>
      <c r="C233" s="3" t="n">
        <v>44966</v>
      </c>
      <c r="D233" s="4" t="s">
        <v>65</v>
      </c>
      <c r="E233" s="5" t="s">
        <v>68</v>
      </c>
      <c r="F233" s="5" t="s">
        <v>40</v>
      </c>
      <c r="G233" s="6"/>
      <c r="H233" s="6"/>
      <c r="I233" s="6"/>
      <c r="J233" s="6"/>
      <c r="K233" s="6"/>
    </row>
    <row r="234" customFormat="false" ht="14.25" hidden="false" customHeight="false" outlineLevel="0" collapsed="false">
      <c r="A234" s="1" t="n">
        <v>42</v>
      </c>
      <c r="B234" s="1" t="n">
        <v>2023</v>
      </c>
      <c r="C234" s="3" t="n">
        <v>44966</v>
      </c>
      <c r="D234" s="8" t="s">
        <v>65</v>
      </c>
      <c r="E234" s="9" t="s">
        <v>70</v>
      </c>
      <c r="F234" s="9" t="s">
        <v>71</v>
      </c>
      <c r="G234" s="10"/>
      <c r="H234" s="10"/>
      <c r="I234" s="10"/>
      <c r="J234" s="10"/>
      <c r="K234" s="10"/>
    </row>
    <row r="235" customFormat="false" ht="25" hidden="false" customHeight="false" outlineLevel="0" collapsed="false">
      <c r="A235" s="1" t="n">
        <v>43</v>
      </c>
      <c r="B235" s="1" t="n">
        <v>2023</v>
      </c>
      <c r="C235" s="3" t="n">
        <v>44973</v>
      </c>
      <c r="D235" s="4" t="s">
        <v>11</v>
      </c>
      <c r="E235" s="5" t="s">
        <v>12</v>
      </c>
      <c r="F235" s="5" t="s">
        <v>13</v>
      </c>
      <c r="G235" s="7" t="n">
        <v>42</v>
      </c>
      <c r="H235" s="7" t="n">
        <v>36</v>
      </c>
      <c r="I235" s="7" t="n">
        <v>42</v>
      </c>
      <c r="J235" s="7" t="n">
        <v>40</v>
      </c>
      <c r="K235" s="7" t="n">
        <v>42</v>
      </c>
    </row>
    <row r="236" customFormat="false" ht="25" hidden="false" customHeight="false" outlineLevel="0" collapsed="false">
      <c r="A236" s="1" t="n">
        <v>43</v>
      </c>
      <c r="B236" s="1" t="n">
        <v>2023</v>
      </c>
      <c r="C236" s="3" t="n">
        <v>44973</v>
      </c>
      <c r="D236" s="8" t="s">
        <v>11</v>
      </c>
      <c r="E236" s="9" t="s">
        <v>14</v>
      </c>
      <c r="F236" s="9" t="s">
        <v>13</v>
      </c>
      <c r="G236" s="11" t="n">
        <v>60</v>
      </c>
      <c r="H236" s="11" t="n">
        <v>36</v>
      </c>
      <c r="I236" s="11" t="n">
        <v>60</v>
      </c>
      <c r="J236" s="11" t="n">
        <v>52</v>
      </c>
      <c r="K236" s="11" t="n">
        <v>60</v>
      </c>
    </row>
    <row r="237" customFormat="false" ht="25" hidden="false" customHeight="false" outlineLevel="0" collapsed="false">
      <c r="A237" s="1" t="n">
        <v>43</v>
      </c>
      <c r="B237" s="1" t="n">
        <v>2023</v>
      </c>
      <c r="C237" s="3" t="n">
        <v>44973</v>
      </c>
      <c r="D237" s="4" t="s">
        <v>11</v>
      </c>
      <c r="E237" s="5" t="s">
        <v>15</v>
      </c>
      <c r="F237" s="5" t="s">
        <v>13</v>
      </c>
      <c r="G237" s="7" t="n">
        <v>36</v>
      </c>
      <c r="H237" s="7" t="n">
        <v>36</v>
      </c>
      <c r="I237" s="7" t="n">
        <v>42</v>
      </c>
      <c r="J237" s="7" t="n">
        <v>38</v>
      </c>
      <c r="K237" s="7" t="n">
        <v>36</v>
      </c>
    </row>
    <row r="238" customFormat="false" ht="25" hidden="false" customHeight="false" outlineLevel="0" collapsed="false">
      <c r="A238" s="1" t="n">
        <v>43</v>
      </c>
      <c r="B238" s="1" t="n">
        <v>2023</v>
      </c>
      <c r="C238" s="3" t="n">
        <v>44973</v>
      </c>
      <c r="D238" s="8" t="s">
        <v>11</v>
      </c>
      <c r="E238" s="9" t="s">
        <v>16</v>
      </c>
      <c r="F238" s="9" t="s">
        <v>13</v>
      </c>
      <c r="G238" s="11" t="n">
        <v>24</v>
      </c>
      <c r="H238" s="11" t="n">
        <v>18</v>
      </c>
      <c r="I238" s="11" t="n">
        <v>24</v>
      </c>
      <c r="J238" s="11" t="s">
        <v>37</v>
      </c>
      <c r="K238" s="11" t="n">
        <v>24</v>
      </c>
    </row>
    <row r="239" customFormat="false" ht="25" hidden="false" customHeight="false" outlineLevel="0" collapsed="false">
      <c r="A239" s="1" t="n">
        <v>43</v>
      </c>
      <c r="B239" s="1" t="n">
        <v>2023</v>
      </c>
      <c r="C239" s="3" t="n">
        <v>44973</v>
      </c>
      <c r="D239" s="4" t="s">
        <v>11</v>
      </c>
      <c r="E239" s="5" t="s">
        <v>17</v>
      </c>
      <c r="F239" s="5" t="s">
        <v>13</v>
      </c>
      <c r="G239" s="7" t="n">
        <v>24</v>
      </c>
      <c r="H239" s="7" t="n">
        <v>18</v>
      </c>
      <c r="I239" s="7" t="n">
        <v>24</v>
      </c>
      <c r="J239" s="7" t="n">
        <v>21</v>
      </c>
      <c r="K239" s="7" t="n">
        <v>21</v>
      </c>
    </row>
    <row r="240" customFormat="false" ht="25" hidden="false" customHeight="false" outlineLevel="0" collapsed="false">
      <c r="A240" s="1" t="n">
        <v>43</v>
      </c>
      <c r="B240" s="1" t="n">
        <v>2023</v>
      </c>
      <c r="C240" s="3" t="n">
        <v>44973</v>
      </c>
      <c r="D240" s="8" t="s">
        <v>11</v>
      </c>
      <c r="E240" s="9" t="s">
        <v>18</v>
      </c>
      <c r="F240" s="9" t="s">
        <v>13</v>
      </c>
      <c r="G240" s="10"/>
      <c r="H240" s="11" t="n">
        <v>42</v>
      </c>
      <c r="I240" s="11" t="n">
        <v>48</v>
      </c>
      <c r="J240" s="11" t="n">
        <v>45</v>
      </c>
      <c r="K240" s="11" t="n">
        <v>45</v>
      </c>
    </row>
    <row r="241" customFormat="false" ht="25" hidden="false" customHeight="false" outlineLevel="0" collapsed="false">
      <c r="A241" s="1" t="n">
        <v>43</v>
      </c>
      <c r="B241" s="1" t="n">
        <v>2023</v>
      </c>
      <c r="C241" s="3" t="n">
        <v>44973</v>
      </c>
      <c r="D241" s="4" t="s">
        <v>11</v>
      </c>
      <c r="E241" s="5" t="s">
        <v>19</v>
      </c>
      <c r="F241" s="5" t="s">
        <v>13</v>
      </c>
      <c r="G241" s="7" t="n">
        <v>60</v>
      </c>
      <c r="H241" s="7" t="n">
        <v>60</v>
      </c>
      <c r="I241" s="7" t="n">
        <v>60</v>
      </c>
      <c r="J241" s="7" t="n">
        <v>60</v>
      </c>
      <c r="K241" s="7" t="n">
        <v>60</v>
      </c>
    </row>
    <row r="242" customFormat="false" ht="25" hidden="false" customHeight="false" outlineLevel="0" collapsed="false">
      <c r="A242" s="1" t="n">
        <v>43</v>
      </c>
      <c r="B242" s="1" t="n">
        <v>2023</v>
      </c>
      <c r="C242" s="3" t="n">
        <v>44973</v>
      </c>
      <c r="D242" s="8" t="s">
        <v>11</v>
      </c>
      <c r="E242" s="9" t="s">
        <v>20</v>
      </c>
      <c r="F242" s="9" t="s">
        <v>13</v>
      </c>
      <c r="G242" s="11" t="n">
        <v>60</v>
      </c>
      <c r="H242" s="11" t="n">
        <v>60</v>
      </c>
      <c r="I242" s="11" t="n">
        <v>72</v>
      </c>
      <c r="J242" s="11" t="n">
        <v>64</v>
      </c>
      <c r="K242" s="11" t="n">
        <v>60</v>
      </c>
    </row>
    <row r="243" customFormat="false" ht="25" hidden="false" customHeight="false" outlineLevel="0" collapsed="false">
      <c r="A243" s="1" t="n">
        <v>43</v>
      </c>
      <c r="B243" s="1" t="n">
        <v>2023</v>
      </c>
      <c r="C243" s="3" t="n">
        <v>44973</v>
      </c>
      <c r="D243" s="4" t="s">
        <v>11</v>
      </c>
      <c r="E243" s="5" t="s">
        <v>21</v>
      </c>
      <c r="F243" s="5" t="s">
        <v>13</v>
      </c>
      <c r="G243" s="7" t="n">
        <v>15</v>
      </c>
      <c r="H243" s="7" t="n">
        <v>15</v>
      </c>
      <c r="I243" s="7" t="n">
        <v>24</v>
      </c>
      <c r="J243" s="7" t="n">
        <v>18</v>
      </c>
      <c r="K243" s="7" t="n">
        <v>15</v>
      </c>
    </row>
    <row r="244" customFormat="false" ht="25" hidden="false" customHeight="false" outlineLevel="0" collapsed="false">
      <c r="A244" s="1" t="n">
        <v>43</v>
      </c>
      <c r="B244" s="1" t="n">
        <v>2023</v>
      </c>
      <c r="C244" s="3" t="n">
        <v>44973</v>
      </c>
      <c r="D244" s="8" t="s">
        <v>11</v>
      </c>
      <c r="E244" s="9" t="s">
        <v>73</v>
      </c>
      <c r="F244" s="9" t="s">
        <v>13</v>
      </c>
      <c r="G244" s="11" t="n">
        <v>60</v>
      </c>
      <c r="H244" s="11" t="n">
        <v>60</v>
      </c>
      <c r="I244" s="11" t="n">
        <v>60</v>
      </c>
      <c r="J244" s="11" t="n">
        <v>60</v>
      </c>
      <c r="K244" s="11" t="n">
        <v>60</v>
      </c>
    </row>
    <row r="245" customFormat="false" ht="25" hidden="false" customHeight="false" outlineLevel="0" collapsed="false">
      <c r="A245" s="1" t="n">
        <v>43</v>
      </c>
      <c r="B245" s="1" t="n">
        <v>2023</v>
      </c>
      <c r="C245" s="3" t="n">
        <v>44973</v>
      </c>
      <c r="D245" s="4" t="s">
        <v>11</v>
      </c>
      <c r="E245" s="5" t="s">
        <v>23</v>
      </c>
      <c r="F245" s="5" t="s">
        <v>13</v>
      </c>
      <c r="G245" s="7" t="n">
        <v>24</v>
      </c>
      <c r="H245" s="7" t="n">
        <v>24</v>
      </c>
      <c r="I245" s="7" t="n">
        <v>24</v>
      </c>
      <c r="J245" s="7" t="n">
        <v>24</v>
      </c>
      <c r="K245" s="7" t="n">
        <v>24</v>
      </c>
    </row>
    <row r="246" customFormat="false" ht="25" hidden="false" customHeight="false" outlineLevel="0" collapsed="false">
      <c r="A246" s="1" t="n">
        <v>43</v>
      </c>
      <c r="B246" s="1" t="n">
        <v>2023</v>
      </c>
      <c r="C246" s="3" t="n">
        <v>44973</v>
      </c>
      <c r="D246" s="8" t="s">
        <v>11</v>
      </c>
      <c r="E246" s="9" t="s">
        <v>24</v>
      </c>
      <c r="F246" s="9" t="s">
        <v>13</v>
      </c>
      <c r="G246" s="11" t="n">
        <v>42</v>
      </c>
      <c r="H246" s="11" t="n">
        <v>42</v>
      </c>
      <c r="I246" s="11" t="n">
        <v>42</v>
      </c>
      <c r="J246" s="11" t="n">
        <v>42</v>
      </c>
      <c r="K246" s="11" t="n">
        <v>42</v>
      </c>
    </row>
    <row r="247" customFormat="false" ht="25" hidden="false" customHeight="false" outlineLevel="0" collapsed="false">
      <c r="A247" s="1" t="n">
        <v>43</v>
      </c>
      <c r="B247" s="1" t="n">
        <v>2023</v>
      </c>
      <c r="C247" s="3" t="n">
        <v>44973</v>
      </c>
      <c r="D247" s="4" t="s">
        <v>11</v>
      </c>
      <c r="E247" s="5" t="s">
        <v>25</v>
      </c>
      <c r="F247" s="5" t="s">
        <v>26</v>
      </c>
      <c r="G247" s="6"/>
      <c r="H247" s="7" t="n">
        <v>42</v>
      </c>
      <c r="I247" s="7" t="n">
        <v>60</v>
      </c>
      <c r="J247" s="7" t="n">
        <v>51</v>
      </c>
      <c r="K247" s="7" t="n">
        <v>51</v>
      </c>
    </row>
    <row r="248" customFormat="false" ht="25" hidden="false" customHeight="false" outlineLevel="0" collapsed="false">
      <c r="A248" s="1" t="n">
        <v>43</v>
      </c>
      <c r="B248" s="1" t="n">
        <v>2023</v>
      </c>
      <c r="C248" s="3" t="n">
        <v>44973</v>
      </c>
      <c r="D248" s="8" t="s">
        <v>11</v>
      </c>
      <c r="E248" s="9" t="s">
        <v>27</v>
      </c>
      <c r="F248" s="9" t="s">
        <v>13</v>
      </c>
      <c r="G248" s="11" t="n">
        <v>36</v>
      </c>
      <c r="H248" s="11" t="n">
        <v>36</v>
      </c>
      <c r="I248" s="11" t="n">
        <v>48</v>
      </c>
      <c r="J248" s="11" t="n">
        <v>40</v>
      </c>
      <c r="K248" s="11" t="n">
        <v>36</v>
      </c>
    </row>
    <row r="249" customFormat="false" ht="25" hidden="false" customHeight="false" outlineLevel="0" collapsed="false">
      <c r="A249" s="1" t="n">
        <v>43</v>
      </c>
      <c r="B249" s="1" t="n">
        <v>2023</v>
      </c>
      <c r="C249" s="3" t="n">
        <v>44973</v>
      </c>
      <c r="D249" s="4" t="s">
        <v>11</v>
      </c>
      <c r="E249" s="5" t="s">
        <v>28</v>
      </c>
      <c r="F249" s="5" t="s">
        <v>13</v>
      </c>
      <c r="G249" s="7" t="n">
        <v>24</v>
      </c>
      <c r="H249" s="7" t="n">
        <v>18</v>
      </c>
      <c r="I249" s="7" t="n">
        <v>30</v>
      </c>
      <c r="J249" s="7" t="n">
        <v>24</v>
      </c>
      <c r="K249" s="7" t="n">
        <v>24</v>
      </c>
    </row>
    <row r="250" customFormat="false" ht="25" hidden="false" customHeight="false" outlineLevel="0" collapsed="false">
      <c r="A250" s="1" t="n">
        <v>43</v>
      </c>
      <c r="B250" s="1" t="n">
        <v>2023</v>
      </c>
      <c r="C250" s="3" t="n">
        <v>44973</v>
      </c>
      <c r="D250" s="8" t="s">
        <v>11</v>
      </c>
      <c r="E250" s="9" t="s">
        <v>29</v>
      </c>
      <c r="F250" s="9" t="s">
        <v>13</v>
      </c>
      <c r="G250" s="11" t="n">
        <v>42</v>
      </c>
      <c r="H250" s="11" t="n">
        <v>36</v>
      </c>
      <c r="I250" s="11" t="n">
        <v>42</v>
      </c>
      <c r="J250" s="11" t="n">
        <v>39</v>
      </c>
      <c r="K250" s="11" t="n">
        <v>39</v>
      </c>
    </row>
    <row r="251" customFormat="false" ht="25" hidden="false" customHeight="false" outlineLevel="0" collapsed="false">
      <c r="A251" s="1" t="n">
        <v>43</v>
      </c>
      <c r="B251" s="1" t="n">
        <v>2023</v>
      </c>
      <c r="C251" s="3" t="n">
        <v>44973</v>
      </c>
      <c r="D251" s="4" t="s">
        <v>30</v>
      </c>
      <c r="E251" s="5" t="s">
        <v>31</v>
      </c>
      <c r="F251" s="5" t="s">
        <v>32</v>
      </c>
      <c r="G251" s="7" t="n">
        <v>5</v>
      </c>
      <c r="H251" s="7" t="s">
        <v>74</v>
      </c>
      <c r="I251" s="7" t="n">
        <v>5</v>
      </c>
      <c r="J251" s="7" t="s">
        <v>135</v>
      </c>
      <c r="K251" s="7" t="s">
        <v>97</v>
      </c>
    </row>
    <row r="252" customFormat="false" ht="25" hidden="false" customHeight="false" outlineLevel="0" collapsed="false">
      <c r="A252" s="1" t="n">
        <v>43</v>
      </c>
      <c r="B252" s="1" t="n">
        <v>2023</v>
      </c>
      <c r="C252" s="3" t="n">
        <v>44973</v>
      </c>
      <c r="D252" s="8" t="s">
        <v>30</v>
      </c>
      <c r="E252" s="9" t="s">
        <v>34</v>
      </c>
      <c r="F252" s="9" t="s">
        <v>35</v>
      </c>
      <c r="G252" s="10"/>
      <c r="H252" s="11" t="n">
        <v>18</v>
      </c>
      <c r="I252" s="11" t="n">
        <v>25</v>
      </c>
      <c r="J252" s="11" t="n">
        <v>21</v>
      </c>
      <c r="K252" s="11" t="n">
        <v>20</v>
      </c>
    </row>
    <row r="253" customFormat="false" ht="25" hidden="false" customHeight="false" outlineLevel="0" collapsed="false">
      <c r="A253" s="1" t="n">
        <v>43</v>
      </c>
      <c r="B253" s="1" t="n">
        <v>2023</v>
      </c>
      <c r="C253" s="3" t="n">
        <v>44973</v>
      </c>
      <c r="D253" s="4" t="s">
        <v>30</v>
      </c>
      <c r="E253" s="5" t="s">
        <v>36</v>
      </c>
      <c r="F253" s="5" t="s">
        <v>35</v>
      </c>
      <c r="G253" s="7" t="n">
        <v>25</v>
      </c>
      <c r="H253" s="7" t="n">
        <v>25</v>
      </c>
      <c r="I253" s="7" t="n">
        <v>30</v>
      </c>
      <c r="J253" s="7" t="s">
        <v>136</v>
      </c>
      <c r="K253" s="7" t="n">
        <v>25</v>
      </c>
    </row>
    <row r="254" customFormat="false" ht="36.5" hidden="false" customHeight="false" outlineLevel="0" collapsed="false">
      <c r="A254" s="1" t="n">
        <v>43</v>
      </c>
      <c r="B254" s="1" t="n">
        <v>2023</v>
      </c>
      <c r="C254" s="3" t="n">
        <v>44973</v>
      </c>
      <c r="D254" s="8" t="s">
        <v>38</v>
      </c>
      <c r="E254" s="9" t="s">
        <v>39</v>
      </c>
      <c r="F254" s="9" t="s">
        <v>40</v>
      </c>
      <c r="G254" s="11" t="n">
        <v>60</v>
      </c>
      <c r="H254" s="11" t="n">
        <v>40</v>
      </c>
      <c r="I254" s="11" t="n">
        <v>60</v>
      </c>
      <c r="J254" s="11" t="s">
        <v>78</v>
      </c>
      <c r="K254" s="11" t="n">
        <v>55</v>
      </c>
    </row>
    <row r="255" customFormat="false" ht="36.5" hidden="false" customHeight="false" outlineLevel="0" collapsed="false">
      <c r="A255" s="1" t="n">
        <v>43</v>
      </c>
      <c r="B255" s="1" t="n">
        <v>2023</v>
      </c>
      <c r="C255" s="3" t="n">
        <v>44973</v>
      </c>
      <c r="D255" s="4" t="s">
        <v>38</v>
      </c>
      <c r="E255" s="5" t="s">
        <v>42</v>
      </c>
      <c r="F255" s="5" t="s">
        <v>43</v>
      </c>
      <c r="G255" s="7" t="n">
        <v>50</v>
      </c>
      <c r="H255" s="7" t="n">
        <v>45</v>
      </c>
      <c r="I255" s="7" t="n">
        <v>50</v>
      </c>
      <c r="J255" s="7" t="s">
        <v>137</v>
      </c>
      <c r="K255" s="7" t="n">
        <v>50</v>
      </c>
    </row>
    <row r="256" customFormat="false" ht="36.5" hidden="false" customHeight="false" outlineLevel="0" collapsed="false">
      <c r="A256" s="1" t="n">
        <v>43</v>
      </c>
      <c r="B256" s="1" t="n">
        <v>2023</v>
      </c>
      <c r="C256" s="3" t="n">
        <v>44973</v>
      </c>
      <c r="D256" s="8" t="s">
        <v>38</v>
      </c>
      <c r="E256" s="9" t="s">
        <v>44</v>
      </c>
      <c r="F256" s="9" t="s">
        <v>45</v>
      </c>
      <c r="G256" s="11" t="n">
        <v>50</v>
      </c>
      <c r="H256" s="11" t="n">
        <v>35</v>
      </c>
      <c r="I256" s="11" t="n">
        <v>50</v>
      </c>
      <c r="J256" s="11" t="n">
        <v>45</v>
      </c>
      <c r="K256" s="11" t="s">
        <v>91</v>
      </c>
    </row>
    <row r="257" customFormat="false" ht="36.5" hidden="false" customHeight="false" outlineLevel="0" collapsed="false">
      <c r="A257" s="1" t="n">
        <v>43</v>
      </c>
      <c r="B257" s="1" t="n">
        <v>2023</v>
      </c>
      <c r="C257" s="3" t="n">
        <v>44973</v>
      </c>
      <c r="D257" s="4" t="s">
        <v>38</v>
      </c>
      <c r="E257" s="5" t="s">
        <v>48</v>
      </c>
      <c r="F257" s="5" t="s">
        <v>45</v>
      </c>
      <c r="G257" s="6"/>
      <c r="H257" s="7" t="n">
        <v>60</v>
      </c>
      <c r="I257" s="7" t="n">
        <v>60</v>
      </c>
      <c r="J257" s="7" t="n">
        <v>60</v>
      </c>
      <c r="K257" s="7" t="n">
        <v>60</v>
      </c>
    </row>
    <row r="258" customFormat="false" ht="36.5" hidden="false" customHeight="false" outlineLevel="0" collapsed="false">
      <c r="A258" s="1" t="n">
        <v>43</v>
      </c>
      <c r="B258" s="1" t="n">
        <v>2023</v>
      </c>
      <c r="C258" s="3" t="n">
        <v>44973</v>
      </c>
      <c r="D258" s="8" t="s">
        <v>38</v>
      </c>
      <c r="E258" s="9" t="s">
        <v>49</v>
      </c>
      <c r="F258" s="9" t="s">
        <v>50</v>
      </c>
      <c r="G258" s="11" t="n">
        <v>60</v>
      </c>
      <c r="H258" s="11" t="n">
        <v>50</v>
      </c>
      <c r="I258" s="11" t="n">
        <v>70</v>
      </c>
      <c r="J258" s="11" t="n">
        <v>60</v>
      </c>
      <c r="K258" s="11" t="n">
        <v>60</v>
      </c>
    </row>
    <row r="259" customFormat="false" ht="36.5" hidden="false" customHeight="false" outlineLevel="0" collapsed="false">
      <c r="A259" s="1" t="n">
        <v>43</v>
      </c>
      <c r="B259" s="1" t="n">
        <v>2023</v>
      </c>
      <c r="C259" s="3" t="n">
        <v>44973</v>
      </c>
      <c r="D259" s="4" t="s">
        <v>38</v>
      </c>
      <c r="E259" s="5" t="s">
        <v>52</v>
      </c>
      <c r="F259" s="5" t="s">
        <v>43</v>
      </c>
      <c r="G259" s="7" t="n">
        <v>60</v>
      </c>
      <c r="H259" s="7" t="n">
        <v>40</v>
      </c>
      <c r="I259" s="7" t="n">
        <v>60</v>
      </c>
      <c r="J259" s="7" t="n">
        <v>54</v>
      </c>
      <c r="K259" s="7" t="n">
        <v>60</v>
      </c>
    </row>
    <row r="260" customFormat="false" ht="36.5" hidden="false" customHeight="false" outlineLevel="0" collapsed="false">
      <c r="A260" s="1" t="n">
        <v>43</v>
      </c>
      <c r="B260" s="1" t="n">
        <v>2023</v>
      </c>
      <c r="C260" s="3" t="n">
        <v>44973</v>
      </c>
      <c r="D260" s="8" t="s">
        <v>38</v>
      </c>
      <c r="E260" s="9" t="s">
        <v>53</v>
      </c>
      <c r="F260" s="9" t="s">
        <v>43</v>
      </c>
      <c r="G260" s="11" t="n">
        <v>50</v>
      </c>
      <c r="H260" s="11" t="n">
        <v>35</v>
      </c>
      <c r="I260" s="11" t="n">
        <v>50</v>
      </c>
      <c r="J260" s="11" t="n">
        <v>46</v>
      </c>
      <c r="K260" s="11" t="n">
        <v>50</v>
      </c>
    </row>
    <row r="261" customFormat="false" ht="36.5" hidden="false" customHeight="false" outlineLevel="0" collapsed="false">
      <c r="A261" s="1" t="n">
        <v>43</v>
      </c>
      <c r="B261" s="1" t="n">
        <v>2023</v>
      </c>
      <c r="C261" s="3" t="n">
        <v>44973</v>
      </c>
      <c r="D261" s="4" t="s">
        <v>38</v>
      </c>
      <c r="E261" s="5" t="s">
        <v>54</v>
      </c>
      <c r="F261" s="5" t="s">
        <v>40</v>
      </c>
      <c r="G261" s="7" t="n">
        <v>70</v>
      </c>
      <c r="H261" s="7" t="n">
        <v>50</v>
      </c>
      <c r="I261" s="7" t="n">
        <v>70</v>
      </c>
      <c r="J261" s="7" t="s">
        <v>80</v>
      </c>
      <c r="K261" s="7" t="n">
        <v>65</v>
      </c>
    </row>
    <row r="262" customFormat="false" ht="36.5" hidden="false" customHeight="false" outlineLevel="0" collapsed="false">
      <c r="A262" s="1" t="n">
        <v>43</v>
      </c>
      <c r="B262" s="1" t="n">
        <v>2023</v>
      </c>
      <c r="C262" s="3" t="n">
        <v>44973</v>
      </c>
      <c r="D262" s="8" t="s">
        <v>38</v>
      </c>
      <c r="E262" s="9" t="s">
        <v>56</v>
      </c>
      <c r="F262" s="9" t="s">
        <v>43</v>
      </c>
      <c r="G262" s="10"/>
      <c r="H262" s="11" t="n">
        <v>50</v>
      </c>
      <c r="I262" s="11" t="n">
        <v>55</v>
      </c>
      <c r="J262" s="11" t="s">
        <v>78</v>
      </c>
      <c r="K262" s="11" t="s">
        <v>78</v>
      </c>
    </row>
    <row r="263" customFormat="false" ht="36.5" hidden="false" customHeight="false" outlineLevel="0" collapsed="false">
      <c r="A263" s="1" t="n">
        <v>43</v>
      </c>
      <c r="B263" s="1" t="n">
        <v>2023</v>
      </c>
      <c r="C263" s="3" t="n">
        <v>44973</v>
      </c>
      <c r="D263" s="4" t="s">
        <v>38</v>
      </c>
      <c r="E263" s="5" t="s">
        <v>57</v>
      </c>
      <c r="F263" s="5" t="s">
        <v>40</v>
      </c>
      <c r="G263" s="6"/>
      <c r="H263" s="7" t="n">
        <v>45</v>
      </c>
      <c r="I263" s="7" t="n">
        <v>60</v>
      </c>
      <c r="J263" s="7" t="s">
        <v>138</v>
      </c>
      <c r="K263" s="7" t="n">
        <v>50</v>
      </c>
    </row>
    <row r="264" customFormat="false" ht="36.5" hidden="false" customHeight="false" outlineLevel="0" collapsed="false">
      <c r="A264" s="1" t="n">
        <v>43</v>
      </c>
      <c r="B264" s="1" t="n">
        <v>2023</v>
      </c>
      <c r="C264" s="3" t="n">
        <v>44973</v>
      </c>
      <c r="D264" s="8" t="s">
        <v>38</v>
      </c>
      <c r="E264" s="9" t="s">
        <v>58</v>
      </c>
      <c r="F264" s="9" t="s">
        <v>40</v>
      </c>
      <c r="G264" s="10"/>
      <c r="H264" s="11" t="n">
        <v>60</v>
      </c>
      <c r="I264" s="11" t="n">
        <v>100</v>
      </c>
      <c r="J264" s="11" t="n">
        <v>81</v>
      </c>
      <c r="K264" s="11" t="n">
        <v>80</v>
      </c>
    </row>
    <row r="265" customFormat="false" ht="36.5" hidden="false" customHeight="false" outlineLevel="0" collapsed="false">
      <c r="A265" s="1" t="n">
        <v>43</v>
      </c>
      <c r="B265" s="1" t="n">
        <v>2023</v>
      </c>
      <c r="C265" s="3" t="n">
        <v>44973</v>
      </c>
      <c r="D265" s="4" t="s">
        <v>38</v>
      </c>
      <c r="E265" s="5" t="s">
        <v>59</v>
      </c>
      <c r="F265" s="5" t="s">
        <v>45</v>
      </c>
      <c r="G265" s="7" t="n">
        <v>40</v>
      </c>
      <c r="H265" s="7" t="n">
        <v>35</v>
      </c>
      <c r="I265" s="7" t="n">
        <v>40</v>
      </c>
      <c r="J265" s="7" t="s">
        <v>139</v>
      </c>
      <c r="K265" s="7" t="n">
        <v>40</v>
      </c>
    </row>
    <row r="266" customFormat="false" ht="36.5" hidden="false" customHeight="false" outlineLevel="0" collapsed="false">
      <c r="A266" s="1" t="n">
        <v>43</v>
      </c>
      <c r="B266" s="1" t="n">
        <v>2023</v>
      </c>
      <c r="C266" s="3" t="n">
        <v>44973</v>
      </c>
      <c r="D266" s="8" t="s">
        <v>38</v>
      </c>
      <c r="E266" s="9" t="s">
        <v>60</v>
      </c>
      <c r="F266" s="9" t="s">
        <v>61</v>
      </c>
      <c r="G266" s="11" t="n">
        <v>70</v>
      </c>
      <c r="H266" s="11" t="n">
        <v>70</v>
      </c>
      <c r="I266" s="11" t="n">
        <v>100</v>
      </c>
      <c r="J266" s="11" t="n">
        <v>80</v>
      </c>
      <c r="K266" s="11" t="n">
        <v>75</v>
      </c>
    </row>
    <row r="267" customFormat="false" ht="36.5" hidden="false" customHeight="false" outlineLevel="0" collapsed="false">
      <c r="A267" s="1" t="n">
        <v>43</v>
      </c>
      <c r="B267" s="1" t="n">
        <v>2023</v>
      </c>
      <c r="C267" s="3" t="n">
        <v>44973</v>
      </c>
      <c r="D267" s="4" t="s">
        <v>38</v>
      </c>
      <c r="E267" s="5" t="s">
        <v>63</v>
      </c>
      <c r="F267" s="5" t="s">
        <v>40</v>
      </c>
      <c r="G267" s="7" t="n">
        <v>110</v>
      </c>
      <c r="H267" s="7" t="n">
        <v>100</v>
      </c>
      <c r="I267" s="7" t="n">
        <v>140</v>
      </c>
      <c r="J267" s="7" t="n">
        <v>115</v>
      </c>
      <c r="K267" s="7" t="n">
        <v>110</v>
      </c>
    </row>
    <row r="268" customFormat="false" ht="36.5" hidden="false" customHeight="false" outlineLevel="0" collapsed="false">
      <c r="A268" s="1" t="n">
        <v>43</v>
      </c>
      <c r="B268" s="1" t="n">
        <v>2023</v>
      </c>
      <c r="C268" s="3" t="n">
        <v>44973</v>
      </c>
      <c r="D268" s="8" t="s">
        <v>38</v>
      </c>
      <c r="E268" s="9" t="s">
        <v>64</v>
      </c>
      <c r="F268" s="9" t="s">
        <v>40</v>
      </c>
      <c r="G268" s="11" t="n">
        <v>120</v>
      </c>
      <c r="H268" s="11" t="n">
        <v>100</v>
      </c>
      <c r="I268" s="11" t="n">
        <v>130</v>
      </c>
      <c r="J268" s="11" t="s">
        <v>140</v>
      </c>
      <c r="K268" s="11" t="n">
        <v>120</v>
      </c>
    </row>
    <row r="269" customFormat="false" ht="14.25" hidden="false" customHeight="false" outlineLevel="0" collapsed="false">
      <c r="A269" s="1" t="n">
        <v>43</v>
      </c>
      <c r="B269" s="1" t="n">
        <v>2023</v>
      </c>
      <c r="C269" s="3" t="n">
        <v>44973</v>
      </c>
      <c r="D269" s="4" t="s">
        <v>65</v>
      </c>
      <c r="E269" s="5" t="s">
        <v>66</v>
      </c>
      <c r="F269" s="5" t="s">
        <v>40</v>
      </c>
      <c r="G269" s="6"/>
      <c r="H269" s="6"/>
      <c r="I269" s="6"/>
      <c r="J269" s="6"/>
      <c r="K269" s="6"/>
    </row>
    <row r="270" customFormat="false" ht="14.25" hidden="false" customHeight="false" outlineLevel="0" collapsed="false">
      <c r="A270" s="1" t="n">
        <v>43</v>
      </c>
      <c r="B270" s="1" t="n">
        <v>2023</v>
      </c>
      <c r="C270" s="3" t="n">
        <v>44973</v>
      </c>
      <c r="D270" s="8" t="s">
        <v>65</v>
      </c>
      <c r="E270" s="9" t="s">
        <v>67</v>
      </c>
      <c r="F270" s="9" t="s">
        <v>40</v>
      </c>
      <c r="G270" s="10"/>
      <c r="H270" s="10"/>
      <c r="I270" s="10"/>
      <c r="J270" s="10"/>
      <c r="K270" s="10"/>
    </row>
    <row r="271" customFormat="false" ht="14.25" hidden="false" customHeight="false" outlineLevel="0" collapsed="false">
      <c r="A271" s="1" t="n">
        <v>43</v>
      </c>
      <c r="B271" s="1" t="n">
        <v>2023</v>
      </c>
      <c r="C271" s="3" t="n">
        <v>44973</v>
      </c>
      <c r="D271" s="4" t="s">
        <v>65</v>
      </c>
      <c r="E271" s="5" t="s">
        <v>68</v>
      </c>
      <c r="F271" s="5" t="s">
        <v>40</v>
      </c>
      <c r="G271" s="6"/>
      <c r="H271" s="6"/>
      <c r="I271" s="6"/>
      <c r="J271" s="6"/>
      <c r="K271" s="6"/>
    </row>
    <row r="272" customFormat="false" ht="14.25" hidden="false" customHeight="false" outlineLevel="0" collapsed="false">
      <c r="A272" s="1" t="n">
        <v>43</v>
      </c>
      <c r="B272" s="1" t="n">
        <v>2023</v>
      </c>
      <c r="C272" s="3" t="n">
        <v>44973</v>
      </c>
      <c r="D272" s="8" t="s">
        <v>65</v>
      </c>
      <c r="E272" s="9" t="s">
        <v>69</v>
      </c>
      <c r="F272" s="9" t="s">
        <v>45</v>
      </c>
      <c r="G272" s="10"/>
      <c r="H272" s="10"/>
      <c r="I272" s="10"/>
      <c r="J272" s="10"/>
      <c r="K272" s="10"/>
    </row>
    <row r="273" customFormat="false" ht="14.25" hidden="false" customHeight="false" outlineLevel="0" collapsed="false">
      <c r="A273" s="1" t="n">
        <v>43</v>
      </c>
      <c r="B273" s="1" t="n">
        <v>2023</v>
      </c>
      <c r="C273" s="3" t="n">
        <v>44973</v>
      </c>
      <c r="D273" s="4" t="s">
        <v>65</v>
      </c>
      <c r="E273" s="5" t="s">
        <v>70</v>
      </c>
      <c r="F273" s="5" t="s">
        <v>71</v>
      </c>
      <c r="G273" s="6"/>
      <c r="H273" s="6"/>
      <c r="I273" s="6"/>
      <c r="J273" s="6"/>
      <c r="K273" s="6"/>
    </row>
    <row r="274" customFormat="false" ht="25" hidden="false" customHeight="false" outlineLevel="0" collapsed="false">
      <c r="A274" s="1" t="n">
        <v>44</v>
      </c>
      <c r="B274" s="1" t="n">
        <v>2024</v>
      </c>
      <c r="C274" s="3" t="n">
        <v>45357</v>
      </c>
      <c r="D274" s="4" t="s">
        <v>11</v>
      </c>
      <c r="E274" s="5" t="s">
        <v>12</v>
      </c>
      <c r="F274" s="5" t="s">
        <v>13</v>
      </c>
      <c r="G274" s="7" t="n">
        <v>60</v>
      </c>
      <c r="H274" s="7" t="n">
        <v>48</v>
      </c>
      <c r="I274" s="7" t="n">
        <v>78</v>
      </c>
      <c r="J274" s="7" t="s">
        <v>141</v>
      </c>
      <c r="K274" s="7" t="n">
        <v>60</v>
      </c>
    </row>
    <row r="275" customFormat="false" ht="25" hidden="false" customHeight="false" outlineLevel="0" collapsed="false">
      <c r="A275" s="1" t="n">
        <v>44</v>
      </c>
      <c r="B275" s="1" t="n">
        <v>2024</v>
      </c>
      <c r="C275" s="3" t="n">
        <v>45357</v>
      </c>
      <c r="D275" s="8" t="s">
        <v>11</v>
      </c>
      <c r="E275" s="9" t="s">
        <v>14</v>
      </c>
      <c r="F275" s="9" t="s">
        <v>13</v>
      </c>
      <c r="G275" s="11" t="n">
        <v>84</v>
      </c>
      <c r="H275" s="11" t="n">
        <v>72</v>
      </c>
      <c r="I275" s="11" t="n">
        <v>84</v>
      </c>
      <c r="J275" s="11" t="n">
        <v>80</v>
      </c>
      <c r="K275" s="11" t="n">
        <v>84</v>
      </c>
    </row>
    <row r="276" customFormat="false" ht="25" hidden="false" customHeight="false" outlineLevel="0" collapsed="false">
      <c r="A276" s="1" t="n">
        <v>44</v>
      </c>
      <c r="B276" s="1" t="n">
        <v>2024</v>
      </c>
      <c r="C276" s="3" t="n">
        <v>45357</v>
      </c>
      <c r="D276" s="4" t="s">
        <v>11</v>
      </c>
      <c r="E276" s="5" t="s">
        <v>15</v>
      </c>
      <c r="F276" s="5" t="s">
        <v>13</v>
      </c>
      <c r="G276" s="6"/>
      <c r="H276" s="7" t="n">
        <v>45</v>
      </c>
      <c r="I276" s="7" t="n">
        <v>60</v>
      </c>
      <c r="J276" s="7" t="s">
        <v>142</v>
      </c>
      <c r="K276" s="7" t="n">
        <v>51</v>
      </c>
    </row>
    <row r="277" customFormat="false" ht="25" hidden="false" customHeight="false" outlineLevel="0" collapsed="false">
      <c r="A277" s="1" t="n">
        <v>44</v>
      </c>
      <c r="B277" s="1" t="n">
        <v>2024</v>
      </c>
      <c r="C277" s="3" t="n">
        <v>45357</v>
      </c>
      <c r="D277" s="8" t="s">
        <v>11</v>
      </c>
      <c r="E277" s="9" t="s">
        <v>16</v>
      </c>
      <c r="F277" s="9" t="s">
        <v>13</v>
      </c>
      <c r="G277" s="10"/>
      <c r="H277" s="11" t="n">
        <v>30</v>
      </c>
      <c r="I277" s="11" t="n">
        <v>50</v>
      </c>
      <c r="J277" s="11" t="s">
        <v>143</v>
      </c>
      <c r="K277" s="11" t="n">
        <v>36</v>
      </c>
    </row>
    <row r="278" customFormat="false" ht="25" hidden="false" customHeight="false" outlineLevel="0" collapsed="false">
      <c r="A278" s="1" t="n">
        <v>44</v>
      </c>
      <c r="B278" s="1" t="n">
        <v>2024</v>
      </c>
      <c r="C278" s="3" t="n">
        <v>45357</v>
      </c>
      <c r="D278" s="4" t="s">
        <v>11</v>
      </c>
      <c r="E278" s="5" t="s">
        <v>17</v>
      </c>
      <c r="F278" s="5" t="s">
        <v>13</v>
      </c>
      <c r="G278" s="6"/>
      <c r="H278" s="7" t="n">
        <v>30</v>
      </c>
      <c r="I278" s="7" t="n">
        <v>42</v>
      </c>
      <c r="J278" s="7" t="s">
        <v>144</v>
      </c>
      <c r="K278" s="7" t="s">
        <v>145</v>
      </c>
    </row>
    <row r="279" customFormat="false" ht="25" hidden="false" customHeight="false" outlineLevel="0" collapsed="false">
      <c r="A279" s="1" t="n">
        <v>44</v>
      </c>
      <c r="B279" s="1" t="n">
        <v>2024</v>
      </c>
      <c r="C279" s="3" t="n">
        <v>45357</v>
      </c>
      <c r="D279" s="8" t="s">
        <v>11</v>
      </c>
      <c r="E279" s="9" t="s">
        <v>18</v>
      </c>
      <c r="F279" s="9" t="s">
        <v>13</v>
      </c>
      <c r="G279" s="11" t="n">
        <v>60</v>
      </c>
      <c r="H279" s="11" t="n">
        <v>48</v>
      </c>
      <c r="I279" s="11" t="n">
        <v>60</v>
      </c>
      <c r="J279" s="11" t="n">
        <v>56</v>
      </c>
      <c r="K279" s="11" t="n">
        <v>60</v>
      </c>
    </row>
    <row r="280" customFormat="false" ht="25" hidden="false" customHeight="false" outlineLevel="0" collapsed="false">
      <c r="A280" s="1" t="n">
        <v>44</v>
      </c>
      <c r="B280" s="1" t="n">
        <v>2024</v>
      </c>
      <c r="C280" s="3" t="n">
        <v>45357</v>
      </c>
      <c r="D280" s="4" t="s">
        <v>11</v>
      </c>
      <c r="E280" s="5" t="s">
        <v>19</v>
      </c>
      <c r="F280" s="5" t="s">
        <v>13</v>
      </c>
      <c r="G280" s="7" t="n">
        <v>72</v>
      </c>
      <c r="H280" s="7" t="n">
        <v>60</v>
      </c>
      <c r="I280" s="7" t="n">
        <v>84</v>
      </c>
      <c r="J280" s="7" t="n">
        <v>72</v>
      </c>
      <c r="K280" s="7" t="n">
        <v>72</v>
      </c>
    </row>
    <row r="281" customFormat="false" ht="25" hidden="false" customHeight="false" outlineLevel="0" collapsed="false">
      <c r="A281" s="1" t="n">
        <v>44</v>
      </c>
      <c r="B281" s="1" t="n">
        <v>2024</v>
      </c>
      <c r="C281" s="3" t="n">
        <v>45357</v>
      </c>
      <c r="D281" s="8" t="s">
        <v>11</v>
      </c>
      <c r="E281" s="9" t="s">
        <v>20</v>
      </c>
      <c r="F281" s="9" t="s">
        <v>13</v>
      </c>
      <c r="G281" s="11" t="n">
        <v>84</v>
      </c>
      <c r="H281" s="11" t="n">
        <v>72</v>
      </c>
      <c r="I281" s="11" t="n">
        <v>96</v>
      </c>
      <c r="J281" s="11" t="n">
        <v>84</v>
      </c>
      <c r="K281" s="11" t="n">
        <v>84</v>
      </c>
    </row>
    <row r="282" customFormat="false" ht="25" hidden="false" customHeight="false" outlineLevel="0" collapsed="false">
      <c r="A282" s="1" t="n">
        <v>44</v>
      </c>
      <c r="B282" s="1" t="n">
        <v>2024</v>
      </c>
      <c r="C282" s="3" t="n">
        <v>45357</v>
      </c>
      <c r="D282" s="4" t="s">
        <v>11</v>
      </c>
      <c r="E282" s="5" t="s">
        <v>21</v>
      </c>
      <c r="F282" s="5" t="s">
        <v>13</v>
      </c>
      <c r="G282" s="7" t="n">
        <v>25</v>
      </c>
      <c r="H282" s="7" t="n">
        <v>24</v>
      </c>
      <c r="I282" s="7" t="n">
        <v>30</v>
      </c>
      <c r="J282" s="7" t="n">
        <v>26</v>
      </c>
      <c r="K282" s="7" t="n">
        <v>25</v>
      </c>
    </row>
    <row r="283" customFormat="false" ht="25" hidden="false" customHeight="false" outlineLevel="0" collapsed="false">
      <c r="A283" s="1" t="n">
        <v>44</v>
      </c>
      <c r="B283" s="1" t="n">
        <v>2024</v>
      </c>
      <c r="C283" s="3" t="n">
        <v>45357</v>
      </c>
      <c r="D283" s="8" t="s">
        <v>11</v>
      </c>
      <c r="E283" s="9" t="s">
        <v>73</v>
      </c>
      <c r="F283" s="9" t="s">
        <v>13</v>
      </c>
      <c r="G283" s="11" t="n">
        <v>84</v>
      </c>
      <c r="H283" s="11" t="n">
        <v>84</v>
      </c>
      <c r="I283" s="11" t="n">
        <v>108</v>
      </c>
      <c r="J283" s="11" t="s">
        <v>146</v>
      </c>
      <c r="K283" s="11" t="n">
        <v>96</v>
      </c>
    </row>
    <row r="284" customFormat="false" ht="25" hidden="false" customHeight="false" outlineLevel="0" collapsed="false">
      <c r="A284" s="1" t="n">
        <v>44</v>
      </c>
      <c r="B284" s="1" t="n">
        <v>2024</v>
      </c>
      <c r="C284" s="3" t="n">
        <v>45357</v>
      </c>
      <c r="D284" s="4" t="s">
        <v>11</v>
      </c>
      <c r="E284" s="5" t="s">
        <v>23</v>
      </c>
      <c r="F284" s="5" t="s">
        <v>13</v>
      </c>
      <c r="G284" s="6"/>
      <c r="H284" s="7" t="n">
        <v>25</v>
      </c>
      <c r="I284" s="7" t="n">
        <v>42</v>
      </c>
      <c r="J284" s="7" t="s">
        <v>147</v>
      </c>
      <c r="K284" s="7" t="n">
        <v>33</v>
      </c>
    </row>
    <row r="285" customFormat="false" ht="25" hidden="false" customHeight="false" outlineLevel="0" collapsed="false">
      <c r="A285" s="1" t="n">
        <v>44</v>
      </c>
      <c r="B285" s="1" t="n">
        <v>2024</v>
      </c>
      <c r="C285" s="3" t="n">
        <v>45357</v>
      </c>
      <c r="D285" s="8" t="s">
        <v>11</v>
      </c>
      <c r="E285" s="9" t="s">
        <v>24</v>
      </c>
      <c r="F285" s="9" t="s">
        <v>13</v>
      </c>
      <c r="G285" s="11" t="n">
        <v>60</v>
      </c>
      <c r="H285" s="11" t="n">
        <v>60</v>
      </c>
      <c r="I285" s="11" t="n">
        <v>72</v>
      </c>
      <c r="J285" s="11" t="n">
        <v>64</v>
      </c>
      <c r="K285" s="11" t="n">
        <v>60</v>
      </c>
    </row>
    <row r="286" customFormat="false" ht="25" hidden="false" customHeight="false" outlineLevel="0" collapsed="false">
      <c r="A286" s="1" t="n">
        <v>44</v>
      </c>
      <c r="B286" s="1" t="n">
        <v>2024</v>
      </c>
      <c r="C286" s="3" t="n">
        <v>45357</v>
      </c>
      <c r="D286" s="4" t="s">
        <v>11</v>
      </c>
      <c r="E286" s="5" t="s">
        <v>25</v>
      </c>
      <c r="F286" s="5" t="s">
        <v>26</v>
      </c>
      <c r="G286" s="7" t="n">
        <v>60</v>
      </c>
      <c r="H286" s="7" t="n">
        <v>48</v>
      </c>
      <c r="I286" s="7" t="n">
        <v>72</v>
      </c>
      <c r="J286" s="7" t="n">
        <v>60</v>
      </c>
      <c r="K286" s="7" t="n">
        <v>60</v>
      </c>
    </row>
    <row r="287" customFormat="false" ht="25" hidden="false" customHeight="false" outlineLevel="0" collapsed="false">
      <c r="A287" s="1" t="n">
        <v>44</v>
      </c>
      <c r="B287" s="1" t="n">
        <v>2024</v>
      </c>
      <c r="C287" s="3" t="n">
        <v>45357</v>
      </c>
      <c r="D287" s="8" t="s">
        <v>11</v>
      </c>
      <c r="E287" s="9" t="s">
        <v>27</v>
      </c>
      <c r="F287" s="9" t="s">
        <v>13</v>
      </c>
      <c r="G287" s="11" t="n">
        <v>84</v>
      </c>
      <c r="H287" s="11" t="n">
        <v>60</v>
      </c>
      <c r="I287" s="11" t="n">
        <v>84</v>
      </c>
      <c r="J287" s="11" t="n">
        <v>75</v>
      </c>
      <c r="K287" s="11" t="n">
        <v>78</v>
      </c>
    </row>
    <row r="288" customFormat="false" ht="25" hidden="false" customHeight="false" outlineLevel="0" collapsed="false">
      <c r="A288" s="1" t="n">
        <v>44</v>
      </c>
      <c r="B288" s="1" t="n">
        <v>2024</v>
      </c>
      <c r="C288" s="3" t="n">
        <v>45357</v>
      </c>
      <c r="D288" s="4" t="s">
        <v>11</v>
      </c>
      <c r="E288" s="5" t="s">
        <v>28</v>
      </c>
      <c r="F288" s="5" t="s">
        <v>13</v>
      </c>
      <c r="G288" s="7" t="n">
        <v>60</v>
      </c>
      <c r="H288" s="7" t="n">
        <v>48</v>
      </c>
      <c r="I288" s="7" t="n">
        <v>78</v>
      </c>
      <c r="J288" s="7" t="s">
        <v>148</v>
      </c>
      <c r="K288" s="7" t="n">
        <v>60</v>
      </c>
    </row>
    <row r="289" customFormat="false" ht="25" hidden="false" customHeight="false" outlineLevel="0" collapsed="false">
      <c r="A289" s="1" t="n">
        <v>44</v>
      </c>
      <c r="B289" s="1" t="n">
        <v>2024</v>
      </c>
      <c r="C289" s="3" t="n">
        <v>45357</v>
      </c>
      <c r="D289" s="8" t="s">
        <v>11</v>
      </c>
      <c r="E289" s="9" t="s">
        <v>29</v>
      </c>
      <c r="F289" s="9" t="s">
        <v>13</v>
      </c>
      <c r="G289" s="10"/>
      <c r="H289" s="11" t="n">
        <v>42</v>
      </c>
      <c r="I289" s="11" t="n">
        <v>54</v>
      </c>
      <c r="J289" s="11" t="n">
        <v>48</v>
      </c>
      <c r="K289" s="11" t="n">
        <v>48</v>
      </c>
    </row>
    <row r="290" customFormat="false" ht="25" hidden="false" customHeight="false" outlineLevel="0" collapsed="false">
      <c r="A290" s="1" t="n">
        <v>44</v>
      </c>
      <c r="B290" s="1" t="n">
        <v>2024</v>
      </c>
      <c r="C290" s="3" t="n">
        <v>45357</v>
      </c>
      <c r="D290" s="4" t="s">
        <v>30</v>
      </c>
      <c r="E290" s="5" t="s">
        <v>31</v>
      </c>
      <c r="F290" s="5" t="s">
        <v>32</v>
      </c>
      <c r="G290" s="7" t="n">
        <v>5</v>
      </c>
      <c r="H290" s="7" t="n">
        <v>4</v>
      </c>
      <c r="I290" s="7" t="n">
        <v>5</v>
      </c>
      <c r="J290" s="7" t="s">
        <v>149</v>
      </c>
      <c r="K290" s="7" t="s">
        <v>150</v>
      </c>
    </row>
    <row r="291" customFormat="false" ht="25" hidden="false" customHeight="false" outlineLevel="0" collapsed="false">
      <c r="A291" s="1" t="n">
        <v>44</v>
      </c>
      <c r="B291" s="1" t="n">
        <v>2024</v>
      </c>
      <c r="C291" s="3" t="n">
        <v>45357</v>
      </c>
      <c r="D291" s="8" t="s">
        <v>30</v>
      </c>
      <c r="E291" s="9" t="s">
        <v>34</v>
      </c>
      <c r="F291" s="9" t="s">
        <v>35</v>
      </c>
      <c r="G291" s="11" t="n">
        <v>20</v>
      </c>
      <c r="H291" s="11" t="n">
        <v>20</v>
      </c>
      <c r="I291" s="11" t="n">
        <v>40</v>
      </c>
      <c r="J291" s="11" t="s">
        <v>151</v>
      </c>
      <c r="K291" s="11" t="s">
        <v>37</v>
      </c>
    </row>
    <row r="292" customFormat="false" ht="25" hidden="false" customHeight="false" outlineLevel="0" collapsed="false">
      <c r="A292" s="1" t="n">
        <v>44</v>
      </c>
      <c r="B292" s="1" t="n">
        <v>2024</v>
      </c>
      <c r="C292" s="3" t="n">
        <v>45357</v>
      </c>
      <c r="D292" s="4" t="s">
        <v>30</v>
      </c>
      <c r="E292" s="5" t="s">
        <v>36</v>
      </c>
      <c r="F292" s="5" t="s">
        <v>35</v>
      </c>
      <c r="G292" s="7" t="n">
        <v>25</v>
      </c>
      <c r="H292" s="7" t="n">
        <v>25</v>
      </c>
      <c r="I292" s="7" t="n">
        <v>30</v>
      </c>
      <c r="J292" s="7" t="s">
        <v>152</v>
      </c>
      <c r="K292" s="7" t="n">
        <v>28</v>
      </c>
    </row>
    <row r="293" customFormat="false" ht="36.5" hidden="false" customHeight="false" outlineLevel="0" collapsed="false">
      <c r="A293" s="1" t="n">
        <v>44</v>
      </c>
      <c r="B293" s="1" t="n">
        <v>2024</v>
      </c>
      <c r="C293" s="3" t="n">
        <v>45357</v>
      </c>
      <c r="D293" s="8" t="s">
        <v>38</v>
      </c>
      <c r="E293" s="9" t="s">
        <v>153</v>
      </c>
      <c r="F293" s="9" t="s">
        <v>154</v>
      </c>
      <c r="G293" s="10"/>
      <c r="H293" s="11" t="n">
        <v>10</v>
      </c>
      <c r="I293" s="11" t="n">
        <v>110</v>
      </c>
      <c r="J293" s="11" t="s">
        <v>155</v>
      </c>
      <c r="K293" s="11" t="s">
        <v>156</v>
      </c>
    </row>
    <row r="294" customFormat="false" ht="36.5" hidden="false" customHeight="false" outlineLevel="0" collapsed="false">
      <c r="A294" s="1" t="n">
        <v>44</v>
      </c>
      <c r="B294" s="1" t="n">
        <v>2024</v>
      </c>
      <c r="C294" s="3" t="n">
        <v>45357</v>
      </c>
      <c r="D294" s="4" t="s">
        <v>38</v>
      </c>
      <c r="E294" s="5" t="s">
        <v>39</v>
      </c>
      <c r="F294" s="5" t="s">
        <v>40</v>
      </c>
      <c r="G294" s="7" t="n">
        <v>100</v>
      </c>
      <c r="H294" s="7" t="n">
        <v>78</v>
      </c>
      <c r="I294" s="7" t="n">
        <v>100</v>
      </c>
      <c r="J294" s="7" t="s">
        <v>157</v>
      </c>
      <c r="K294" s="7" t="n">
        <v>90</v>
      </c>
    </row>
    <row r="295" customFormat="false" ht="36.5" hidden="false" customHeight="false" outlineLevel="0" collapsed="false">
      <c r="A295" s="1" t="n">
        <v>44</v>
      </c>
      <c r="B295" s="1" t="n">
        <v>2024</v>
      </c>
      <c r="C295" s="3" t="n">
        <v>45357</v>
      </c>
      <c r="D295" s="8" t="s">
        <v>38</v>
      </c>
      <c r="E295" s="9" t="s">
        <v>42</v>
      </c>
      <c r="F295" s="9" t="s">
        <v>43</v>
      </c>
      <c r="G295" s="10"/>
      <c r="H295" s="11" t="n">
        <v>50</v>
      </c>
      <c r="I295" s="11" t="n">
        <v>80</v>
      </c>
      <c r="J295" s="11" t="n">
        <v>66</v>
      </c>
      <c r="K295" s="11" t="n">
        <v>70</v>
      </c>
    </row>
    <row r="296" customFormat="false" ht="36.5" hidden="false" customHeight="false" outlineLevel="0" collapsed="false">
      <c r="A296" s="1" t="n">
        <v>44</v>
      </c>
      <c r="B296" s="1" t="n">
        <v>2024</v>
      </c>
      <c r="C296" s="3" t="n">
        <v>45357</v>
      </c>
      <c r="D296" s="4" t="s">
        <v>38</v>
      </c>
      <c r="E296" s="5" t="s">
        <v>44</v>
      </c>
      <c r="F296" s="5" t="s">
        <v>45</v>
      </c>
      <c r="G296" s="7" t="n">
        <v>40</v>
      </c>
      <c r="H296" s="7" t="n">
        <v>30</v>
      </c>
      <c r="I296" s="7" t="n">
        <v>50</v>
      </c>
      <c r="J296" s="7" t="n">
        <v>40</v>
      </c>
      <c r="K296" s="7" t="n">
        <v>40</v>
      </c>
    </row>
    <row r="297" customFormat="false" ht="36.5" hidden="false" customHeight="false" outlineLevel="0" collapsed="false">
      <c r="A297" s="1" t="n">
        <v>44</v>
      </c>
      <c r="B297" s="1" t="n">
        <v>2024</v>
      </c>
      <c r="C297" s="3" t="n">
        <v>45357</v>
      </c>
      <c r="D297" s="8" t="s">
        <v>38</v>
      </c>
      <c r="E297" s="9" t="s">
        <v>48</v>
      </c>
      <c r="F297" s="9" t="s">
        <v>45</v>
      </c>
      <c r="G297" s="10"/>
      <c r="H297" s="11" t="n">
        <v>95</v>
      </c>
      <c r="I297" s="11" t="n">
        <v>100</v>
      </c>
      <c r="J297" s="11" t="s">
        <v>156</v>
      </c>
      <c r="K297" s="11" t="s">
        <v>156</v>
      </c>
    </row>
    <row r="298" customFormat="false" ht="36.5" hidden="false" customHeight="false" outlineLevel="0" collapsed="false">
      <c r="A298" s="1" t="n">
        <v>44</v>
      </c>
      <c r="B298" s="1" t="n">
        <v>2024</v>
      </c>
      <c r="C298" s="3" t="n">
        <v>45357</v>
      </c>
      <c r="D298" s="4" t="s">
        <v>38</v>
      </c>
      <c r="E298" s="5" t="s">
        <v>49</v>
      </c>
      <c r="F298" s="5" t="s">
        <v>50</v>
      </c>
      <c r="G298" s="7" t="n">
        <v>95</v>
      </c>
      <c r="H298" s="7" t="n">
        <v>70</v>
      </c>
      <c r="I298" s="7" t="n">
        <v>120</v>
      </c>
      <c r="J298" s="7" t="n">
        <v>92</v>
      </c>
      <c r="K298" s="7" t="n">
        <v>95</v>
      </c>
    </row>
    <row r="299" customFormat="false" ht="36.5" hidden="false" customHeight="false" outlineLevel="0" collapsed="false">
      <c r="A299" s="1" t="n">
        <v>44</v>
      </c>
      <c r="B299" s="1" t="n">
        <v>2024</v>
      </c>
      <c r="C299" s="3" t="n">
        <v>45357</v>
      </c>
      <c r="D299" s="8" t="s">
        <v>38</v>
      </c>
      <c r="E299" s="9" t="s">
        <v>52</v>
      </c>
      <c r="F299" s="9" t="s">
        <v>43</v>
      </c>
      <c r="G299" s="11" t="n">
        <v>130</v>
      </c>
      <c r="H299" s="11" t="n">
        <v>80</v>
      </c>
      <c r="I299" s="11" t="n">
        <v>130</v>
      </c>
      <c r="J299" s="11" t="n">
        <v>110</v>
      </c>
      <c r="K299" s="11" t="n">
        <v>130</v>
      </c>
    </row>
    <row r="300" customFormat="false" ht="36.5" hidden="false" customHeight="false" outlineLevel="0" collapsed="false">
      <c r="A300" s="1" t="n">
        <v>44</v>
      </c>
      <c r="B300" s="1" t="n">
        <v>2024</v>
      </c>
      <c r="C300" s="3" t="n">
        <v>45357</v>
      </c>
      <c r="D300" s="4" t="s">
        <v>38</v>
      </c>
      <c r="E300" s="5" t="s">
        <v>53</v>
      </c>
      <c r="F300" s="5" t="s">
        <v>43</v>
      </c>
      <c r="G300" s="7" t="n">
        <v>60</v>
      </c>
      <c r="H300" s="7" t="n">
        <v>50</v>
      </c>
      <c r="I300" s="7" t="n">
        <v>80</v>
      </c>
      <c r="J300" s="7" t="n">
        <v>64</v>
      </c>
      <c r="K300" s="7" t="n">
        <v>60</v>
      </c>
    </row>
    <row r="301" customFormat="false" ht="36.5" hidden="false" customHeight="false" outlineLevel="0" collapsed="false">
      <c r="A301" s="1" t="n">
        <v>44</v>
      </c>
      <c r="B301" s="1" t="n">
        <v>2024</v>
      </c>
      <c r="C301" s="3" t="n">
        <v>45357</v>
      </c>
      <c r="D301" s="8" t="s">
        <v>38</v>
      </c>
      <c r="E301" s="9" t="s">
        <v>54</v>
      </c>
      <c r="F301" s="9" t="s">
        <v>40</v>
      </c>
      <c r="G301" s="11" t="n">
        <v>80</v>
      </c>
      <c r="H301" s="11" t="n">
        <v>40</v>
      </c>
      <c r="I301" s="11" t="n">
        <v>100</v>
      </c>
      <c r="J301" s="11" t="s">
        <v>103</v>
      </c>
      <c r="K301" s="11" t="s">
        <v>134</v>
      </c>
    </row>
    <row r="302" customFormat="false" ht="36.5" hidden="false" customHeight="false" outlineLevel="0" collapsed="false">
      <c r="A302" s="1" t="n">
        <v>44</v>
      </c>
      <c r="B302" s="1" t="n">
        <v>2024</v>
      </c>
      <c r="C302" s="3" t="n">
        <v>45357</v>
      </c>
      <c r="D302" s="4" t="s">
        <v>38</v>
      </c>
      <c r="E302" s="5" t="s">
        <v>56</v>
      </c>
      <c r="F302" s="5" t="s">
        <v>43</v>
      </c>
      <c r="G302" s="6"/>
      <c r="H302" s="7" t="n">
        <v>80</v>
      </c>
      <c r="I302" s="7" t="n">
        <v>80</v>
      </c>
      <c r="J302" s="7" t="n">
        <v>80</v>
      </c>
      <c r="K302" s="7" t="n">
        <v>80</v>
      </c>
    </row>
    <row r="303" customFormat="false" ht="36.5" hidden="false" customHeight="false" outlineLevel="0" collapsed="false">
      <c r="A303" s="1" t="n">
        <v>44</v>
      </c>
      <c r="B303" s="1" t="n">
        <v>2024</v>
      </c>
      <c r="C303" s="3" t="n">
        <v>45357</v>
      </c>
      <c r="D303" s="8" t="s">
        <v>38</v>
      </c>
      <c r="E303" s="9" t="s">
        <v>57</v>
      </c>
      <c r="F303" s="9" t="s">
        <v>40</v>
      </c>
      <c r="G303" s="11" t="n">
        <v>80</v>
      </c>
      <c r="H303" s="11" t="n">
        <v>70</v>
      </c>
      <c r="I303" s="11" t="n">
        <v>80</v>
      </c>
      <c r="J303" s="11" t="s">
        <v>158</v>
      </c>
      <c r="K303" s="11" t="n">
        <v>80</v>
      </c>
    </row>
    <row r="304" customFormat="false" ht="36.5" hidden="false" customHeight="false" outlineLevel="0" collapsed="false">
      <c r="A304" s="1" t="n">
        <v>44</v>
      </c>
      <c r="B304" s="1" t="n">
        <v>2024</v>
      </c>
      <c r="C304" s="3" t="n">
        <v>45357</v>
      </c>
      <c r="D304" s="4" t="s">
        <v>38</v>
      </c>
      <c r="E304" s="5" t="s">
        <v>58</v>
      </c>
      <c r="F304" s="5" t="s">
        <v>40</v>
      </c>
      <c r="G304" s="7" t="n">
        <v>100</v>
      </c>
      <c r="H304" s="7" t="n">
        <v>70</v>
      </c>
      <c r="I304" s="7" t="n">
        <v>120</v>
      </c>
      <c r="J304" s="7" t="s">
        <v>156</v>
      </c>
      <c r="K304" s="7" t="n">
        <v>100</v>
      </c>
    </row>
    <row r="305" customFormat="false" ht="36.5" hidden="false" customHeight="false" outlineLevel="0" collapsed="false">
      <c r="A305" s="1" t="n">
        <v>44</v>
      </c>
      <c r="B305" s="1" t="n">
        <v>2024</v>
      </c>
      <c r="C305" s="3" t="n">
        <v>45357</v>
      </c>
      <c r="D305" s="8" t="s">
        <v>38</v>
      </c>
      <c r="E305" s="9" t="s">
        <v>59</v>
      </c>
      <c r="F305" s="9" t="s">
        <v>45</v>
      </c>
      <c r="G305" s="11" t="n">
        <v>50</v>
      </c>
      <c r="H305" s="11" t="n">
        <v>40</v>
      </c>
      <c r="I305" s="11" t="n">
        <v>60</v>
      </c>
      <c r="J305" s="11" t="s">
        <v>159</v>
      </c>
      <c r="K305" s="11" t="n">
        <v>50</v>
      </c>
    </row>
    <row r="306" customFormat="false" ht="36.5" hidden="false" customHeight="false" outlineLevel="0" collapsed="false">
      <c r="A306" s="1" t="n">
        <v>44</v>
      </c>
      <c r="B306" s="1" t="n">
        <v>2024</v>
      </c>
      <c r="C306" s="3" t="n">
        <v>45357</v>
      </c>
      <c r="D306" s="4" t="s">
        <v>38</v>
      </c>
      <c r="E306" s="5" t="s">
        <v>60</v>
      </c>
      <c r="F306" s="5" t="s">
        <v>61</v>
      </c>
      <c r="G306" s="7" t="n">
        <v>70</v>
      </c>
      <c r="H306" s="7" t="n">
        <v>60</v>
      </c>
      <c r="I306" s="7" t="n">
        <v>90</v>
      </c>
      <c r="J306" s="7" t="s">
        <v>93</v>
      </c>
      <c r="K306" s="7" t="n">
        <v>70</v>
      </c>
    </row>
    <row r="307" customFormat="false" ht="36.5" hidden="false" customHeight="false" outlineLevel="0" collapsed="false">
      <c r="A307" s="1" t="n">
        <v>44</v>
      </c>
      <c r="B307" s="1" t="n">
        <v>2024</v>
      </c>
      <c r="C307" s="3" t="n">
        <v>45357</v>
      </c>
      <c r="D307" s="8" t="s">
        <v>38</v>
      </c>
      <c r="E307" s="9" t="s">
        <v>63</v>
      </c>
      <c r="F307" s="9" t="s">
        <v>40</v>
      </c>
      <c r="G307" s="11" t="n">
        <v>130</v>
      </c>
      <c r="H307" s="11" t="n">
        <v>100</v>
      </c>
      <c r="I307" s="11" t="n">
        <v>130</v>
      </c>
      <c r="J307" s="11" t="s">
        <v>160</v>
      </c>
      <c r="K307" s="11" t="n">
        <v>120</v>
      </c>
    </row>
    <row r="308" customFormat="false" ht="36.5" hidden="false" customHeight="false" outlineLevel="0" collapsed="false">
      <c r="A308" s="1" t="n">
        <v>44</v>
      </c>
      <c r="B308" s="1" t="n">
        <v>2024</v>
      </c>
      <c r="C308" s="3" t="n">
        <v>45357</v>
      </c>
      <c r="D308" s="4" t="s">
        <v>38</v>
      </c>
      <c r="E308" s="5" t="s">
        <v>64</v>
      </c>
      <c r="F308" s="5" t="s">
        <v>40</v>
      </c>
      <c r="G308" s="7" t="n">
        <v>120</v>
      </c>
      <c r="H308" s="7" t="n">
        <v>110</v>
      </c>
      <c r="I308" s="7" t="n">
        <v>150</v>
      </c>
      <c r="J308" s="7" t="n">
        <v>128</v>
      </c>
      <c r="K308" s="7" t="n">
        <v>120</v>
      </c>
    </row>
    <row r="309" customFormat="false" ht="14.25" hidden="false" customHeight="false" outlineLevel="0" collapsed="false">
      <c r="A309" s="1" t="n">
        <v>44</v>
      </c>
      <c r="B309" s="1" t="n">
        <v>2024</v>
      </c>
      <c r="C309" s="3" t="n">
        <v>45357</v>
      </c>
      <c r="D309" s="8" t="s">
        <v>65</v>
      </c>
      <c r="E309" s="9" t="s">
        <v>66</v>
      </c>
      <c r="F309" s="9" t="s">
        <v>45</v>
      </c>
      <c r="G309" s="10"/>
      <c r="H309" s="11" t="n">
        <v>80</v>
      </c>
      <c r="I309" s="11" t="n">
        <v>80</v>
      </c>
      <c r="J309" s="11" t="n">
        <v>80</v>
      </c>
      <c r="K309" s="11" t="n">
        <v>80</v>
      </c>
    </row>
    <row r="310" customFormat="false" ht="14.25" hidden="false" customHeight="false" outlineLevel="0" collapsed="false">
      <c r="A310" s="1" t="n">
        <v>44</v>
      </c>
      <c r="B310" s="1" t="n">
        <v>2024</v>
      </c>
      <c r="C310" s="3" t="n">
        <v>45357</v>
      </c>
      <c r="D310" s="4" t="s">
        <v>65</v>
      </c>
      <c r="E310" s="5" t="s">
        <v>67</v>
      </c>
      <c r="F310" s="5" t="s">
        <v>45</v>
      </c>
      <c r="G310" s="6"/>
      <c r="H310" s="7" t="n">
        <v>60</v>
      </c>
      <c r="I310" s="7" t="n">
        <v>60</v>
      </c>
      <c r="J310" s="7" t="n">
        <v>60</v>
      </c>
      <c r="K310" s="7" t="n">
        <v>60</v>
      </c>
    </row>
    <row r="311" customFormat="false" ht="14.25" hidden="false" customHeight="false" outlineLevel="0" collapsed="false">
      <c r="A311" s="1" t="n">
        <v>44</v>
      </c>
      <c r="B311" s="1" t="n">
        <v>2024</v>
      </c>
      <c r="C311" s="3" t="n">
        <v>45357</v>
      </c>
      <c r="D311" s="8" t="s">
        <v>65</v>
      </c>
      <c r="E311" s="9" t="s">
        <v>68</v>
      </c>
      <c r="F311" s="9" t="s">
        <v>45</v>
      </c>
      <c r="G311" s="10"/>
      <c r="H311" s="11" t="n">
        <v>40</v>
      </c>
      <c r="I311" s="11" t="n">
        <v>40</v>
      </c>
      <c r="J311" s="11" t="n">
        <v>40</v>
      </c>
      <c r="K311" s="11" t="n">
        <v>40</v>
      </c>
    </row>
    <row r="312" customFormat="false" ht="14.25" hidden="false" customHeight="false" outlineLevel="0" collapsed="false">
      <c r="A312" s="1" t="n">
        <v>44</v>
      </c>
      <c r="B312" s="1" t="n">
        <v>2024</v>
      </c>
      <c r="C312" s="3" t="n">
        <v>45357</v>
      </c>
      <c r="D312" s="4" t="s">
        <v>65</v>
      </c>
      <c r="E312" s="5" t="s">
        <v>69</v>
      </c>
      <c r="F312" s="5" t="s">
        <v>45</v>
      </c>
      <c r="G312" s="6"/>
      <c r="H312" s="6"/>
      <c r="I312" s="6"/>
      <c r="J312" s="6"/>
      <c r="K312" s="6"/>
    </row>
    <row r="313" customFormat="false" ht="14.25" hidden="false" customHeight="false" outlineLevel="0" collapsed="false">
      <c r="A313" s="1" t="n">
        <v>44</v>
      </c>
      <c r="B313" s="1" t="n">
        <v>2024</v>
      </c>
      <c r="C313" s="3" t="n">
        <v>45357</v>
      </c>
      <c r="D313" s="8" t="s">
        <v>65</v>
      </c>
      <c r="E313" s="9" t="s">
        <v>70</v>
      </c>
      <c r="F313" s="9" t="s">
        <v>71</v>
      </c>
      <c r="G313" s="10"/>
      <c r="H313" s="10"/>
      <c r="I313" s="10"/>
      <c r="J313" s="10"/>
      <c r="K313" s="10"/>
    </row>
    <row r="314" customFormat="false" ht="25" hidden="false" customHeight="false" outlineLevel="0" collapsed="false">
      <c r="A314" s="1" t="n">
        <v>45</v>
      </c>
      <c r="B314" s="1" t="n">
        <v>2024</v>
      </c>
      <c r="C314" s="3" t="n">
        <v>45364</v>
      </c>
      <c r="D314" s="4" t="s">
        <v>11</v>
      </c>
      <c r="E314" s="5" t="s">
        <v>12</v>
      </c>
      <c r="F314" s="5" t="s">
        <v>13</v>
      </c>
      <c r="G314" s="6"/>
      <c r="H314" s="7" t="n">
        <v>60</v>
      </c>
      <c r="I314" s="7" t="n">
        <v>78</v>
      </c>
      <c r="J314" s="7" t="n">
        <v>69</v>
      </c>
      <c r="K314" s="7" t="n">
        <v>69</v>
      </c>
    </row>
    <row r="315" customFormat="false" ht="25" hidden="false" customHeight="false" outlineLevel="0" collapsed="false">
      <c r="A315" s="1" t="n">
        <v>45</v>
      </c>
      <c r="B315" s="1" t="n">
        <v>2024</v>
      </c>
      <c r="C315" s="3" t="n">
        <v>45364</v>
      </c>
      <c r="D315" s="8" t="s">
        <v>11</v>
      </c>
      <c r="E315" s="9" t="s">
        <v>14</v>
      </c>
      <c r="F315" s="9" t="s">
        <v>13</v>
      </c>
      <c r="G315" s="11" t="n">
        <v>84</v>
      </c>
      <c r="H315" s="11" t="n">
        <v>84</v>
      </c>
      <c r="I315" s="11" t="n">
        <v>84</v>
      </c>
      <c r="J315" s="11" t="n">
        <v>84</v>
      </c>
      <c r="K315" s="11" t="n">
        <v>84</v>
      </c>
    </row>
    <row r="316" customFormat="false" ht="25" hidden="false" customHeight="false" outlineLevel="0" collapsed="false">
      <c r="A316" s="1" t="n">
        <v>45</v>
      </c>
      <c r="B316" s="1" t="n">
        <v>2024</v>
      </c>
      <c r="C316" s="3" t="n">
        <v>45364</v>
      </c>
      <c r="D316" s="4" t="s">
        <v>11</v>
      </c>
      <c r="E316" s="5" t="s">
        <v>15</v>
      </c>
      <c r="F316" s="5" t="s">
        <v>13</v>
      </c>
      <c r="G316" s="6"/>
      <c r="H316" s="7" t="n">
        <v>50</v>
      </c>
      <c r="I316" s="7" t="n">
        <v>60</v>
      </c>
      <c r="J316" s="7" t="s">
        <v>161</v>
      </c>
      <c r="K316" s="7" t="n">
        <v>54</v>
      </c>
    </row>
    <row r="317" customFormat="false" ht="25" hidden="false" customHeight="false" outlineLevel="0" collapsed="false">
      <c r="A317" s="1" t="n">
        <v>45</v>
      </c>
      <c r="B317" s="1" t="n">
        <v>2024</v>
      </c>
      <c r="C317" s="3" t="n">
        <v>45364</v>
      </c>
      <c r="D317" s="8" t="s">
        <v>11</v>
      </c>
      <c r="E317" s="9" t="s">
        <v>16</v>
      </c>
      <c r="F317" s="9" t="s">
        <v>13</v>
      </c>
      <c r="G317" s="10"/>
      <c r="H317" s="11" t="n">
        <v>30</v>
      </c>
      <c r="I317" s="11" t="n">
        <v>42</v>
      </c>
      <c r="J317" s="11" t="n">
        <v>36</v>
      </c>
      <c r="K317" s="11" t="n">
        <v>36</v>
      </c>
    </row>
    <row r="318" customFormat="false" ht="25" hidden="false" customHeight="false" outlineLevel="0" collapsed="false">
      <c r="A318" s="1" t="n">
        <v>45</v>
      </c>
      <c r="B318" s="1" t="n">
        <v>2024</v>
      </c>
      <c r="C318" s="3" t="n">
        <v>45364</v>
      </c>
      <c r="D318" s="4" t="s">
        <v>11</v>
      </c>
      <c r="E318" s="5" t="s">
        <v>17</v>
      </c>
      <c r="F318" s="5" t="s">
        <v>13</v>
      </c>
      <c r="G318" s="6"/>
      <c r="H318" s="7" t="n">
        <v>36</v>
      </c>
      <c r="I318" s="7" t="n">
        <v>42</v>
      </c>
      <c r="J318" s="7" t="n">
        <v>39</v>
      </c>
      <c r="K318" s="7" t="n">
        <v>39</v>
      </c>
    </row>
    <row r="319" customFormat="false" ht="25" hidden="false" customHeight="false" outlineLevel="0" collapsed="false">
      <c r="A319" s="1" t="n">
        <v>45</v>
      </c>
      <c r="B319" s="1" t="n">
        <v>2024</v>
      </c>
      <c r="C319" s="3" t="n">
        <v>45364</v>
      </c>
      <c r="D319" s="8" t="s">
        <v>11</v>
      </c>
      <c r="E319" s="9" t="s">
        <v>18</v>
      </c>
      <c r="F319" s="9" t="s">
        <v>13</v>
      </c>
      <c r="G319" s="11" t="n">
        <v>60</v>
      </c>
      <c r="H319" s="11" t="n">
        <v>60</v>
      </c>
      <c r="I319" s="11" t="n">
        <v>60</v>
      </c>
      <c r="J319" s="11" t="n">
        <v>60</v>
      </c>
      <c r="K319" s="11" t="n">
        <v>60</v>
      </c>
    </row>
    <row r="320" customFormat="false" ht="25" hidden="false" customHeight="false" outlineLevel="0" collapsed="false">
      <c r="A320" s="1" t="n">
        <v>45</v>
      </c>
      <c r="B320" s="1" t="n">
        <v>2024</v>
      </c>
      <c r="C320" s="3" t="n">
        <v>45364</v>
      </c>
      <c r="D320" s="4" t="s">
        <v>11</v>
      </c>
      <c r="E320" s="5" t="s">
        <v>19</v>
      </c>
      <c r="F320" s="5" t="s">
        <v>13</v>
      </c>
      <c r="G320" s="6"/>
      <c r="H320" s="7" t="n">
        <v>78</v>
      </c>
      <c r="I320" s="7" t="n">
        <v>84</v>
      </c>
      <c r="J320" s="7" t="n">
        <v>81</v>
      </c>
      <c r="K320" s="7" t="n">
        <v>81</v>
      </c>
    </row>
    <row r="321" customFormat="false" ht="25" hidden="false" customHeight="false" outlineLevel="0" collapsed="false">
      <c r="A321" s="1" t="n">
        <v>45</v>
      </c>
      <c r="B321" s="1" t="n">
        <v>2024</v>
      </c>
      <c r="C321" s="3" t="n">
        <v>45364</v>
      </c>
      <c r="D321" s="8" t="s">
        <v>11</v>
      </c>
      <c r="E321" s="9" t="s">
        <v>20</v>
      </c>
      <c r="F321" s="9" t="s">
        <v>13</v>
      </c>
      <c r="G321" s="10"/>
      <c r="H321" s="11" t="n">
        <v>96</v>
      </c>
      <c r="I321" s="11" t="n">
        <v>96</v>
      </c>
      <c r="J321" s="11" t="n">
        <v>96</v>
      </c>
      <c r="K321" s="11" t="n">
        <v>96</v>
      </c>
    </row>
    <row r="322" customFormat="false" ht="25" hidden="false" customHeight="false" outlineLevel="0" collapsed="false">
      <c r="A322" s="1" t="n">
        <v>45</v>
      </c>
      <c r="B322" s="1" t="n">
        <v>2024</v>
      </c>
      <c r="C322" s="3" t="n">
        <v>45364</v>
      </c>
      <c r="D322" s="4" t="s">
        <v>11</v>
      </c>
      <c r="E322" s="5" t="s">
        <v>21</v>
      </c>
      <c r="F322" s="5" t="s">
        <v>13</v>
      </c>
      <c r="G322" s="6"/>
      <c r="H322" s="7" t="n">
        <v>25</v>
      </c>
      <c r="I322" s="7" t="n">
        <v>36</v>
      </c>
      <c r="J322" s="7" t="s">
        <v>162</v>
      </c>
      <c r="K322" s="7" t="s">
        <v>162</v>
      </c>
    </row>
    <row r="323" customFormat="false" ht="25" hidden="false" customHeight="false" outlineLevel="0" collapsed="false">
      <c r="A323" s="1" t="n">
        <v>45</v>
      </c>
      <c r="B323" s="1" t="n">
        <v>2024</v>
      </c>
      <c r="C323" s="3" t="n">
        <v>45364</v>
      </c>
      <c r="D323" s="8" t="s">
        <v>11</v>
      </c>
      <c r="E323" s="9" t="s">
        <v>73</v>
      </c>
      <c r="F323" s="9" t="s">
        <v>13</v>
      </c>
      <c r="G323" s="10"/>
      <c r="H323" s="11" t="n">
        <v>84</v>
      </c>
      <c r="I323" s="11" t="n">
        <v>120</v>
      </c>
      <c r="J323" s="11" t="n">
        <v>102</v>
      </c>
      <c r="K323" s="11" t="n">
        <v>102</v>
      </c>
    </row>
    <row r="324" customFormat="false" ht="25" hidden="false" customHeight="false" outlineLevel="0" collapsed="false">
      <c r="A324" s="1" t="n">
        <v>45</v>
      </c>
      <c r="B324" s="1" t="n">
        <v>2024</v>
      </c>
      <c r="C324" s="3" t="n">
        <v>45364</v>
      </c>
      <c r="D324" s="4" t="s">
        <v>11</v>
      </c>
      <c r="E324" s="5" t="s">
        <v>23</v>
      </c>
      <c r="F324" s="5" t="s">
        <v>13</v>
      </c>
      <c r="G324" s="6"/>
      <c r="H324" s="7" t="n">
        <v>36</v>
      </c>
      <c r="I324" s="7" t="n">
        <v>42</v>
      </c>
      <c r="J324" s="7" t="n">
        <v>39</v>
      </c>
      <c r="K324" s="7" t="n">
        <v>39</v>
      </c>
    </row>
    <row r="325" customFormat="false" ht="25" hidden="false" customHeight="false" outlineLevel="0" collapsed="false">
      <c r="A325" s="1" t="n">
        <v>45</v>
      </c>
      <c r="B325" s="1" t="n">
        <v>2024</v>
      </c>
      <c r="C325" s="3" t="n">
        <v>45364</v>
      </c>
      <c r="D325" s="8" t="s">
        <v>11</v>
      </c>
      <c r="E325" s="9" t="s">
        <v>24</v>
      </c>
      <c r="F325" s="9" t="s">
        <v>13</v>
      </c>
      <c r="G325" s="10"/>
      <c r="H325" s="11" t="n">
        <v>54</v>
      </c>
      <c r="I325" s="11" t="n">
        <v>60</v>
      </c>
      <c r="J325" s="11" t="n">
        <v>57</v>
      </c>
      <c r="K325" s="11" t="n">
        <v>57</v>
      </c>
    </row>
    <row r="326" customFormat="false" ht="25" hidden="false" customHeight="false" outlineLevel="0" collapsed="false">
      <c r="A326" s="1" t="n">
        <v>45</v>
      </c>
      <c r="B326" s="1" t="n">
        <v>2024</v>
      </c>
      <c r="C326" s="3" t="n">
        <v>45364</v>
      </c>
      <c r="D326" s="4" t="s">
        <v>11</v>
      </c>
      <c r="E326" s="5" t="s">
        <v>25</v>
      </c>
      <c r="F326" s="5" t="s">
        <v>26</v>
      </c>
      <c r="G326" s="6"/>
      <c r="H326" s="7" t="n">
        <v>60</v>
      </c>
      <c r="I326" s="7" t="n">
        <v>78</v>
      </c>
      <c r="J326" s="7" t="n">
        <v>69</v>
      </c>
      <c r="K326" s="7" t="n">
        <v>69</v>
      </c>
    </row>
    <row r="327" customFormat="false" ht="25" hidden="false" customHeight="false" outlineLevel="0" collapsed="false">
      <c r="A327" s="1" t="n">
        <v>45</v>
      </c>
      <c r="B327" s="1" t="n">
        <v>2024</v>
      </c>
      <c r="C327" s="3" t="n">
        <v>45364</v>
      </c>
      <c r="D327" s="8" t="s">
        <v>11</v>
      </c>
      <c r="E327" s="9" t="s">
        <v>27</v>
      </c>
      <c r="F327" s="9" t="s">
        <v>13</v>
      </c>
      <c r="G327" s="10"/>
      <c r="H327" s="11" t="n">
        <v>72</v>
      </c>
      <c r="I327" s="11" t="n">
        <v>102</v>
      </c>
      <c r="J327" s="11" t="n">
        <v>87</v>
      </c>
      <c r="K327" s="11" t="n">
        <v>87</v>
      </c>
    </row>
    <row r="328" customFormat="false" ht="25" hidden="false" customHeight="false" outlineLevel="0" collapsed="false">
      <c r="A328" s="1" t="n">
        <v>45</v>
      </c>
      <c r="B328" s="1" t="n">
        <v>2024</v>
      </c>
      <c r="C328" s="3" t="n">
        <v>45364</v>
      </c>
      <c r="D328" s="4" t="s">
        <v>11</v>
      </c>
      <c r="E328" s="5" t="s">
        <v>28</v>
      </c>
      <c r="F328" s="5" t="s">
        <v>13</v>
      </c>
      <c r="G328" s="6"/>
      <c r="H328" s="7" t="n">
        <v>55</v>
      </c>
      <c r="I328" s="7" t="n">
        <v>84</v>
      </c>
      <c r="J328" s="7" t="s">
        <v>163</v>
      </c>
      <c r="K328" s="7" t="n">
        <v>60</v>
      </c>
    </row>
    <row r="329" customFormat="false" ht="25" hidden="false" customHeight="false" outlineLevel="0" collapsed="false">
      <c r="A329" s="1" t="n">
        <v>45</v>
      </c>
      <c r="B329" s="1" t="n">
        <v>2024</v>
      </c>
      <c r="C329" s="3" t="n">
        <v>45364</v>
      </c>
      <c r="D329" s="8" t="s">
        <v>11</v>
      </c>
      <c r="E329" s="9" t="s">
        <v>29</v>
      </c>
      <c r="F329" s="9" t="s">
        <v>13</v>
      </c>
      <c r="G329" s="11" t="n">
        <v>54</v>
      </c>
      <c r="H329" s="11" t="n">
        <v>54</v>
      </c>
      <c r="I329" s="11" t="n">
        <v>54</v>
      </c>
      <c r="J329" s="11" t="n">
        <v>54</v>
      </c>
      <c r="K329" s="11" t="n">
        <v>54</v>
      </c>
    </row>
    <row r="330" customFormat="false" ht="25" hidden="false" customHeight="false" outlineLevel="0" collapsed="false">
      <c r="A330" s="1" t="n">
        <v>45</v>
      </c>
      <c r="B330" s="1" t="n">
        <v>2024</v>
      </c>
      <c r="C330" s="3" t="n">
        <v>45364</v>
      </c>
      <c r="D330" s="4" t="s">
        <v>30</v>
      </c>
      <c r="E330" s="5" t="s">
        <v>31</v>
      </c>
      <c r="F330" s="5" t="s">
        <v>32</v>
      </c>
      <c r="G330" s="7" t="n">
        <v>5</v>
      </c>
      <c r="H330" s="7" t="s">
        <v>97</v>
      </c>
      <c r="I330" s="7" t="n">
        <v>5</v>
      </c>
      <c r="J330" s="7" t="s">
        <v>164</v>
      </c>
      <c r="K330" s="7" t="n">
        <v>5</v>
      </c>
    </row>
    <row r="331" customFormat="false" ht="25" hidden="false" customHeight="false" outlineLevel="0" collapsed="false">
      <c r="A331" s="1" t="n">
        <v>45</v>
      </c>
      <c r="B331" s="1" t="n">
        <v>2024</v>
      </c>
      <c r="C331" s="3" t="n">
        <v>45364</v>
      </c>
      <c r="D331" s="8" t="s">
        <v>30</v>
      </c>
      <c r="E331" s="9" t="s">
        <v>34</v>
      </c>
      <c r="F331" s="9" t="s">
        <v>35</v>
      </c>
      <c r="G331" s="10"/>
      <c r="H331" s="11" t="n">
        <v>20</v>
      </c>
      <c r="I331" s="11" t="n">
        <v>35</v>
      </c>
      <c r="J331" s="11" t="s">
        <v>136</v>
      </c>
      <c r="K331" s="11" t="n">
        <v>25</v>
      </c>
    </row>
    <row r="332" customFormat="false" ht="25" hidden="false" customHeight="false" outlineLevel="0" collapsed="false">
      <c r="A332" s="1" t="n">
        <v>45</v>
      </c>
      <c r="B332" s="1" t="n">
        <v>2024</v>
      </c>
      <c r="C332" s="3" t="n">
        <v>45364</v>
      </c>
      <c r="D332" s="4" t="s">
        <v>30</v>
      </c>
      <c r="E332" s="5" t="s">
        <v>36</v>
      </c>
      <c r="F332" s="5" t="s">
        <v>35</v>
      </c>
      <c r="G332" s="6"/>
      <c r="H332" s="7" t="n">
        <v>30</v>
      </c>
      <c r="I332" s="7" t="n">
        <v>40</v>
      </c>
      <c r="J332" s="7" t="n">
        <v>35</v>
      </c>
      <c r="K332" s="7" t="n">
        <v>35</v>
      </c>
    </row>
    <row r="333" customFormat="false" ht="36.5" hidden="false" customHeight="false" outlineLevel="0" collapsed="false">
      <c r="A333" s="1" t="n">
        <v>45</v>
      </c>
      <c r="B333" s="1" t="n">
        <v>2024</v>
      </c>
      <c r="C333" s="3" t="n">
        <v>45364</v>
      </c>
      <c r="D333" s="8" t="s">
        <v>38</v>
      </c>
      <c r="E333" s="9" t="s">
        <v>153</v>
      </c>
      <c r="F333" s="9" t="s">
        <v>154</v>
      </c>
      <c r="G333" s="10"/>
      <c r="H333" s="10"/>
      <c r="I333" s="10"/>
      <c r="J333" s="10"/>
      <c r="K333" s="10"/>
    </row>
    <row r="334" customFormat="false" ht="36.5" hidden="false" customHeight="false" outlineLevel="0" collapsed="false">
      <c r="A334" s="1" t="n">
        <v>45</v>
      </c>
      <c r="B334" s="1" t="n">
        <v>2024</v>
      </c>
      <c r="C334" s="3" t="n">
        <v>45364</v>
      </c>
      <c r="D334" s="4" t="s">
        <v>38</v>
      </c>
      <c r="E334" s="5" t="s">
        <v>39</v>
      </c>
      <c r="F334" s="5" t="s">
        <v>40</v>
      </c>
      <c r="G334" s="7" t="n">
        <v>80</v>
      </c>
      <c r="H334" s="7" t="n">
        <v>70</v>
      </c>
      <c r="I334" s="7" t="n">
        <v>85</v>
      </c>
      <c r="J334" s="7" t="s">
        <v>155</v>
      </c>
      <c r="K334" s="7" t="n">
        <v>80</v>
      </c>
    </row>
    <row r="335" customFormat="false" ht="36.5" hidden="false" customHeight="false" outlineLevel="0" collapsed="false">
      <c r="A335" s="1" t="n">
        <v>45</v>
      </c>
      <c r="B335" s="1" t="n">
        <v>2024</v>
      </c>
      <c r="C335" s="3" t="n">
        <v>45364</v>
      </c>
      <c r="D335" s="8" t="s">
        <v>38</v>
      </c>
      <c r="E335" s="9" t="s">
        <v>42</v>
      </c>
      <c r="F335" s="9" t="s">
        <v>43</v>
      </c>
      <c r="G335" s="11" t="n">
        <v>75</v>
      </c>
      <c r="H335" s="11" t="n">
        <v>55</v>
      </c>
      <c r="I335" s="11" t="n">
        <v>75</v>
      </c>
      <c r="J335" s="11" t="n">
        <v>70</v>
      </c>
      <c r="K335" s="11" t="n">
        <v>75</v>
      </c>
    </row>
    <row r="336" customFormat="false" ht="36.5" hidden="false" customHeight="false" outlineLevel="0" collapsed="false">
      <c r="A336" s="1" t="n">
        <v>45</v>
      </c>
      <c r="B336" s="1" t="n">
        <v>2024</v>
      </c>
      <c r="C336" s="3" t="n">
        <v>45364</v>
      </c>
      <c r="D336" s="4" t="s">
        <v>38</v>
      </c>
      <c r="E336" s="5" t="s">
        <v>44</v>
      </c>
      <c r="F336" s="5" t="s">
        <v>45</v>
      </c>
      <c r="G336" s="7" t="n">
        <v>50</v>
      </c>
      <c r="H336" s="7" t="n">
        <v>30</v>
      </c>
      <c r="I336" s="7" t="n">
        <v>50</v>
      </c>
      <c r="J336" s="7" t="n">
        <v>44</v>
      </c>
      <c r="K336" s="7" t="n">
        <v>50</v>
      </c>
    </row>
    <row r="337" customFormat="false" ht="36.5" hidden="false" customHeight="false" outlineLevel="0" collapsed="false">
      <c r="A337" s="1" t="n">
        <v>45</v>
      </c>
      <c r="B337" s="1" t="n">
        <v>2024</v>
      </c>
      <c r="C337" s="3" t="n">
        <v>45364</v>
      </c>
      <c r="D337" s="8" t="s">
        <v>38</v>
      </c>
      <c r="E337" s="9" t="s">
        <v>48</v>
      </c>
      <c r="F337" s="9" t="s">
        <v>45</v>
      </c>
      <c r="G337" s="10"/>
      <c r="H337" s="11" t="n">
        <v>80</v>
      </c>
      <c r="I337" s="11" t="n">
        <v>80</v>
      </c>
      <c r="J337" s="11" t="n">
        <v>80</v>
      </c>
      <c r="K337" s="11" t="n">
        <v>80</v>
      </c>
    </row>
    <row r="338" customFormat="false" ht="36.5" hidden="false" customHeight="false" outlineLevel="0" collapsed="false">
      <c r="A338" s="1" t="n">
        <v>45</v>
      </c>
      <c r="B338" s="1" t="n">
        <v>2024</v>
      </c>
      <c r="C338" s="3" t="n">
        <v>45364</v>
      </c>
      <c r="D338" s="4" t="s">
        <v>38</v>
      </c>
      <c r="E338" s="5" t="s">
        <v>49</v>
      </c>
      <c r="F338" s="5" t="s">
        <v>50</v>
      </c>
      <c r="G338" s="7" t="n">
        <v>100</v>
      </c>
      <c r="H338" s="7" t="n">
        <v>100</v>
      </c>
      <c r="I338" s="7" t="n">
        <v>130</v>
      </c>
      <c r="J338" s="7" t="s">
        <v>165</v>
      </c>
      <c r="K338" s="7" t="s">
        <v>166</v>
      </c>
    </row>
    <row r="339" customFormat="false" ht="36.5" hidden="false" customHeight="false" outlineLevel="0" collapsed="false">
      <c r="A339" s="1" t="n">
        <v>45</v>
      </c>
      <c r="B339" s="1" t="n">
        <v>2024</v>
      </c>
      <c r="C339" s="3" t="n">
        <v>45364</v>
      </c>
      <c r="D339" s="8" t="s">
        <v>38</v>
      </c>
      <c r="E339" s="9" t="s">
        <v>52</v>
      </c>
      <c r="F339" s="9" t="s">
        <v>43</v>
      </c>
      <c r="G339" s="11" t="n">
        <v>130</v>
      </c>
      <c r="H339" s="11" t="n">
        <v>90</v>
      </c>
      <c r="I339" s="11" t="n">
        <v>140</v>
      </c>
      <c r="J339" s="11" t="s">
        <v>167</v>
      </c>
      <c r="K339" s="11" t="n">
        <v>130</v>
      </c>
    </row>
    <row r="340" customFormat="false" ht="36.5" hidden="false" customHeight="false" outlineLevel="0" collapsed="false">
      <c r="A340" s="1" t="n">
        <v>45</v>
      </c>
      <c r="B340" s="1" t="n">
        <v>2024</v>
      </c>
      <c r="C340" s="3" t="n">
        <v>45364</v>
      </c>
      <c r="D340" s="4" t="s">
        <v>38</v>
      </c>
      <c r="E340" s="5" t="s">
        <v>53</v>
      </c>
      <c r="F340" s="5" t="s">
        <v>43</v>
      </c>
      <c r="G340" s="7" t="n">
        <v>70</v>
      </c>
      <c r="H340" s="7" t="n">
        <v>70</v>
      </c>
      <c r="I340" s="7" t="n">
        <v>90</v>
      </c>
      <c r="J340" s="7" t="n">
        <v>75</v>
      </c>
      <c r="K340" s="7" t="n">
        <v>70</v>
      </c>
    </row>
    <row r="341" customFormat="false" ht="36.5" hidden="false" customHeight="false" outlineLevel="0" collapsed="false">
      <c r="A341" s="1" t="n">
        <v>45</v>
      </c>
      <c r="B341" s="1" t="n">
        <v>2024</v>
      </c>
      <c r="C341" s="3" t="n">
        <v>45364</v>
      </c>
      <c r="D341" s="8" t="s">
        <v>38</v>
      </c>
      <c r="E341" s="9" t="s">
        <v>54</v>
      </c>
      <c r="F341" s="9" t="s">
        <v>40</v>
      </c>
      <c r="G341" s="10"/>
      <c r="H341" s="11" t="n">
        <v>80</v>
      </c>
      <c r="I341" s="11" t="n">
        <v>85</v>
      </c>
      <c r="J341" s="11" t="s">
        <v>168</v>
      </c>
      <c r="K341" s="11" t="s">
        <v>168</v>
      </c>
    </row>
    <row r="342" customFormat="false" ht="36.5" hidden="false" customHeight="false" outlineLevel="0" collapsed="false">
      <c r="A342" s="1" t="n">
        <v>45</v>
      </c>
      <c r="B342" s="1" t="n">
        <v>2024</v>
      </c>
      <c r="C342" s="3" t="n">
        <v>45364</v>
      </c>
      <c r="D342" s="4" t="s">
        <v>38</v>
      </c>
      <c r="E342" s="5" t="s">
        <v>56</v>
      </c>
      <c r="F342" s="5" t="s">
        <v>43</v>
      </c>
      <c r="G342" s="7" t="n">
        <v>60</v>
      </c>
      <c r="H342" s="7" t="n">
        <v>60</v>
      </c>
      <c r="I342" s="7" t="n">
        <v>60</v>
      </c>
      <c r="J342" s="7" t="n">
        <v>60</v>
      </c>
      <c r="K342" s="7" t="n">
        <v>60</v>
      </c>
    </row>
    <row r="343" customFormat="false" ht="36.5" hidden="false" customHeight="false" outlineLevel="0" collapsed="false">
      <c r="A343" s="1" t="n">
        <v>45</v>
      </c>
      <c r="B343" s="1" t="n">
        <v>2024</v>
      </c>
      <c r="C343" s="3" t="n">
        <v>45364</v>
      </c>
      <c r="D343" s="8" t="s">
        <v>38</v>
      </c>
      <c r="E343" s="9" t="s">
        <v>57</v>
      </c>
      <c r="F343" s="9" t="s">
        <v>40</v>
      </c>
      <c r="G343" s="11" t="n">
        <v>70</v>
      </c>
      <c r="H343" s="11" t="n">
        <v>70</v>
      </c>
      <c r="I343" s="11" t="n">
        <v>70</v>
      </c>
      <c r="J343" s="11" t="n">
        <v>70</v>
      </c>
      <c r="K343" s="11" t="n">
        <v>70</v>
      </c>
    </row>
    <row r="344" customFormat="false" ht="36.5" hidden="false" customHeight="false" outlineLevel="0" collapsed="false">
      <c r="A344" s="1" t="n">
        <v>45</v>
      </c>
      <c r="B344" s="1" t="n">
        <v>2024</v>
      </c>
      <c r="C344" s="3" t="n">
        <v>45364</v>
      </c>
      <c r="D344" s="4" t="s">
        <v>38</v>
      </c>
      <c r="E344" s="5" t="s">
        <v>58</v>
      </c>
      <c r="F344" s="5" t="s">
        <v>40</v>
      </c>
      <c r="G344" s="6"/>
      <c r="H344" s="7" t="n">
        <v>80</v>
      </c>
      <c r="I344" s="7" t="n">
        <v>135</v>
      </c>
      <c r="J344" s="7" t="s">
        <v>169</v>
      </c>
      <c r="K344" s="7" t="n">
        <v>105</v>
      </c>
    </row>
    <row r="345" customFormat="false" ht="36.5" hidden="false" customHeight="false" outlineLevel="0" collapsed="false">
      <c r="A345" s="1" t="n">
        <v>45</v>
      </c>
      <c r="B345" s="1" t="n">
        <v>2024</v>
      </c>
      <c r="C345" s="3" t="n">
        <v>45364</v>
      </c>
      <c r="D345" s="8" t="s">
        <v>38</v>
      </c>
      <c r="E345" s="9" t="s">
        <v>59</v>
      </c>
      <c r="F345" s="9" t="s">
        <v>45</v>
      </c>
      <c r="G345" s="11" t="n">
        <v>60</v>
      </c>
      <c r="H345" s="11" t="n">
        <v>45</v>
      </c>
      <c r="I345" s="11" t="n">
        <v>70</v>
      </c>
      <c r="J345" s="11" t="s">
        <v>101</v>
      </c>
      <c r="K345" s="11" t="n">
        <v>60</v>
      </c>
    </row>
    <row r="346" customFormat="false" ht="36.5" hidden="false" customHeight="false" outlineLevel="0" collapsed="false">
      <c r="A346" s="1" t="n">
        <v>45</v>
      </c>
      <c r="B346" s="1" t="n">
        <v>2024</v>
      </c>
      <c r="C346" s="3" t="n">
        <v>45364</v>
      </c>
      <c r="D346" s="4" t="s">
        <v>38</v>
      </c>
      <c r="E346" s="5" t="s">
        <v>60</v>
      </c>
      <c r="F346" s="5" t="s">
        <v>61</v>
      </c>
      <c r="G346" s="6"/>
      <c r="H346" s="7" t="n">
        <v>50</v>
      </c>
      <c r="I346" s="7" t="n">
        <v>70</v>
      </c>
      <c r="J346" s="7" t="n">
        <v>60</v>
      </c>
      <c r="K346" s="7" t="n">
        <v>60</v>
      </c>
    </row>
    <row r="347" customFormat="false" ht="36.5" hidden="false" customHeight="false" outlineLevel="0" collapsed="false">
      <c r="A347" s="1" t="n">
        <v>45</v>
      </c>
      <c r="B347" s="1" t="n">
        <v>2024</v>
      </c>
      <c r="C347" s="3" t="n">
        <v>45364</v>
      </c>
      <c r="D347" s="8" t="s">
        <v>38</v>
      </c>
      <c r="E347" s="9" t="s">
        <v>63</v>
      </c>
      <c r="F347" s="9" t="s">
        <v>40</v>
      </c>
      <c r="G347" s="11" t="n">
        <v>150</v>
      </c>
      <c r="H347" s="11" t="n">
        <v>110</v>
      </c>
      <c r="I347" s="11" t="n">
        <v>150</v>
      </c>
      <c r="J347" s="11" t="s">
        <v>170</v>
      </c>
      <c r="K347" s="11" t="n">
        <v>145</v>
      </c>
    </row>
    <row r="348" customFormat="false" ht="36.5" hidden="false" customHeight="false" outlineLevel="0" collapsed="false">
      <c r="A348" s="1" t="n">
        <v>45</v>
      </c>
      <c r="B348" s="1" t="n">
        <v>2024</v>
      </c>
      <c r="C348" s="3" t="n">
        <v>45364</v>
      </c>
      <c r="D348" s="4" t="s">
        <v>38</v>
      </c>
      <c r="E348" s="5" t="s">
        <v>64</v>
      </c>
      <c r="F348" s="5" t="s">
        <v>40</v>
      </c>
      <c r="G348" s="6"/>
      <c r="H348" s="7" t="n">
        <v>120</v>
      </c>
      <c r="I348" s="7" t="n">
        <v>150</v>
      </c>
      <c r="J348" s="7" t="s">
        <v>171</v>
      </c>
      <c r="K348" s="7" t="n">
        <v>140</v>
      </c>
    </row>
    <row r="349" customFormat="false" ht="14.25" hidden="false" customHeight="false" outlineLevel="0" collapsed="false">
      <c r="A349" s="1" t="n">
        <v>45</v>
      </c>
      <c r="B349" s="1" t="n">
        <v>2024</v>
      </c>
      <c r="C349" s="3" t="n">
        <v>45364</v>
      </c>
      <c r="D349" s="8" t="s">
        <v>65</v>
      </c>
      <c r="E349" s="9" t="s">
        <v>66</v>
      </c>
      <c r="F349" s="9" t="s">
        <v>45</v>
      </c>
      <c r="G349" s="10"/>
      <c r="H349" s="11" t="n">
        <v>110</v>
      </c>
      <c r="I349" s="11" t="n">
        <v>110</v>
      </c>
      <c r="J349" s="11" t="n">
        <v>110</v>
      </c>
      <c r="K349" s="11" t="n">
        <v>110</v>
      </c>
    </row>
    <row r="350" customFormat="false" ht="14.25" hidden="false" customHeight="false" outlineLevel="0" collapsed="false">
      <c r="A350" s="1" t="n">
        <v>45</v>
      </c>
      <c r="B350" s="1" t="n">
        <v>2024</v>
      </c>
      <c r="C350" s="3" t="n">
        <v>45364</v>
      </c>
      <c r="D350" s="4" t="s">
        <v>65</v>
      </c>
      <c r="E350" s="5" t="s">
        <v>67</v>
      </c>
      <c r="F350" s="5" t="s">
        <v>45</v>
      </c>
      <c r="G350" s="6"/>
      <c r="H350" s="7" t="n">
        <v>70</v>
      </c>
      <c r="I350" s="7" t="n">
        <v>70</v>
      </c>
      <c r="J350" s="7" t="n">
        <v>70</v>
      </c>
      <c r="K350" s="7" t="n">
        <v>70</v>
      </c>
    </row>
    <row r="351" customFormat="false" ht="14.25" hidden="false" customHeight="false" outlineLevel="0" collapsed="false">
      <c r="A351" s="1" t="n">
        <v>45</v>
      </c>
      <c r="B351" s="1" t="n">
        <v>2024</v>
      </c>
      <c r="C351" s="3" t="n">
        <v>45364</v>
      </c>
      <c r="D351" s="8" t="s">
        <v>65</v>
      </c>
      <c r="E351" s="9" t="s">
        <v>68</v>
      </c>
      <c r="F351" s="9" t="s">
        <v>45</v>
      </c>
      <c r="G351" s="10"/>
      <c r="H351" s="11" t="n">
        <v>40</v>
      </c>
      <c r="I351" s="11" t="n">
        <v>40</v>
      </c>
      <c r="J351" s="11" t="n">
        <v>40</v>
      </c>
      <c r="K351" s="11" t="n">
        <v>40</v>
      </c>
    </row>
    <row r="352" customFormat="false" ht="14.25" hidden="false" customHeight="false" outlineLevel="0" collapsed="false">
      <c r="A352" s="1" t="n">
        <v>45</v>
      </c>
      <c r="B352" s="1" t="n">
        <v>2024</v>
      </c>
      <c r="C352" s="3" t="n">
        <v>45364</v>
      </c>
      <c r="D352" s="4" t="s">
        <v>65</v>
      </c>
      <c r="E352" s="5" t="s">
        <v>69</v>
      </c>
      <c r="F352" s="5" t="s">
        <v>45</v>
      </c>
      <c r="G352" s="6"/>
      <c r="H352" s="7" t="n">
        <v>50</v>
      </c>
      <c r="I352" s="7" t="n">
        <v>50</v>
      </c>
      <c r="J352" s="7" t="n">
        <v>50</v>
      </c>
      <c r="K352" s="7" t="n">
        <v>50</v>
      </c>
    </row>
    <row r="353" customFormat="false" ht="14.25" hidden="false" customHeight="false" outlineLevel="0" collapsed="false">
      <c r="A353" s="1" t="n">
        <v>45</v>
      </c>
      <c r="B353" s="1" t="n">
        <v>2024</v>
      </c>
      <c r="C353" s="3" t="n">
        <v>45364</v>
      </c>
      <c r="D353" s="8" t="s">
        <v>65</v>
      </c>
      <c r="E353" s="9" t="s">
        <v>70</v>
      </c>
      <c r="F353" s="9" t="s">
        <v>71</v>
      </c>
      <c r="G353" s="10"/>
      <c r="H353" s="10"/>
      <c r="I353" s="10"/>
      <c r="J353" s="10"/>
      <c r="K353" s="10"/>
    </row>
    <row r="354" customFormat="false" ht="25" hidden="false" customHeight="false" outlineLevel="0" collapsed="false">
      <c r="A354" s="1" t="n">
        <v>46</v>
      </c>
      <c r="B354" s="1" t="n">
        <v>2024</v>
      </c>
      <c r="C354" s="3" t="n">
        <v>45371</v>
      </c>
      <c r="D354" s="4" t="s">
        <v>11</v>
      </c>
      <c r="E354" s="5" t="s">
        <v>12</v>
      </c>
      <c r="F354" s="5" t="s">
        <v>13</v>
      </c>
      <c r="G354" s="7" t="n">
        <v>60</v>
      </c>
      <c r="H354" s="7" t="n">
        <v>60</v>
      </c>
      <c r="I354" s="7" t="n">
        <v>84</v>
      </c>
      <c r="J354" s="7" t="n">
        <v>68</v>
      </c>
      <c r="K354" s="7" t="n">
        <v>60</v>
      </c>
    </row>
    <row r="355" customFormat="false" ht="25" hidden="false" customHeight="false" outlineLevel="0" collapsed="false">
      <c r="A355" s="1" t="n">
        <v>46</v>
      </c>
      <c r="B355" s="1" t="n">
        <v>2024</v>
      </c>
      <c r="C355" s="3" t="n">
        <v>45371</v>
      </c>
      <c r="D355" s="8" t="s">
        <v>11</v>
      </c>
      <c r="E355" s="9" t="s">
        <v>14</v>
      </c>
      <c r="F355" s="9" t="s">
        <v>13</v>
      </c>
      <c r="G355" s="10"/>
      <c r="H355" s="11" t="n">
        <v>32</v>
      </c>
      <c r="I355" s="11" t="n">
        <v>84</v>
      </c>
      <c r="J355" s="11" t="s">
        <v>172</v>
      </c>
      <c r="K355" s="11" t="n">
        <v>72</v>
      </c>
    </row>
    <row r="356" customFormat="false" ht="25" hidden="false" customHeight="false" outlineLevel="0" collapsed="false">
      <c r="A356" s="1" t="n">
        <v>46</v>
      </c>
      <c r="B356" s="1" t="n">
        <v>2024</v>
      </c>
      <c r="C356" s="3" t="n">
        <v>45371</v>
      </c>
      <c r="D356" s="4" t="s">
        <v>11</v>
      </c>
      <c r="E356" s="5" t="s">
        <v>15</v>
      </c>
      <c r="F356" s="5" t="s">
        <v>13</v>
      </c>
      <c r="G356" s="7" t="n">
        <v>45</v>
      </c>
      <c r="H356" s="7" t="n">
        <v>45</v>
      </c>
      <c r="I356" s="7" t="n">
        <v>60</v>
      </c>
      <c r="J356" s="7" t="s">
        <v>173</v>
      </c>
      <c r="K356" s="7" t="s">
        <v>174</v>
      </c>
    </row>
    <row r="357" customFormat="false" ht="25" hidden="false" customHeight="false" outlineLevel="0" collapsed="false">
      <c r="A357" s="1" t="n">
        <v>46</v>
      </c>
      <c r="B357" s="1" t="n">
        <v>2024</v>
      </c>
      <c r="C357" s="3" t="n">
        <v>45371</v>
      </c>
      <c r="D357" s="8" t="s">
        <v>11</v>
      </c>
      <c r="E357" s="9" t="s">
        <v>16</v>
      </c>
      <c r="F357" s="9" t="s">
        <v>13</v>
      </c>
      <c r="G357" s="10"/>
      <c r="H357" s="11" t="n">
        <v>30</v>
      </c>
      <c r="I357" s="11" t="n">
        <v>60</v>
      </c>
      <c r="J357" s="11" t="s">
        <v>175</v>
      </c>
      <c r="K357" s="11" t="s">
        <v>176</v>
      </c>
    </row>
    <row r="358" customFormat="false" ht="25" hidden="false" customHeight="false" outlineLevel="0" collapsed="false">
      <c r="A358" s="1" t="n">
        <v>46</v>
      </c>
      <c r="B358" s="1" t="n">
        <v>2024</v>
      </c>
      <c r="C358" s="3" t="n">
        <v>45371</v>
      </c>
      <c r="D358" s="4" t="s">
        <v>11</v>
      </c>
      <c r="E358" s="5" t="s">
        <v>17</v>
      </c>
      <c r="F358" s="5" t="s">
        <v>13</v>
      </c>
      <c r="G358" s="6"/>
      <c r="H358" s="7" t="n">
        <v>35</v>
      </c>
      <c r="I358" s="7" t="n">
        <v>60</v>
      </c>
      <c r="J358" s="7" t="s">
        <v>177</v>
      </c>
      <c r="K358" s="7" t="n">
        <v>42</v>
      </c>
    </row>
    <row r="359" customFormat="false" ht="25" hidden="false" customHeight="false" outlineLevel="0" collapsed="false">
      <c r="A359" s="1" t="n">
        <v>46</v>
      </c>
      <c r="B359" s="1" t="n">
        <v>2024</v>
      </c>
      <c r="C359" s="3" t="n">
        <v>45371</v>
      </c>
      <c r="D359" s="8" t="s">
        <v>11</v>
      </c>
      <c r="E359" s="9" t="s">
        <v>18</v>
      </c>
      <c r="F359" s="9" t="s">
        <v>13</v>
      </c>
      <c r="G359" s="11" t="n">
        <v>60</v>
      </c>
      <c r="H359" s="11" t="n">
        <v>54</v>
      </c>
      <c r="I359" s="11" t="n">
        <v>60</v>
      </c>
      <c r="J359" s="11" t="n">
        <v>58</v>
      </c>
      <c r="K359" s="11" t="n">
        <v>60</v>
      </c>
    </row>
    <row r="360" customFormat="false" ht="25" hidden="false" customHeight="false" outlineLevel="0" collapsed="false">
      <c r="A360" s="1" t="n">
        <v>46</v>
      </c>
      <c r="B360" s="1" t="n">
        <v>2024</v>
      </c>
      <c r="C360" s="3" t="n">
        <v>45371</v>
      </c>
      <c r="D360" s="4" t="s">
        <v>11</v>
      </c>
      <c r="E360" s="5" t="s">
        <v>19</v>
      </c>
      <c r="F360" s="5" t="s">
        <v>13</v>
      </c>
      <c r="G360" s="7" t="n">
        <v>60</v>
      </c>
      <c r="H360" s="7" t="n">
        <v>60</v>
      </c>
      <c r="I360" s="7" t="n">
        <v>78</v>
      </c>
      <c r="J360" s="7" t="s">
        <v>178</v>
      </c>
      <c r="K360" s="7" t="n">
        <v>60</v>
      </c>
    </row>
    <row r="361" customFormat="false" ht="25" hidden="false" customHeight="false" outlineLevel="0" collapsed="false">
      <c r="A361" s="1" t="n">
        <v>46</v>
      </c>
      <c r="B361" s="1" t="n">
        <v>2024</v>
      </c>
      <c r="C361" s="3" t="n">
        <v>45371</v>
      </c>
      <c r="D361" s="8" t="s">
        <v>11</v>
      </c>
      <c r="E361" s="9" t="s">
        <v>20</v>
      </c>
      <c r="F361" s="9" t="s">
        <v>13</v>
      </c>
      <c r="G361" s="11" t="n">
        <v>84</v>
      </c>
      <c r="H361" s="11" t="n">
        <v>72</v>
      </c>
      <c r="I361" s="11" t="n">
        <v>96</v>
      </c>
      <c r="J361" s="11" t="n">
        <v>84</v>
      </c>
      <c r="K361" s="11" t="n">
        <v>84</v>
      </c>
    </row>
    <row r="362" customFormat="false" ht="25" hidden="false" customHeight="false" outlineLevel="0" collapsed="false">
      <c r="A362" s="1" t="n">
        <v>46</v>
      </c>
      <c r="B362" s="1" t="n">
        <v>2024</v>
      </c>
      <c r="C362" s="3" t="n">
        <v>45371</v>
      </c>
      <c r="D362" s="4" t="s">
        <v>11</v>
      </c>
      <c r="E362" s="5" t="s">
        <v>21</v>
      </c>
      <c r="F362" s="5" t="s">
        <v>13</v>
      </c>
      <c r="G362" s="7" t="n">
        <v>30</v>
      </c>
      <c r="H362" s="7" t="n">
        <v>24</v>
      </c>
      <c r="I362" s="7" t="n">
        <v>30</v>
      </c>
      <c r="J362" s="7" t="s">
        <v>179</v>
      </c>
      <c r="K362" s="7" t="n">
        <v>30</v>
      </c>
    </row>
    <row r="363" customFormat="false" ht="25" hidden="false" customHeight="false" outlineLevel="0" collapsed="false">
      <c r="A363" s="1" t="n">
        <v>46</v>
      </c>
      <c r="B363" s="1" t="n">
        <v>2024</v>
      </c>
      <c r="C363" s="3" t="n">
        <v>45371</v>
      </c>
      <c r="D363" s="8" t="s">
        <v>11</v>
      </c>
      <c r="E363" s="9" t="s">
        <v>73</v>
      </c>
      <c r="F363" s="9" t="s">
        <v>13</v>
      </c>
      <c r="G363" s="10"/>
      <c r="H363" s="11" t="n">
        <v>84</v>
      </c>
      <c r="I363" s="11" t="n">
        <v>120</v>
      </c>
      <c r="J363" s="11" t="n">
        <v>100</v>
      </c>
      <c r="K363" s="11" t="n">
        <v>96</v>
      </c>
    </row>
    <row r="364" customFormat="false" ht="25" hidden="false" customHeight="false" outlineLevel="0" collapsed="false">
      <c r="A364" s="1" t="n">
        <v>46</v>
      </c>
      <c r="B364" s="1" t="n">
        <v>2024</v>
      </c>
      <c r="C364" s="3" t="n">
        <v>45371</v>
      </c>
      <c r="D364" s="4" t="s">
        <v>11</v>
      </c>
      <c r="E364" s="5" t="s">
        <v>23</v>
      </c>
      <c r="F364" s="5" t="s">
        <v>13</v>
      </c>
      <c r="G364" s="6"/>
      <c r="H364" s="7" t="n">
        <v>30</v>
      </c>
      <c r="I364" s="7" t="n">
        <v>42</v>
      </c>
      <c r="J364" s="7" t="s">
        <v>180</v>
      </c>
      <c r="K364" s="7" t="n">
        <v>35</v>
      </c>
    </row>
    <row r="365" customFormat="false" ht="25" hidden="false" customHeight="false" outlineLevel="0" collapsed="false">
      <c r="A365" s="1" t="n">
        <v>46</v>
      </c>
      <c r="B365" s="1" t="n">
        <v>2024</v>
      </c>
      <c r="C365" s="3" t="n">
        <v>45371</v>
      </c>
      <c r="D365" s="8" t="s">
        <v>11</v>
      </c>
      <c r="E365" s="9" t="s">
        <v>24</v>
      </c>
      <c r="F365" s="9" t="s">
        <v>13</v>
      </c>
      <c r="G365" s="11" t="n">
        <v>84</v>
      </c>
      <c r="H365" s="11" t="n">
        <v>72</v>
      </c>
      <c r="I365" s="11" t="n">
        <v>84</v>
      </c>
      <c r="J365" s="11" t="n">
        <v>80</v>
      </c>
      <c r="K365" s="11" t="n">
        <v>84</v>
      </c>
    </row>
    <row r="366" customFormat="false" ht="25" hidden="false" customHeight="false" outlineLevel="0" collapsed="false">
      <c r="A366" s="1" t="n">
        <v>46</v>
      </c>
      <c r="B366" s="1" t="n">
        <v>2024</v>
      </c>
      <c r="C366" s="3" t="n">
        <v>45371</v>
      </c>
      <c r="D366" s="4" t="s">
        <v>11</v>
      </c>
      <c r="E366" s="5" t="s">
        <v>25</v>
      </c>
      <c r="F366" s="5" t="s">
        <v>26</v>
      </c>
      <c r="G366" s="6"/>
      <c r="H366" s="7" t="n">
        <v>48</v>
      </c>
      <c r="I366" s="7" t="n">
        <v>78</v>
      </c>
      <c r="J366" s="7" t="s">
        <v>178</v>
      </c>
      <c r="K366" s="7" t="n">
        <v>66</v>
      </c>
    </row>
    <row r="367" customFormat="false" ht="25" hidden="false" customHeight="false" outlineLevel="0" collapsed="false">
      <c r="A367" s="1" t="n">
        <v>46</v>
      </c>
      <c r="B367" s="1" t="n">
        <v>2024</v>
      </c>
      <c r="C367" s="3" t="n">
        <v>45371</v>
      </c>
      <c r="D367" s="8" t="s">
        <v>11</v>
      </c>
      <c r="E367" s="9" t="s">
        <v>27</v>
      </c>
      <c r="F367" s="9" t="s">
        <v>13</v>
      </c>
      <c r="G367" s="10"/>
      <c r="H367" s="11" t="n">
        <v>50</v>
      </c>
      <c r="I367" s="11" t="n">
        <v>80</v>
      </c>
      <c r="J367" s="11" t="s">
        <v>181</v>
      </c>
      <c r="K367" s="11" t="n">
        <v>72</v>
      </c>
    </row>
    <row r="368" customFormat="false" ht="25" hidden="false" customHeight="false" outlineLevel="0" collapsed="false">
      <c r="A368" s="1" t="n">
        <v>46</v>
      </c>
      <c r="B368" s="1" t="n">
        <v>2024</v>
      </c>
      <c r="C368" s="3" t="n">
        <v>45371</v>
      </c>
      <c r="D368" s="4" t="s">
        <v>11</v>
      </c>
      <c r="E368" s="5" t="s">
        <v>28</v>
      </c>
      <c r="F368" s="5" t="s">
        <v>13</v>
      </c>
      <c r="G368" s="7" t="n">
        <v>50</v>
      </c>
      <c r="H368" s="7" t="n">
        <v>50</v>
      </c>
      <c r="I368" s="7" t="n">
        <v>60</v>
      </c>
      <c r="J368" s="7" t="n">
        <v>55</v>
      </c>
      <c r="K368" s="7" t="n">
        <v>55</v>
      </c>
    </row>
    <row r="369" customFormat="false" ht="25" hidden="false" customHeight="false" outlineLevel="0" collapsed="false">
      <c r="A369" s="1" t="n">
        <v>46</v>
      </c>
      <c r="B369" s="1" t="n">
        <v>2024</v>
      </c>
      <c r="C369" s="3" t="n">
        <v>45371</v>
      </c>
      <c r="D369" s="8" t="s">
        <v>11</v>
      </c>
      <c r="E369" s="9" t="s">
        <v>29</v>
      </c>
      <c r="F369" s="9" t="s">
        <v>13</v>
      </c>
      <c r="G369" s="10"/>
      <c r="H369" s="11" t="n">
        <v>42</v>
      </c>
      <c r="I369" s="11" t="n">
        <v>54</v>
      </c>
      <c r="J369" s="11" t="n">
        <v>48</v>
      </c>
      <c r="K369" s="11" t="n">
        <v>48</v>
      </c>
    </row>
    <row r="370" customFormat="false" ht="25" hidden="false" customHeight="false" outlineLevel="0" collapsed="false">
      <c r="A370" s="1" t="n">
        <v>46</v>
      </c>
      <c r="B370" s="1" t="n">
        <v>2024</v>
      </c>
      <c r="C370" s="3" t="n">
        <v>45371</v>
      </c>
      <c r="D370" s="4" t="s">
        <v>30</v>
      </c>
      <c r="E370" s="5" t="s">
        <v>31</v>
      </c>
      <c r="F370" s="5" t="s">
        <v>32</v>
      </c>
      <c r="G370" s="7" t="n">
        <v>5</v>
      </c>
      <c r="H370" s="7" t="n">
        <v>4</v>
      </c>
      <c r="I370" s="7" t="n">
        <v>5</v>
      </c>
      <c r="J370" s="7" t="s">
        <v>149</v>
      </c>
      <c r="K370" s="7" t="s">
        <v>150</v>
      </c>
    </row>
    <row r="371" customFormat="false" ht="25" hidden="false" customHeight="false" outlineLevel="0" collapsed="false">
      <c r="A371" s="1" t="n">
        <v>46</v>
      </c>
      <c r="B371" s="1" t="n">
        <v>2024</v>
      </c>
      <c r="C371" s="3" t="n">
        <v>45371</v>
      </c>
      <c r="D371" s="8" t="s">
        <v>30</v>
      </c>
      <c r="E371" s="9" t="s">
        <v>34</v>
      </c>
      <c r="F371" s="9" t="s">
        <v>35</v>
      </c>
      <c r="G371" s="11" t="n">
        <v>20</v>
      </c>
      <c r="H371" s="11" t="n">
        <v>15</v>
      </c>
      <c r="I371" s="11" t="n">
        <v>25</v>
      </c>
      <c r="J371" s="11" t="s">
        <v>182</v>
      </c>
      <c r="K371" s="11" t="n">
        <v>20</v>
      </c>
    </row>
    <row r="372" customFormat="false" ht="25" hidden="false" customHeight="false" outlineLevel="0" collapsed="false">
      <c r="A372" s="1" t="n">
        <v>46</v>
      </c>
      <c r="B372" s="1" t="n">
        <v>2024</v>
      </c>
      <c r="C372" s="3" t="n">
        <v>45371</v>
      </c>
      <c r="D372" s="4" t="s">
        <v>30</v>
      </c>
      <c r="E372" s="5" t="s">
        <v>36</v>
      </c>
      <c r="F372" s="5" t="s">
        <v>35</v>
      </c>
      <c r="G372" s="6"/>
      <c r="H372" s="7" t="n">
        <v>30</v>
      </c>
      <c r="I372" s="7" t="n">
        <v>45</v>
      </c>
      <c r="J372" s="7" t="s">
        <v>86</v>
      </c>
      <c r="K372" s="7" t="s">
        <v>86</v>
      </c>
    </row>
    <row r="373" customFormat="false" ht="36.5" hidden="false" customHeight="false" outlineLevel="0" collapsed="false">
      <c r="A373" s="1" t="n">
        <v>46</v>
      </c>
      <c r="B373" s="1" t="n">
        <v>2024</v>
      </c>
      <c r="C373" s="3" t="n">
        <v>45371</v>
      </c>
      <c r="D373" s="8" t="s">
        <v>38</v>
      </c>
      <c r="E373" s="9" t="s">
        <v>153</v>
      </c>
      <c r="F373" s="9" t="s">
        <v>154</v>
      </c>
      <c r="G373" s="10"/>
      <c r="H373" s="11" t="n">
        <v>100</v>
      </c>
      <c r="I373" s="11" t="n">
        <v>105</v>
      </c>
      <c r="J373" s="11" t="s">
        <v>183</v>
      </c>
      <c r="K373" s="11" t="s">
        <v>183</v>
      </c>
    </row>
    <row r="374" customFormat="false" ht="36.5" hidden="false" customHeight="false" outlineLevel="0" collapsed="false">
      <c r="A374" s="1" t="n">
        <v>46</v>
      </c>
      <c r="B374" s="1" t="n">
        <v>2024</v>
      </c>
      <c r="C374" s="3" t="n">
        <v>45371</v>
      </c>
      <c r="D374" s="4" t="s">
        <v>38</v>
      </c>
      <c r="E374" s="5" t="s">
        <v>39</v>
      </c>
      <c r="F374" s="5" t="s">
        <v>40</v>
      </c>
      <c r="G374" s="7" t="n">
        <v>70</v>
      </c>
      <c r="H374" s="7" t="n">
        <v>50</v>
      </c>
      <c r="I374" s="7" t="n">
        <v>80</v>
      </c>
      <c r="J374" s="7" t="s">
        <v>84</v>
      </c>
      <c r="K374" s="7" t="n">
        <v>70</v>
      </c>
    </row>
    <row r="375" customFormat="false" ht="36.5" hidden="false" customHeight="false" outlineLevel="0" collapsed="false">
      <c r="A375" s="1" t="n">
        <v>46</v>
      </c>
      <c r="B375" s="1" t="n">
        <v>2024</v>
      </c>
      <c r="C375" s="3" t="n">
        <v>45371</v>
      </c>
      <c r="D375" s="8" t="s">
        <v>38</v>
      </c>
      <c r="E375" s="9" t="s">
        <v>42</v>
      </c>
      <c r="F375" s="9" t="s">
        <v>43</v>
      </c>
      <c r="G375" s="11" t="n">
        <v>70</v>
      </c>
      <c r="H375" s="11" t="n">
        <v>50</v>
      </c>
      <c r="I375" s="11" t="n">
        <v>75</v>
      </c>
      <c r="J375" s="11" t="n">
        <v>65</v>
      </c>
      <c r="K375" s="11" t="n">
        <v>70</v>
      </c>
    </row>
    <row r="376" customFormat="false" ht="36.5" hidden="false" customHeight="false" outlineLevel="0" collapsed="false">
      <c r="A376" s="1" t="n">
        <v>46</v>
      </c>
      <c r="B376" s="1" t="n">
        <v>2024</v>
      </c>
      <c r="C376" s="3" t="n">
        <v>45371</v>
      </c>
      <c r="D376" s="4" t="s">
        <v>38</v>
      </c>
      <c r="E376" s="5" t="s">
        <v>44</v>
      </c>
      <c r="F376" s="5" t="s">
        <v>45</v>
      </c>
      <c r="G376" s="7" t="n">
        <v>35</v>
      </c>
      <c r="H376" s="7" t="n">
        <v>35</v>
      </c>
      <c r="I376" s="7" t="n">
        <v>50</v>
      </c>
      <c r="J376" s="7" t="s">
        <v>47</v>
      </c>
      <c r="K376" s="7" t="s">
        <v>47</v>
      </c>
    </row>
    <row r="377" customFormat="false" ht="36.5" hidden="false" customHeight="false" outlineLevel="0" collapsed="false">
      <c r="A377" s="1" t="n">
        <v>46</v>
      </c>
      <c r="B377" s="1" t="n">
        <v>2024</v>
      </c>
      <c r="C377" s="3" t="n">
        <v>45371</v>
      </c>
      <c r="D377" s="8" t="s">
        <v>38</v>
      </c>
      <c r="E377" s="9" t="s">
        <v>48</v>
      </c>
      <c r="F377" s="9" t="s">
        <v>45</v>
      </c>
      <c r="G377" s="10"/>
      <c r="H377" s="11" t="n">
        <v>100</v>
      </c>
      <c r="I377" s="11" t="n">
        <v>120</v>
      </c>
      <c r="J377" s="11" t="n">
        <v>110</v>
      </c>
      <c r="K377" s="11" t="n">
        <v>110</v>
      </c>
    </row>
    <row r="378" customFormat="false" ht="36.5" hidden="false" customHeight="false" outlineLevel="0" collapsed="false">
      <c r="A378" s="1" t="n">
        <v>46</v>
      </c>
      <c r="B378" s="1" t="n">
        <v>2024</v>
      </c>
      <c r="C378" s="3" t="n">
        <v>45371</v>
      </c>
      <c r="D378" s="4" t="s">
        <v>38</v>
      </c>
      <c r="E378" s="5" t="s">
        <v>49</v>
      </c>
      <c r="F378" s="5" t="s">
        <v>50</v>
      </c>
      <c r="G378" s="7" t="n">
        <v>100</v>
      </c>
      <c r="H378" s="7" t="n">
        <v>70</v>
      </c>
      <c r="I378" s="7" t="n">
        <v>130</v>
      </c>
      <c r="J378" s="7" t="n">
        <v>106</v>
      </c>
      <c r="K378" s="7" t="n">
        <v>100</v>
      </c>
    </row>
    <row r="379" customFormat="false" ht="36.5" hidden="false" customHeight="false" outlineLevel="0" collapsed="false">
      <c r="A379" s="1" t="n">
        <v>46</v>
      </c>
      <c r="B379" s="1" t="n">
        <v>2024</v>
      </c>
      <c r="C379" s="3" t="n">
        <v>45371</v>
      </c>
      <c r="D379" s="8" t="s">
        <v>38</v>
      </c>
      <c r="E379" s="9" t="s">
        <v>52</v>
      </c>
      <c r="F379" s="9" t="s">
        <v>43</v>
      </c>
      <c r="G379" s="10"/>
      <c r="H379" s="11" t="n">
        <v>60</v>
      </c>
      <c r="I379" s="11" t="n">
        <v>140</v>
      </c>
      <c r="J379" s="11" t="s">
        <v>184</v>
      </c>
      <c r="K379" s="11" t="n">
        <v>90</v>
      </c>
    </row>
    <row r="380" customFormat="false" ht="36.5" hidden="false" customHeight="false" outlineLevel="0" collapsed="false">
      <c r="A380" s="1" t="n">
        <v>46</v>
      </c>
      <c r="B380" s="1" t="n">
        <v>2024</v>
      </c>
      <c r="C380" s="3" t="n">
        <v>45371</v>
      </c>
      <c r="D380" s="4" t="s">
        <v>38</v>
      </c>
      <c r="E380" s="5" t="s">
        <v>53</v>
      </c>
      <c r="F380" s="5" t="s">
        <v>43</v>
      </c>
      <c r="G380" s="6"/>
      <c r="H380" s="7" t="n">
        <v>50</v>
      </c>
      <c r="I380" s="7" t="n">
        <v>95</v>
      </c>
      <c r="J380" s="7" t="n">
        <v>68</v>
      </c>
      <c r="K380" s="7" t="n">
        <v>65</v>
      </c>
    </row>
    <row r="381" customFormat="false" ht="36.5" hidden="false" customHeight="false" outlineLevel="0" collapsed="false">
      <c r="A381" s="1" t="n">
        <v>46</v>
      </c>
      <c r="B381" s="1" t="n">
        <v>2024</v>
      </c>
      <c r="C381" s="3" t="n">
        <v>45371</v>
      </c>
      <c r="D381" s="8" t="s">
        <v>38</v>
      </c>
      <c r="E381" s="9" t="s">
        <v>54</v>
      </c>
      <c r="F381" s="9" t="s">
        <v>40</v>
      </c>
      <c r="G381" s="10"/>
      <c r="H381" s="11" t="n">
        <v>90</v>
      </c>
      <c r="I381" s="11" t="n">
        <v>90</v>
      </c>
      <c r="J381" s="11" t="n">
        <v>90</v>
      </c>
      <c r="K381" s="11" t="n">
        <v>90</v>
      </c>
    </row>
    <row r="382" customFormat="false" ht="36.5" hidden="false" customHeight="false" outlineLevel="0" collapsed="false">
      <c r="A382" s="1" t="n">
        <v>46</v>
      </c>
      <c r="B382" s="1" t="n">
        <v>2024</v>
      </c>
      <c r="C382" s="3" t="n">
        <v>45371</v>
      </c>
      <c r="D382" s="4" t="s">
        <v>38</v>
      </c>
      <c r="E382" s="5" t="s">
        <v>56</v>
      </c>
      <c r="F382" s="5" t="s">
        <v>43</v>
      </c>
      <c r="G382" s="6"/>
      <c r="H382" s="7" t="n">
        <v>80</v>
      </c>
      <c r="I382" s="7" t="n">
        <v>90</v>
      </c>
      <c r="J382" s="7" t="n">
        <v>85</v>
      </c>
      <c r="K382" s="7" t="n">
        <v>85</v>
      </c>
    </row>
    <row r="383" customFormat="false" ht="36.5" hidden="false" customHeight="false" outlineLevel="0" collapsed="false">
      <c r="A383" s="1" t="n">
        <v>46</v>
      </c>
      <c r="B383" s="1" t="n">
        <v>2024</v>
      </c>
      <c r="C383" s="3" t="n">
        <v>45371</v>
      </c>
      <c r="D383" s="8" t="s">
        <v>38</v>
      </c>
      <c r="E383" s="9" t="s">
        <v>57</v>
      </c>
      <c r="F383" s="9" t="s">
        <v>40</v>
      </c>
      <c r="G383" s="10"/>
      <c r="H383" s="11" t="n">
        <v>42</v>
      </c>
      <c r="I383" s="11" t="n">
        <v>110</v>
      </c>
      <c r="J383" s="11" t="n">
        <v>84</v>
      </c>
      <c r="K383" s="11" t="n">
        <v>100</v>
      </c>
    </row>
    <row r="384" customFormat="false" ht="36.5" hidden="false" customHeight="false" outlineLevel="0" collapsed="false">
      <c r="A384" s="1" t="n">
        <v>46</v>
      </c>
      <c r="B384" s="1" t="n">
        <v>2024</v>
      </c>
      <c r="C384" s="3" t="n">
        <v>45371</v>
      </c>
      <c r="D384" s="4" t="s">
        <v>38</v>
      </c>
      <c r="E384" s="5" t="s">
        <v>58</v>
      </c>
      <c r="F384" s="5" t="s">
        <v>40</v>
      </c>
      <c r="G384" s="7" t="n">
        <v>100</v>
      </c>
      <c r="H384" s="7" t="n">
        <v>75</v>
      </c>
      <c r="I384" s="7" t="n">
        <v>120</v>
      </c>
      <c r="J384" s="7" t="n">
        <v>95</v>
      </c>
      <c r="K384" s="7" t="n">
        <v>100</v>
      </c>
    </row>
    <row r="385" customFormat="false" ht="36.5" hidden="false" customHeight="false" outlineLevel="0" collapsed="false">
      <c r="A385" s="1" t="n">
        <v>46</v>
      </c>
      <c r="B385" s="1" t="n">
        <v>2024</v>
      </c>
      <c r="C385" s="3" t="n">
        <v>45371</v>
      </c>
      <c r="D385" s="8" t="s">
        <v>38</v>
      </c>
      <c r="E385" s="9" t="s">
        <v>59</v>
      </c>
      <c r="F385" s="9" t="s">
        <v>45</v>
      </c>
      <c r="G385" s="11" t="n">
        <v>60</v>
      </c>
      <c r="H385" s="11" t="n">
        <v>40</v>
      </c>
      <c r="I385" s="11" t="n">
        <v>80</v>
      </c>
      <c r="J385" s="11" t="n">
        <v>60</v>
      </c>
      <c r="K385" s="11" t="n">
        <v>60</v>
      </c>
    </row>
    <row r="386" customFormat="false" ht="36.5" hidden="false" customHeight="false" outlineLevel="0" collapsed="false">
      <c r="A386" s="1" t="n">
        <v>46</v>
      </c>
      <c r="B386" s="1" t="n">
        <v>2024</v>
      </c>
      <c r="C386" s="3" t="n">
        <v>45371</v>
      </c>
      <c r="D386" s="4" t="s">
        <v>38</v>
      </c>
      <c r="E386" s="5" t="s">
        <v>60</v>
      </c>
      <c r="F386" s="5" t="s">
        <v>61</v>
      </c>
      <c r="G386" s="7" t="n">
        <v>60</v>
      </c>
      <c r="H386" s="7" t="n">
        <v>60</v>
      </c>
      <c r="I386" s="7" t="n">
        <v>130</v>
      </c>
      <c r="J386" s="7" t="n">
        <v>77</v>
      </c>
      <c r="K386" s="7" t="n">
        <v>65</v>
      </c>
    </row>
    <row r="387" customFormat="false" ht="36.5" hidden="false" customHeight="false" outlineLevel="0" collapsed="false">
      <c r="A387" s="1" t="n">
        <v>46</v>
      </c>
      <c r="B387" s="1" t="n">
        <v>2024</v>
      </c>
      <c r="C387" s="3" t="n">
        <v>45371</v>
      </c>
      <c r="D387" s="8" t="s">
        <v>38</v>
      </c>
      <c r="E387" s="9" t="s">
        <v>63</v>
      </c>
      <c r="F387" s="9" t="s">
        <v>40</v>
      </c>
      <c r="G387" s="10"/>
      <c r="H387" s="11" t="n">
        <v>65</v>
      </c>
      <c r="I387" s="11" t="n">
        <v>140</v>
      </c>
      <c r="J387" s="11" t="n">
        <v>107</v>
      </c>
      <c r="K387" s="11" t="n">
        <v>110</v>
      </c>
    </row>
    <row r="388" customFormat="false" ht="36.5" hidden="false" customHeight="false" outlineLevel="0" collapsed="false">
      <c r="A388" s="1" t="n">
        <v>46</v>
      </c>
      <c r="B388" s="1" t="n">
        <v>2024</v>
      </c>
      <c r="C388" s="3" t="n">
        <v>45371</v>
      </c>
      <c r="D388" s="4" t="s">
        <v>38</v>
      </c>
      <c r="E388" s="5" t="s">
        <v>64</v>
      </c>
      <c r="F388" s="5" t="s">
        <v>40</v>
      </c>
      <c r="G388" s="7" t="n">
        <v>120</v>
      </c>
      <c r="H388" s="7" t="n">
        <v>100</v>
      </c>
      <c r="I388" s="7" t="n">
        <v>120</v>
      </c>
      <c r="J388" s="7" t="n">
        <v>115</v>
      </c>
      <c r="K388" s="7" t="n">
        <v>120</v>
      </c>
    </row>
    <row r="389" customFormat="false" ht="14.25" hidden="false" customHeight="false" outlineLevel="0" collapsed="false">
      <c r="A389" s="1" t="n">
        <v>46</v>
      </c>
      <c r="B389" s="1" t="n">
        <v>2024</v>
      </c>
      <c r="C389" s="3" t="n">
        <v>45371</v>
      </c>
      <c r="D389" s="8" t="s">
        <v>65</v>
      </c>
      <c r="E389" s="9" t="s">
        <v>66</v>
      </c>
      <c r="F389" s="9" t="s">
        <v>45</v>
      </c>
      <c r="G389" s="10"/>
      <c r="H389" s="11" t="n">
        <v>80</v>
      </c>
      <c r="I389" s="11" t="n">
        <v>80</v>
      </c>
      <c r="J389" s="11" t="n">
        <v>80</v>
      </c>
      <c r="K389" s="11" t="n">
        <v>80</v>
      </c>
    </row>
    <row r="390" customFormat="false" ht="14.25" hidden="false" customHeight="false" outlineLevel="0" collapsed="false">
      <c r="A390" s="1" t="n">
        <v>46</v>
      </c>
      <c r="B390" s="1" t="n">
        <v>2024</v>
      </c>
      <c r="C390" s="3" t="n">
        <v>45371</v>
      </c>
      <c r="D390" s="4" t="s">
        <v>65</v>
      </c>
      <c r="E390" s="5" t="s">
        <v>67</v>
      </c>
      <c r="F390" s="5" t="s">
        <v>45</v>
      </c>
      <c r="G390" s="6"/>
      <c r="H390" s="7" t="n">
        <v>60</v>
      </c>
      <c r="I390" s="7" t="n">
        <v>60</v>
      </c>
      <c r="J390" s="7" t="n">
        <v>60</v>
      </c>
      <c r="K390" s="7" t="n">
        <v>60</v>
      </c>
    </row>
    <row r="391" customFormat="false" ht="14.25" hidden="false" customHeight="false" outlineLevel="0" collapsed="false">
      <c r="A391" s="1" t="n">
        <v>46</v>
      </c>
      <c r="B391" s="1" t="n">
        <v>2024</v>
      </c>
      <c r="C391" s="3" t="n">
        <v>45371</v>
      </c>
      <c r="D391" s="8" t="s">
        <v>65</v>
      </c>
      <c r="E391" s="9" t="s">
        <v>68</v>
      </c>
      <c r="F391" s="9" t="s">
        <v>45</v>
      </c>
      <c r="G391" s="10"/>
      <c r="H391" s="11" t="n">
        <v>45</v>
      </c>
      <c r="I391" s="11" t="n">
        <v>60</v>
      </c>
      <c r="J391" s="11" t="s">
        <v>78</v>
      </c>
      <c r="K391" s="11" t="s">
        <v>78</v>
      </c>
    </row>
    <row r="392" customFormat="false" ht="14.25" hidden="false" customHeight="false" outlineLevel="0" collapsed="false">
      <c r="A392" s="1" t="n">
        <v>46</v>
      </c>
      <c r="B392" s="1" t="n">
        <v>2024</v>
      </c>
      <c r="C392" s="3" t="n">
        <v>45371</v>
      </c>
      <c r="D392" s="4" t="s">
        <v>65</v>
      </c>
      <c r="E392" s="5" t="s">
        <v>69</v>
      </c>
      <c r="F392" s="5" t="s">
        <v>45</v>
      </c>
      <c r="G392" s="6"/>
      <c r="H392" s="7" t="n">
        <v>48</v>
      </c>
      <c r="I392" s="7" t="n">
        <v>48</v>
      </c>
      <c r="J392" s="7" t="n">
        <v>48</v>
      </c>
      <c r="K392" s="7" t="n">
        <v>48</v>
      </c>
    </row>
    <row r="393" customFormat="false" ht="14.25" hidden="false" customHeight="false" outlineLevel="0" collapsed="false">
      <c r="A393" s="1" t="n">
        <v>46</v>
      </c>
      <c r="B393" s="1" t="n">
        <v>2024</v>
      </c>
      <c r="C393" s="3" t="n">
        <v>45371</v>
      </c>
      <c r="D393" s="8" t="s">
        <v>65</v>
      </c>
      <c r="E393" s="9" t="s">
        <v>70</v>
      </c>
      <c r="F393" s="9" t="s">
        <v>71</v>
      </c>
      <c r="G393" s="11" t="n">
        <v>90</v>
      </c>
      <c r="H393" s="11" t="n">
        <v>90</v>
      </c>
      <c r="I393" s="11" t="n">
        <v>90</v>
      </c>
      <c r="J393" s="11" t="n">
        <v>90</v>
      </c>
      <c r="K393" s="11" t="n">
        <v>90</v>
      </c>
    </row>
    <row r="394" customFormat="false" ht="25" hidden="false" customHeight="false" outlineLevel="0" collapsed="false">
      <c r="A394" s="1" t="n">
        <v>47</v>
      </c>
      <c r="B394" s="1" t="n">
        <v>2024</v>
      </c>
      <c r="C394" s="3" t="n">
        <v>45385</v>
      </c>
      <c r="D394" s="4" t="s">
        <v>11</v>
      </c>
      <c r="E394" s="5" t="s">
        <v>12</v>
      </c>
      <c r="F394" s="5" t="s">
        <v>13</v>
      </c>
      <c r="G394" s="6"/>
      <c r="H394" s="7" t="n">
        <v>48</v>
      </c>
      <c r="I394" s="7" t="n">
        <v>60</v>
      </c>
      <c r="J394" s="7" t="n">
        <v>54</v>
      </c>
      <c r="K394" s="7" t="n">
        <v>54</v>
      </c>
    </row>
    <row r="395" customFormat="false" ht="25" hidden="false" customHeight="false" outlineLevel="0" collapsed="false">
      <c r="A395" s="1" t="n">
        <v>47</v>
      </c>
      <c r="B395" s="1" t="n">
        <v>2024</v>
      </c>
      <c r="C395" s="3" t="n">
        <v>45385</v>
      </c>
      <c r="D395" s="8" t="s">
        <v>11</v>
      </c>
      <c r="E395" s="9" t="s">
        <v>14</v>
      </c>
      <c r="F395" s="9" t="s">
        <v>13</v>
      </c>
      <c r="G395" s="11" t="n">
        <v>72</v>
      </c>
      <c r="H395" s="11" t="n">
        <v>72</v>
      </c>
      <c r="I395" s="11" t="n">
        <v>84</v>
      </c>
      <c r="J395" s="11" t="n">
        <v>76</v>
      </c>
      <c r="K395" s="11" t="n">
        <v>72</v>
      </c>
    </row>
    <row r="396" customFormat="false" ht="25" hidden="false" customHeight="false" outlineLevel="0" collapsed="false">
      <c r="A396" s="1" t="n">
        <v>47</v>
      </c>
      <c r="B396" s="1" t="n">
        <v>2024</v>
      </c>
      <c r="C396" s="3" t="n">
        <v>45385</v>
      </c>
      <c r="D396" s="4" t="s">
        <v>11</v>
      </c>
      <c r="E396" s="5" t="s">
        <v>15</v>
      </c>
      <c r="F396" s="5" t="s">
        <v>13</v>
      </c>
      <c r="G396" s="7" t="n">
        <v>48</v>
      </c>
      <c r="H396" s="7" t="n">
        <v>48</v>
      </c>
      <c r="I396" s="7" t="n">
        <v>60</v>
      </c>
      <c r="J396" s="7" t="n">
        <v>52</v>
      </c>
      <c r="K396" s="7" t="n">
        <v>48</v>
      </c>
    </row>
    <row r="397" customFormat="false" ht="25" hidden="false" customHeight="false" outlineLevel="0" collapsed="false">
      <c r="A397" s="1" t="n">
        <v>47</v>
      </c>
      <c r="B397" s="1" t="n">
        <v>2024</v>
      </c>
      <c r="C397" s="3" t="n">
        <v>45385</v>
      </c>
      <c r="D397" s="8" t="s">
        <v>11</v>
      </c>
      <c r="E397" s="9" t="s">
        <v>16</v>
      </c>
      <c r="F397" s="9" t="s">
        <v>13</v>
      </c>
      <c r="G397" s="10"/>
      <c r="H397" s="11" t="n">
        <v>35</v>
      </c>
      <c r="I397" s="11" t="n">
        <v>50</v>
      </c>
      <c r="J397" s="11" t="s">
        <v>185</v>
      </c>
      <c r="K397" s="11" t="n">
        <v>42</v>
      </c>
    </row>
    <row r="398" customFormat="false" ht="25" hidden="false" customHeight="false" outlineLevel="0" collapsed="false">
      <c r="A398" s="1" t="n">
        <v>47</v>
      </c>
      <c r="B398" s="1" t="n">
        <v>2024</v>
      </c>
      <c r="C398" s="3" t="n">
        <v>45385</v>
      </c>
      <c r="D398" s="4" t="s">
        <v>11</v>
      </c>
      <c r="E398" s="5" t="s">
        <v>17</v>
      </c>
      <c r="F398" s="5" t="s">
        <v>13</v>
      </c>
      <c r="G398" s="6"/>
      <c r="H398" s="7" t="n">
        <v>35</v>
      </c>
      <c r="I398" s="7" t="n">
        <v>50</v>
      </c>
      <c r="J398" s="7" t="s">
        <v>185</v>
      </c>
      <c r="K398" s="7" t="n">
        <v>42</v>
      </c>
    </row>
    <row r="399" customFormat="false" ht="25" hidden="false" customHeight="false" outlineLevel="0" collapsed="false">
      <c r="A399" s="1" t="n">
        <v>47</v>
      </c>
      <c r="B399" s="1" t="n">
        <v>2024</v>
      </c>
      <c r="C399" s="3" t="n">
        <v>45385</v>
      </c>
      <c r="D399" s="8" t="s">
        <v>11</v>
      </c>
      <c r="E399" s="9" t="s">
        <v>18</v>
      </c>
      <c r="F399" s="9" t="s">
        <v>13</v>
      </c>
      <c r="G399" s="11" t="n">
        <v>72</v>
      </c>
      <c r="H399" s="11" t="n">
        <v>60</v>
      </c>
      <c r="I399" s="11" t="n">
        <v>72</v>
      </c>
      <c r="J399" s="11" t="n">
        <v>68</v>
      </c>
      <c r="K399" s="11" t="n">
        <v>72</v>
      </c>
    </row>
    <row r="400" customFormat="false" ht="25" hidden="false" customHeight="false" outlineLevel="0" collapsed="false">
      <c r="A400" s="1" t="n">
        <v>47</v>
      </c>
      <c r="B400" s="1" t="n">
        <v>2024</v>
      </c>
      <c r="C400" s="3" t="n">
        <v>45385</v>
      </c>
      <c r="D400" s="4" t="s">
        <v>11</v>
      </c>
      <c r="E400" s="5" t="s">
        <v>19</v>
      </c>
      <c r="F400" s="5" t="s">
        <v>13</v>
      </c>
      <c r="G400" s="6"/>
      <c r="H400" s="7" t="n">
        <v>72</v>
      </c>
      <c r="I400" s="7" t="n">
        <v>96</v>
      </c>
      <c r="J400" s="7" t="n">
        <v>86</v>
      </c>
      <c r="K400" s="7" t="n">
        <v>90</v>
      </c>
    </row>
    <row r="401" customFormat="false" ht="25" hidden="false" customHeight="false" outlineLevel="0" collapsed="false">
      <c r="A401" s="1" t="n">
        <v>47</v>
      </c>
      <c r="B401" s="1" t="n">
        <v>2024</v>
      </c>
      <c r="C401" s="3" t="n">
        <v>45385</v>
      </c>
      <c r="D401" s="8" t="s">
        <v>11</v>
      </c>
      <c r="E401" s="9" t="s">
        <v>20</v>
      </c>
      <c r="F401" s="9" t="s">
        <v>13</v>
      </c>
      <c r="G401" s="10"/>
      <c r="H401" s="11" t="n">
        <v>120</v>
      </c>
      <c r="I401" s="11" t="n">
        <v>120</v>
      </c>
      <c r="J401" s="11" t="n">
        <v>120</v>
      </c>
      <c r="K401" s="11" t="n">
        <v>120</v>
      </c>
    </row>
    <row r="402" customFormat="false" ht="25" hidden="false" customHeight="false" outlineLevel="0" collapsed="false">
      <c r="A402" s="1" t="n">
        <v>47</v>
      </c>
      <c r="B402" s="1" t="n">
        <v>2024</v>
      </c>
      <c r="C402" s="3" t="n">
        <v>45385</v>
      </c>
      <c r="D402" s="4" t="s">
        <v>11</v>
      </c>
      <c r="E402" s="5" t="s">
        <v>21</v>
      </c>
      <c r="F402" s="5" t="s">
        <v>13</v>
      </c>
      <c r="G402" s="7" t="n">
        <v>30</v>
      </c>
      <c r="H402" s="7" t="n">
        <v>30</v>
      </c>
      <c r="I402" s="7" t="n">
        <v>36</v>
      </c>
      <c r="J402" s="7" t="n">
        <v>32</v>
      </c>
      <c r="K402" s="7" t="n">
        <v>30</v>
      </c>
    </row>
    <row r="403" customFormat="false" ht="25" hidden="false" customHeight="false" outlineLevel="0" collapsed="false">
      <c r="A403" s="1" t="n">
        <v>47</v>
      </c>
      <c r="B403" s="1" t="n">
        <v>2024</v>
      </c>
      <c r="C403" s="3" t="n">
        <v>45385</v>
      </c>
      <c r="D403" s="8" t="s">
        <v>11</v>
      </c>
      <c r="E403" s="9" t="s">
        <v>73</v>
      </c>
      <c r="F403" s="9" t="s">
        <v>13</v>
      </c>
      <c r="G403" s="11" t="n">
        <v>120</v>
      </c>
      <c r="H403" s="11" t="n">
        <v>120</v>
      </c>
      <c r="I403" s="11" t="n">
        <v>120</v>
      </c>
      <c r="J403" s="11" t="n">
        <v>120</v>
      </c>
      <c r="K403" s="11" t="n">
        <v>120</v>
      </c>
    </row>
    <row r="404" customFormat="false" ht="25" hidden="false" customHeight="false" outlineLevel="0" collapsed="false">
      <c r="A404" s="1" t="n">
        <v>47</v>
      </c>
      <c r="B404" s="1" t="n">
        <v>2024</v>
      </c>
      <c r="C404" s="3" t="n">
        <v>45385</v>
      </c>
      <c r="D404" s="4" t="s">
        <v>11</v>
      </c>
      <c r="E404" s="5" t="s">
        <v>23</v>
      </c>
      <c r="F404" s="5" t="s">
        <v>13</v>
      </c>
      <c r="G404" s="6"/>
      <c r="H404" s="7" t="n">
        <v>30</v>
      </c>
      <c r="I404" s="7" t="n">
        <v>42</v>
      </c>
      <c r="J404" s="7" t="n">
        <v>36</v>
      </c>
      <c r="K404" s="7" t="n">
        <v>36</v>
      </c>
    </row>
    <row r="405" customFormat="false" ht="25" hidden="false" customHeight="false" outlineLevel="0" collapsed="false">
      <c r="A405" s="1" t="n">
        <v>47</v>
      </c>
      <c r="B405" s="1" t="n">
        <v>2024</v>
      </c>
      <c r="C405" s="3" t="n">
        <v>45385</v>
      </c>
      <c r="D405" s="8" t="s">
        <v>11</v>
      </c>
      <c r="E405" s="9" t="s">
        <v>24</v>
      </c>
      <c r="F405" s="9" t="s">
        <v>13</v>
      </c>
      <c r="G405" s="10"/>
      <c r="H405" s="11" t="n">
        <v>78</v>
      </c>
      <c r="I405" s="11" t="n">
        <v>96</v>
      </c>
      <c r="J405" s="11" t="n">
        <v>86</v>
      </c>
      <c r="K405" s="11" t="n">
        <v>84</v>
      </c>
    </row>
    <row r="406" customFormat="false" ht="25" hidden="false" customHeight="false" outlineLevel="0" collapsed="false">
      <c r="A406" s="1" t="n">
        <v>47</v>
      </c>
      <c r="B406" s="1" t="n">
        <v>2024</v>
      </c>
      <c r="C406" s="3" t="n">
        <v>45385</v>
      </c>
      <c r="D406" s="4" t="s">
        <v>11</v>
      </c>
      <c r="E406" s="5" t="s">
        <v>25</v>
      </c>
      <c r="F406" s="5" t="s">
        <v>26</v>
      </c>
      <c r="G406" s="6"/>
      <c r="H406" s="7" t="n">
        <v>60</v>
      </c>
      <c r="I406" s="7" t="n">
        <v>78</v>
      </c>
      <c r="J406" s="7" t="n">
        <v>70</v>
      </c>
      <c r="K406" s="7" t="n">
        <v>72</v>
      </c>
    </row>
    <row r="407" customFormat="false" ht="25" hidden="false" customHeight="false" outlineLevel="0" collapsed="false">
      <c r="A407" s="1" t="n">
        <v>47</v>
      </c>
      <c r="B407" s="1" t="n">
        <v>2024</v>
      </c>
      <c r="C407" s="3" t="n">
        <v>45385</v>
      </c>
      <c r="D407" s="8" t="s">
        <v>11</v>
      </c>
      <c r="E407" s="9" t="s">
        <v>27</v>
      </c>
      <c r="F407" s="9" t="s">
        <v>13</v>
      </c>
      <c r="G407" s="10"/>
      <c r="H407" s="11" t="n">
        <v>60</v>
      </c>
      <c r="I407" s="11" t="n">
        <v>120</v>
      </c>
      <c r="J407" s="11" t="s">
        <v>186</v>
      </c>
      <c r="K407" s="11" t="n">
        <v>75</v>
      </c>
    </row>
    <row r="408" customFormat="false" ht="25" hidden="false" customHeight="false" outlineLevel="0" collapsed="false">
      <c r="A408" s="1" t="n">
        <v>47</v>
      </c>
      <c r="B408" s="1" t="n">
        <v>2024</v>
      </c>
      <c r="C408" s="3" t="n">
        <v>45385</v>
      </c>
      <c r="D408" s="4" t="s">
        <v>11</v>
      </c>
      <c r="E408" s="5" t="s">
        <v>28</v>
      </c>
      <c r="F408" s="5" t="s">
        <v>13</v>
      </c>
      <c r="G408" s="7" t="n">
        <v>60</v>
      </c>
      <c r="H408" s="7" t="n">
        <v>50</v>
      </c>
      <c r="I408" s="7" t="n">
        <v>84</v>
      </c>
      <c r="J408" s="7" t="s">
        <v>187</v>
      </c>
      <c r="K408" s="7" t="n">
        <v>60</v>
      </c>
    </row>
    <row r="409" customFormat="false" ht="25" hidden="false" customHeight="false" outlineLevel="0" collapsed="false">
      <c r="A409" s="1" t="n">
        <v>47</v>
      </c>
      <c r="B409" s="1" t="n">
        <v>2024</v>
      </c>
      <c r="C409" s="3" t="n">
        <v>45385</v>
      </c>
      <c r="D409" s="8" t="s">
        <v>11</v>
      </c>
      <c r="E409" s="9" t="s">
        <v>29</v>
      </c>
      <c r="F409" s="9" t="s">
        <v>13</v>
      </c>
      <c r="G409" s="11" t="n">
        <v>54</v>
      </c>
      <c r="H409" s="11" t="n">
        <v>48</v>
      </c>
      <c r="I409" s="11" t="n">
        <v>54</v>
      </c>
      <c r="J409" s="11" t="n">
        <v>52</v>
      </c>
      <c r="K409" s="11" t="n">
        <v>54</v>
      </c>
    </row>
    <row r="410" customFormat="false" ht="25" hidden="false" customHeight="false" outlineLevel="0" collapsed="false">
      <c r="A410" s="1" t="n">
        <v>47</v>
      </c>
      <c r="B410" s="1" t="n">
        <v>2024</v>
      </c>
      <c r="C410" s="3" t="n">
        <v>45385</v>
      </c>
      <c r="D410" s="4" t="s">
        <v>30</v>
      </c>
      <c r="E410" s="5" t="s">
        <v>31</v>
      </c>
      <c r="F410" s="5" t="s">
        <v>32</v>
      </c>
      <c r="G410" s="6"/>
      <c r="H410" s="7" t="s">
        <v>97</v>
      </c>
      <c r="I410" s="7" t="n">
        <v>5</v>
      </c>
      <c r="J410" s="7" t="s">
        <v>150</v>
      </c>
      <c r="K410" s="7" t="s">
        <v>150</v>
      </c>
    </row>
    <row r="411" customFormat="false" ht="25" hidden="false" customHeight="false" outlineLevel="0" collapsed="false">
      <c r="A411" s="1" t="n">
        <v>47</v>
      </c>
      <c r="B411" s="1" t="n">
        <v>2024</v>
      </c>
      <c r="C411" s="3" t="n">
        <v>45385</v>
      </c>
      <c r="D411" s="8" t="s">
        <v>30</v>
      </c>
      <c r="E411" s="9" t="s">
        <v>34</v>
      </c>
      <c r="F411" s="9" t="s">
        <v>35</v>
      </c>
      <c r="G411" s="10"/>
      <c r="H411" s="11" t="n">
        <v>25</v>
      </c>
      <c r="I411" s="11" t="n">
        <v>40</v>
      </c>
      <c r="J411" s="11" t="s">
        <v>107</v>
      </c>
      <c r="K411" s="11" t="s">
        <v>107</v>
      </c>
    </row>
    <row r="412" customFormat="false" ht="25" hidden="false" customHeight="false" outlineLevel="0" collapsed="false">
      <c r="A412" s="1" t="n">
        <v>47</v>
      </c>
      <c r="B412" s="1" t="n">
        <v>2024</v>
      </c>
      <c r="C412" s="3" t="n">
        <v>45385</v>
      </c>
      <c r="D412" s="4" t="s">
        <v>30</v>
      </c>
      <c r="E412" s="5" t="s">
        <v>36</v>
      </c>
      <c r="F412" s="5" t="s">
        <v>35</v>
      </c>
      <c r="G412" s="6"/>
      <c r="H412" s="7" t="n">
        <v>40</v>
      </c>
      <c r="I412" s="7" t="n">
        <v>45</v>
      </c>
      <c r="J412" s="7" t="s">
        <v>47</v>
      </c>
      <c r="K412" s="7" t="s">
        <v>47</v>
      </c>
    </row>
    <row r="413" customFormat="false" ht="36.5" hidden="false" customHeight="false" outlineLevel="0" collapsed="false">
      <c r="A413" s="1" t="n">
        <v>47</v>
      </c>
      <c r="B413" s="1" t="n">
        <v>2024</v>
      </c>
      <c r="C413" s="3" t="n">
        <v>45385</v>
      </c>
      <c r="D413" s="8" t="s">
        <v>38</v>
      </c>
      <c r="E413" s="9" t="s">
        <v>153</v>
      </c>
      <c r="F413" s="9" t="s">
        <v>154</v>
      </c>
      <c r="G413" s="11" t="n">
        <v>120</v>
      </c>
      <c r="H413" s="11" t="n">
        <v>110</v>
      </c>
      <c r="I413" s="11" t="n">
        <v>120</v>
      </c>
      <c r="J413" s="11" t="s">
        <v>188</v>
      </c>
      <c r="K413" s="11" t="s">
        <v>140</v>
      </c>
    </row>
    <row r="414" customFormat="false" ht="36.5" hidden="false" customHeight="false" outlineLevel="0" collapsed="false">
      <c r="A414" s="1" t="n">
        <v>47</v>
      </c>
      <c r="B414" s="1" t="n">
        <v>2024</v>
      </c>
      <c r="C414" s="3" t="n">
        <v>45385</v>
      </c>
      <c r="D414" s="4" t="s">
        <v>38</v>
      </c>
      <c r="E414" s="5" t="s">
        <v>39</v>
      </c>
      <c r="F414" s="5" t="s">
        <v>40</v>
      </c>
      <c r="G414" s="7" t="n">
        <v>90</v>
      </c>
      <c r="H414" s="7" t="n">
        <v>70</v>
      </c>
      <c r="I414" s="7" t="n">
        <v>100</v>
      </c>
      <c r="J414" s="7" t="s">
        <v>189</v>
      </c>
      <c r="K414" s="7" t="n">
        <v>90</v>
      </c>
    </row>
    <row r="415" customFormat="false" ht="36.5" hidden="false" customHeight="false" outlineLevel="0" collapsed="false">
      <c r="A415" s="1" t="n">
        <v>47</v>
      </c>
      <c r="B415" s="1" t="n">
        <v>2024</v>
      </c>
      <c r="C415" s="3" t="n">
        <v>45385</v>
      </c>
      <c r="D415" s="8" t="s">
        <v>38</v>
      </c>
      <c r="E415" s="9" t="s">
        <v>42</v>
      </c>
      <c r="F415" s="9" t="s">
        <v>43</v>
      </c>
      <c r="G415" s="11" t="n">
        <v>50</v>
      </c>
      <c r="H415" s="11" t="n">
        <v>50</v>
      </c>
      <c r="I415" s="11" t="n">
        <v>80</v>
      </c>
      <c r="J415" s="11" t="s">
        <v>130</v>
      </c>
      <c r="K415" s="11" t="n">
        <v>75</v>
      </c>
    </row>
    <row r="416" customFormat="false" ht="36.5" hidden="false" customHeight="false" outlineLevel="0" collapsed="false">
      <c r="A416" s="1" t="n">
        <v>47</v>
      </c>
      <c r="B416" s="1" t="n">
        <v>2024</v>
      </c>
      <c r="C416" s="3" t="n">
        <v>45385</v>
      </c>
      <c r="D416" s="4" t="s">
        <v>38</v>
      </c>
      <c r="E416" s="5" t="s">
        <v>44</v>
      </c>
      <c r="F416" s="5" t="s">
        <v>45</v>
      </c>
      <c r="G416" s="7" t="n">
        <v>50</v>
      </c>
      <c r="H416" s="7" t="n">
        <v>35</v>
      </c>
      <c r="I416" s="7" t="n">
        <v>60</v>
      </c>
      <c r="J416" s="7" t="n">
        <v>45</v>
      </c>
      <c r="K416" s="7" t="n">
        <v>45</v>
      </c>
    </row>
    <row r="417" customFormat="false" ht="36.5" hidden="false" customHeight="false" outlineLevel="0" collapsed="false">
      <c r="A417" s="1" t="n">
        <v>47</v>
      </c>
      <c r="B417" s="1" t="n">
        <v>2024</v>
      </c>
      <c r="C417" s="3" t="n">
        <v>45385</v>
      </c>
      <c r="D417" s="8" t="s">
        <v>38</v>
      </c>
      <c r="E417" s="9" t="s">
        <v>48</v>
      </c>
      <c r="F417" s="9" t="s">
        <v>45</v>
      </c>
      <c r="G417" s="10"/>
      <c r="H417" s="11" t="n">
        <v>65</v>
      </c>
      <c r="I417" s="11" t="n">
        <v>120</v>
      </c>
      <c r="J417" s="11" t="n">
        <v>95</v>
      </c>
      <c r="K417" s="11" t="n">
        <v>100</v>
      </c>
    </row>
    <row r="418" customFormat="false" ht="36.5" hidden="false" customHeight="false" outlineLevel="0" collapsed="false">
      <c r="A418" s="1" t="n">
        <v>47</v>
      </c>
      <c r="B418" s="1" t="n">
        <v>2024</v>
      </c>
      <c r="C418" s="3" t="n">
        <v>45385</v>
      </c>
      <c r="D418" s="4" t="s">
        <v>38</v>
      </c>
      <c r="E418" s="5" t="s">
        <v>49</v>
      </c>
      <c r="F418" s="5" t="s">
        <v>50</v>
      </c>
      <c r="G418" s="7" t="n">
        <v>100</v>
      </c>
      <c r="H418" s="7" t="n">
        <v>80</v>
      </c>
      <c r="I418" s="7" t="n">
        <v>130</v>
      </c>
      <c r="J418" s="7" t="n">
        <v>110</v>
      </c>
      <c r="K418" s="7" t="n">
        <v>110</v>
      </c>
    </row>
    <row r="419" customFormat="false" ht="36.5" hidden="false" customHeight="false" outlineLevel="0" collapsed="false">
      <c r="A419" s="1" t="n">
        <v>47</v>
      </c>
      <c r="B419" s="1" t="n">
        <v>2024</v>
      </c>
      <c r="C419" s="3" t="n">
        <v>45385</v>
      </c>
      <c r="D419" s="8" t="s">
        <v>38</v>
      </c>
      <c r="E419" s="9" t="s">
        <v>52</v>
      </c>
      <c r="F419" s="9" t="s">
        <v>43</v>
      </c>
      <c r="G419" s="11" t="n">
        <v>80</v>
      </c>
      <c r="H419" s="11" t="n">
        <v>80</v>
      </c>
      <c r="I419" s="11" t="n">
        <v>150</v>
      </c>
      <c r="J419" s="11" t="s">
        <v>190</v>
      </c>
      <c r="K419" s="11" t="n">
        <v>120</v>
      </c>
    </row>
    <row r="420" customFormat="false" ht="36.5" hidden="false" customHeight="false" outlineLevel="0" collapsed="false">
      <c r="A420" s="1" t="n">
        <v>47</v>
      </c>
      <c r="B420" s="1" t="n">
        <v>2024</v>
      </c>
      <c r="C420" s="3" t="n">
        <v>45385</v>
      </c>
      <c r="D420" s="4" t="s">
        <v>38</v>
      </c>
      <c r="E420" s="5" t="s">
        <v>53</v>
      </c>
      <c r="F420" s="5" t="s">
        <v>43</v>
      </c>
      <c r="G420" s="7" t="n">
        <v>60</v>
      </c>
      <c r="H420" s="7" t="n">
        <v>50</v>
      </c>
      <c r="I420" s="7" t="n">
        <v>70</v>
      </c>
      <c r="J420" s="7" t="n">
        <v>60</v>
      </c>
      <c r="K420" s="7" t="n">
        <v>60</v>
      </c>
    </row>
    <row r="421" customFormat="false" ht="36.5" hidden="false" customHeight="false" outlineLevel="0" collapsed="false">
      <c r="A421" s="1" t="n">
        <v>47</v>
      </c>
      <c r="B421" s="1" t="n">
        <v>2024</v>
      </c>
      <c r="C421" s="3" t="n">
        <v>45385</v>
      </c>
      <c r="D421" s="8" t="s">
        <v>38</v>
      </c>
      <c r="E421" s="9" t="s">
        <v>54</v>
      </c>
      <c r="F421" s="9" t="s">
        <v>40</v>
      </c>
      <c r="G421" s="11" t="n">
        <v>100</v>
      </c>
      <c r="H421" s="11" t="n">
        <v>80</v>
      </c>
      <c r="I421" s="11" t="n">
        <v>100</v>
      </c>
      <c r="J421" s="11" t="n">
        <v>94</v>
      </c>
      <c r="K421" s="11" t="n">
        <v>100</v>
      </c>
    </row>
    <row r="422" customFormat="false" ht="36.5" hidden="false" customHeight="false" outlineLevel="0" collapsed="false">
      <c r="A422" s="1" t="n">
        <v>47</v>
      </c>
      <c r="B422" s="1" t="n">
        <v>2024</v>
      </c>
      <c r="C422" s="3" t="n">
        <v>45385</v>
      </c>
      <c r="D422" s="4" t="s">
        <v>38</v>
      </c>
      <c r="E422" s="5" t="s">
        <v>56</v>
      </c>
      <c r="F422" s="5" t="s">
        <v>43</v>
      </c>
      <c r="G422" s="6"/>
      <c r="H422" s="7" t="n">
        <v>60</v>
      </c>
      <c r="I422" s="7" t="n">
        <v>75</v>
      </c>
      <c r="J422" s="7" t="s">
        <v>84</v>
      </c>
      <c r="K422" s="7" t="s">
        <v>84</v>
      </c>
    </row>
    <row r="423" customFormat="false" ht="36.5" hidden="false" customHeight="false" outlineLevel="0" collapsed="false">
      <c r="A423" s="1" t="n">
        <v>47</v>
      </c>
      <c r="B423" s="1" t="n">
        <v>2024</v>
      </c>
      <c r="C423" s="3" t="n">
        <v>45385</v>
      </c>
      <c r="D423" s="8" t="s">
        <v>38</v>
      </c>
      <c r="E423" s="9" t="s">
        <v>57</v>
      </c>
      <c r="F423" s="9" t="s">
        <v>40</v>
      </c>
      <c r="G423" s="11" t="n">
        <v>80</v>
      </c>
      <c r="H423" s="11" t="n">
        <v>60</v>
      </c>
      <c r="I423" s="11" t="n">
        <v>100</v>
      </c>
      <c r="J423" s="11" t="s">
        <v>191</v>
      </c>
      <c r="K423" s="11" t="n">
        <v>80</v>
      </c>
    </row>
    <row r="424" customFormat="false" ht="36.5" hidden="false" customHeight="false" outlineLevel="0" collapsed="false">
      <c r="A424" s="1" t="n">
        <v>47</v>
      </c>
      <c r="B424" s="1" t="n">
        <v>2024</v>
      </c>
      <c r="C424" s="3" t="n">
        <v>45385</v>
      </c>
      <c r="D424" s="4" t="s">
        <v>38</v>
      </c>
      <c r="E424" s="5" t="s">
        <v>58</v>
      </c>
      <c r="F424" s="5" t="s">
        <v>40</v>
      </c>
      <c r="G424" s="7" t="n">
        <v>120</v>
      </c>
      <c r="H424" s="7" t="n">
        <v>80</v>
      </c>
      <c r="I424" s="7" t="n">
        <v>140</v>
      </c>
      <c r="J424" s="7" t="n">
        <v>115</v>
      </c>
      <c r="K424" s="7" t="n">
        <v>120</v>
      </c>
    </row>
    <row r="425" customFormat="false" ht="36.5" hidden="false" customHeight="false" outlineLevel="0" collapsed="false">
      <c r="A425" s="1" t="n">
        <v>47</v>
      </c>
      <c r="B425" s="1" t="n">
        <v>2024</v>
      </c>
      <c r="C425" s="3" t="n">
        <v>45385</v>
      </c>
      <c r="D425" s="8" t="s">
        <v>38</v>
      </c>
      <c r="E425" s="9" t="s">
        <v>59</v>
      </c>
      <c r="F425" s="9" t="s">
        <v>45</v>
      </c>
      <c r="G425" s="11" t="n">
        <v>80</v>
      </c>
      <c r="H425" s="11" t="n">
        <v>60</v>
      </c>
      <c r="I425" s="11" t="n">
        <v>100</v>
      </c>
      <c r="J425" s="11" t="s">
        <v>192</v>
      </c>
      <c r="K425" s="11" t="n">
        <v>80</v>
      </c>
    </row>
    <row r="426" customFormat="false" ht="36.5" hidden="false" customHeight="false" outlineLevel="0" collapsed="false">
      <c r="A426" s="1" t="n">
        <v>47</v>
      </c>
      <c r="B426" s="1" t="n">
        <v>2024</v>
      </c>
      <c r="C426" s="3" t="n">
        <v>45385</v>
      </c>
      <c r="D426" s="4" t="s">
        <v>38</v>
      </c>
      <c r="E426" s="5" t="s">
        <v>60</v>
      </c>
      <c r="F426" s="5" t="s">
        <v>61</v>
      </c>
      <c r="G426" s="7" t="n">
        <v>150</v>
      </c>
      <c r="H426" s="7" t="n">
        <v>100</v>
      </c>
      <c r="I426" s="7" t="n">
        <v>150</v>
      </c>
      <c r="J426" s="7" t="n">
        <v>130</v>
      </c>
      <c r="K426" s="7" t="n">
        <v>130</v>
      </c>
    </row>
    <row r="427" customFormat="false" ht="36.5" hidden="false" customHeight="false" outlineLevel="0" collapsed="false">
      <c r="A427" s="1" t="n">
        <v>47</v>
      </c>
      <c r="B427" s="1" t="n">
        <v>2024</v>
      </c>
      <c r="C427" s="3" t="n">
        <v>45385</v>
      </c>
      <c r="D427" s="8" t="s">
        <v>38</v>
      </c>
      <c r="E427" s="9" t="s">
        <v>63</v>
      </c>
      <c r="F427" s="9" t="s">
        <v>40</v>
      </c>
      <c r="G427" s="11" t="n">
        <v>220</v>
      </c>
      <c r="H427" s="11" t="n">
        <v>150</v>
      </c>
      <c r="I427" s="11" t="n">
        <v>250</v>
      </c>
      <c r="J427" s="11" t="s">
        <v>193</v>
      </c>
      <c r="K427" s="11" t="n">
        <v>230</v>
      </c>
    </row>
    <row r="428" customFormat="false" ht="36.5" hidden="false" customHeight="false" outlineLevel="0" collapsed="false">
      <c r="A428" s="1" t="n">
        <v>47</v>
      </c>
      <c r="B428" s="1" t="n">
        <v>2024</v>
      </c>
      <c r="C428" s="3" t="n">
        <v>45385</v>
      </c>
      <c r="D428" s="4" t="s">
        <v>38</v>
      </c>
      <c r="E428" s="5" t="s">
        <v>64</v>
      </c>
      <c r="F428" s="5" t="s">
        <v>40</v>
      </c>
      <c r="G428" s="7" t="n">
        <v>140</v>
      </c>
      <c r="H428" s="7" t="n">
        <v>120</v>
      </c>
      <c r="I428" s="7" t="n">
        <v>200</v>
      </c>
      <c r="J428" s="7" t="s">
        <v>194</v>
      </c>
      <c r="K428" s="7" t="n">
        <v>140</v>
      </c>
    </row>
    <row r="429" customFormat="false" ht="14.25" hidden="false" customHeight="false" outlineLevel="0" collapsed="false">
      <c r="A429" s="1" t="n">
        <v>47</v>
      </c>
      <c r="B429" s="1" t="n">
        <v>2024</v>
      </c>
      <c r="C429" s="3" t="n">
        <v>45385</v>
      </c>
      <c r="D429" s="8" t="s">
        <v>65</v>
      </c>
      <c r="E429" s="9" t="s">
        <v>66</v>
      </c>
      <c r="F429" s="9" t="s">
        <v>45</v>
      </c>
      <c r="G429" s="11" t="n">
        <v>100</v>
      </c>
      <c r="H429" s="11" t="n">
        <v>100</v>
      </c>
      <c r="I429" s="11" t="n">
        <v>100</v>
      </c>
      <c r="J429" s="11" t="n">
        <v>100</v>
      </c>
      <c r="K429" s="11" t="n">
        <v>100</v>
      </c>
    </row>
    <row r="430" customFormat="false" ht="14.25" hidden="false" customHeight="false" outlineLevel="0" collapsed="false">
      <c r="A430" s="1" t="n">
        <v>47</v>
      </c>
      <c r="B430" s="1" t="n">
        <v>2024</v>
      </c>
      <c r="C430" s="3" t="n">
        <v>45385</v>
      </c>
      <c r="D430" s="4" t="s">
        <v>65</v>
      </c>
      <c r="E430" s="5" t="s">
        <v>67</v>
      </c>
      <c r="F430" s="5" t="s">
        <v>45</v>
      </c>
      <c r="G430" s="7" t="n">
        <v>80</v>
      </c>
      <c r="H430" s="7" t="n">
        <v>80</v>
      </c>
      <c r="I430" s="7" t="n">
        <v>80</v>
      </c>
      <c r="J430" s="7" t="n">
        <v>80</v>
      </c>
      <c r="K430" s="7" t="n">
        <v>80</v>
      </c>
    </row>
    <row r="431" customFormat="false" ht="14.25" hidden="false" customHeight="false" outlineLevel="0" collapsed="false">
      <c r="A431" s="1" t="n">
        <v>47</v>
      </c>
      <c r="B431" s="1" t="n">
        <v>2024</v>
      </c>
      <c r="C431" s="3" t="n">
        <v>45385</v>
      </c>
      <c r="D431" s="8" t="s">
        <v>65</v>
      </c>
      <c r="E431" s="9" t="s">
        <v>68</v>
      </c>
      <c r="F431" s="9" t="s">
        <v>45</v>
      </c>
      <c r="G431" s="11" t="n">
        <v>45</v>
      </c>
      <c r="H431" s="11" t="n">
        <v>45</v>
      </c>
      <c r="I431" s="11" t="n">
        <v>45</v>
      </c>
      <c r="J431" s="11" t="n">
        <v>45</v>
      </c>
      <c r="K431" s="11" t="n">
        <v>45</v>
      </c>
    </row>
    <row r="432" customFormat="false" ht="14.25" hidden="false" customHeight="false" outlineLevel="0" collapsed="false">
      <c r="A432" s="1" t="n">
        <v>47</v>
      </c>
      <c r="B432" s="1" t="n">
        <v>2024</v>
      </c>
      <c r="C432" s="3" t="n">
        <v>45385</v>
      </c>
      <c r="D432" s="4" t="s">
        <v>65</v>
      </c>
      <c r="E432" s="5" t="s">
        <v>69</v>
      </c>
      <c r="F432" s="5" t="s">
        <v>45</v>
      </c>
      <c r="G432" s="7" t="n">
        <v>45</v>
      </c>
      <c r="H432" s="7" t="n">
        <v>45</v>
      </c>
      <c r="I432" s="7" t="n">
        <v>45</v>
      </c>
      <c r="J432" s="7" t="n">
        <v>45</v>
      </c>
      <c r="K432" s="7" t="n">
        <v>45</v>
      </c>
    </row>
    <row r="433" customFormat="false" ht="14.25" hidden="false" customHeight="false" outlineLevel="0" collapsed="false">
      <c r="A433" s="1" t="n">
        <v>47</v>
      </c>
      <c r="B433" s="1" t="n">
        <v>2024</v>
      </c>
      <c r="C433" s="3" t="n">
        <v>45385</v>
      </c>
      <c r="D433" s="8" t="s">
        <v>65</v>
      </c>
      <c r="E433" s="9" t="s">
        <v>70</v>
      </c>
      <c r="F433" s="9" t="s">
        <v>71</v>
      </c>
      <c r="G433" s="11" t="n">
        <v>85</v>
      </c>
      <c r="H433" s="11" t="n">
        <v>85</v>
      </c>
      <c r="I433" s="11" t="n">
        <v>85</v>
      </c>
      <c r="J433" s="11" t="n">
        <v>85</v>
      </c>
      <c r="K433" s="11" t="n">
        <v>85</v>
      </c>
    </row>
    <row r="434" customFormat="false" ht="25" hidden="false" customHeight="false" outlineLevel="0" collapsed="false">
      <c r="A434" s="1" t="n">
        <v>48</v>
      </c>
      <c r="B434" s="1" t="n">
        <v>2024</v>
      </c>
      <c r="C434" s="3" t="n">
        <v>45392</v>
      </c>
      <c r="D434" s="4" t="s">
        <v>11</v>
      </c>
      <c r="E434" s="5" t="s">
        <v>12</v>
      </c>
      <c r="F434" s="5" t="s">
        <v>13</v>
      </c>
      <c r="G434" s="7" t="n">
        <v>60</v>
      </c>
      <c r="H434" s="7" t="n">
        <v>60</v>
      </c>
      <c r="I434" s="7" t="n">
        <v>78</v>
      </c>
      <c r="J434" s="7" t="n">
        <v>66</v>
      </c>
      <c r="K434" s="7" t="n">
        <v>60</v>
      </c>
    </row>
    <row r="435" customFormat="false" ht="25" hidden="false" customHeight="false" outlineLevel="0" collapsed="false">
      <c r="A435" s="1" t="n">
        <v>48</v>
      </c>
      <c r="B435" s="1" t="n">
        <v>2024</v>
      </c>
      <c r="C435" s="3" t="n">
        <v>45392</v>
      </c>
      <c r="D435" s="8" t="s">
        <v>11</v>
      </c>
      <c r="E435" s="9" t="s">
        <v>14</v>
      </c>
      <c r="F435" s="9" t="s">
        <v>13</v>
      </c>
      <c r="G435" s="10"/>
      <c r="H435" s="11" t="n">
        <v>44</v>
      </c>
      <c r="I435" s="11" t="n">
        <v>78</v>
      </c>
      <c r="J435" s="11" t="s">
        <v>83</v>
      </c>
      <c r="K435" s="11" t="n">
        <v>72</v>
      </c>
    </row>
    <row r="436" customFormat="false" ht="25" hidden="false" customHeight="false" outlineLevel="0" collapsed="false">
      <c r="A436" s="1" t="n">
        <v>48</v>
      </c>
      <c r="B436" s="1" t="n">
        <v>2024</v>
      </c>
      <c r="C436" s="3" t="n">
        <v>45392</v>
      </c>
      <c r="D436" s="4" t="s">
        <v>11</v>
      </c>
      <c r="E436" s="5" t="s">
        <v>15</v>
      </c>
      <c r="F436" s="5" t="s">
        <v>13</v>
      </c>
      <c r="G436" s="6"/>
      <c r="H436" s="7" t="n">
        <v>42</v>
      </c>
      <c r="I436" s="7" t="n">
        <v>60</v>
      </c>
      <c r="J436" s="7" t="n">
        <v>50</v>
      </c>
      <c r="K436" s="7" t="n">
        <v>48</v>
      </c>
    </row>
    <row r="437" customFormat="false" ht="25" hidden="false" customHeight="false" outlineLevel="0" collapsed="false">
      <c r="A437" s="1" t="n">
        <v>48</v>
      </c>
      <c r="B437" s="1" t="n">
        <v>2024</v>
      </c>
      <c r="C437" s="3" t="n">
        <v>45392</v>
      </c>
      <c r="D437" s="8" t="s">
        <v>11</v>
      </c>
      <c r="E437" s="9" t="s">
        <v>16</v>
      </c>
      <c r="F437" s="9" t="s">
        <v>13</v>
      </c>
      <c r="G437" s="10"/>
      <c r="H437" s="11" t="n">
        <v>30</v>
      </c>
      <c r="I437" s="11" t="n">
        <v>42</v>
      </c>
      <c r="J437" s="11" t="s">
        <v>180</v>
      </c>
      <c r="K437" s="11" t="n">
        <v>35</v>
      </c>
    </row>
    <row r="438" customFormat="false" ht="25" hidden="false" customHeight="false" outlineLevel="0" collapsed="false">
      <c r="A438" s="1" t="n">
        <v>48</v>
      </c>
      <c r="B438" s="1" t="n">
        <v>2024</v>
      </c>
      <c r="C438" s="3" t="n">
        <v>45392</v>
      </c>
      <c r="D438" s="4" t="s">
        <v>11</v>
      </c>
      <c r="E438" s="5" t="s">
        <v>17</v>
      </c>
      <c r="F438" s="5" t="s">
        <v>13</v>
      </c>
      <c r="G438" s="6"/>
      <c r="H438" s="7" t="n">
        <v>30</v>
      </c>
      <c r="I438" s="7" t="n">
        <v>42</v>
      </c>
      <c r="J438" s="7" t="s">
        <v>180</v>
      </c>
      <c r="K438" s="7" t="n">
        <v>35</v>
      </c>
    </row>
    <row r="439" customFormat="false" ht="25" hidden="false" customHeight="false" outlineLevel="0" collapsed="false">
      <c r="A439" s="1" t="n">
        <v>48</v>
      </c>
      <c r="B439" s="1" t="n">
        <v>2024</v>
      </c>
      <c r="C439" s="3" t="n">
        <v>45392</v>
      </c>
      <c r="D439" s="8" t="s">
        <v>11</v>
      </c>
      <c r="E439" s="9" t="s">
        <v>18</v>
      </c>
      <c r="F439" s="9" t="s">
        <v>13</v>
      </c>
      <c r="G439" s="10"/>
      <c r="H439" s="11" t="n">
        <v>48</v>
      </c>
      <c r="I439" s="11" t="n">
        <v>96</v>
      </c>
      <c r="J439" s="11" t="n">
        <v>69</v>
      </c>
      <c r="K439" s="11" t="n">
        <v>66</v>
      </c>
    </row>
    <row r="440" customFormat="false" ht="25" hidden="false" customHeight="false" outlineLevel="0" collapsed="false">
      <c r="A440" s="1" t="n">
        <v>48</v>
      </c>
      <c r="B440" s="1" t="n">
        <v>2024</v>
      </c>
      <c r="C440" s="3" t="n">
        <v>45392</v>
      </c>
      <c r="D440" s="4" t="s">
        <v>11</v>
      </c>
      <c r="E440" s="5" t="s">
        <v>19</v>
      </c>
      <c r="F440" s="5" t="s">
        <v>13</v>
      </c>
      <c r="G440" s="6"/>
      <c r="H440" s="7" t="n">
        <v>96</v>
      </c>
      <c r="I440" s="7" t="n">
        <v>108</v>
      </c>
      <c r="J440" s="7" t="s">
        <v>195</v>
      </c>
      <c r="K440" s="7" t="n">
        <v>100</v>
      </c>
    </row>
    <row r="441" customFormat="false" ht="25" hidden="false" customHeight="false" outlineLevel="0" collapsed="false">
      <c r="A441" s="1" t="n">
        <v>48</v>
      </c>
      <c r="B441" s="1" t="n">
        <v>2024</v>
      </c>
      <c r="C441" s="3" t="n">
        <v>45392</v>
      </c>
      <c r="D441" s="8" t="s">
        <v>11</v>
      </c>
      <c r="E441" s="9" t="s">
        <v>20</v>
      </c>
      <c r="F441" s="9" t="s">
        <v>13</v>
      </c>
      <c r="G441" s="10"/>
      <c r="H441" s="11" t="n">
        <v>84</v>
      </c>
      <c r="I441" s="11" t="n">
        <v>100</v>
      </c>
      <c r="J441" s="11" t="s">
        <v>196</v>
      </c>
      <c r="K441" s="11" t="n">
        <v>96</v>
      </c>
    </row>
    <row r="442" customFormat="false" ht="25" hidden="false" customHeight="false" outlineLevel="0" collapsed="false">
      <c r="A442" s="1" t="n">
        <v>48</v>
      </c>
      <c r="B442" s="1" t="n">
        <v>2024</v>
      </c>
      <c r="C442" s="3" t="n">
        <v>45392</v>
      </c>
      <c r="D442" s="4" t="s">
        <v>11</v>
      </c>
      <c r="E442" s="5" t="s">
        <v>21</v>
      </c>
      <c r="F442" s="5" t="s">
        <v>13</v>
      </c>
      <c r="G442" s="7" t="n">
        <v>30</v>
      </c>
      <c r="H442" s="7" t="n">
        <v>30</v>
      </c>
      <c r="I442" s="7" t="n">
        <v>96</v>
      </c>
      <c r="J442" s="7" t="n">
        <v>48</v>
      </c>
      <c r="K442" s="7" t="n">
        <v>33</v>
      </c>
    </row>
    <row r="443" customFormat="false" ht="25" hidden="false" customHeight="false" outlineLevel="0" collapsed="false">
      <c r="A443" s="1" t="n">
        <v>48</v>
      </c>
      <c r="B443" s="1" t="n">
        <v>2024</v>
      </c>
      <c r="C443" s="3" t="n">
        <v>45392</v>
      </c>
      <c r="D443" s="8" t="s">
        <v>11</v>
      </c>
      <c r="E443" s="9" t="s">
        <v>73</v>
      </c>
      <c r="F443" s="9" t="s">
        <v>13</v>
      </c>
      <c r="G443" s="10"/>
      <c r="H443" s="11" t="n">
        <v>108</v>
      </c>
      <c r="I443" s="11" t="n">
        <v>120</v>
      </c>
      <c r="J443" s="11" t="n">
        <v>114</v>
      </c>
      <c r="K443" s="11" t="n">
        <v>114</v>
      </c>
    </row>
    <row r="444" customFormat="false" ht="25" hidden="false" customHeight="false" outlineLevel="0" collapsed="false">
      <c r="A444" s="1" t="n">
        <v>48</v>
      </c>
      <c r="B444" s="1" t="n">
        <v>2024</v>
      </c>
      <c r="C444" s="3" t="n">
        <v>45392</v>
      </c>
      <c r="D444" s="4" t="s">
        <v>11</v>
      </c>
      <c r="E444" s="5" t="s">
        <v>23</v>
      </c>
      <c r="F444" s="5" t="s">
        <v>13</v>
      </c>
      <c r="G444" s="6"/>
      <c r="H444" s="7" t="n">
        <v>30</v>
      </c>
      <c r="I444" s="7" t="n">
        <v>42</v>
      </c>
      <c r="J444" s="7" t="n">
        <v>36</v>
      </c>
      <c r="K444" s="7" t="n">
        <v>36</v>
      </c>
    </row>
    <row r="445" customFormat="false" ht="25" hidden="false" customHeight="false" outlineLevel="0" collapsed="false">
      <c r="A445" s="1" t="n">
        <v>48</v>
      </c>
      <c r="B445" s="1" t="n">
        <v>2024</v>
      </c>
      <c r="C445" s="3" t="n">
        <v>45392</v>
      </c>
      <c r="D445" s="8" t="s">
        <v>11</v>
      </c>
      <c r="E445" s="9" t="s">
        <v>24</v>
      </c>
      <c r="F445" s="9" t="s">
        <v>13</v>
      </c>
      <c r="G445" s="10"/>
      <c r="H445" s="11" t="n">
        <v>72</v>
      </c>
      <c r="I445" s="11" t="n">
        <v>84</v>
      </c>
      <c r="J445" s="11" t="n">
        <v>78</v>
      </c>
      <c r="K445" s="11" t="n">
        <v>78</v>
      </c>
    </row>
    <row r="446" customFormat="false" ht="25" hidden="false" customHeight="false" outlineLevel="0" collapsed="false">
      <c r="A446" s="1" t="n">
        <v>48</v>
      </c>
      <c r="B446" s="1" t="n">
        <v>2024</v>
      </c>
      <c r="C446" s="3" t="n">
        <v>45392</v>
      </c>
      <c r="D446" s="4" t="s">
        <v>11</v>
      </c>
      <c r="E446" s="5" t="s">
        <v>25</v>
      </c>
      <c r="F446" s="5" t="s">
        <v>26</v>
      </c>
      <c r="G446" s="6"/>
      <c r="H446" s="7" t="n">
        <v>32</v>
      </c>
      <c r="I446" s="7" t="n">
        <v>84</v>
      </c>
      <c r="J446" s="7" t="s">
        <v>172</v>
      </c>
      <c r="K446" s="7" t="n">
        <v>72</v>
      </c>
    </row>
    <row r="447" customFormat="false" ht="25" hidden="false" customHeight="false" outlineLevel="0" collapsed="false">
      <c r="A447" s="1" t="n">
        <v>48</v>
      </c>
      <c r="B447" s="1" t="n">
        <v>2024</v>
      </c>
      <c r="C447" s="3" t="n">
        <v>45392</v>
      </c>
      <c r="D447" s="8" t="s">
        <v>11</v>
      </c>
      <c r="E447" s="9" t="s">
        <v>27</v>
      </c>
      <c r="F447" s="9" t="s">
        <v>13</v>
      </c>
      <c r="G447" s="11" t="n">
        <v>60</v>
      </c>
      <c r="H447" s="11" t="n">
        <v>60</v>
      </c>
      <c r="I447" s="11" t="n">
        <v>80</v>
      </c>
      <c r="J447" s="11" t="s">
        <v>102</v>
      </c>
      <c r="K447" s="11" t="n">
        <v>60</v>
      </c>
    </row>
    <row r="448" customFormat="false" ht="25" hidden="false" customHeight="false" outlineLevel="0" collapsed="false">
      <c r="A448" s="1" t="n">
        <v>48</v>
      </c>
      <c r="B448" s="1" t="n">
        <v>2024</v>
      </c>
      <c r="C448" s="3" t="n">
        <v>45392</v>
      </c>
      <c r="D448" s="4" t="s">
        <v>11</v>
      </c>
      <c r="E448" s="5" t="s">
        <v>28</v>
      </c>
      <c r="F448" s="5" t="s">
        <v>13</v>
      </c>
      <c r="G448" s="6"/>
      <c r="H448" s="7" t="n">
        <v>50</v>
      </c>
      <c r="I448" s="7" t="n">
        <v>75</v>
      </c>
      <c r="J448" s="7" t="s">
        <v>197</v>
      </c>
      <c r="K448" s="7" t="n">
        <v>54</v>
      </c>
    </row>
    <row r="449" customFormat="false" ht="25" hidden="false" customHeight="false" outlineLevel="0" collapsed="false">
      <c r="A449" s="1" t="n">
        <v>48</v>
      </c>
      <c r="B449" s="1" t="n">
        <v>2024</v>
      </c>
      <c r="C449" s="3" t="n">
        <v>45392</v>
      </c>
      <c r="D449" s="8" t="s">
        <v>11</v>
      </c>
      <c r="E449" s="9" t="s">
        <v>29</v>
      </c>
      <c r="F449" s="9" t="s">
        <v>13</v>
      </c>
      <c r="G449" s="10"/>
      <c r="H449" s="11" t="n">
        <v>42</v>
      </c>
      <c r="I449" s="11" t="n">
        <v>54</v>
      </c>
      <c r="J449" s="11" t="n">
        <v>48</v>
      </c>
      <c r="K449" s="11" t="n">
        <v>48</v>
      </c>
    </row>
    <row r="450" customFormat="false" ht="25" hidden="false" customHeight="false" outlineLevel="0" collapsed="false">
      <c r="A450" s="1" t="n">
        <v>48</v>
      </c>
      <c r="B450" s="1" t="n">
        <v>2024</v>
      </c>
      <c r="C450" s="3" t="n">
        <v>45392</v>
      </c>
      <c r="D450" s="4" t="s">
        <v>30</v>
      </c>
      <c r="E450" s="5" t="s">
        <v>31</v>
      </c>
      <c r="F450" s="5" t="s">
        <v>32</v>
      </c>
      <c r="G450" s="7" t="n">
        <v>5</v>
      </c>
      <c r="H450" s="7" t="s">
        <v>97</v>
      </c>
      <c r="I450" s="7" t="n">
        <v>5</v>
      </c>
      <c r="J450" s="7" t="s">
        <v>164</v>
      </c>
      <c r="K450" s="7" t="n">
        <v>5</v>
      </c>
    </row>
    <row r="451" customFormat="false" ht="25" hidden="false" customHeight="false" outlineLevel="0" collapsed="false">
      <c r="A451" s="1" t="n">
        <v>48</v>
      </c>
      <c r="B451" s="1" t="n">
        <v>2024</v>
      </c>
      <c r="C451" s="3" t="n">
        <v>45392</v>
      </c>
      <c r="D451" s="8" t="s">
        <v>30</v>
      </c>
      <c r="E451" s="9" t="s">
        <v>34</v>
      </c>
      <c r="F451" s="9" t="s">
        <v>35</v>
      </c>
      <c r="G451" s="10"/>
      <c r="H451" s="11" t="n">
        <v>20</v>
      </c>
      <c r="I451" s="11" t="n">
        <v>30</v>
      </c>
      <c r="J451" s="11" t="n">
        <v>25</v>
      </c>
      <c r="K451" s="11" t="n">
        <v>25</v>
      </c>
    </row>
    <row r="452" customFormat="false" ht="25" hidden="false" customHeight="false" outlineLevel="0" collapsed="false">
      <c r="A452" s="1" t="n">
        <v>48</v>
      </c>
      <c r="B452" s="1" t="n">
        <v>2024</v>
      </c>
      <c r="C452" s="3" t="n">
        <v>45392</v>
      </c>
      <c r="D452" s="4" t="s">
        <v>30</v>
      </c>
      <c r="E452" s="5" t="s">
        <v>36</v>
      </c>
      <c r="F452" s="5" t="s">
        <v>35</v>
      </c>
      <c r="G452" s="6"/>
      <c r="H452" s="7" t="n">
        <v>30</v>
      </c>
      <c r="I452" s="7" t="n">
        <v>40</v>
      </c>
      <c r="J452" s="7" t="n">
        <v>35</v>
      </c>
      <c r="K452" s="7" t="n">
        <v>35</v>
      </c>
    </row>
    <row r="453" customFormat="false" ht="36.5" hidden="false" customHeight="false" outlineLevel="0" collapsed="false">
      <c r="A453" s="1" t="n">
        <v>48</v>
      </c>
      <c r="B453" s="1" t="n">
        <v>2024</v>
      </c>
      <c r="C453" s="3" t="n">
        <v>45392</v>
      </c>
      <c r="D453" s="8" t="s">
        <v>38</v>
      </c>
      <c r="E453" s="9" t="s">
        <v>153</v>
      </c>
      <c r="F453" s="9" t="s">
        <v>154</v>
      </c>
      <c r="G453" s="11" t="n">
        <v>120</v>
      </c>
      <c r="H453" s="11" t="n">
        <v>115</v>
      </c>
      <c r="I453" s="11" t="n">
        <v>120</v>
      </c>
      <c r="J453" s="11" t="s">
        <v>198</v>
      </c>
      <c r="K453" s="11" t="n">
        <v>120</v>
      </c>
    </row>
    <row r="454" customFormat="false" ht="36.5" hidden="false" customHeight="false" outlineLevel="0" collapsed="false">
      <c r="A454" s="1" t="n">
        <v>48</v>
      </c>
      <c r="B454" s="1" t="n">
        <v>2024</v>
      </c>
      <c r="C454" s="3" t="n">
        <v>45392</v>
      </c>
      <c r="D454" s="4" t="s">
        <v>38</v>
      </c>
      <c r="E454" s="5" t="s">
        <v>39</v>
      </c>
      <c r="F454" s="5" t="s">
        <v>40</v>
      </c>
      <c r="G454" s="6"/>
      <c r="H454" s="7" t="n">
        <v>80</v>
      </c>
      <c r="I454" s="7" t="n">
        <v>100</v>
      </c>
      <c r="J454" s="7" t="n">
        <v>90</v>
      </c>
      <c r="K454" s="7" t="n">
        <v>90</v>
      </c>
    </row>
    <row r="455" customFormat="false" ht="36.5" hidden="false" customHeight="false" outlineLevel="0" collapsed="false">
      <c r="A455" s="1" t="n">
        <v>48</v>
      </c>
      <c r="B455" s="1" t="n">
        <v>2024</v>
      </c>
      <c r="C455" s="3" t="n">
        <v>45392</v>
      </c>
      <c r="D455" s="8" t="s">
        <v>38</v>
      </c>
      <c r="E455" s="9" t="s">
        <v>42</v>
      </c>
      <c r="F455" s="9" t="s">
        <v>43</v>
      </c>
      <c r="G455" s="11" t="n">
        <v>75</v>
      </c>
      <c r="H455" s="11" t="n">
        <v>45</v>
      </c>
      <c r="I455" s="11" t="n">
        <v>80</v>
      </c>
      <c r="J455" s="11" t="s">
        <v>199</v>
      </c>
      <c r="K455" s="11" t="s">
        <v>200</v>
      </c>
    </row>
    <row r="456" customFormat="false" ht="36.5" hidden="false" customHeight="false" outlineLevel="0" collapsed="false">
      <c r="A456" s="1" t="n">
        <v>48</v>
      </c>
      <c r="B456" s="1" t="n">
        <v>2024</v>
      </c>
      <c r="C456" s="3" t="n">
        <v>45392</v>
      </c>
      <c r="D456" s="4" t="s">
        <v>38</v>
      </c>
      <c r="E456" s="5" t="s">
        <v>44</v>
      </c>
      <c r="F456" s="5" t="s">
        <v>45</v>
      </c>
      <c r="G456" s="7" t="n">
        <v>50</v>
      </c>
      <c r="H456" s="7" t="n">
        <v>35</v>
      </c>
      <c r="I456" s="7" t="n">
        <v>50</v>
      </c>
      <c r="J456" s="7" t="s">
        <v>98</v>
      </c>
      <c r="K456" s="7" t="s">
        <v>47</v>
      </c>
    </row>
    <row r="457" customFormat="false" ht="36.5" hidden="false" customHeight="false" outlineLevel="0" collapsed="false">
      <c r="A457" s="1" t="n">
        <v>48</v>
      </c>
      <c r="B457" s="1" t="n">
        <v>2024</v>
      </c>
      <c r="C457" s="3" t="n">
        <v>45392</v>
      </c>
      <c r="D457" s="8" t="s">
        <v>38</v>
      </c>
      <c r="E457" s="9" t="s">
        <v>48</v>
      </c>
      <c r="F457" s="9" t="s">
        <v>45</v>
      </c>
      <c r="G457" s="10"/>
      <c r="H457" s="11" t="n">
        <v>65</v>
      </c>
      <c r="I457" s="11" t="n">
        <v>65</v>
      </c>
      <c r="J457" s="11" t="n">
        <v>65</v>
      </c>
      <c r="K457" s="11" t="n">
        <v>65</v>
      </c>
    </row>
    <row r="458" customFormat="false" ht="36.5" hidden="false" customHeight="false" outlineLevel="0" collapsed="false">
      <c r="A458" s="1" t="n">
        <v>48</v>
      </c>
      <c r="B458" s="1" t="n">
        <v>2024</v>
      </c>
      <c r="C458" s="3" t="n">
        <v>45392</v>
      </c>
      <c r="D458" s="4" t="s">
        <v>38</v>
      </c>
      <c r="E458" s="5" t="s">
        <v>49</v>
      </c>
      <c r="F458" s="5" t="s">
        <v>50</v>
      </c>
      <c r="G458" s="7" t="n">
        <v>130</v>
      </c>
      <c r="H458" s="7" t="n">
        <v>100</v>
      </c>
      <c r="I458" s="7" t="n">
        <v>130</v>
      </c>
      <c r="J458" s="7" t="s">
        <v>201</v>
      </c>
      <c r="K458" s="7" t="n">
        <v>115</v>
      </c>
    </row>
    <row r="459" customFormat="false" ht="36.5" hidden="false" customHeight="false" outlineLevel="0" collapsed="false">
      <c r="A459" s="1" t="n">
        <v>48</v>
      </c>
      <c r="B459" s="1" t="n">
        <v>2024</v>
      </c>
      <c r="C459" s="3" t="n">
        <v>45392</v>
      </c>
      <c r="D459" s="8" t="s">
        <v>38</v>
      </c>
      <c r="E459" s="9" t="s">
        <v>52</v>
      </c>
      <c r="F459" s="9" t="s">
        <v>43</v>
      </c>
      <c r="G459" s="11" t="n">
        <v>90</v>
      </c>
      <c r="H459" s="11" t="n">
        <v>90</v>
      </c>
      <c r="I459" s="11" t="n">
        <v>150</v>
      </c>
      <c r="J459" s="11" t="n">
        <v>122</v>
      </c>
      <c r="K459" s="11" t="n">
        <v>140</v>
      </c>
    </row>
    <row r="460" customFormat="false" ht="36.5" hidden="false" customHeight="false" outlineLevel="0" collapsed="false">
      <c r="A460" s="1" t="n">
        <v>48</v>
      </c>
      <c r="B460" s="1" t="n">
        <v>2024</v>
      </c>
      <c r="C460" s="3" t="n">
        <v>45392</v>
      </c>
      <c r="D460" s="4" t="s">
        <v>38</v>
      </c>
      <c r="E460" s="5" t="s">
        <v>53</v>
      </c>
      <c r="F460" s="5" t="s">
        <v>43</v>
      </c>
      <c r="G460" s="7" t="n">
        <v>60</v>
      </c>
      <c r="H460" s="7" t="n">
        <v>50</v>
      </c>
      <c r="I460" s="7" t="n">
        <v>60</v>
      </c>
      <c r="J460" s="7" t="s">
        <v>202</v>
      </c>
      <c r="K460" s="7" t="n">
        <v>59</v>
      </c>
    </row>
    <row r="461" customFormat="false" ht="36.5" hidden="false" customHeight="false" outlineLevel="0" collapsed="false">
      <c r="A461" s="1" t="n">
        <v>48</v>
      </c>
      <c r="B461" s="1" t="n">
        <v>2024</v>
      </c>
      <c r="C461" s="3" t="n">
        <v>45392</v>
      </c>
      <c r="D461" s="8" t="s">
        <v>38</v>
      </c>
      <c r="E461" s="9" t="s">
        <v>54</v>
      </c>
      <c r="F461" s="9" t="s">
        <v>40</v>
      </c>
      <c r="G461" s="11" t="n">
        <v>100</v>
      </c>
      <c r="H461" s="11" t="n">
        <v>100</v>
      </c>
      <c r="I461" s="11" t="n">
        <v>110</v>
      </c>
      <c r="J461" s="11" t="s">
        <v>114</v>
      </c>
      <c r="K461" s="11" t="n">
        <v>100</v>
      </c>
    </row>
    <row r="462" customFormat="false" ht="36.5" hidden="false" customHeight="false" outlineLevel="0" collapsed="false">
      <c r="A462" s="1" t="n">
        <v>48</v>
      </c>
      <c r="B462" s="1" t="n">
        <v>2024</v>
      </c>
      <c r="C462" s="3" t="n">
        <v>45392</v>
      </c>
      <c r="D462" s="4" t="s">
        <v>38</v>
      </c>
      <c r="E462" s="5" t="s">
        <v>56</v>
      </c>
      <c r="F462" s="5" t="s">
        <v>43</v>
      </c>
      <c r="G462" s="6"/>
      <c r="H462" s="7" t="n">
        <v>50</v>
      </c>
      <c r="I462" s="7" t="n">
        <v>78</v>
      </c>
      <c r="J462" s="7" t="n">
        <v>64</v>
      </c>
      <c r="K462" s="7" t="n">
        <v>64</v>
      </c>
    </row>
    <row r="463" customFormat="false" ht="36.5" hidden="false" customHeight="false" outlineLevel="0" collapsed="false">
      <c r="A463" s="1" t="n">
        <v>48</v>
      </c>
      <c r="B463" s="1" t="n">
        <v>2024</v>
      </c>
      <c r="C463" s="3" t="n">
        <v>45392</v>
      </c>
      <c r="D463" s="8" t="s">
        <v>38</v>
      </c>
      <c r="E463" s="9" t="s">
        <v>57</v>
      </c>
      <c r="F463" s="9" t="s">
        <v>40</v>
      </c>
      <c r="G463" s="11" t="n">
        <v>70</v>
      </c>
      <c r="H463" s="11" t="n">
        <v>70</v>
      </c>
      <c r="I463" s="11" t="n">
        <v>85</v>
      </c>
      <c r="J463" s="11" t="n">
        <v>75</v>
      </c>
      <c r="K463" s="11" t="s">
        <v>200</v>
      </c>
    </row>
    <row r="464" customFormat="false" ht="36.5" hidden="false" customHeight="false" outlineLevel="0" collapsed="false">
      <c r="A464" s="1" t="n">
        <v>48</v>
      </c>
      <c r="B464" s="1" t="n">
        <v>2024</v>
      </c>
      <c r="C464" s="3" t="n">
        <v>45392</v>
      </c>
      <c r="D464" s="4" t="s">
        <v>38</v>
      </c>
      <c r="E464" s="5" t="s">
        <v>58</v>
      </c>
      <c r="F464" s="5" t="s">
        <v>40</v>
      </c>
      <c r="G464" s="7" t="n">
        <v>100</v>
      </c>
      <c r="H464" s="7" t="n">
        <v>90</v>
      </c>
      <c r="I464" s="7" t="n">
        <v>110</v>
      </c>
      <c r="J464" s="7" t="s">
        <v>203</v>
      </c>
      <c r="K464" s="7" t="n">
        <v>100</v>
      </c>
    </row>
    <row r="465" customFormat="false" ht="36.5" hidden="false" customHeight="false" outlineLevel="0" collapsed="false">
      <c r="A465" s="1" t="n">
        <v>48</v>
      </c>
      <c r="B465" s="1" t="n">
        <v>2024</v>
      </c>
      <c r="C465" s="3" t="n">
        <v>45392</v>
      </c>
      <c r="D465" s="8" t="s">
        <v>38</v>
      </c>
      <c r="E465" s="9" t="s">
        <v>59</v>
      </c>
      <c r="F465" s="9" t="s">
        <v>45</v>
      </c>
      <c r="G465" s="11" t="n">
        <v>70</v>
      </c>
      <c r="H465" s="11" t="n">
        <v>60</v>
      </c>
      <c r="I465" s="11" t="n">
        <v>90</v>
      </c>
      <c r="J465" s="11" t="n">
        <v>74</v>
      </c>
      <c r="K465" s="11" t="n">
        <v>70</v>
      </c>
    </row>
    <row r="466" customFormat="false" ht="36.5" hidden="false" customHeight="false" outlineLevel="0" collapsed="false">
      <c r="A466" s="1" t="n">
        <v>48</v>
      </c>
      <c r="B466" s="1" t="n">
        <v>2024</v>
      </c>
      <c r="C466" s="3" t="n">
        <v>45392</v>
      </c>
      <c r="D466" s="4" t="s">
        <v>38</v>
      </c>
      <c r="E466" s="5" t="s">
        <v>60</v>
      </c>
      <c r="F466" s="5" t="s">
        <v>61</v>
      </c>
      <c r="G466" s="7" t="n">
        <v>120</v>
      </c>
      <c r="H466" s="7" t="n">
        <v>100</v>
      </c>
      <c r="I466" s="7" t="n">
        <v>130</v>
      </c>
      <c r="J466" s="7" t="s">
        <v>140</v>
      </c>
      <c r="K466" s="7" t="n">
        <v>120</v>
      </c>
    </row>
    <row r="467" customFormat="false" ht="36.5" hidden="false" customHeight="false" outlineLevel="0" collapsed="false">
      <c r="A467" s="1" t="n">
        <v>48</v>
      </c>
      <c r="B467" s="1" t="n">
        <v>2024</v>
      </c>
      <c r="C467" s="3" t="n">
        <v>45392</v>
      </c>
      <c r="D467" s="8" t="s">
        <v>38</v>
      </c>
      <c r="E467" s="9" t="s">
        <v>63</v>
      </c>
      <c r="F467" s="9" t="s">
        <v>40</v>
      </c>
      <c r="G467" s="11" t="n">
        <v>150</v>
      </c>
      <c r="H467" s="11" t="n">
        <v>100</v>
      </c>
      <c r="I467" s="11" t="n">
        <v>190</v>
      </c>
      <c r="J467" s="11" t="n">
        <v>150</v>
      </c>
      <c r="K467" s="11" t="n">
        <v>150</v>
      </c>
    </row>
    <row r="468" customFormat="false" ht="36.5" hidden="false" customHeight="false" outlineLevel="0" collapsed="false">
      <c r="A468" s="1" t="n">
        <v>48</v>
      </c>
      <c r="B468" s="1" t="n">
        <v>2024</v>
      </c>
      <c r="C468" s="3" t="n">
        <v>45392</v>
      </c>
      <c r="D468" s="4" t="s">
        <v>38</v>
      </c>
      <c r="E468" s="5" t="s">
        <v>64</v>
      </c>
      <c r="F468" s="5" t="s">
        <v>40</v>
      </c>
      <c r="G468" s="7" t="n">
        <v>180</v>
      </c>
      <c r="H468" s="7" t="n">
        <v>160</v>
      </c>
      <c r="I468" s="7" t="n">
        <v>180</v>
      </c>
      <c r="J468" s="7" t="s">
        <v>204</v>
      </c>
      <c r="K468" s="7" t="n">
        <v>175</v>
      </c>
    </row>
    <row r="469" customFormat="false" ht="14.25" hidden="false" customHeight="false" outlineLevel="0" collapsed="false">
      <c r="A469" s="1" t="n">
        <v>48</v>
      </c>
      <c r="B469" s="1" t="n">
        <v>2024</v>
      </c>
      <c r="C469" s="3" t="n">
        <v>45392</v>
      </c>
      <c r="D469" s="8" t="s">
        <v>65</v>
      </c>
      <c r="E469" s="9" t="s">
        <v>66</v>
      </c>
      <c r="F469" s="9" t="s">
        <v>45</v>
      </c>
      <c r="G469" s="10"/>
      <c r="H469" s="11" t="n">
        <v>130</v>
      </c>
      <c r="I469" s="11" t="n">
        <v>130</v>
      </c>
      <c r="J469" s="11" t="n">
        <v>130</v>
      </c>
      <c r="K469" s="11" t="n">
        <v>130</v>
      </c>
    </row>
    <row r="470" customFormat="false" ht="14.25" hidden="false" customHeight="false" outlineLevel="0" collapsed="false">
      <c r="A470" s="1" t="n">
        <v>48</v>
      </c>
      <c r="B470" s="1" t="n">
        <v>2024</v>
      </c>
      <c r="C470" s="3" t="n">
        <v>45392</v>
      </c>
      <c r="D470" s="4" t="s">
        <v>65</v>
      </c>
      <c r="E470" s="5" t="s">
        <v>67</v>
      </c>
      <c r="F470" s="5" t="s">
        <v>45</v>
      </c>
      <c r="G470" s="6"/>
      <c r="H470" s="7" t="n">
        <v>60</v>
      </c>
      <c r="I470" s="7" t="n">
        <v>75</v>
      </c>
      <c r="J470" s="7" t="s">
        <v>84</v>
      </c>
      <c r="K470" s="7" t="s">
        <v>84</v>
      </c>
    </row>
    <row r="471" customFormat="false" ht="14.25" hidden="false" customHeight="false" outlineLevel="0" collapsed="false">
      <c r="A471" s="1" t="n">
        <v>48</v>
      </c>
      <c r="B471" s="1" t="n">
        <v>2024</v>
      </c>
      <c r="C471" s="3" t="n">
        <v>45392</v>
      </c>
      <c r="D471" s="8" t="s">
        <v>65</v>
      </c>
      <c r="E471" s="9" t="s">
        <v>68</v>
      </c>
      <c r="F471" s="9" t="s">
        <v>45</v>
      </c>
      <c r="G471" s="10"/>
      <c r="H471" s="11" t="n">
        <v>40</v>
      </c>
      <c r="I471" s="11" t="n">
        <v>45</v>
      </c>
      <c r="J471" s="11" t="s">
        <v>47</v>
      </c>
      <c r="K471" s="11" t="s">
        <v>47</v>
      </c>
    </row>
    <row r="472" customFormat="false" ht="14.25" hidden="false" customHeight="false" outlineLevel="0" collapsed="false">
      <c r="A472" s="1" t="n">
        <v>48</v>
      </c>
      <c r="B472" s="1" t="n">
        <v>2024</v>
      </c>
      <c r="C472" s="3" t="n">
        <v>45392</v>
      </c>
      <c r="D472" s="4" t="s">
        <v>65</v>
      </c>
      <c r="E472" s="5" t="s">
        <v>69</v>
      </c>
      <c r="F472" s="5" t="s">
        <v>45</v>
      </c>
      <c r="G472" s="6"/>
      <c r="H472" s="7" t="n">
        <v>48</v>
      </c>
      <c r="I472" s="7" t="n">
        <v>48</v>
      </c>
      <c r="J472" s="7" t="n">
        <v>48</v>
      </c>
      <c r="K472" s="7" t="n">
        <v>48</v>
      </c>
    </row>
    <row r="473" customFormat="false" ht="14.25" hidden="false" customHeight="false" outlineLevel="0" collapsed="false">
      <c r="A473" s="1" t="n">
        <v>48</v>
      </c>
      <c r="B473" s="1" t="n">
        <v>2024</v>
      </c>
      <c r="C473" s="3" t="n">
        <v>45392</v>
      </c>
      <c r="D473" s="8" t="s">
        <v>65</v>
      </c>
      <c r="E473" s="9" t="s">
        <v>70</v>
      </c>
      <c r="F473" s="9" t="s">
        <v>71</v>
      </c>
      <c r="G473" s="10"/>
      <c r="H473" s="11" t="n">
        <v>75</v>
      </c>
      <c r="I473" s="11" t="n">
        <v>75</v>
      </c>
      <c r="J473" s="11" t="n">
        <v>75</v>
      </c>
      <c r="K473" s="11" t="n">
        <v>75</v>
      </c>
    </row>
    <row r="474" customFormat="false" ht="25" hidden="false" customHeight="false" outlineLevel="0" collapsed="false">
      <c r="A474" s="1" t="n">
        <v>49</v>
      </c>
      <c r="B474" s="1" t="n">
        <v>2024</v>
      </c>
      <c r="C474" s="3" t="n">
        <v>45399</v>
      </c>
      <c r="D474" s="4" t="s">
        <v>11</v>
      </c>
      <c r="E474" s="5" t="s">
        <v>12</v>
      </c>
      <c r="F474" s="5" t="s">
        <v>13</v>
      </c>
      <c r="G474" s="7" t="n">
        <v>60</v>
      </c>
      <c r="H474" s="7" t="n">
        <v>28</v>
      </c>
      <c r="I474" s="7" t="n">
        <v>60</v>
      </c>
      <c r="J474" s="7" t="s">
        <v>205</v>
      </c>
      <c r="K474" s="7" t="n">
        <v>60</v>
      </c>
    </row>
    <row r="475" customFormat="false" ht="25" hidden="false" customHeight="false" outlineLevel="0" collapsed="false">
      <c r="A475" s="1" t="n">
        <v>49</v>
      </c>
      <c r="B475" s="1" t="n">
        <v>2024</v>
      </c>
      <c r="C475" s="3" t="n">
        <v>45399</v>
      </c>
      <c r="D475" s="8" t="s">
        <v>11</v>
      </c>
      <c r="E475" s="9" t="s">
        <v>14</v>
      </c>
      <c r="F475" s="9" t="s">
        <v>13</v>
      </c>
      <c r="G475" s="10"/>
      <c r="H475" s="11" t="n">
        <v>72</v>
      </c>
      <c r="I475" s="11" t="n">
        <v>84</v>
      </c>
      <c r="J475" s="11" t="s">
        <v>206</v>
      </c>
      <c r="K475" s="11" t="n">
        <v>80</v>
      </c>
    </row>
    <row r="476" customFormat="false" ht="25" hidden="false" customHeight="false" outlineLevel="0" collapsed="false">
      <c r="A476" s="1" t="n">
        <v>49</v>
      </c>
      <c r="B476" s="1" t="n">
        <v>2024</v>
      </c>
      <c r="C476" s="3" t="n">
        <v>45399</v>
      </c>
      <c r="D476" s="4" t="s">
        <v>11</v>
      </c>
      <c r="E476" s="5" t="s">
        <v>15</v>
      </c>
      <c r="F476" s="5" t="s">
        <v>13</v>
      </c>
      <c r="G476" s="6"/>
      <c r="H476" s="7" t="n">
        <v>42</v>
      </c>
      <c r="I476" s="7" t="n">
        <v>60</v>
      </c>
      <c r="J476" s="7" t="n">
        <v>50</v>
      </c>
      <c r="K476" s="7" t="n">
        <v>48</v>
      </c>
    </row>
    <row r="477" customFormat="false" ht="25" hidden="false" customHeight="false" outlineLevel="0" collapsed="false">
      <c r="A477" s="1" t="n">
        <v>49</v>
      </c>
      <c r="B477" s="1" t="n">
        <v>2024</v>
      </c>
      <c r="C477" s="3" t="n">
        <v>45399</v>
      </c>
      <c r="D477" s="8" t="s">
        <v>11</v>
      </c>
      <c r="E477" s="9" t="s">
        <v>16</v>
      </c>
      <c r="F477" s="9" t="s">
        <v>13</v>
      </c>
      <c r="G477" s="11" t="n">
        <v>30</v>
      </c>
      <c r="H477" s="11" t="n">
        <v>30</v>
      </c>
      <c r="I477" s="11" t="n">
        <v>36</v>
      </c>
      <c r="J477" s="11" t="s">
        <v>207</v>
      </c>
      <c r="K477" s="11" t="s">
        <v>107</v>
      </c>
    </row>
    <row r="478" customFormat="false" ht="25" hidden="false" customHeight="false" outlineLevel="0" collapsed="false">
      <c r="A478" s="1" t="n">
        <v>49</v>
      </c>
      <c r="B478" s="1" t="n">
        <v>2024</v>
      </c>
      <c r="C478" s="3" t="n">
        <v>45399</v>
      </c>
      <c r="D478" s="4" t="s">
        <v>11</v>
      </c>
      <c r="E478" s="5" t="s">
        <v>17</v>
      </c>
      <c r="F478" s="5" t="s">
        <v>13</v>
      </c>
      <c r="G478" s="6"/>
      <c r="H478" s="7" t="n">
        <v>30</v>
      </c>
      <c r="I478" s="7" t="n">
        <v>36</v>
      </c>
      <c r="J478" s="7" t="s">
        <v>208</v>
      </c>
      <c r="K478" s="7" t="n">
        <v>35</v>
      </c>
    </row>
    <row r="479" customFormat="false" ht="25" hidden="false" customHeight="false" outlineLevel="0" collapsed="false">
      <c r="A479" s="1" t="n">
        <v>49</v>
      </c>
      <c r="B479" s="1" t="n">
        <v>2024</v>
      </c>
      <c r="C479" s="3" t="n">
        <v>45399</v>
      </c>
      <c r="D479" s="8" t="s">
        <v>11</v>
      </c>
      <c r="E479" s="9" t="s">
        <v>18</v>
      </c>
      <c r="F479" s="9" t="s">
        <v>13</v>
      </c>
      <c r="G479" s="11" t="n">
        <v>60</v>
      </c>
      <c r="H479" s="11" t="n">
        <v>60</v>
      </c>
      <c r="I479" s="11" t="n">
        <v>60</v>
      </c>
      <c r="J479" s="11" t="n">
        <v>60</v>
      </c>
      <c r="K479" s="11" t="n">
        <v>60</v>
      </c>
    </row>
    <row r="480" customFormat="false" ht="25" hidden="false" customHeight="false" outlineLevel="0" collapsed="false">
      <c r="A480" s="1" t="n">
        <v>49</v>
      </c>
      <c r="B480" s="1" t="n">
        <v>2024</v>
      </c>
      <c r="C480" s="3" t="n">
        <v>45399</v>
      </c>
      <c r="D480" s="4" t="s">
        <v>11</v>
      </c>
      <c r="E480" s="5" t="s">
        <v>19</v>
      </c>
      <c r="F480" s="5" t="s">
        <v>13</v>
      </c>
      <c r="G480" s="7" t="n">
        <v>84</v>
      </c>
      <c r="H480" s="7" t="n">
        <v>84</v>
      </c>
      <c r="I480" s="7" t="n">
        <v>96</v>
      </c>
      <c r="J480" s="7" t="n">
        <v>88</v>
      </c>
      <c r="K480" s="7" t="n">
        <v>84</v>
      </c>
    </row>
    <row r="481" customFormat="false" ht="25" hidden="false" customHeight="false" outlineLevel="0" collapsed="false">
      <c r="A481" s="1" t="n">
        <v>49</v>
      </c>
      <c r="B481" s="1" t="n">
        <v>2024</v>
      </c>
      <c r="C481" s="3" t="n">
        <v>45399</v>
      </c>
      <c r="D481" s="8" t="s">
        <v>11</v>
      </c>
      <c r="E481" s="9" t="s">
        <v>20</v>
      </c>
      <c r="F481" s="9" t="s">
        <v>13</v>
      </c>
      <c r="G481" s="11" t="n">
        <v>96</v>
      </c>
      <c r="H481" s="11" t="n">
        <v>96</v>
      </c>
      <c r="I481" s="11" t="n">
        <v>96</v>
      </c>
      <c r="J481" s="11" t="n">
        <v>96</v>
      </c>
      <c r="K481" s="11" t="n">
        <v>96</v>
      </c>
    </row>
    <row r="482" customFormat="false" ht="25" hidden="false" customHeight="false" outlineLevel="0" collapsed="false">
      <c r="A482" s="1" t="n">
        <v>49</v>
      </c>
      <c r="B482" s="1" t="n">
        <v>2024</v>
      </c>
      <c r="C482" s="3" t="n">
        <v>45399</v>
      </c>
      <c r="D482" s="4" t="s">
        <v>11</v>
      </c>
      <c r="E482" s="5" t="s">
        <v>21</v>
      </c>
      <c r="F482" s="5" t="s">
        <v>13</v>
      </c>
      <c r="G482" s="7" t="n">
        <v>30</v>
      </c>
      <c r="H482" s="7" t="n">
        <v>30</v>
      </c>
      <c r="I482" s="7" t="n">
        <v>36</v>
      </c>
      <c r="J482" s="7" t="s">
        <v>209</v>
      </c>
      <c r="K482" s="7" t="n">
        <v>30</v>
      </c>
    </row>
    <row r="483" customFormat="false" ht="25" hidden="false" customHeight="false" outlineLevel="0" collapsed="false">
      <c r="A483" s="1" t="n">
        <v>49</v>
      </c>
      <c r="B483" s="1" t="n">
        <v>2024</v>
      </c>
      <c r="C483" s="3" t="n">
        <v>45399</v>
      </c>
      <c r="D483" s="8" t="s">
        <v>11</v>
      </c>
      <c r="E483" s="9" t="s">
        <v>73</v>
      </c>
      <c r="F483" s="9" t="s">
        <v>13</v>
      </c>
      <c r="G483" s="10"/>
      <c r="H483" s="11" t="n">
        <v>90</v>
      </c>
      <c r="I483" s="11" t="n">
        <v>108</v>
      </c>
      <c r="J483" s="11" t="n">
        <v>98</v>
      </c>
      <c r="K483" s="11" t="n">
        <v>96</v>
      </c>
    </row>
    <row r="484" customFormat="false" ht="25" hidden="false" customHeight="false" outlineLevel="0" collapsed="false">
      <c r="A484" s="1" t="n">
        <v>49</v>
      </c>
      <c r="B484" s="1" t="n">
        <v>2024</v>
      </c>
      <c r="C484" s="3" t="n">
        <v>45399</v>
      </c>
      <c r="D484" s="4" t="s">
        <v>11</v>
      </c>
      <c r="E484" s="5" t="s">
        <v>23</v>
      </c>
      <c r="F484" s="5" t="s">
        <v>13</v>
      </c>
      <c r="G484" s="6"/>
      <c r="H484" s="7" t="n">
        <v>30</v>
      </c>
      <c r="I484" s="7" t="n">
        <v>36</v>
      </c>
      <c r="J484" s="7" t="s">
        <v>208</v>
      </c>
      <c r="K484" s="7" t="n">
        <v>35</v>
      </c>
    </row>
    <row r="485" customFormat="false" ht="25" hidden="false" customHeight="false" outlineLevel="0" collapsed="false">
      <c r="A485" s="1" t="n">
        <v>49</v>
      </c>
      <c r="B485" s="1" t="n">
        <v>2024</v>
      </c>
      <c r="C485" s="3" t="n">
        <v>45399</v>
      </c>
      <c r="D485" s="8" t="s">
        <v>11</v>
      </c>
      <c r="E485" s="9" t="s">
        <v>24</v>
      </c>
      <c r="F485" s="9" t="s">
        <v>13</v>
      </c>
      <c r="G485" s="11" t="n">
        <v>84</v>
      </c>
      <c r="H485" s="11" t="n">
        <v>84</v>
      </c>
      <c r="I485" s="11" t="n">
        <v>84</v>
      </c>
      <c r="J485" s="11" t="n">
        <v>84</v>
      </c>
      <c r="K485" s="11" t="n">
        <v>84</v>
      </c>
    </row>
    <row r="486" customFormat="false" ht="25" hidden="false" customHeight="false" outlineLevel="0" collapsed="false">
      <c r="A486" s="1" t="n">
        <v>49</v>
      </c>
      <c r="B486" s="1" t="n">
        <v>2024</v>
      </c>
      <c r="C486" s="3" t="n">
        <v>45399</v>
      </c>
      <c r="D486" s="4" t="s">
        <v>11</v>
      </c>
      <c r="E486" s="5" t="s">
        <v>25</v>
      </c>
      <c r="F486" s="5" t="s">
        <v>26</v>
      </c>
      <c r="G486" s="6"/>
      <c r="H486" s="7" t="n">
        <v>60</v>
      </c>
      <c r="I486" s="7" t="n">
        <v>72</v>
      </c>
      <c r="J486" s="7" t="s">
        <v>83</v>
      </c>
      <c r="K486" s="7" t="n">
        <v>62</v>
      </c>
    </row>
    <row r="487" customFormat="false" ht="25" hidden="false" customHeight="false" outlineLevel="0" collapsed="false">
      <c r="A487" s="1" t="n">
        <v>49</v>
      </c>
      <c r="B487" s="1" t="n">
        <v>2024</v>
      </c>
      <c r="C487" s="3" t="n">
        <v>45399</v>
      </c>
      <c r="D487" s="8" t="s">
        <v>11</v>
      </c>
      <c r="E487" s="9" t="s">
        <v>27</v>
      </c>
      <c r="F487" s="9" t="s">
        <v>13</v>
      </c>
      <c r="G487" s="10"/>
      <c r="H487" s="11" t="n">
        <v>60</v>
      </c>
      <c r="I487" s="11" t="n">
        <v>100</v>
      </c>
      <c r="J487" s="11" t="s">
        <v>158</v>
      </c>
      <c r="K487" s="11" t="n">
        <v>70</v>
      </c>
    </row>
    <row r="488" customFormat="false" ht="25" hidden="false" customHeight="false" outlineLevel="0" collapsed="false">
      <c r="A488" s="1" t="n">
        <v>49</v>
      </c>
      <c r="B488" s="1" t="n">
        <v>2024</v>
      </c>
      <c r="C488" s="3" t="n">
        <v>45399</v>
      </c>
      <c r="D488" s="4" t="s">
        <v>11</v>
      </c>
      <c r="E488" s="5" t="s">
        <v>28</v>
      </c>
      <c r="F488" s="5" t="s">
        <v>13</v>
      </c>
      <c r="G488" s="6"/>
      <c r="H488" s="7" t="n">
        <v>48</v>
      </c>
      <c r="I488" s="7" t="n">
        <v>60</v>
      </c>
      <c r="J488" s="7" t="s">
        <v>210</v>
      </c>
      <c r="K488" s="7" t="n">
        <v>55</v>
      </c>
    </row>
    <row r="489" customFormat="false" ht="25" hidden="false" customHeight="false" outlineLevel="0" collapsed="false">
      <c r="A489" s="1" t="n">
        <v>49</v>
      </c>
      <c r="B489" s="1" t="n">
        <v>2024</v>
      </c>
      <c r="C489" s="3" t="n">
        <v>45399</v>
      </c>
      <c r="D489" s="8" t="s">
        <v>11</v>
      </c>
      <c r="E489" s="9" t="s">
        <v>29</v>
      </c>
      <c r="F489" s="9" t="s">
        <v>13</v>
      </c>
      <c r="G489" s="10"/>
      <c r="H489" s="11" t="n">
        <v>42</v>
      </c>
      <c r="I489" s="11" t="n">
        <v>54</v>
      </c>
      <c r="J489" s="11" t="n">
        <v>48</v>
      </c>
      <c r="K489" s="11" t="n">
        <v>48</v>
      </c>
    </row>
    <row r="490" customFormat="false" ht="25" hidden="false" customHeight="false" outlineLevel="0" collapsed="false">
      <c r="A490" s="1" t="n">
        <v>49</v>
      </c>
      <c r="B490" s="1" t="n">
        <v>2024</v>
      </c>
      <c r="C490" s="3" t="n">
        <v>45399</v>
      </c>
      <c r="D490" s="4" t="s">
        <v>30</v>
      </c>
      <c r="E490" s="5" t="s">
        <v>31</v>
      </c>
      <c r="F490" s="5" t="s">
        <v>32</v>
      </c>
      <c r="G490" s="7" t="n">
        <v>6</v>
      </c>
      <c r="H490" s="7" t="s">
        <v>97</v>
      </c>
      <c r="I490" s="7" t="n">
        <v>6</v>
      </c>
      <c r="J490" s="7" t="s">
        <v>211</v>
      </c>
      <c r="K490" s="7" t="s">
        <v>212</v>
      </c>
    </row>
    <row r="491" customFormat="false" ht="25" hidden="false" customHeight="false" outlineLevel="0" collapsed="false">
      <c r="A491" s="1" t="n">
        <v>49</v>
      </c>
      <c r="B491" s="1" t="n">
        <v>2024</v>
      </c>
      <c r="C491" s="3" t="n">
        <v>45399</v>
      </c>
      <c r="D491" s="8" t="s">
        <v>30</v>
      </c>
      <c r="E491" s="9" t="s">
        <v>34</v>
      </c>
      <c r="F491" s="9" t="s">
        <v>35</v>
      </c>
      <c r="G491" s="11" t="n">
        <v>30</v>
      </c>
      <c r="H491" s="11" t="n">
        <v>20</v>
      </c>
      <c r="I491" s="11" t="n">
        <v>30</v>
      </c>
      <c r="J491" s="11" t="n">
        <v>27</v>
      </c>
      <c r="K491" s="11" t="n">
        <v>29</v>
      </c>
    </row>
    <row r="492" customFormat="false" ht="25" hidden="false" customHeight="false" outlineLevel="0" collapsed="false">
      <c r="A492" s="1" t="n">
        <v>49</v>
      </c>
      <c r="B492" s="1" t="n">
        <v>2024</v>
      </c>
      <c r="C492" s="3" t="n">
        <v>45399</v>
      </c>
      <c r="D492" s="4" t="s">
        <v>30</v>
      </c>
      <c r="E492" s="5" t="s">
        <v>36</v>
      </c>
      <c r="F492" s="5" t="s">
        <v>35</v>
      </c>
      <c r="G492" s="7" t="n">
        <v>30</v>
      </c>
      <c r="H492" s="7" t="n">
        <v>30</v>
      </c>
      <c r="I492" s="7" t="n">
        <v>40</v>
      </c>
      <c r="J492" s="7" t="s">
        <v>213</v>
      </c>
      <c r="K492" s="7" t="s">
        <v>107</v>
      </c>
    </row>
    <row r="493" customFormat="false" ht="36.5" hidden="false" customHeight="false" outlineLevel="0" collapsed="false">
      <c r="A493" s="1" t="n">
        <v>49</v>
      </c>
      <c r="B493" s="1" t="n">
        <v>2024</v>
      </c>
      <c r="C493" s="3" t="n">
        <v>45399</v>
      </c>
      <c r="D493" s="8" t="s">
        <v>38</v>
      </c>
      <c r="E493" s="9" t="s">
        <v>153</v>
      </c>
      <c r="F493" s="9" t="s">
        <v>154</v>
      </c>
      <c r="G493" s="11" t="n">
        <v>110</v>
      </c>
      <c r="H493" s="11" t="n">
        <v>110</v>
      </c>
      <c r="I493" s="11" t="n">
        <v>120</v>
      </c>
      <c r="J493" s="11" t="s">
        <v>214</v>
      </c>
      <c r="K493" s="11" t="n">
        <v>110</v>
      </c>
    </row>
    <row r="494" customFormat="false" ht="36.5" hidden="false" customHeight="false" outlineLevel="0" collapsed="false">
      <c r="A494" s="1" t="n">
        <v>49</v>
      </c>
      <c r="B494" s="1" t="n">
        <v>2024</v>
      </c>
      <c r="C494" s="3" t="n">
        <v>45399</v>
      </c>
      <c r="D494" s="4" t="s">
        <v>38</v>
      </c>
      <c r="E494" s="5" t="s">
        <v>39</v>
      </c>
      <c r="F494" s="5" t="s">
        <v>40</v>
      </c>
      <c r="G494" s="6"/>
      <c r="H494" s="7" t="n">
        <v>60</v>
      </c>
      <c r="I494" s="7" t="n">
        <v>80</v>
      </c>
      <c r="J494" s="7" t="s">
        <v>94</v>
      </c>
      <c r="K494" s="7" t="s">
        <v>84</v>
      </c>
    </row>
    <row r="495" customFormat="false" ht="36.5" hidden="false" customHeight="false" outlineLevel="0" collapsed="false">
      <c r="A495" s="1" t="n">
        <v>49</v>
      </c>
      <c r="B495" s="1" t="n">
        <v>2024</v>
      </c>
      <c r="C495" s="3" t="n">
        <v>45399</v>
      </c>
      <c r="D495" s="8" t="s">
        <v>38</v>
      </c>
      <c r="E495" s="9" t="s">
        <v>42</v>
      </c>
      <c r="F495" s="9" t="s">
        <v>43</v>
      </c>
      <c r="G495" s="11" t="n">
        <v>75</v>
      </c>
      <c r="H495" s="11" t="n">
        <v>50</v>
      </c>
      <c r="I495" s="11" t="n">
        <v>75</v>
      </c>
      <c r="J495" s="11" t="n">
        <v>69</v>
      </c>
      <c r="K495" s="11" t="n">
        <v>75</v>
      </c>
    </row>
    <row r="496" customFormat="false" ht="36.5" hidden="false" customHeight="false" outlineLevel="0" collapsed="false">
      <c r="A496" s="1" t="n">
        <v>49</v>
      </c>
      <c r="B496" s="1" t="n">
        <v>2024</v>
      </c>
      <c r="C496" s="3" t="n">
        <v>45399</v>
      </c>
      <c r="D496" s="4" t="s">
        <v>38</v>
      </c>
      <c r="E496" s="5" t="s">
        <v>44</v>
      </c>
      <c r="F496" s="5" t="s">
        <v>45</v>
      </c>
      <c r="G496" s="7" t="n">
        <v>45</v>
      </c>
      <c r="H496" s="7" t="n">
        <v>30</v>
      </c>
      <c r="I496" s="7" t="n">
        <v>50</v>
      </c>
      <c r="J496" s="7" t="n">
        <v>44</v>
      </c>
      <c r="K496" s="7" t="n">
        <v>45</v>
      </c>
    </row>
    <row r="497" customFormat="false" ht="36.5" hidden="false" customHeight="false" outlineLevel="0" collapsed="false">
      <c r="A497" s="1" t="n">
        <v>49</v>
      </c>
      <c r="B497" s="1" t="n">
        <v>2024</v>
      </c>
      <c r="C497" s="3" t="n">
        <v>45399</v>
      </c>
      <c r="D497" s="8" t="s">
        <v>38</v>
      </c>
      <c r="E497" s="9" t="s">
        <v>48</v>
      </c>
      <c r="F497" s="9" t="s">
        <v>45</v>
      </c>
      <c r="G497" s="10"/>
      <c r="H497" s="11" t="n">
        <v>110</v>
      </c>
      <c r="I497" s="11" t="n">
        <v>110</v>
      </c>
      <c r="J497" s="11" t="n">
        <v>110</v>
      </c>
      <c r="K497" s="11" t="n">
        <v>110</v>
      </c>
    </row>
    <row r="498" customFormat="false" ht="36.5" hidden="false" customHeight="false" outlineLevel="0" collapsed="false">
      <c r="A498" s="1" t="n">
        <v>49</v>
      </c>
      <c r="B498" s="1" t="n">
        <v>2024</v>
      </c>
      <c r="C498" s="3" t="n">
        <v>45399</v>
      </c>
      <c r="D498" s="4" t="s">
        <v>38</v>
      </c>
      <c r="E498" s="5" t="s">
        <v>49</v>
      </c>
      <c r="F498" s="5" t="s">
        <v>50</v>
      </c>
      <c r="G498" s="7" t="n">
        <v>130</v>
      </c>
      <c r="H498" s="7" t="n">
        <v>80</v>
      </c>
      <c r="I498" s="7" t="n">
        <v>150</v>
      </c>
      <c r="J498" s="7" t="s">
        <v>167</v>
      </c>
      <c r="K498" s="7" t="n">
        <v>130</v>
      </c>
    </row>
    <row r="499" customFormat="false" ht="36.5" hidden="false" customHeight="false" outlineLevel="0" collapsed="false">
      <c r="A499" s="1" t="n">
        <v>49</v>
      </c>
      <c r="B499" s="1" t="n">
        <v>2024</v>
      </c>
      <c r="C499" s="3" t="n">
        <v>45399</v>
      </c>
      <c r="D499" s="8" t="s">
        <v>38</v>
      </c>
      <c r="E499" s="9" t="s">
        <v>52</v>
      </c>
      <c r="F499" s="9" t="s">
        <v>43</v>
      </c>
      <c r="G499" s="11" t="n">
        <v>140</v>
      </c>
      <c r="H499" s="11" t="n">
        <v>80</v>
      </c>
      <c r="I499" s="11" t="n">
        <v>170</v>
      </c>
      <c r="J499" s="11" t="n">
        <v>138</v>
      </c>
      <c r="K499" s="11" t="n">
        <v>140</v>
      </c>
    </row>
    <row r="500" customFormat="false" ht="36.5" hidden="false" customHeight="false" outlineLevel="0" collapsed="false">
      <c r="A500" s="1" t="n">
        <v>49</v>
      </c>
      <c r="B500" s="1" t="n">
        <v>2024</v>
      </c>
      <c r="C500" s="3" t="n">
        <v>45399</v>
      </c>
      <c r="D500" s="4" t="s">
        <v>38</v>
      </c>
      <c r="E500" s="5" t="s">
        <v>53</v>
      </c>
      <c r="F500" s="5" t="s">
        <v>43</v>
      </c>
      <c r="G500" s="7" t="n">
        <v>60</v>
      </c>
      <c r="H500" s="7" t="n">
        <v>50</v>
      </c>
      <c r="I500" s="7" t="n">
        <v>70</v>
      </c>
      <c r="J500" s="7" t="n">
        <v>59</v>
      </c>
      <c r="K500" s="7" t="n">
        <v>60</v>
      </c>
    </row>
    <row r="501" customFormat="false" ht="36.5" hidden="false" customHeight="false" outlineLevel="0" collapsed="false">
      <c r="A501" s="1" t="n">
        <v>49</v>
      </c>
      <c r="B501" s="1" t="n">
        <v>2024</v>
      </c>
      <c r="C501" s="3" t="n">
        <v>45399</v>
      </c>
      <c r="D501" s="8" t="s">
        <v>38</v>
      </c>
      <c r="E501" s="9" t="s">
        <v>54</v>
      </c>
      <c r="F501" s="9" t="s">
        <v>40</v>
      </c>
      <c r="G501" s="10"/>
      <c r="H501" s="11" t="n">
        <v>80</v>
      </c>
      <c r="I501" s="11" t="n">
        <v>120</v>
      </c>
      <c r="J501" s="11" t="s">
        <v>184</v>
      </c>
      <c r="K501" s="11" t="n">
        <v>90</v>
      </c>
    </row>
    <row r="502" customFormat="false" ht="36.5" hidden="false" customHeight="false" outlineLevel="0" collapsed="false">
      <c r="A502" s="1" t="n">
        <v>49</v>
      </c>
      <c r="B502" s="1" t="n">
        <v>2024</v>
      </c>
      <c r="C502" s="3" t="n">
        <v>45399</v>
      </c>
      <c r="D502" s="4" t="s">
        <v>38</v>
      </c>
      <c r="E502" s="5" t="s">
        <v>56</v>
      </c>
      <c r="F502" s="5" t="s">
        <v>43</v>
      </c>
      <c r="G502" s="6"/>
      <c r="H502" s="6"/>
      <c r="I502" s="6"/>
      <c r="J502" s="6"/>
      <c r="K502" s="6"/>
    </row>
    <row r="503" customFormat="false" ht="36.5" hidden="false" customHeight="false" outlineLevel="0" collapsed="false">
      <c r="A503" s="1" t="n">
        <v>49</v>
      </c>
      <c r="B503" s="1" t="n">
        <v>2024</v>
      </c>
      <c r="C503" s="3" t="n">
        <v>45399</v>
      </c>
      <c r="D503" s="8" t="s">
        <v>38</v>
      </c>
      <c r="E503" s="9" t="s">
        <v>57</v>
      </c>
      <c r="F503" s="9" t="s">
        <v>40</v>
      </c>
      <c r="G503" s="11" t="n">
        <v>70</v>
      </c>
      <c r="H503" s="11" t="n">
        <v>60</v>
      </c>
      <c r="I503" s="11" t="n">
        <v>80</v>
      </c>
      <c r="J503" s="11" t="n">
        <v>70</v>
      </c>
      <c r="K503" s="11" t="n">
        <v>70</v>
      </c>
    </row>
    <row r="504" customFormat="false" ht="36.5" hidden="false" customHeight="false" outlineLevel="0" collapsed="false">
      <c r="A504" s="1" t="n">
        <v>49</v>
      </c>
      <c r="B504" s="1" t="n">
        <v>2024</v>
      </c>
      <c r="C504" s="3" t="n">
        <v>45399</v>
      </c>
      <c r="D504" s="4" t="s">
        <v>38</v>
      </c>
      <c r="E504" s="5" t="s">
        <v>58</v>
      </c>
      <c r="F504" s="5" t="s">
        <v>40</v>
      </c>
      <c r="G504" s="7" t="n">
        <v>90</v>
      </c>
      <c r="H504" s="7" t="n">
        <v>80</v>
      </c>
      <c r="I504" s="7" t="n">
        <v>100</v>
      </c>
      <c r="J504" s="7" t="n">
        <v>89</v>
      </c>
      <c r="K504" s="7" t="n">
        <v>90</v>
      </c>
    </row>
    <row r="505" customFormat="false" ht="36.5" hidden="false" customHeight="false" outlineLevel="0" collapsed="false">
      <c r="A505" s="1" t="n">
        <v>49</v>
      </c>
      <c r="B505" s="1" t="n">
        <v>2024</v>
      </c>
      <c r="C505" s="3" t="n">
        <v>45399</v>
      </c>
      <c r="D505" s="8" t="s">
        <v>38</v>
      </c>
      <c r="E505" s="9" t="s">
        <v>59</v>
      </c>
      <c r="F505" s="9" t="s">
        <v>45</v>
      </c>
      <c r="G505" s="11" t="n">
        <v>70</v>
      </c>
      <c r="H505" s="11" t="n">
        <v>45</v>
      </c>
      <c r="I505" s="11" t="n">
        <v>100</v>
      </c>
      <c r="J505" s="11" t="s">
        <v>215</v>
      </c>
      <c r="K505" s="11" t="n">
        <v>70</v>
      </c>
    </row>
    <row r="506" customFormat="false" ht="36.5" hidden="false" customHeight="false" outlineLevel="0" collapsed="false">
      <c r="A506" s="1" t="n">
        <v>49</v>
      </c>
      <c r="B506" s="1" t="n">
        <v>2024</v>
      </c>
      <c r="C506" s="3" t="n">
        <v>45399</v>
      </c>
      <c r="D506" s="4" t="s">
        <v>38</v>
      </c>
      <c r="E506" s="5" t="s">
        <v>60</v>
      </c>
      <c r="F506" s="5" t="s">
        <v>61</v>
      </c>
      <c r="G506" s="7" t="n">
        <v>120</v>
      </c>
      <c r="H506" s="7" t="n">
        <v>100</v>
      </c>
      <c r="I506" s="7" t="n">
        <v>120</v>
      </c>
      <c r="J506" s="7" t="n">
        <v>112</v>
      </c>
      <c r="K506" s="7" t="n">
        <v>120</v>
      </c>
    </row>
    <row r="507" customFormat="false" ht="36.5" hidden="false" customHeight="false" outlineLevel="0" collapsed="false">
      <c r="A507" s="1" t="n">
        <v>49</v>
      </c>
      <c r="B507" s="1" t="n">
        <v>2024</v>
      </c>
      <c r="C507" s="3" t="n">
        <v>45399</v>
      </c>
      <c r="D507" s="8" t="s">
        <v>38</v>
      </c>
      <c r="E507" s="9" t="s">
        <v>63</v>
      </c>
      <c r="F507" s="9" t="s">
        <v>40</v>
      </c>
      <c r="G507" s="10"/>
      <c r="H507" s="11" t="n">
        <v>65</v>
      </c>
      <c r="I507" s="11" t="n">
        <v>130</v>
      </c>
      <c r="J507" s="11" t="s">
        <v>216</v>
      </c>
      <c r="K507" s="11" t="n">
        <v>85</v>
      </c>
    </row>
    <row r="508" customFormat="false" ht="36.5" hidden="false" customHeight="false" outlineLevel="0" collapsed="false">
      <c r="A508" s="1" t="n">
        <v>49</v>
      </c>
      <c r="B508" s="1" t="n">
        <v>2024</v>
      </c>
      <c r="C508" s="3" t="n">
        <v>45399</v>
      </c>
      <c r="D508" s="4" t="s">
        <v>38</v>
      </c>
      <c r="E508" s="5" t="s">
        <v>64</v>
      </c>
      <c r="F508" s="5" t="s">
        <v>40</v>
      </c>
      <c r="G508" s="7" t="n">
        <v>130</v>
      </c>
      <c r="H508" s="7" t="n">
        <v>130</v>
      </c>
      <c r="I508" s="7" t="n">
        <v>150</v>
      </c>
      <c r="J508" s="7" t="s">
        <v>171</v>
      </c>
      <c r="K508" s="7" t="n">
        <v>130</v>
      </c>
    </row>
    <row r="509" customFormat="false" ht="14.25" hidden="false" customHeight="false" outlineLevel="0" collapsed="false">
      <c r="A509" s="1" t="n">
        <v>49</v>
      </c>
      <c r="B509" s="1" t="n">
        <v>2024</v>
      </c>
      <c r="C509" s="3" t="n">
        <v>45399</v>
      </c>
      <c r="D509" s="8" t="s">
        <v>65</v>
      </c>
      <c r="E509" s="9" t="s">
        <v>66</v>
      </c>
      <c r="F509" s="9" t="s">
        <v>45</v>
      </c>
      <c r="G509" s="10"/>
      <c r="H509" s="11" t="n">
        <v>65</v>
      </c>
      <c r="I509" s="11" t="n">
        <v>65</v>
      </c>
      <c r="J509" s="11" t="n">
        <v>65</v>
      </c>
      <c r="K509" s="11" t="n">
        <v>65</v>
      </c>
    </row>
    <row r="510" customFormat="false" ht="14.25" hidden="false" customHeight="false" outlineLevel="0" collapsed="false">
      <c r="A510" s="1" t="n">
        <v>49</v>
      </c>
      <c r="B510" s="1" t="n">
        <v>2024</v>
      </c>
      <c r="C510" s="3" t="n">
        <v>45399</v>
      </c>
      <c r="D510" s="4" t="s">
        <v>65</v>
      </c>
      <c r="E510" s="5" t="s">
        <v>67</v>
      </c>
      <c r="F510" s="5" t="s">
        <v>45</v>
      </c>
      <c r="G510" s="6"/>
      <c r="H510" s="7" t="n">
        <v>75</v>
      </c>
      <c r="I510" s="7" t="n">
        <v>124</v>
      </c>
      <c r="J510" s="7" t="s">
        <v>217</v>
      </c>
      <c r="K510" s="7" t="s">
        <v>217</v>
      </c>
    </row>
    <row r="511" customFormat="false" ht="14.25" hidden="false" customHeight="false" outlineLevel="0" collapsed="false">
      <c r="A511" s="1" t="n">
        <v>49</v>
      </c>
      <c r="B511" s="1" t="n">
        <v>2024</v>
      </c>
      <c r="C511" s="3" t="n">
        <v>45399</v>
      </c>
      <c r="D511" s="8" t="s">
        <v>65</v>
      </c>
      <c r="E511" s="9" t="s">
        <v>68</v>
      </c>
      <c r="F511" s="9" t="s">
        <v>45</v>
      </c>
      <c r="G511" s="10"/>
      <c r="H511" s="11" t="n">
        <v>45</v>
      </c>
      <c r="I511" s="11" t="n">
        <v>70</v>
      </c>
      <c r="J511" s="11" t="s">
        <v>41</v>
      </c>
      <c r="K511" s="11" t="s">
        <v>41</v>
      </c>
    </row>
    <row r="512" customFormat="false" ht="14.25" hidden="false" customHeight="false" outlineLevel="0" collapsed="false">
      <c r="A512" s="1" t="n">
        <v>49</v>
      </c>
      <c r="B512" s="1" t="n">
        <v>2024</v>
      </c>
      <c r="C512" s="3" t="n">
        <v>45399</v>
      </c>
      <c r="D512" s="4" t="s">
        <v>65</v>
      </c>
      <c r="E512" s="5" t="s">
        <v>69</v>
      </c>
      <c r="F512" s="5" t="s">
        <v>45</v>
      </c>
      <c r="G512" s="6"/>
      <c r="H512" s="7" t="n">
        <v>50</v>
      </c>
      <c r="I512" s="7" t="n">
        <v>50</v>
      </c>
      <c r="J512" s="7" t="n">
        <v>50</v>
      </c>
      <c r="K512" s="7" t="n">
        <v>50</v>
      </c>
    </row>
    <row r="513" customFormat="false" ht="14.25" hidden="false" customHeight="false" outlineLevel="0" collapsed="false">
      <c r="A513" s="1" t="n">
        <v>49</v>
      </c>
      <c r="B513" s="1" t="n">
        <v>2024</v>
      </c>
      <c r="C513" s="3" t="n">
        <v>45399</v>
      </c>
      <c r="D513" s="8" t="s">
        <v>65</v>
      </c>
      <c r="E513" s="9" t="s">
        <v>70</v>
      </c>
      <c r="F513" s="9" t="s">
        <v>71</v>
      </c>
      <c r="G513" s="10"/>
      <c r="H513" s="11" t="n">
        <v>75</v>
      </c>
      <c r="I513" s="11" t="n">
        <v>88</v>
      </c>
      <c r="J513" s="11" t="s">
        <v>218</v>
      </c>
      <c r="K513" s="11" t="s">
        <v>218</v>
      </c>
    </row>
    <row r="514" customFormat="false" ht="25" hidden="false" customHeight="false" outlineLevel="0" collapsed="false">
      <c r="A514" s="1" t="n">
        <v>50</v>
      </c>
      <c r="B514" s="1" t="n">
        <v>2024</v>
      </c>
      <c r="C514" s="3" t="n">
        <v>45406</v>
      </c>
      <c r="D514" s="4" t="s">
        <v>11</v>
      </c>
      <c r="E514" s="5" t="s">
        <v>12</v>
      </c>
      <c r="F514" s="5" t="s">
        <v>13</v>
      </c>
      <c r="G514" s="6"/>
      <c r="H514" s="7" t="n">
        <v>48</v>
      </c>
      <c r="I514" s="7" t="n">
        <v>72</v>
      </c>
      <c r="J514" s="7" t="n">
        <v>60</v>
      </c>
      <c r="K514" s="7" t="n">
        <v>60</v>
      </c>
    </row>
    <row r="515" customFormat="false" ht="25" hidden="false" customHeight="false" outlineLevel="0" collapsed="false">
      <c r="A515" s="1" t="n">
        <v>50</v>
      </c>
      <c r="B515" s="1" t="n">
        <v>2024</v>
      </c>
      <c r="C515" s="3" t="n">
        <v>45406</v>
      </c>
      <c r="D515" s="8" t="s">
        <v>11</v>
      </c>
      <c r="E515" s="9" t="s">
        <v>14</v>
      </c>
      <c r="F515" s="9" t="s">
        <v>13</v>
      </c>
      <c r="G515" s="11" t="n">
        <v>84</v>
      </c>
      <c r="H515" s="11" t="n">
        <v>72</v>
      </c>
      <c r="I515" s="11" t="n">
        <v>84</v>
      </c>
      <c r="J515" s="11" t="n">
        <v>80</v>
      </c>
      <c r="K515" s="11" t="n">
        <v>84</v>
      </c>
    </row>
    <row r="516" customFormat="false" ht="25" hidden="false" customHeight="false" outlineLevel="0" collapsed="false">
      <c r="A516" s="1" t="n">
        <v>50</v>
      </c>
      <c r="B516" s="1" t="n">
        <v>2024</v>
      </c>
      <c r="C516" s="3" t="n">
        <v>45406</v>
      </c>
      <c r="D516" s="4" t="s">
        <v>11</v>
      </c>
      <c r="E516" s="5" t="s">
        <v>15</v>
      </c>
      <c r="F516" s="5" t="s">
        <v>13</v>
      </c>
      <c r="G516" s="6"/>
      <c r="H516" s="7" t="n">
        <v>42</v>
      </c>
      <c r="I516" s="7" t="n">
        <v>60</v>
      </c>
      <c r="J516" s="7" t="n">
        <v>50</v>
      </c>
      <c r="K516" s="7" t="n">
        <v>48</v>
      </c>
    </row>
    <row r="517" customFormat="false" ht="25" hidden="false" customHeight="false" outlineLevel="0" collapsed="false">
      <c r="A517" s="1" t="n">
        <v>50</v>
      </c>
      <c r="B517" s="1" t="n">
        <v>2024</v>
      </c>
      <c r="C517" s="3" t="n">
        <v>45406</v>
      </c>
      <c r="D517" s="8" t="s">
        <v>11</v>
      </c>
      <c r="E517" s="9" t="s">
        <v>16</v>
      </c>
      <c r="F517" s="9" t="s">
        <v>13</v>
      </c>
      <c r="G517" s="11" t="n">
        <v>36</v>
      </c>
      <c r="H517" s="11" t="n">
        <v>30</v>
      </c>
      <c r="I517" s="11" t="n">
        <v>36</v>
      </c>
      <c r="J517" s="11" t="n">
        <v>34</v>
      </c>
      <c r="K517" s="11" t="n">
        <v>36</v>
      </c>
    </row>
    <row r="518" customFormat="false" ht="25" hidden="false" customHeight="false" outlineLevel="0" collapsed="false">
      <c r="A518" s="1" t="n">
        <v>50</v>
      </c>
      <c r="B518" s="1" t="n">
        <v>2024</v>
      </c>
      <c r="C518" s="3" t="n">
        <v>45406</v>
      </c>
      <c r="D518" s="4" t="s">
        <v>11</v>
      </c>
      <c r="E518" s="5" t="s">
        <v>17</v>
      </c>
      <c r="F518" s="5" t="s">
        <v>13</v>
      </c>
      <c r="G518" s="7" t="n">
        <v>36</v>
      </c>
      <c r="H518" s="7" t="n">
        <v>30</v>
      </c>
      <c r="I518" s="7" t="n">
        <v>36</v>
      </c>
      <c r="J518" s="7" t="n">
        <v>34</v>
      </c>
      <c r="K518" s="7" t="n">
        <v>36</v>
      </c>
    </row>
    <row r="519" customFormat="false" ht="25" hidden="false" customHeight="false" outlineLevel="0" collapsed="false">
      <c r="A519" s="1" t="n">
        <v>50</v>
      </c>
      <c r="B519" s="1" t="n">
        <v>2024</v>
      </c>
      <c r="C519" s="3" t="n">
        <v>45406</v>
      </c>
      <c r="D519" s="8" t="s">
        <v>11</v>
      </c>
      <c r="E519" s="9" t="s">
        <v>18</v>
      </c>
      <c r="F519" s="9" t="s">
        <v>13</v>
      </c>
      <c r="G519" s="11" t="n">
        <v>72</v>
      </c>
      <c r="H519" s="11" t="n">
        <v>48</v>
      </c>
      <c r="I519" s="11" t="n">
        <v>72</v>
      </c>
      <c r="J519" s="11" t="n">
        <v>64</v>
      </c>
      <c r="K519" s="11" t="n">
        <v>72</v>
      </c>
    </row>
    <row r="520" customFormat="false" ht="25" hidden="false" customHeight="false" outlineLevel="0" collapsed="false">
      <c r="A520" s="1" t="n">
        <v>50</v>
      </c>
      <c r="B520" s="1" t="n">
        <v>2024</v>
      </c>
      <c r="C520" s="3" t="n">
        <v>45406</v>
      </c>
      <c r="D520" s="4" t="s">
        <v>11</v>
      </c>
      <c r="E520" s="5" t="s">
        <v>19</v>
      </c>
      <c r="F520" s="5" t="s">
        <v>13</v>
      </c>
      <c r="G520" s="6"/>
      <c r="H520" s="7" t="n">
        <v>72</v>
      </c>
      <c r="I520" s="7" t="n">
        <v>96</v>
      </c>
      <c r="J520" s="7" t="n">
        <v>82</v>
      </c>
      <c r="K520" s="7" t="n">
        <v>78</v>
      </c>
    </row>
    <row r="521" customFormat="false" ht="25" hidden="false" customHeight="false" outlineLevel="0" collapsed="false">
      <c r="A521" s="1" t="n">
        <v>50</v>
      </c>
      <c r="B521" s="1" t="n">
        <v>2024</v>
      </c>
      <c r="C521" s="3" t="n">
        <v>45406</v>
      </c>
      <c r="D521" s="8" t="s">
        <v>11</v>
      </c>
      <c r="E521" s="9" t="s">
        <v>20</v>
      </c>
      <c r="F521" s="9" t="s">
        <v>13</v>
      </c>
      <c r="G521" s="11" t="n">
        <v>96</v>
      </c>
      <c r="H521" s="11" t="n">
        <v>96</v>
      </c>
      <c r="I521" s="11" t="n">
        <v>96</v>
      </c>
      <c r="J521" s="11" t="n">
        <v>96</v>
      </c>
      <c r="K521" s="11" t="n">
        <v>96</v>
      </c>
    </row>
    <row r="522" customFormat="false" ht="25" hidden="false" customHeight="false" outlineLevel="0" collapsed="false">
      <c r="A522" s="1" t="n">
        <v>50</v>
      </c>
      <c r="B522" s="1" t="n">
        <v>2024</v>
      </c>
      <c r="C522" s="3" t="n">
        <v>45406</v>
      </c>
      <c r="D522" s="4" t="s">
        <v>11</v>
      </c>
      <c r="E522" s="5" t="s">
        <v>21</v>
      </c>
      <c r="F522" s="5" t="s">
        <v>13</v>
      </c>
      <c r="G522" s="6"/>
      <c r="H522" s="7" t="n">
        <v>24</v>
      </c>
      <c r="I522" s="7" t="n">
        <v>36</v>
      </c>
      <c r="J522" s="7" t="n">
        <v>30</v>
      </c>
      <c r="K522" s="7" t="n">
        <v>30</v>
      </c>
    </row>
    <row r="523" customFormat="false" ht="25" hidden="false" customHeight="false" outlineLevel="0" collapsed="false">
      <c r="A523" s="1" t="n">
        <v>50</v>
      </c>
      <c r="B523" s="1" t="n">
        <v>2024</v>
      </c>
      <c r="C523" s="3" t="n">
        <v>45406</v>
      </c>
      <c r="D523" s="8" t="s">
        <v>11</v>
      </c>
      <c r="E523" s="9" t="s">
        <v>73</v>
      </c>
      <c r="F523" s="9" t="s">
        <v>13</v>
      </c>
      <c r="G523" s="11" t="n">
        <v>96</v>
      </c>
      <c r="H523" s="11" t="n">
        <v>96</v>
      </c>
      <c r="I523" s="11" t="n">
        <v>108</v>
      </c>
      <c r="J523" s="11" t="n">
        <v>100</v>
      </c>
      <c r="K523" s="11" t="n">
        <v>96</v>
      </c>
    </row>
    <row r="524" customFormat="false" ht="25" hidden="false" customHeight="false" outlineLevel="0" collapsed="false">
      <c r="A524" s="1" t="n">
        <v>50</v>
      </c>
      <c r="B524" s="1" t="n">
        <v>2024</v>
      </c>
      <c r="C524" s="3" t="n">
        <v>45406</v>
      </c>
      <c r="D524" s="4" t="s">
        <v>11</v>
      </c>
      <c r="E524" s="5" t="s">
        <v>23</v>
      </c>
      <c r="F524" s="5" t="s">
        <v>13</v>
      </c>
      <c r="G524" s="7" t="n">
        <v>36</v>
      </c>
      <c r="H524" s="7" t="n">
        <v>24</v>
      </c>
      <c r="I524" s="7" t="n">
        <v>36</v>
      </c>
      <c r="J524" s="7" t="n">
        <v>32</v>
      </c>
      <c r="K524" s="7" t="n">
        <v>36</v>
      </c>
    </row>
    <row r="525" customFormat="false" ht="25" hidden="false" customHeight="false" outlineLevel="0" collapsed="false">
      <c r="A525" s="1" t="n">
        <v>50</v>
      </c>
      <c r="B525" s="1" t="n">
        <v>2024</v>
      </c>
      <c r="C525" s="3" t="n">
        <v>45406</v>
      </c>
      <c r="D525" s="8" t="s">
        <v>11</v>
      </c>
      <c r="E525" s="9" t="s">
        <v>24</v>
      </c>
      <c r="F525" s="9" t="s">
        <v>13</v>
      </c>
      <c r="G525" s="11" t="n">
        <v>84</v>
      </c>
      <c r="H525" s="11" t="n">
        <v>84</v>
      </c>
      <c r="I525" s="11" t="n">
        <v>84</v>
      </c>
      <c r="J525" s="11" t="n">
        <v>84</v>
      </c>
      <c r="K525" s="11" t="n">
        <v>84</v>
      </c>
    </row>
    <row r="526" customFormat="false" ht="25" hidden="false" customHeight="false" outlineLevel="0" collapsed="false">
      <c r="A526" s="1" t="n">
        <v>50</v>
      </c>
      <c r="B526" s="1" t="n">
        <v>2024</v>
      </c>
      <c r="C526" s="3" t="n">
        <v>45406</v>
      </c>
      <c r="D526" s="4" t="s">
        <v>11</v>
      </c>
      <c r="E526" s="5" t="s">
        <v>25</v>
      </c>
      <c r="F526" s="5" t="s">
        <v>26</v>
      </c>
      <c r="G526" s="7" t="n">
        <v>72</v>
      </c>
      <c r="H526" s="7" t="n">
        <v>72</v>
      </c>
      <c r="I526" s="7" t="n">
        <v>84</v>
      </c>
      <c r="J526" s="7" t="n">
        <v>76</v>
      </c>
      <c r="K526" s="7" t="n">
        <v>72</v>
      </c>
    </row>
    <row r="527" customFormat="false" ht="25" hidden="false" customHeight="false" outlineLevel="0" collapsed="false">
      <c r="A527" s="1" t="n">
        <v>50</v>
      </c>
      <c r="B527" s="1" t="n">
        <v>2024</v>
      </c>
      <c r="C527" s="3" t="n">
        <v>45406</v>
      </c>
      <c r="D527" s="8" t="s">
        <v>11</v>
      </c>
      <c r="E527" s="9" t="s">
        <v>27</v>
      </c>
      <c r="F527" s="9" t="s">
        <v>13</v>
      </c>
      <c r="G527" s="11" t="n">
        <v>60</v>
      </c>
      <c r="H527" s="11" t="n">
        <v>60</v>
      </c>
      <c r="I527" s="11" t="n">
        <v>96</v>
      </c>
      <c r="J527" s="11" t="n">
        <v>72</v>
      </c>
      <c r="K527" s="11" t="n">
        <v>60</v>
      </c>
    </row>
    <row r="528" customFormat="false" ht="25" hidden="false" customHeight="false" outlineLevel="0" collapsed="false">
      <c r="A528" s="1" t="n">
        <v>50</v>
      </c>
      <c r="B528" s="1" t="n">
        <v>2024</v>
      </c>
      <c r="C528" s="3" t="n">
        <v>45406</v>
      </c>
      <c r="D528" s="4" t="s">
        <v>11</v>
      </c>
      <c r="E528" s="5" t="s">
        <v>28</v>
      </c>
      <c r="F528" s="5" t="s">
        <v>13</v>
      </c>
      <c r="G528" s="6"/>
      <c r="H528" s="7" t="n">
        <v>48</v>
      </c>
      <c r="I528" s="7" t="n">
        <v>70</v>
      </c>
      <c r="J528" s="7" t="s">
        <v>219</v>
      </c>
      <c r="K528" s="7" t="n">
        <v>60</v>
      </c>
    </row>
    <row r="529" customFormat="false" ht="25" hidden="false" customHeight="false" outlineLevel="0" collapsed="false">
      <c r="A529" s="1" t="n">
        <v>50</v>
      </c>
      <c r="B529" s="1" t="n">
        <v>2024</v>
      </c>
      <c r="C529" s="3" t="n">
        <v>45406</v>
      </c>
      <c r="D529" s="8" t="s">
        <v>11</v>
      </c>
      <c r="E529" s="9" t="s">
        <v>29</v>
      </c>
      <c r="F529" s="9" t="s">
        <v>13</v>
      </c>
      <c r="G529" s="11" t="n">
        <v>54</v>
      </c>
      <c r="H529" s="11" t="n">
        <v>48</v>
      </c>
      <c r="I529" s="11" t="n">
        <v>54</v>
      </c>
      <c r="J529" s="11" t="n">
        <v>52</v>
      </c>
      <c r="K529" s="11" t="n">
        <v>54</v>
      </c>
    </row>
    <row r="530" customFormat="false" ht="25" hidden="false" customHeight="false" outlineLevel="0" collapsed="false">
      <c r="A530" s="1" t="n">
        <v>50</v>
      </c>
      <c r="B530" s="1" t="n">
        <v>2024</v>
      </c>
      <c r="C530" s="3" t="n">
        <v>45406</v>
      </c>
      <c r="D530" s="4" t="s">
        <v>30</v>
      </c>
      <c r="E530" s="5" t="s">
        <v>31</v>
      </c>
      <c r="F530" s="5" t="s">
        <v>32</v>
      </c>
      <c r="G530" s="7" t="n">
        <v>5</v>
      </c>
      <c r="H530" s="7" t="n">
        <v>5</v>
      </c>
      <c r="I530" s="7" t="n">
        <v>5</v>
      </c>
      <c r="J530" s="7" t="n">
        <v>5</v>
      </c>
      <c r="K530" s="7" t="n">
        <v>5</v>
      </c>
    </row>
    <row r="531" customFormat="false" ht="25" hidden="false" customHeight="false" outlineLevel="0" collapsed="false">
      <c r="A531" s="1" t="n">
        <v>50</v>
      </c>
      <c r="B531" s="1" t="n">
        <v>2024</v>
      </c>
      <c r="C531" s="3" t="n">
        <v>45406</v>
      </c>
      <c r="D531" s="8" t="s">
        <v>30</v>
      </c>
      <c r="E531" s="9" t="s">
        <v>34</v>
      </c>
      <c r="F531" s="9" t="s">
        <v>35</v>
      </c>
      <c r="G531" s="10"/>
      <c r="H531" s="11" t="n">
        <v>25</v>
      </c>
      <c r="I531" s="11" t="n">
        <v>30</v>
      </c>
      <c r="J531" s="11" t="s">
        <v>220</v>
      </c>
      <c r="K531" s="11" t="n">
        <v>28</v>
      </c>
    </row>
    <row r="532" customFormat="false" ht="25" hidden="false" customHeight="false" outlineLevel="0" collapsed="false">
      <c r="A532" s="1" t="n">
        <v>50</v>
      </c>
      <c r="B532" s="1" t="n">
        <v>2024</v>
      </c>
      <c r="C532" s="3" t="n">
        <v>45406</v>
      </c>
      <c r="D532" s="4" t="s">
        <v>30</v>
      </c>
      <c r="E532" s="5" t="s">
        <v>36</v>
      </c>
      <c r="F532" s="5" t="s">
        <v>35</v>
      </c>
      <c r="G532" s="7" t="n">
        <v>35</v>
      </c>
      <c r="H532" s="7" t="n">
        <v>30</v>
      </c>
      <c r="I532" s="7" t="n">
        <v>35</v>
      </c>
      <c r="J532" s="7" t="s">
        <v>221</v>
      </c>
      <c r="K532" s="7" t="n">
        <v>35</v>
      </c>
    </row>
    <row r="533" customFormat="false" ht="36.5" hidden="false" customHeight="false" outlineLevel="0" collapsed="false">
      <c r="A533" s="1" t="n">
        <v>50</v>
      </c>
      <c r="B533" s="1" t="n">
        <v>2024</v>
      </c>
      <c r="C533" s="3" t="n">
        <v>45406</v>
      </c>
      <c r="D533" s="8" t="s">
        <v>38</v>
      </c>
      <c r="E533" s="9" t="s">
        <v>153</v>
      </c>
      <c r="F533" s="9" t="s">
        <v>154</v>
      </c>
      <c r="G533" s="11" t="n">
        <v>110</v>
      </c>
      <c r="H533" s="11" t="n">
        <v>80</v>
      </c>
      <c r="I533" s="11" t="n">
        <v>110</v>
      </c>
      <c r="J533" s="11" t="n">
        <v>98</v>
      </c>
      <c r="K533" s="11" t="n">
        <v>100</v>
      </c>
    </row>
    <row r="534" customFormat="false" ht="36.5" hidden="false" customHeight="false" outlineLevel="0" collapsed="false">
      <c r="A534" s="1" t="n">
        <v>50</v>
      </c>
      <c r="B534" s="1" t="n">
        <v>2024</v>
      </c>
      <c r="C534" s="3" t="n">
        <v>45406</v>
      </c>
      <c r="D534" s="4" t="s">
        <v>38</v>
      </c>
      <c r="E534" s="5" t="s">
        <v>39</v>
      </c>
      <c r="F534" s="5" t="s">
        <v>40</v>
      </c>
      <c r="G534" s="7" t="n">
        <v>80</v>
      </c>
      <c r="H534" s="7" t="n">
        <v>70</v>
      </c>
      <c r="I534" s="7" t="n">
        <v>90</v>
      </c>
      <c r="J534" s="7" t="s">
        <v>155</v>
      </c>
      <c r="K534" s="7" t="n">
        <v>80</v>
      </c>
    </row>
    <row r="535" customFormat="false" ht="36.5" hidden="false" customHeight="false" outlineLevel="0" collapsed="false">
      <c r="A535" s="1" t="n">
        <v>50</v>
      </c>
      <c r="B535" s="1" t="n">
        <v>2024</v>
      </c>
      <c r="C535" s="3" t="n">
        <v>45406</v>
      </c>
      <c r="D535" s="8" t="s">
        <v>38</v>
      </c>
      <c r="E535" s="9" t="s">
        <v>42</v>
      </c>
      <c r="F535" s="9" t="s">
        <v>43</v>
      </c>
      <c r="G535" s="11" t="n">
        <v>70</v>
      </c>
      <c r="H535" s="11" t="n">
        <v>40</v>
      </c>
      <c r="I535" s="11" t="n">
        <v>75</v>
      </c>
      <c r="J535" s="11" t="s">
        <v>222</v>
      </c>
      <c r="K535" s="11" t="n">
        <v>70</v>
      </c>
    </row>
    <row r="536" customFormat="false" ht="36.5" hidden="false" customHeight="false" outlineLevel="0" collapsed="false">
      <c r="A536" s="1" t="n">
        <v>50</v>
      </c>
      <c r="B536" s="1" t="n">
        <v>2024</v>
      </c>
      <c r="C536" s="3" t="n">
        <v>45406</v>
      </c>
      <c r="D536" s="4" t="s">
        <v>38</v>
      </c>
      <c r="E536" s="5" t="s">
        <v>44</v>
      </c>
      <c r="F536" s="5" t="s">
        <v>45</v>
      </c>
      <c r="G536" s="7" t="n">
        <v>50</v>
      </c>
      <c r="H536" s="7" t="n">
        <v>35</v>
      </c>
      <c r="I536" s="7" t="n">
        <v>55</v>
      </c>
      <c r="J536" s="7" t="s">
        <v>223</v>
      </c>
      <c r="K536" s="7" t="n">
        <v>45</v>
      </c>
    </row>
    <row r="537" customFormat="false" ht="36.5" hidden="false" customHeight="false" outlineLevel="0" collapsed="false">
      <c r="A537" s="1" t="n">
        <v>50</v>
      </c>
      <c r="B537" s="1" t="n">
        <v>2024</v>
      </c>
      <c r="C537" s="3" t="n">
        <v>45406</v>
      </c>
      <c r="D537" s="8" t="s">
        <v>38</v>
      </c>
      <c r="E537" s="9" t="s">
        <v>48</v>
      </c>
      <c r="F537" s="9" t="s">
        <v>45</v>
      </c>
      <c r="G537" s="10"/>
      <c r="H537" s="11" t="n">
        <v>90</v>
      </c>
      <c r="I537" s="11" t="n">
        <v>115</v>
      </c>
      <c r="J537" s="11" t="n">
        <v>105</v>
      </c>
      <c r="K537" s="11" t="n">
        <v>110</v>
      </c>
    </row>
    <row r="538" customFormat="false" ht="36.5" hidden="false" customHeight="false" outlineLevel="0" collapsed="false">
      <c r="A538" s="1" t="n">
        <v>50</v>
      </c>
      <c r="B538" s="1" t="n">
        <v>2024</v>
      </c>
      <c r="C538" s="3" t="n">
        <v>45406</v>
      </c>
      <c r="D538" s="4" t="s">
        <v>38</v>
      </c>
      <c r="E538" s="5" t="s">
        <v>49</v>
      </c>
      <c r="F538" s="5" t="s">
        <v>50</v>
      </c>
      <c r="G538" s="7" t="n">
        <v>150</v>
      </c>
      <c r="H538" s="7" t="n">
        <v>100</v>
      </c>
      <c r="I538" s="7" t="n">
        <v>150</v>
      </c>
      <c r="J538" s="7" t="s">
        <v>224</v>
      </c>
      <c r="K538" s="7" t="n">
        <v>130</v>
      </c>
    </row>
    <row r="539" customFormat="false" ht="36.5" hidden="false" customHeight="false" outlineLevel="0" collapsed="false">
      <c r="A539" s="1" t="n">
        <v>50</v>
      </c>
      <c r="B539" s="1" t="n">
        <v>2024</v>
      </c>
      <c r="C539" s="3" t="n">
        <v>45406</v>
      </c>
      <c r="D539" s="8" t="s">
        <v>38</v>
      </c>
      <c r="E539" s="9" t="s">
        <v>52</v>
      </c>
      <c r="F539" s="9" t="s">
        <v>43</v>
      </c>
      <c r="G539" s="11" t="n">
        <v>140</v>
      </c>
      <c r="H539" s="11" t="n">
        <v>80</v>
      </c>
      <c r="I539" s="11" t="n">
        <v>170</v>
      </c>
      <c r="J539" s="11" t="n">
        <v>130</v>
      </c>
      <c r="K539" s="11" t="n">
        <v>130</v>
      </c>
    </row>
    <row r="540" customFormat="false" ht="36.5" hidden="false" customHeight="false" outlineLevel="0" collapsed="false">
      <c r="A540" s="1" t="n">
        <v>50</v>
      </c>
      <c r="B540" s="1" t="n">
        <v>2024</v>
      </c>
      <c r="C540" s="3" t="n">
        <v>45406</v>
      </c>
      <c r="D540" s="4" t="s">
        <v>38</v>
      </c>
      <c r="E540" s="5" t="s">
        <v>53</v>
      </c>
      <c r="F540" s="5" t="s">
        <v>43</v>
      </c>
      <c r="G540" s="7" t="n">
        <v>60</v>
      </c>
      <c r="H540" s="7" t="n">
        <v>40</v>
      </c>
      <c r="I540" s="7" t="n">
        <v>80</v>
      </c>
      <c r="J540" s="7" t="s">
        <v>225</v>
      </c>
      <c r="K540" s="7" t="n">
        <v>60</v>
      </c>
    </row>
    <row r="541" customFormat="false" ht="36.5" hidden="false" customHeight="false" outlineLevel="0" collapsed="false">
      <c r="A541" s="1" t="n">
        <v>50</v>
      </c>
      <c r="B541" s="1" t="n">
        <v>2024</v>
      </c>
      <c r="C541" s="3" t="n">
        <v>45406</v>
      </c>
      <c r="D541" s="8" t="s">
        <v>38</v>
      </c>
      <c r="E541" s="9" t="s">
        <v>54</v>
      </c>
      <c r="F541" s="9" t="s">
        <v>40</v>
      </c>
      <c r="G541" s="11" t="n">
        <v>100</v>
      </c>
      <c r="H541" s="11" t="n">
        <v>60</v>
      </c>
      <c r="I541" s="11" t="n">
        <v>120</v>
      </c>
      <c r="J541" s="11" t="s">
        <v>226</v>
      </c>
      <c r="K541" s="11" t="n">
        <v>100</v>
      </c>
    </row>
    <row r="542" customFormat="false" ht="36.5" hidden="false" customHeight="false" outlineLevel="0" collapsed="false">
      <c r="A542" s="1" t="n">
        <v>50</v>
      </c>
      <c r="B542" s="1" t="n">
        <v>2024</v>
      </c>
      <c r="C542" s="3" t="n">
        <v>45406</v>
      </c>
      <c r="D542" s="4" t="s">
        <v>38</v>
      </c>
      <c r="E542" s="5" t="s">
        <v>56</v>
      </c>
      <c r="F542" s="5" t="s">
        <v>43</v>
      </c>
      <c r="G542" s="6"/>
      <c r="H542" s="7" t="n">
        <v>50</v>
      </c>
      <c r="I542" s="7" t="n">
        <v>78</v>
      </c>
      <c r="J542" s="7" t="s">
        <v>172</v>
      </c>
      <c r="K542" s="7" t="n">
        <v>60</v>
      </c>
    </row>
    <row r="543" customFormat="false" ht="36.5" hidden="false" customHeight="false" outlineLevel="0" collapsed="false">
      <c r="A543" s="1" t="n">
        <v>50</v>
      </c>
      <c r="B543" s="1" t="n">
        <v>2024</v>
      </c>
      <c r="C543" s="3" t="n">
        <v>45406</v>
      </c>
      <c r="D543" s="8" t="s">
        <v>38</v>
      </c>
      <c r="E543" s="9" t="s">
        <v>57</v>
      </c>
      <c r="F543" s="9" t="s">
        <v>40</v>
      </c>
      <c r="G543" s="11" t="n">
        <v>70</v>
      </c>
      <c r="H543" s="11" t="n">
        <v>50</v>
      </c>
      <c r="I543" s="11" t="n">
        <v>75</v>
      </c>
      <c r="J543" s="11" t="s">
        <v>102</v>
      </c>
      <c r="K543" s="11" t="n">
        <v>70</v>
      </c>
    </row>
    <row r="544" customFormat="false" ht="36.5" hidden="false" customHeight="false" outlineLevel="0" collapsed="false">
      <c r="A544" s="1" t="n">
        <v>50</v>
      </c>
      <c r="B544" s="1" t="n">
        <v>2024</v>
      </c>
      <c r="C544" s="3" t="n">
        <v>45406</v>
      </c>
      <c r="D544" s="4" t="s">
        <v>38</v>
      </c>
      <c r="E544" s="5" t="s">
        <v>58</v>
      </c>
      <c r="F544" s="5" t="s">
        <v>40</v>
      </c>
      <c r="G544" s="7" t="n">
        <v>100</v>
      </c>
      <c r="H544" s="7" t="n">
        <v>70</v>
      </c>
      <c r="I544" s="7" t="n">
        <v>110</v>
      </c>
      <c r="J544" s="7" t="s">
        <v>227</v>
      </c>
      <c r="K544" s="7" t="n">
        <v>100</v>
      </c>
    </row>
    <row r="545" customFormat="false" ht="36.5" hidden="false" customHeight="false" outlineLevel="0" collapsed="false">
      <c r="A545" s="1" t="n">
        <v>50</v>
      </c>
      <c r="B545" s="1" t="n">
        <v>2024</v>
      </c>
      <c r="C545" s="3" t="n">
        <v>45406</v>
      </c>
      <c r="D545" s="8" t="s">
        <v>38</v>
      </c>
      <c r="E545" s="9" t="s">
        <v>59</v>
      </c>
      <c r="F545" s="9" t="s">
        <v>45</v>
      </c>
      <c r="G545" s="11" t="n">
        <v>70</v>
      </c>
      <c r="H545" s="11" t="n">
        <v>70</v>
      </c>
      <c r="I545" s="11" t="n">
        <v>80</v>
      </c>
      <c r="J545" s="11" t="s">
        <v>228</v>
      </c>
      <c r="K545" s="11" t="n">
        <v>75</v>
      </c>
    </row>
    <row r="546" customFormat="false" ht="36.5" hidden="false" customHeight="false" outlineLevel="0" collapsed="false">
      <c r="A546" s="1" t="n">
        <v>50</v>
      </c>
      <c r="B546" s="1" t="n">
        <v>2024</v>
      </c>
      <c r="C546" s="3" t="n">
        <v>45406</v>
      </c>
      <c r="D546" s="4" t="s">
        <v>38</v>
      </c>
      <c r="E546" s="5" t="s">
        <v>60</v>
      </c>
      <c r="F546" s="5" t="s">
        <v>61</v>
      </c>
      <c r="G546" s="7" t="n">
        <v>120</v>
      </c>
      <c r="H546" s="7" t="n">
        <v>100</v>
      </c>
      <c r="I546" s="7" t="n">
        <v>140</v>
      </c>
      <c r="J546" s="7" t="s">
        <v>160</v>
      </c>
      <c r="K546" s="7" t="n">
        <v>120</v>
      </c>
    </row>
    <row r="547" customFormat="false" ht="36.5" hidden="false" customHeight="false" outlineLevel="0" collapsed="false">
      <c r="A547" s="1" t="n">
        <v>50</v>
      </c>
      <c r="B547" s="1" t="n">
        <v>2024</v>
      </c>
      <c r="C547" s="3" t="n">
        <v>45406</v>
      </c>
      <c r="D547" s="8" t="s">
        <v>38</v>
      </c>
      <c r="E547" s="9" t="s">
        <v>63</v>
      </c>
      <c r="F547" s="9" t="s">
        <v>40</v>
      </c>
      <c r="G547" s="11" t="n">
        <v>90</v>
      </c>
      <c r="H547" s="11" t="n">
        <v>90</v>
      </c>
      <c r="I547" s="11" t="n">
        <v>120</v>
      </c>
      <c r="J547" s="11" t="s">
        <v>82</v>
      </c>
      <c r="K547" s="11" t="n">
        <v>100</v>
      </c>
    </row>
    <row r="548" customFormat="false" ht="36.5" hidden="false" customHeight="false" outlineLevel="0" collapsed="false">
      <c r="A548" s="1" t="n">
        <v>50</v>
      </c>
      <c r="B548" s="1" t="n">
        <v>2024</v>
      </c>
      <c r="C548" s="3" t="n">
        <v>45406</v>
      </c>
      <c r="D548" s="4" t="s">
        <v>38</v>
      </c>
      <c r="E548" s="5" t="s">
        <v>64</v>
      </c>
      <c r="F548" s="5" t="s">
        <v>40</v>
      </c>
      <c r="G548" s="7" t="n">
        <v>80</v>
      </c>
      <c r="H548" s="7" t="n">
        <v>70</v>
      </c>
      <c r="I548" s="7" t="n">
        <v>120</v>
      </c>
      <c r="J548" s="7" t="s">
        <v>229</v>
      </c>
      <c r="K548" s="7" t="n">
        <v>95</v>
      </c>
    </row>
    <row r="549" customFormat="false" ht="14.25" hidden="false" customHeight="false" outlineLevel="0" collapsed="false">
      <c r="A549" s="1" t="n">
        <v>50</v>
      </c>
      <c r="B549" s="1" t="n">
        <v>2024</v>
      </c>
      <c r="C549" s="3" t="n">
        <v>45406</v>
      </c>
      <c r="D549" s="8" t="s">
        <v>65</v>
      </c>
      <c r="E549" s="9" t="s">
        <v>66</v>
      </c>
      <c r="F549" s="9" t="s">
        <v>45</v>
      </c>
      <c r="G549" s="10"/>
      <c r="H549" s="11" t="n">
        <v>85</v>
      </c>
      <c r="I549" s="11" t="n">
        <v>85</v>
      </c>
      <c r="J549" s="11" t="n">
        <v>85</v>
      </c>
      <c r="K549" s="11" t="n">
        <v>85</v>
      </c>
    </row>
    <row r="550" customFormat="false" ht="14.25" hidden="false" customHeight="false" outlineLevel="0" collapsed="false">
      <c r="A550" s="1" t="n">
        <v>50</v>
      </c>
      <c r="B550" s="1" t="n">
        <v>2024</v>
      </c>
      <c r="C550" s="3" t="n">
        <v>45406</v>
      </c>
      <c r="D550" s="4" t="s">
        <v>65</v>
      </c>
      <c r="E550" s="5" t="s">
        <v>67</v>
      </c>
      <c r="F550" s="5" t="s">
        <v>45</v>
      </c>
      <c r="G550" s="6"/>
      <c r="H550" s="7" t="n">
        <v>70</v>
      </c>
      <c r="I550" s="7" t="n">
        <v>80</v>
      </c>
      <c r="J550" s="7" t="n">
        <v>75</v>
      </c>
      <c r="K550" s="7" t="n">
        <v>75</v>
      </c>
    </row>
    <row r="551" customFormat="false" ht="14.25" hidden="false" customHeight="false" outlineLevel="0" collapsed="false">
      <c r="A551" s="1" t="n">
        <v>50</v>
      </c>
      <c r="B551" s="1" t="n">
        <v>2024</v>
      </c>
      <c r="C551" s="3" t="n">
        <v>45406</v>
      </c>
      <c r="D551" s="8" t="s">
        <v>65</v>
      </c>
      <c r="E551" s="9" t="s">
        <v>68</v>
      </c>
      <c r="F551" s="9" t="s">
        <v>45</v>
      </c>
      <c r="G551" s="11" t="n">
        <v>45</v>
      </c>
      <c r="H551" s="11" t="n">
        <v>45</v>
      </c>
      <c r="I551" s="11" t="n">
        <v>45</v>
      </c>
      <c r="J551" s="11" t="n">
        <v>45</v>
      </c>
      <c r="K551" s="11" t="n">
        <v>45</v>
      </c>
    </row>
    <row r="552" customFormat="false" ht="14.25" hidden="false" customHeight="false" outlineLevel="0" collapsed="false">
      <c r="A552" s="1" t="n">
        <v>50</v>
      </c>
      <c r="B552" s="1" t="n">
        <v>2024</v>
      </c>
      <c r="C552" s="3" t="n">
        <v>45406</v>
      </c>
      <c r="D552" s="4" t="s">
        <v>65</v>
      </c>
      <c r="E552" s="5" t="s">
        <v>69</v>
      </c>
      <c r="F552" s="5" t="s">
        <v>45</v>
      </c>
      <c r="G552" s="6"/>
      <c r="H552" s="7" t="n">
        <v>60</v>
      </c>
      <c r="I552" s="7" t="n">
        <v>60</v>
      </c>
      <c r="J552" s="7" t="n">
        <v>60</v>
      </c>
      <c r="K552" s="7" t="n">
        <v>60</v>
      </c>
    </row>
    <row r="553" customFormat="false" ht="14.25" hidden="false" customHeight="false" outlineLevel="0" collapsed="false">
      <c r="A553" s="1" t="n">
        <v>50</v>
      </c>
      <c r="B553" s="1" t="n">
        <v>2024</v>
      </c>
      <c r="C553" s="3" t="n">
        <v>45406</v>
      </c>
      <c r="D553" s="8" t="s">
        <v>65</v>
      </c>
      <c r="E553" s="9" t="s">
        <v>70</v>
      </c>
      <c r="F553" s="9" t="s">
        <v>71</v>
      </c>
      <c r="G553" s="10"/>
      <c r="H553" s="11" t="n">
        <v>60</v>
      </c>
      <c r="I553" s="11" t="n">
        <v>60</v>
      </c>
      <c r="J553" s="11" t="n">
        <v>60</v>
      </c>
      <c r="K553" s="11" t="n">
        <v>60</v>
      </c>
    </row>
    <row r="554" customFormat="false" ht="25" hidden="false" customHeight="false" outlineLevel="0" collapsed="false">
      <c r="A554" s="1" t="n">
        <v>51</v>
      </c>
      <c r="B554" s="1" t="n">
        <v>2024</v>
      </c>
      <c r="C554" s="3" t="n">
        <v>45420</v>
      </c>
      <c r="D554" s="4" t="s">
        <v>11</v>
      </c>
      <c r="E554" s="5" t="s">
        <v>12</v>
      </c>
      <c r="F554" s="5" t="s">
        <v>13</v>
      </c>
      <c r="G554" s="6"/>
      <c r="H554" s="7" t="n">
        <v>48</v>
      </c>
      <c r="I554" s="7" t="n">
        <v>78</v>
      </c>
      <c r="J554" s="7" t="n">
        <v>60</v>
      </c>
      <c r="K554" s="7" t="n">
        <v>54</v>
      </c>
    </row>
    <row r="555" customFormat="false" ht="25" hidden="false" customHeight="false" outlineLevel="0" collapsed="false">
      <c r="A555" s="1" t="n">
        <v>51</v>
      </c>
      <c r="B555" s="1" t="n">
        <v>2024</v>
      </c>
      <c r="C555" s="3" t="n">
        <v>45420</v>
      </c>
      <c r="D555" s="8" t="s">
        <v>11</v>
      </c>
      <c r="E555" s="9" t="s">
        <v>14</v>
      </c>
      <c r="F555" s="9" t="s">
        <v>13</v>
      </c>
      <c r="G555" s="11" t="n">
        <v>72</v>
      </c>
      <c r="H555" s="11" t="n">
        <v>72</v>
      </c>
      <c r="I555" s="11" t="n">
        <v>84</v>
      </c>
      <c r="J555" s="11" t="n">
        <v>76</v>
      </c>
      <c r="K555" s="11" t="n">
        <v>72</v>
      </c>
    </row>
    <row r="556" customFormat="false" ht="25" hidden="false" customHeight="false" outlineLevel="0" collapsed="false">
      <c r="A556" s="1" t="n">
        <v>51</v>
      </c>
      <c r="B556" s="1" t="n">
        <v>2024</v>
      </c>
      <c r="C556" s="3" t="n">
        <v>45420</v>
      </c>
      <c r="D556" s="4" t="s">
        <v>11</v>
      </c>
      <c r="E556" s="5" t="s">
        <v>15</v>
      </c>
      <c r="F556" s="5" t="s">
        <v>13</v>
      </c>
      <c r="G556" s="6"/>
      <c r="H556" s="7" t="n">
        <v>48</v>
      </c>
      <c r="I556" s="7" t="n">
        <v>84</v>
      </c>
      <c r="J556" s="7" t="n">
        <v>68</v>
      </c>
      <c r="K556" s="7" t="n">
        <v>72</v>
      </c>
    </row>
    <row r="557" customFormat="false" ht="25" hidden="false" customHeight="false" outlineLevel="0" collapsed="false">
      <c r="A557" s="1" t="n">
        <v>51</v>
      </c>
      <c r="B557" s="1" t="n">
        <v>2024</v>
      </c>
      <c r="C557" s="3" t="n">
        <v>45420</v>
      </c>
      <c r="D557" s="8" t="s">
        <v>11</v>
      </c>
      <c r="E557" s="9" t="s">
        <v>16</v>
      </c>
      <c r="F557" s="9" t="s">
        <v>13</v>
      </c>
      <c r="G557" s="11" t="n">
        <v>30</v>
      </c>
      <c r="H557" s="11" t="n">
        <v>25</v>
      </c>
      <c r="I557" s="11" t="n">
        <v>30</v>
      </c>
      <c r="J557" s="11" t="s">
        <v>85</v>
      </c>
      <c r="K557" s="11" t="n">
        <v>30</v>
      </c>
    </row>
    <row r="558" customFormat="false" ht="25" hidden="false" customHeight="false" outlineLevel="0" collapsed="false">
      <c r="A558" s="1" t="n">
        <v>51</v>
      </c>
      <c r="B558" s="1" t="n">
        <v>2024</v>
      </c>
      <c r="C558" s="3" t="n">
        <v>45420</v>
      </c>
      <c r="D558" s="4" t="s">
        <v>11</v>
      </c>
      <c r="E558" s="5" t="s">
        <v>17</v>
      </c>
      <c r="F558" s="5" t="s">
        <v>13</v>
      </c>
      <c r="G558" s="7" t="n">
        <v>30</v>
      </c>
      <c r="H558" s="7" t="n">
        <v>25</v>
      </c>
      <c r="I558" s="7" t="n">
        <v>30</v>
      </c>
      <c r="J558" s="7" t="s">
        <v>85</v>
      </c>
      <c r="K558" s="7" t="n">
        <v>30</v>
      </c>
    </row>
    <row r="559" customFormat="false" ht="25" hidden="false" customHeight="false" outlineLevel="0" collapsed="false">
      <c r="A559" s="1" t="n">
        <v>51</v>
      </c>
      <c r="B559" s="1" t="n">
        <v>2024</v>
      </c>
      <c r="C559" s="3" t="n">
        <v>45420</v>
      </c>
      <c r="D559" s="8" t="s">
        <v>11</v>
      </c>
      <c r="E559" s="9" t="s">
        <v>18</v>
      </c>
      <c r="F559" s="9" t="s">
        <v>13</v>
      </c>
      <c r="G559" s="11" t="n">
        <v>60</v>
      </c>
      <c r="H559" s="11" t="n">
        <v>54</v>
      </c>
      <c r="I559" s="11" t="n">
        <v>60</v>
      </c>
      <c r="J559" s="11" t="n">
        <v>58</v>
      </c>
      <c r="K559" s="11" t="n">
        <v>60</v>
      </c>
    </row>
    <row r="560" customFormat="false" ht="25" hidden="false" customHeight="false" outlineLevel="0" collapsed="false">
      <c r="A560" s="1" t="n">
        <v>51</v>
      </c>
      <c r="B560" s="1" t="n">
        <v>2024</v>
      </c>
      <c r="C560" s="3" t="n">
        <v>45420</v>
      </c>
      <c r="D560" s="4" t="s">
        <v>11</v>
      </c>
      <c r="E560" s="5" t="s">
        <v>19</v>
      </c>
      <c r="F560" s="5" t="s">
        <v>13</v>
      </c>
      <c r="G560" s="7" t="n">
        <v>72</v>
      </c>
      <c r="H560" s="7" t="n">
        <v>72</v>
      </c>
      <c r="I560" s="7" t="n">
        <v>84</v>
      </c>
      <c r="J560" s="7" t="n">
        <v>76</v>
      </c>
      <c r="K560" s="7" t="n">
        <v>72</v>
      </c>
    </row>
    <row r="561" customFormat="false" ht="25" hidden="false" customHeight="false" outlineLevel="0" collapsed="false">
      <c r="A561" s="1" t="n">
        <v>51</v>
      </c>
      <c r="B561" s="1" t="n">
        <v>2024</v>
      </c>
      <c r="C561" s="3" t="n">
        <v>45420</v>
      </c>
      <c r="D561" s="8" t="s">
        <v>11</v>
      </c>
      <c r="E561" s="9" t="s">
        <v>20</v>
      </c>
      <c r="F561" s="9" t="s">
        <v>13</v>
      </c>
      <c r="G561" s="10"/>
      <c r="H561" s="11" t="n">
        <v>84</v>
      </c>
      <c r="I561" s="11" t="n">
        <v>96</v>
      </c>
      <c r="J561" s="11" t="s">
        <v>230</v>
      </c>
      <c r="K561" s="11" t="n">
        <v>95</v>
      </c>
    </row>
    <row r="562" customFormat="false" ht="25" hidden="false" customHeight="false" outlineLevel="0" collapsed="false">
      <c r="A562" s="1" t="n">
        <v>51</v>
      </c>
      <c r="B562" s="1" t="n">
        <v>2024</v>
      </c>
      <c r="C562" s="3" t="n">
        <v>45420</v>
      </c>
      <c r="D562" s="4" t="s">
        <v>11</v>
      </c>
      <c r="E562" s="5" t="s">
        <v>21</v>
      </c>
      <c r="F562" s="5" t="s">
        <v>13</v>
      </c>
      <c r="G562" s="7" t="n">
        <v>30</v>
      </c>
      <c r="H562" s="7" t="n">
        <v>24</v>
      </c>
      <c r="I562" s="7" t="n">
        <v>30</v>
      </c>
      <c r="J562" s="7" t="n">
        <v>28</v>
      </c>
      <c r="K562" s="7" t="n">
        <v>30</v>
      </c>
    </row>
    <row r="563" customFormat="false" ht="25" hidden="false" customHeight="false" outlineLevel="0" collapsed="false">
      <c r="A563" s="1" t="n">
        <v>51</v>
      </c>
      <c r="B563" s="1" t="n">
        <v>2024</v>
      </c>
      <c r="C563" s="3" t="n">
        <v>45420</v>
      </c>
      <c r="D563" s="8" t="s">
        <v>11</v>
      </c>
      <c r="E563" s="9" t="s">
        <v>73</v>
      </c>
      <c r="F563" s="9" t="s">
        <v>13</v>
      </c>
      <c r="G563" s="10"/>
      <c r="H563" s="11" t="n">
        <v>95</v>
      </c>
      <c r="I563" s="11" t="n">
        <v>108</v>
      </c>
      <c r="J563" s="11" t="s">
        <v>231</v>
      </c>
      <c r="K563" s="11" t="n">
        <v>96</v>
      </c>
    </row>
    <row r="564" customFormat="false" ht="25" hidden="false" customHeight="false" outlineLevel="0" collapsed="false">
      <c r="A564" s="1" t="n">
        <v>51</v>
      </c>
      <c r="B564" s="1" t="n">
        <v>2024</v>
      </c>
      <c r="C564" s="3" t="n">
        <v>45420</v>
      </c>
      <c r="D564" s="4" t="s">
        <v>11</v>
      </c>
      <c r="E564" s="5" t="s">
        <v>23</v>
      </c>
      <c r="F564" s="5" t="s">
        <v>13</v>
      </c>
      <c r="G564" s="7" t="n">
        <v>30</v>
      </c>
      <c r="H564" s="7" t="n">
        <v>25</v>
      </c>
      <c r="I564" s="7" t="n">
        <v>30</v>
      </c>
      <c r="J564" s="7" t="s">
        <v>85</v>
      </c>
      <c r="K564" s="7" t="n">
        <v>30</v>
      </c>
    </row>
    <row r="565" customFormat="false" ht="25" hidden="false" customHeight="false" outlineLevel="0" collapsed="false">
      <c r="A565" s="1" t="n">
        <v>51</v>
      </c>
      <c r="B565" s="1" t="n">
        <v>2024</v>
      </c>
      <c r="C565" s="3" t="n">
        <v>45420</v>
      </c>
      <c r="D565" s="8" t="s">
        <v>11</v>
      </c>
      <c r="E565" s="9" t="s">
        <v>24</v>
      </c>
      <c r="F565" s="9" t="s">
        <v>13</v>
      </c>
      <c r="G565" s="11" t="n">
        <v>84</v>
      </c>
      <c r="H565" s="11" t="n">
        <v>78</v>
      </c>
      <c r="I565" s="11" t="n">
        <v>84</v>
      </c>
      <c r="J565" s="11" t="n">
        <v>82</v>
      </c>
      <c r="K565" s="11" t="n">
        <v>84</v>
      </c>
    </row>
    <row r="566" customFormat="false" ht="25" hidden="false" customHeight="false" outlineLevel="0" collapsed="false">
      <c r="A566" s="1" t="n">
        <v>51</v>
      </c>
      <c r="B566" s="1" t="n">
        <v>2024</v>
      </c>
      <c r="C566" s="3" t="n">
        <v>45420</v>
      </c>
      <c r="D566" s="4" t="s">
        <v>11</v>
      </c>
      <c r="E566" s="5" t="s">
        <v>25</v>
      </c>
      <c r="F566" s="5" t="s">
        <v>26</v>
      </c>
      <c r="G566" s="7" t="n">
        <v>60</v>
      </c>
      <c r="H566" s="7" t="n">
        <v>60</v>
      </c>
      <c r="I566" s="7" t="n">
        <v>84</v>
      </c>
      <c r="J566" s="7" t="n">
        <v>68</v>
      </c>
      <c r="K566" s="7" t="n">
        <v>60</v>
      </c>
    </row>
    <row r="567" customFormat="false" ht="25" hidden="false" customHeight="false" outlineLevel="0" collapsed="false">
      <c r="A567" s="1" t="n">
        <v>51</v>
      </c>
      <c r="B567" s="1" t="n">
        <v>2024</v>
      </c>
      <c r="C567" s="3" t="n">
        <v>45420</v>
      </c>
      <c r="D567" s="8" t="s">
        <v>11</v>
      </c>
      <c r="E567" s="9" t="s">
        <v>27</v>
      </c>
      <c r="F567" s="9" t="s">
        <v>13</v>
      </c>
      <c r="G567" s="10"/>
      <c r="H567" s="11" t="n">
        <v>55</v>
      </c>
      <c r="I567" s="11" t="n">
        <v>84</v>
      </c>
      <c r="J567" s="11" t="s">
        <v>232</v>
      </c>
      <c r="K567" s="11" t="n">
        <v>72</v>
      </c>
    </row>
    <row r="568" customFormat="false" ht="25" hidden="false" customHeight="false" outlineLevel="0" collapsed="false">
      <c r="A568" s="1" t="n">
        <v>51</v>
      </c>
      <c r="B568" s="1" t="n">
        <v>2024</v>
      </c>
      <c r="C568" s="3" t="n">
        <v>45420</v>
      </c>
      <c r="D568" s="4" t="s">
        <v>11</v>
      </c>
      <c r="E568" s="5" t="s">
        <v>28</v>
      </c>
      <c r="F568" s="5" t="s">
        <v>13</v>
      </c>
      <c r="G568" s="6"/>
      <c r="H568" s="7" t="n">
        <v>48</v>
      </c>
      <c r="I568" s="7" t="n">
        <v>70</v>
      </c>
      <c r="J568" s="7" t="n">
        <v>56</v>
      </c>
      <c r="K568" s="7" t="n">
        <v>50</v>
      </c>
    </row>
    <row r="569" customFormat="false" ht="25" hidden="false" customHeight="false" outlineLevel="0" collapsed="false">
      <c r="A569" s="1" t="n">
        <v>51</v>
      </c>
      <c r="B569" s="1" t="n">
        <v>2024</v>
      </c>
      <c r="C569" s="3" t="n">
        <v>45420</v>
      </c>
      <c r="D569" s="8" t="s">
        <v>11</v>
      </c>
      <c r="E569" s="9" t="s">
        <v>29</v>
      </c>
      <c r="F569" s="9" t="s">
        <v>13</v>
      </c>
      <c r="G569" s="11" t="n">
        <v>54</v>
      </c>
      <c r="H569" s="11" t="n">
        <v>48</v>
      </c>
      <c r="I569" s="11" t="n">
        <v>54</v>
      </c>
      <c r="J569" s="11" t="n">
        <v>52</v>
      </c>
      <c r="K569" s="11" t="n">
        <v>54</v>
      </c>
    </row>
    <row r="570" customFormat="false" ht="25" hidden="false" customHeight="false" outlineLevel="0" collapsed="false">
      <c r="A570" s="1" t="n">
        <v>51</v>
      </c>
      <c r="B570" s="1" t="n">
        <v>2024</v>
      </c>
      <c r="C570" s="3" t="n">
        <v>45420</v>
      </c>
      <c r="D570" s="4" t="s">
        <v>30</v>
      </c>
      <c r="E570" s="5" t="s">
        <v>31</v>
      </c>
      <c r="F570" s="5" t="s">
        <v>32</v>
      </c>
      <c r="G570" s="7" t="n">
        <v>60</v>
      </c>
      <c r="H570" s="7" t="n">
        <v>60</v>
      </c>
      <c r="I570" s="7" t="n">
        <v>72</v>
      </c>
      <c r="J570" s="7" t="n">
        <v>64</v>
      </c>
      <c r="K570" s="7" t="n">
        <v>60</v>
      </c>
    </row>
    <row r="571" customFormat="false" ht="25" hidden="false" customHeight="false" outlineLevel="0" collapsed="false">
      <c r="A571" s="1" t="n">
        <v>51</v>
      </c>
      <c r="B571" s="1" t="n">
        <v>2024</v>
      </c>
      <c r="C571" s="3" t="n">
        <v>45420</v>
      </c>
      <c r="D571" s="8" t="s">
        <v>30</v>
      </c>
      <c r="E571" s="9" t="s">
        <v>34</v>
      </c>
      <c r="F571" s="9" t="s">
        <v>35</v>
      </c>
      <c r="G571" s="10"/>
      <c r="H571" s="11" t="n">
        <v>20</v>
      </c>
      <c r="I571" s="11" t="n">
        <v>30</v>
      </c>
      <c r="J571" s="11" t="n">
        <v>25</v>
      </c>
      <c r="K571" s="11" t="n">
        <v>25</v>
      </c>
    </row>
    <row r="572" customFormat="false" ht="25" hidden="false" customHeight="false" outlineLevel="0" collapsed="false">
      <c r="A572" s="1" t="n">
        <v>51</v>
      </c>
      <c r="B572" s="1" t="n">
        <v>2024</v>
      </c>
      <c r="C572" s="3" t="n">
        <v>45420</v>
      </c>
      <c r="D572" s="4" t="s">
        <v>30</v>
      </c>
      <c r="E572" s="5" t="s">
        <v>36</v>
      </c>
      <c r="F572" s="5" t="s">
        <v>35</v>
      </c>
      <c r="G572" s="7" t="n">
        <v>30</v>
      </c>
      <c r="H572" s="7" t="n">
        <v>30</v>
      </c>
      <c r="I572" s="7" t="n">
        <v>35</v>
      </c>
      <c r="J572" s="7" t="s">
        <v>108</v>
      </c>
      <c r="K572" s="7" t="n">
        <v>30</v>
      </c>
    </row>
    <row r="573" customFormat="false" ht="36.5" hidden="false" customHeight="false" outlineLevel="0" collapsed="false">
      <c r="A573" s="1" t="n">
        <v>51</v>
      </c>
      <c r="B573" s="1" t="n">
        <v>2024</v>
      </c>
      <c r="C573" s="3" t="n">
        <v>45420</v>
      </c>
      <c r="D573" s="8" t="s">
        <v>38</v>
      </c>
      <c r="E573" s="9" t="s">
        <v>153</v>
      </c>
      <c r="F573" s="9" t="s">
        <v>154</v>
      </c>
      <c r="G573" s="10"/>
      <c r="H573" s="11" t="n">
        <v>90</v>
      </c>
      <c r="I573" s="11" t="n">
        <v>90</v>
      </c>
      <c r="J573" s="11" t="n">
        <v>90</v>
      </c>
      <c r="K573" s="11" t="n">
        <v>90</v>
      </c>
    </row>
    <row r="574" customFormat="false" ht="36.5" hidden="false" customHeight="false" outlineLevel="0" collapsed="false">
      <c r="A574" s="1" t="n">
        <v>51</v>
      </c>
      <c r="B574" s="1" t="n">
        <v>2024</v>
      </c>
      <c r="C574" s="3" t="n">
        <v>45420</v>
      </c>
      <c r="D574" s="4" t="s">
        <v>38</v>
      </c>
      <c r="E574" s="5" t="s">
        <v>39</v>
      </c>
      <c r="F574" s="5" t="s">
        <v>40</v>
      </c>
      <c r="G574" s="7" t="n">
        <v>70</v>
      </c>
      <c r="H574" s="7" t="n">
        <v>60</v>
      </c>
      <c r="I574" s="7" t="n">
        <v>70</v>
      </c>
      <c r="J574" s="7" t="n">
        <v>65</v>
      </c>
      <c r="K574" s="7" t="n">
        <v>65</v>
      </c>
    </row>
    <row r="575" customFormat="false" ht="36.5" hidden="false" customHeight="false" outlineLevel="0" collapsed="false">
      <c r="A575" s="1" t="n">
        <v>51</v>
      </c>
      <c r="B575" s="1" t="n">
        <v>2024</v>
      </c>
      <c r="C575" s="3" t="n">
        <v>45420</v>
      </c>
      <c r="D575" s="8" t="s">
        <v>38</v>
      </c>
      <c r="E575" s="9" t="s">
        <v>42</v>
      </c>
      <c r="F575" s="9" t="s">
        <v>43</v>
      </c>
      <c r="G575" s="10"/>
      <c r="H575" s="11" t="n">
        <v>45</v>
      </c>
      <c r="I575" s="11" t="n">
        <v>70</v>
      </c>
      <c r="J575" s="11" t="n">
        <v>60</v>
      </c>
      <c r="K575" s="11" t="s">
        <v>80</v>
      </c>
    </row>
    <row r="576" customFormat="false" ht="36.5" hidden="false" customHeight="false" outlineLevel="0" collapsed="false">
      <c r="A576" s="1" t="n">
        <v>51</v>
      </c>
      <c r="B576" s="1" t="n">
        <v>2024</v>
      </c>
      <c r="C576" s="3" t="n">
        <v>45420</v>
      </c>
      <c r="D576" s="4" t="s">
        <v>38</v>
      </c>
      <c r="E576" s="5" t="s">
        <v>44</v>
      </c>
      <c r="F576" s="5" t="s">
        <v>45</v>
      </c>
      <c r="G576" s="7" t="n">
        <v>40</v>
      </c>
      <c r="H576" s="7" t="n">
        <v>40</v>
      </c>
      <c r="I576" s="7" t="n">
        <v>50</v>
      </c>
      <c r="J576" s="7" t="s">
        <v>233</v>
      </c>
      <c r="K576" s="7" t="s">
        <v>47</v>
      </c>
    </row>
    <row r="577" customFormat="false" ht="36.5" hidden="false" customHeight="false" outlineLevel="0" collapsed="false">
      <c r="A577" s="1" t="n">
        <v>51</v>
      </c>
      <c r="B577" s="1" t="n">
        <v>2024</v>
      </c>
      <c r="C577" s="3" t="n">
        <v>45420</v>
      </c>
      <c r="D577" s="8" t="s">
        <v>38</v>
      </c>
      <c r="E577" s="9" t="s">
        <v>48</v>
      </c>
      <c r="F577" s="9" t="s">
        <v>45</v>
      </c>
      <c r="G577" s="10"/>
      <c r="H577" s="11" t="n">
        <v>90</v>
      </c>
      <c r="I577" s="11" t="n">
        <v>110</v>
      </c>
      <c r="J577" s="11" t="n">
        <v>100</v>
      </c>
      <c r="K577" s="11" t="n">
        <v>100</v>
      </c>
    </row>
    <row r="578" customFormat="false" ht="36.5" hidden="false" customHeight="false" outlineLevel="0" collapsed="false">
      <c r="A578" s="1" t="n">
        <v>51</v>
      </c>
      <c r="B578" s="1" t="n">
        <v>2024</v>
      </c>
      <c r="C578" s="3" t="n">
        <v>45420</v>
      </c>
      <c r="D578" s="4" t="s">
        <v>38</v>
      </c>
      <c r="E578" s="5" t="s">
        <v>49</v>
      </c>
      <c r="F578" s="5" t="s">
        <v>50</v>
      </c>
      <c r="G578" s="6"/>
      <c r="H578" s="7" t="n">
        <v>100</v>
      </c>
      <c r="I578" s="7" t="n">
        <v>160</v>
      </c>
      <c r="J578" s="7" t="s">
        <v>234</v>
      </c>
      <c r="K578" s="7" t="n">
        <v>135</v>
      </c>
    </row>
    <row r="579" customFormat="false" ht="36.5" hidden="false" customHeight="false" outlineLevel="0" collapsed="false">
      <c r="A579" s="1" t="n">
        <v>51</v>
      </c>
      <c r="B579" s="1" t="n">
        <v>2024</v>
      </c>
      <c r="C579" s="3" t="n">
        <v>45420</v>
      </c>
      <c r="D579" s="8" t="s">
        <v>38</v>
      </c>
      <c r="E579" s="9" t="s">
        <v>52</v>
      </c>
      <c r="F579" s="9" t="s">
        <v>43</v>
      </c>
      <c r="G579" s="11" t="n">
        <v>160</v>
      </c>
      <c r="H579" s="11" t="n">
        <v>80</v>
      </c>
      <c r="I579" s="11" t="n">
        <v>170</v>
      </c>
      <c r="J579" s="11" t="n">
        <v>142</v>
      </c>
      <c r="K579" s="11" t="n">
        <v>160</v>
      </c>
    </row>
    <row r="580" customFormat="false" ht="36.5" hidden="false" customHeight="false" outlineLevel="0" collapsed="false">
      <c r="A580" s="1" t="n">
        <v>51</v>
      </c>
      <c r="B580" s="1" t="n">
        <v>2024</v>
      </c>
      <c r="C580" s="3" t="n">
        <v>45420</v>
      </c>
      <c r="D580" s="4" t="s">
        <v>38</v>
      </c>
      <c r="E580" s="5" t="s">
        <v>53</v>
      </c>
      <c r="F580" s="5" t="s">
        <v>43</v>
      </c>
      <c r="G580" s="7" t="n">
        <v>60</v>
      </c>
      <c r="H580" s="7" t="n">
        <v>45</v>
      </c>
      <c r="I580" s="7" t="n">
        <v>60</v>
      </c>
      <c r="J580" s="7" t="s">
        <v>235</v>
      </c>
      <c r="K580" s="7" t="n">
        <v>60</v>
      </c>
    </row>
    <row r="581" customFormat="false" ht="36.5" hidden="false" customHeight="false" outlineLevel="0" collapsed="false">
      <c r="A581" s="1" t="n">
        <v>51</v>
      </c>
      <c r="B581" s="1" t="n">
        <v>2024</v>
      </c>
      <c r="C581" s="3" t="n">
        <v>45420</v>
      </c>
      <c r="D581" s="8" t="s">
        <v>38</v>
      </c>
      <c r="E581" s="9" t="s">
        <v>54</v>
      </c>
      <c r="F581" s="9" t="s">
        <v>40</v>
      </c>
      <c r="G581" s="10"/>
      <c r="H581" s="11" t="n">
        <v>120</v>
      </c>
      <c r="I581" s="11" t="n">
        <v>120</v>
      </c>
      <c r="J581" s="11" t="n">
        <v>120</v>
      </c>
      <c r="K581" s="11" t="n">
        <v>120</v>
      </c>
    </row>
    <row r="582" customFormat="false" ht="36.5" hidden="false" customHeight="false" outlineLevel="0" collapsed="false">
      <c r="A582" s="1" t="n">
        <v>51</v>
      </c>
      <c r="B582" s="1" t="n">
        <v>2024</v>
      </c>
      <c r="C582" s="3" t="n">
        <v>45420</v>
      </c>
      <c r="D582" s="4" t="s">
        <v>38</v>
      </c>
      <c r="E582" s="5" t="s">
        <v>56</v>
      </c>
      <c r="F582" s="5" t="s">
        <v>43</v>
      </c>
      <c r="G582" s="6"/>
      <c r="H582" s="6"/>
      <c r="I582" s="6"/>
      <c r="J582" s="6"/>
      <c r="K582" s="6"/>
    </row>
    <row r="583" customFormat="false" ht="36.5" hidden="false" customHeight="false" outlineLevel="0" collapsed="false">
      <c r="A583" s="1" t="n">
        <v>51</v>
      </c>
      <c r="B583" s="1" t="n">
        <v>2024</v>
      </c>
      <c r="C583" s="3" t="n">
        <v>45420</v>
      </c>
      <c r="D583" s="8" t="s">
        <v>38</v>
      </c>
      <c r="E583" s="9" t="s">
        <v>57</v>
      </c>
      <c r="F583" s="9" t="s">
        <v>40</v>
      </c>
      <c r="G583" s="10"/>
      <c r="H583" s="11" t="n">
        <v>75</v>
      </c>
      <c r="I583" s="11" t="n">
        <v>75</v>
      </c>
      <c r="J583" s="11" t="n">
        <v>75</v>
      </c>
      <c r="K583" s="11" t="n">
        <v>75</v>
      </c>
    </row>
    <row r="584" customFormat="false" ht="36.5" hidden="false" customHeight="false" outlineLevel="0" collapsed="false">
      <c r="A584" s="1" t="n">
        <v>51</v>
      </c>
      <c r="B584" s="1" t="n">
        <v>2024</v>
      </c>
      <c r="C584" s="3" t="n">
        <v>45420</v>
      </c>
      <c r="D584" s="4" t="s">
        <v>38</v>
      </c>
      <c r="E584" s="5" t="s">
        <v>58</v>
      </c>
      <c r="F584" s="5" t="s">
        <v>40</v>
      </c>
      <c r="G584" s="6"/>
      <c r="H584" s="7" t="n">
        <v>60</v>
      </c>
      <c r="I584" s="7" t="n">
        <v>90</v>
      </c>
      <c r="J584" s="7" t="s">
        <v>155</v>
      </c>
      <c r="K584" s="7" t="s">
        <v>168</v>
      </c>
    </row>
    <row r="585" customFormat="false" ht="36.5" hidden="false" customHeight="false" outlineLevel="0" collapsed="false">
      <c r="A585" s="1" t="n">
        <v>51</v>
      </c>
      <c r="B585" s="1" t="n">
        <v>2024</v>
      </c>
      <c r="C585" s="3" t="n">
        <v>45420</v>
      </c>
      <c r="D585" s="8" t="s">
        <v>38</v>
      </c>
      <c r="E585" s="9" t="s">
        <v>59</v>
      </c>
      <c r="F585" s="9" t="s">
        <v>45</v>
      </c>
      <c r="G585" s="10"/>
      <c r="H585" s="11" t="n">
        <v>55</v>
      </c>
      <c r="I585" s="11" t="n">
        <v>75</v>
      </c>
      <c r="J585" s="11" t="n">
        <v>65</v>
      </c>
      <c r="K585" s="11" t="n">
        <v>65</v>
      </c>
    </row>
    <row r="586" customFormat="false" ht="36.5" hidden="false" customHeight="false" outlineLevel="0" collapsed="false">
      <c r="A586" s="1" t="n">
        <v>51</v>
      </c>
      <c r="B586" s="1" t="n">
        <v>2024</v>
      </c>
      <c r="C586" s="3" t="n">
        <v>45420</v>
      </c>
      <c r="D586" s="4" t="s">
        <v>38</v>
      </c>
      <c r="E586" s="5" t="s">
        <v>60</v>
      </c>
      <c r="F586" s="5" t="s">
        <v>61</v>
      </c>
      <c r="G586" s="7" t="n">
        <v>120</v>
      </c>
      <c r="H586" s="7" t="n">
        <v>120</v>
      </c>
      <c r="I586" s="7" t="n">
        <v>120</v>
      </c>
      <c r="J586" s="7" t="n">
        <v>120</v>
      </c>
      <c r="K586" s="7" t="n">
        <v>120</v>
      </c>
    </row>
    <row r="587" customFormat="false" ht="36.5" hidden="false" customHeight="false" outlineLevel="0" collapsed="false">
      <c r="A587" s="1" t="n">
        <v>51</v>
      </c>
      <c r="B587" s="1" t="n">
        <v>2024</v>
      </c>
      <c r="C587" s="3" t="n">
        <v>45420</v>
      </c>
      <c r="D587" s="8" t="s">
        <v>38</v>
      </c>
      <c r="E587" s="9" t="s">
        <v>63</v>
      </c>
      <c r="F587" s="9" t="s">
        <v>40</v>
      </c>
      <c r="G587" s="10"/>
      <c r="H587" s="11" t="n">
        <v>110</v>
      </c>
      <c r="I587" s="11" t="n">
        <v>160</v>
      </c>
      <c r="J587" s="11" t="n">
        <v>140</v>
      </c>
      <c r="K587" s="11" t="n">
        <v>145</v>
      </c>
    </row>
    <row r="588" customFormat="false" ht="36.5" hidden="false" customHeight="false" outlineLevel="0" collapsed="false">
      <c r="A588" s="1" t="n">
        <v>51</v>
      </c>
      <c r="B588" s="1" t="n">
        <v>2024</v>
      </c>
      <c r="C588" s="3" t="n">
        <v>45420</v>
      </c>
      <c r="D588" s="4" t="s">
        <v>38</v>
      </c>
      <c r="E588" s="5" t="s">
        <v>64</v>
      </c>
      <c r="F588" s="5" t="s">
        <v>40</v>
      </c>
      <c r="G588" s="6"/>
      <c r="H588" s="7" t="n">
        <v>110</v>
      </c>
      <c r="I588" s="7" t="n">
        <v>180</v>
      </c>
      <c r="J588" s="7" t="n">
        <v>145</v>
      </c>
      <c r="K588" s="7" t="n">
        <v>145</v>
      </c>
    </row>
    <row r="589" customFormat="false" ht="14.25" hidden="false" customHeight="false" outlineLevel="0" collapsed="false">
      <c r="A589" s="1" t="n">
        <v>51</v>
      </c>
      <c r="B589" s="1" t="n">
        <v>2024</v>
      </c>
      <c r="C589" s="3" t="n">
        <v>45420</v>
      </c>
      <c r="D589" s="8" t="s">
        <v>65</v>
      </c>
      <c r="E589" s="9" t="s">
        <v>66</v>
      </c>
      <c r="F589" s="9" t="s">
        <v>45</v>
      </c>
      <c r="G589" s="10"/>
      <c r="H589" s="11" t="n">
        <v>110</v>
      </c>
      <c r="I589" s="11" t="n">
        <v>110</v>
      </c>
      <c r="J589" s="11" t="n">
        <v>110</v>
      </c>
      <c r="K589" s="11" t="n">
        <v>110</v>
      </c>
    </row>
    <row r="590" customFormat="false" ht="14.25" hidden="false" customHeight="false" outlineLevel="0" collapsed="false">
      <c r="A590" s="1" t="n">
        <v>51</v>
      </c>
      <c r="B590" s="1" t="n">
        <v>2024</v>
      </c>
      <c r="C590" s="3" t="n">
        <v>45420</v>
      </c>
      <c r="D590" s="4" t="s">
        <v>65</v>
      </c>
      <c r="E590" s="5" t="s">
        <v>67</v>
      </c>
      <c r="F590" s="5" t="s">
        <v>45</v>
      </c>
      <c r="G590" s="7" t="n">
        <v>70</v>
      </c>
      <c r="H590" s="7" t="n">
        <v>70</v>
      </c>
      <c r="I590" s="7" t="n">
        <v>70</v>
      </c>
      <c r="J590" s="7" t="n">
        <v>70</v>
      </c>
      <c r="K590" s="7" t="n">
        <v>70</v>
      </c>
    </row>
    <row r="591" customFormat="false" ht="14.25" hidden="false" customHeight="false" outlineLevel="0" collapsed="false">
      <c r="A591" s="1" t="n">
        <v>51</v>
      </c>
      <c r="B591" s="1" t="n">
        <v>2024</v>
      </c>
      <c r="C591" s="3" t="n">
        <v>45420</v>
      </c>
      <c r="D591" s="8" t="s">
        <v>65</v>
      </c>
      <c r="E591" s="9" t="s">
        <v>68</v>
      </c>
      <c r="F591" s="9" t="s">
        <v>45</v>
      </c>
      <c r="G591" s="10"/>
      <c r="H591" s="11" t="n">
        <v>50</v>
      </c>
      <c r="I591" s="11" t="n">
        <v>60</v>
      </c>
      <c r="J591" s="11" t="n">
        <v>55</v>
      </c>
      <c r="K591" s="11" t="n">
        <v>55</v>
      </c>
    </row>
    <row r="592" customFormat="false" ht="14.25" hidden="false" customHeight="false" outlineLevel="0" collapsed="false">
      <c r="A592" s="1" t="n">
        <v>51</v>
      </c>
      <c r="B592" s="1" t="n">
        <v>2024</v>
      </c>
      <c r="C592" s="3" t="n">
        <v>45420</v>
      </c>
      <c r="D592" s="4" t="s">
        <v>65</v>
      </c>
      <c r="E592" s="5" t="s">
        <v>69</v>
      </c>
      <c r="F592" s="5" t="s">
        <v>45</v>
      </c>
      <c r="G592" s="6"/>
      <c r="H592" s="7" t="n">
        <v>55</v>
      </c>
      <c r="I592" s="7" t="n">
        <v>55</v>
      </c>
      <c r="J592" s="7" t="n">
        <v>55</v>
      </c>
      <c r="K592" s="7" t="n">
        <v>55</v>
      </c>
    </row>
    <row r="593" customFormat="false" ht="14.25" hidden="false" customHeight="false" outlineLevel="0" collapsed="false">
      <c r="A593" s="1" t="n">
        <v>51</v>
      </c>
      <c r="B593" s="1" t="n">
        <v>2024</v>
      </c>
      <c r="C593" s="3" t="n">
        <v>45420</v>
      </c>
      <c r="D593" s="8" t="s">
        <v>65</v>
      </c>
      <c r="E593" s="9" t="s">
        <v>70</v>
      </c>
      <c r="F593" s="9" t="s">
        <v>71</v>
      </c>
      <c r="G593" s="10"/>
      <c r="H593" s="11" t="n">
        <v>40</v>
      </c>
      <c r="I593" s="11" t="n">
        <v>55</v>
      </c>
      <c r="J593" s="11" t="s">
        <v>91</v>
      </c>
      <c r="K593" s="11" t="s">
        <v>91</v>
      </c>
    </row>
    <row r="594" customFormat="false" ht="25" hidden="false" customHeight="false" outlineLevel="0" collapsed="false">
      <c r="A594" s="1" t="n">
        <v>52</v>
      </c>
      <c r="B594" s="1" t="n">
        <v>2024</v>
      </c>
      <c r="C594" s="3" t="n">
        <v>45427</v>
      </c>
      <c r="D594" s="4" t="s">
        <v>11</v>
      </c>
      <c r="E594" s="5" t="s">
        <v>12</v>
      </c>
      <c r="F594" s="5" t="s">
        <v>13</v>
      </c>
      <c r="G594" s="6"/>
      <c r="H594" s="7" t="n">
        <v>60</v>
      </c>
      <c r="I594" s="7" t="n">
        <v>72</v>
      </c>
      <c r="J594" s="7" t="n">
        <v>66</v>
      </c>
      <c r="K594" s="7" t="n">
        <v>66</v>
      </c>
    </row>
    <row r="595" customFormat="false" ht="25" hidden="false" customHeight="false" outlineLevel="0" collapsed="false">
      <c r="A595" s="1" t="n">
        <v>52</v>
      </c>
      <c r="B595" s="1" t="n">
        <v>2024</v>
      </c>
      <c r="C595" s="3" t="n">
        <v>45427</v>
      </c>
      <c r="D595" s="8" t="s">
        <v>11</v>
      </c>
      <c r="E595" s="9" t="s">
        <v>14</v>
      </c>
      <c r="F595" s="9" t="s">
        <v>13</v>
      </c>
      <c r="G595" s="11" t="n">
        <v>84</v>
      </c>
      <c r="H595" s="11" t="n">
        <v>72</v>
      </c>
      <c r="I595" s="11" t="n">
        <v>84</v>
      </c>
      <c r="J595" s="11" t="n">
        <v>80</v>
      </c>
      <c r="K595" s="11" t="n">
        <v>84</v>
      </c>
    </row>
    <row r="596" customFormat="false" ht="25" hidden="false" customHeight="false" outlineLevel="0" collapsed="false">
      <c r="A596" s="1" t="n">
        <v>52</v>
      </c>
      <c r="B596" s="1" t="n">
        <v>2024</v>
      </c>
      <c r="C596" s="3" t="n">
        <v>45427</v>
      </c>
      <c r="D596" s="4" t="s">
        <v>11</v>
      </c>
      <c r="E596" s="5" t="s">
        <v>15</v>
      </c>
      <c r="F596" s="5" t="s">
        <v>13</v>
      </c>
      <c r="G596" s="6"/>
      <c r="H596" s="7" t="n">
        <v>42</v>
      </c>
      <c r="I596" s="7" t="n">
        <v>54</v>
      </c>
      <c r="J596" s="7" t="n">
        <v>47</v>
      </c>
      <c r="K596" s="7" t="n">
        <v>45</v>
      </c>
    </row>
    <row r="597" customFormat="false" ht="25" hidden="false" customHeight="false" outlineLevel="0" collapsed="false">
      <c r="A597" s="1" t="n">
        <v>52</v>
      </c>
      <c r="B597" s="1" t="n">
        <v>2024</v>
      </c>
      <c r="C597" s="3" t="n">
        <v>45427</v>
      </c>
      <c r="D597" s="8" t="s">
        <v>11</v>
      </c>
      <c r="E597" s="9" t="s">
        <v>16</v>
      </c>
      <c r="F597" s="9" t="s">
        <v>13</v>
      </c>
      <c r="G597" s="11" t="n">
        <v>24</v>
      </c>
      <c r="H597" s="11" t="n">
        <v>20</v>
      </c>
      <c r="I597" s="11" t="n">
        <v>33</v>
      </c>
      <c r="J597" s="11" t="s">
        <v>236</v>
      </c>
      <c r="K597" s="11" t="n">
        <v>24</v>
      </c>
    </row>
    <row r="598" customFormat="false" ht="25" hidden="false" customHeight="false" outlineLevel="0" collapsed="false">
      <c r="A598" s="1" t="n">
        <v>52</v>
      </c>
      <c r="B598" s="1" t="n">
        <v>2024</v>
      </c>
      <c r="C598" s="3" t="n">
        <v>45427</v>
      </c>
      <c r="D598" s="4" t="s">
        <v>11</v>
      </c>
      <c r="E598" s="5" t="s">
        <v>17</v>
      </c>
      <c r="F598" s="5" t="s">
        <v>13</v>
      </c>
      <c r="G598" s="6"/>
      <c r="H598" s="7" t="n">
        <v>20</v>
      </c>
      <c r="I598" s="7" t="n">
        <v>33</v>
      </c>
      <c r="J598" s="7" t="s">
        <v>237</v>
      </c>
      <c r="K598" s="7" t="n">
        <v>24</v>
      </c>
    </row>
    <row r="599" customFormat="false" ht="25" hidden="false" customHeight="false" outlineLevel="0" collapsed="false">
      <c r="A599" s="1" t="n">
        <v>52</v>
      </c>
      <c r="B599" s="1" t="n">
        <v>2024</v>
      </c>
      <c r="C599" s="3" t="n">
        <v>45427</v>
      </c>
      <c r="D599" s="8" t="s">
        <v>11</v>
      </c>
      <c r="E599" s="9" t="s">
        <v>18</v>
      </c>
      <c r="F599" s="9" t="s">
        <v>13</v>
      </c>
      <c r="G599" s="11" t="n">
        <v>60</v>
      </c>
      <c r="H599" s="11" t="n">
        <v>60</v>
      </c>
      <c r="I599" s="11" t="n">
        <v>60</v>
      </c>
      <c r="J599" s="11" t="n">
        <v>60</v>
      </c>
      <c r="K599" s="11" t="n">
        <v>60</v>
      </c>
    </row>
    <row r="600" customFormat="false" ht="25" hidden="false" customHeight="false" outlineLevel="0" collapsed="false">
      <c r="A600" s="1" t="n">
        <v>52</v>
      </c>
      <c r="B600" s="1" t="n">
        <v>2024</v>
      </c>
      <c r="C600" s="3" t="n">
        <v>45427</v>
      </c>
      <c r="D600" s="4" t="s">
        <v>11</v>
      </c>
      <c r="E600" s="5" t="s">
        <v>19</v>
      </c>
      <c r="F600" s="5" t="s">
        <v>13</v>
      </c>
      <c r="G600" s="7" t="n">
        <v>72</v>
      </c>
      <c r="H600" s="7" t="n">
        <v>72</v>
      </c>
      <c r="I600" s="7" t="n">
        <v>84</v>
      </c>
      <c r="J600" s="7" t="n">
        <v>76</v>
      </c>
      <c r="K600" s="7" t="n">
        <v>72</v>
      </c>
    </row>
    <row r="601" customFormat="false" ht="25" hidden="false" customHeight="false" outlineLevel="0" collapsed="false">
      <c r="A601" s="1" t="n">
        <v>52</v>
      </c>
      <c r="B601" s="1" t="n">
        <v>2024</v>
      </c>
      <c r="C601" s="3" t="n">
        <v>45427</v>
      </c>
      <c r="D601" s="8" t="s">
        <v>11</v>
      </c>
      <c r="E601" s="9" t="s">
        <v>20</v>
      </c>
      <c r="F601" s="9" t="s">
        <v>13</v>
      </c>
      <c r="G601" s="10"/>
      <c r="H601" s="11" t="n">
        <v>84</v>
      </c>
      <c r="I601" s="11" t="n">
        <v>96</v>
      </c>
      <c r="J601" s="11" t="s">
        <v>230</v>
      </c>
      <c r="K601" s="11" t="n">
        <v>95</v>
      </c>
    </row>
    <row r="602" customFormat="false" ht="25" hidden="false" customHeight="false" outlineLevel="0" collapsed="false">
      <c r="A602" s="1" t="n">
        <v>52</v>
      </c>
      <c r="B602" s="1" t="n">
        <v>2024</v>
      </c>
      <c r="C602" s="3" t="n">
        <v>45427</v>
      </c>
      <c r="D602" s="4" t="s">
        <v>11</v>
      </c>
      <c r="E602" s="5" t="s">
        <v>21</v>
      </c>
      <c r="F602" s="5" t="s">
        <v>13</v>
      </c>
      <c r="G602" s="7" t="n">
        <v>24</v>
      </c>
      <c r="H602" s="7" t="n">
        <v>6</v>
      </c>
      <c r="I602" s="7" t="n">
        <v>30</v>
      </c>
      <c r="J602" s="7" t="n">
        <v>21</v>
      </c>
      <c r="K602" s="7" t="n">
        <v>24</v>
      </c>
    </row>
    <row r="603" customFormat="false" ht="25" hidden="false" customHeight="false" outlineLevel="0" collapsed="false">
      <c r="A603" s="1" t="n">
        <v>52</v>
      </c>
      <c r="B603" s="1" t="n">
        <v>2024</v>
      </c>
      <c r="C603" s="3" t="n">
        <v>45427</v>
      </c>
      <c r="D603" s="8" t="s">
        <v>11</v>
      </c>
      <c r="E603" s="9" t="s">
        <v>73</v>
      </c>
      <c r="F603" s="9" t="s">
        <v>13</v>
      </c>
      <c r="G603" s="11" t="n">
        <v>96</v>
      </c>
      <c r="H603" s="11" t="n">
        <v>90</v>
      </c>
      <c r="I603" s="11" t="n">
        <v>96</v>
      </c>
      <c r="J603" s="11" t="n">
        <v>94</v>
      </c>
      <c r="K603" s="11" t="n">
        <v>96</v>
      </c>
    </row>
    <row r="604" customFormat="false" ht="25" hidden="false" customHeight="false" outlineLevel="0" collapsed="false">
      <c r="A604" s="1" t="n">
        <v>52</v>
      </c>
      <c r="B604" s="1" t="n">
        <v>2024</v>
      </c>
      <c r="C604" s="3" t="n">
        <v>45427</v>
      </c>
      <c r="D604" s="4" t="s">
        <v>11</v>
      </c>
      <c r="E604" s="5" t="s">
        <v>23</v>
      </c>
      <c r="F604" s="5" t="s">
        <v>13</v>
      </c>
      <c r="G604" s="6"/>
      <c r="H604" s="7" t="n">
        <v>20</v>
      </c>
      <c r="I604" s="7" t="n">
        <v>33</v>
      </c>
      <c r="J604" s="7" t="s">
        <v>220</v>
      </c>
      <c r="K604" s="7" t="n">
        <v>30</v>
      </c>
    </row>
    <row r="605" customFormat="false" ht="25" hidden="false" customHeight="false" outlineLevel="0" collapsed="false">
      <c r="A605" s="1" t="n">
        <v>52</v>
      </c>
      <c r="B605" s="1" t="n">
        <v>2024</v>
      </c>
      <c r="C605" s="3" t="n">
        <v>45427</v>
      </c>
      <c r="D605" s="8" t="s">
        <v>11</v>
      </c>
      <c r="E605" s="9" t="s">
        <v>24</v>
      </c>
      <c r="F605" s="9" t="s">
        <v>13</v>
      </c>
      <c r="G605" s="11" t="n">
        <v>78</v>
      </c>
      <c r="H605" s="11" t="n">
        <v>78</v>
      </c>
      <c r="I605" s="11" t="n">
        <v>84</v>
      </c>
      <c r="J605" s="11" t="n">
        <v>80</v>
      </c>
      <c r="K605" s="11" t="n">
        <v>78</v>
      </c>
    </row>
    <row r="606" customFormat="false" ht="25" hidden="false" customHeight="false" outlineLevel="0" collapsed="false">
      <c r="A606" s="1" t="n">
        <v>52</v>
      </c>
      <c r="B606" s="1" t="n">
        <v>2024</v>
      </c>
      <c r="C606" s="3" t="n">
        <v>45427</v>
      </c>
      <c r="D606" s="4" t="s">
        <v>11</v>
      </c>
      <c r="E606" s="5" t="s">
        <v>25</v>
      </c>
      <c r="F606" s="5" t="s">
        <v>26</v>
      </c>
      <c r="G606" s="7" t="n">
        <v>72</v>
      </c>
      <c r="H606" s="7" t="n">
        <v>72</v>
      </c>
      <c r="I606" s="7" t="n">
        <v>78</v>
      </c>
      <c r="J606" s="7" t="n">
        <v>74</v>
      </c>
      <c r="K606" s="7" t="n">
        <v>72</v>
      </c>
    </row>
    <row r="607" customFormat="false" ht="25" hidden="false" customHeight="false" outlineLevel="0" collapsed="false">
      <c r="A607" s="1" t="n">
        <v>52</v>
      </c>
      <c r="B607" s="1" t="n">
        <v>2024</v>
      </c>
      <c r="C607" s="3" t="n">
        <v>45427</v>
      </c>
      <c r="D607" s="8" t="s">
        <v>11</v>
      </c>
      <c r="E607" s="9" t="s">
        <v>27</v>
      </c>
      <c r="F607" s="9" t="s">
        <v>13</v>
      </c>
      <c r="G607" s="10"/>
      <c r="H607" s="11" t="n">
        <v>55</v>
      </c>
      <c r="I607" s="11" t="n">
        <v>86</v>
      </c>
      <c r="J607" s="11" t="n">
        <v>75</v>
      </c>
      <c r="K607" s="11" t="n">
        <v>84</v>
      </c>
    </row>
    <row r="608" customFormat="false" ht="25" hidden="false" customHeight="false" outlineLevel="0" collapsed="false">
      <c r="A608" s="1" t="n">
        <v>52</v>
      </c>
      <c r="B608" s="1" t="n">
        <v>2024</v>
      </c>
      <c r="C608" s="3" t="n">
        <v>45427</v>
      </c>
      <c r="D608" s="4" t="s">
        <v>11</v>
      </c>
      <c r="E608" s="5" t="s">
        <v>28</v>
      </c>
      <c r="F608" s="5" t="s">
        <v>13</v>
      </c>
      <c r="G608" s="7" t="n">
        <v>60</v>
      </c>
      <c r="H608" s="7" t="n">
        <v>50</v>
      </c>
      <c r="I608" s="7" t="n">
        <v>72</v>
      </c>
      <c r="J608" s="7" t="s">
        <v>238</v>
      </c>
      <c r="K608" s="7" t="n">
        <v>60</v>
      </c>
    </row>
    <row r="609" customFormat="false" ht="25" hidden="false" customHeight="false" outlineLevel="0" collapsed="false">
      <c r="A609" s="1" t="n">
        <v>52</v>
      </c>
      <c r="B609" s="1" t="n">
        <v>2024</v>
      </c>
      <c r="C609" s="3" t="n">
        <v>45427</v>
      </c>
      <c r="D609" s="8" t="s">
        <v>11</v>
      </c>
      <c r="E609" s="9" t="s">
        <v>29</v>
      </c>
      <c r="F609" s="9" t="s">
        <v>13</v>
      </c>
      <c r="G609" s="11" t="n">
        <v>54</v>
      </c>
      <c r="H609" s="11" t="n">
        <v>48</v>
      </c>
      <c r="I609" s="11" t="n">
        <v>54</v>
      </c>
      <c r="J609" s="11" t="n">
        <v>52</v>
      </c>
      <c r="K609" s="11" t="n">
        <v>54</v>
      </c>
    </row>
    <row r="610" customFormat="false" ht="25" hidden="false" customHeight="false" outlineLevel="0" collapsed="false">
      <c r="A610" s="1" t="n">
        <v>52</v>
      </c>
      <c r="B610" s="1" t="n">
        <v>2024</v>
      </c>
      <c r="C610" s="3" t="n">
        <v>45427</v>
      </c>
      <c r="D610" s="4" t="s">
        <v>30</v>
      </c>
      <c r="E610" s="5" t="s">
        <v>31</v>
      </c>
      <c r="F610" s="5" t="s">
        <v>32</v>
      </c>
      <c r="G610" s="7" t="n">
        <v>5</v>
      </c>
      <c r="H610" s="7" t="n">
        <v>5</v>
      </c>
      <c r="I610" s="7" t="n">
        <v>5</v>
      </c>
      <c r="J610" s="7" t="n">
        <v>5</v>
      </c>
      <c r="K610" s="7" t="n">
        <v>5</v>
      </c>
    </row>
    <row r="611" customFormat="false" ht="25" hidden="false" customHeight="false" outlineLevel="0" collapsed="false">
      <c r="A611" s="1" t="n">
        <v>52</v>
      </c>
      <c r="B611" s="1" t="n">
        <v>2024</v>
      </c>
      <c r="C611" s="3" t="n">
        <v>45427</v>
      </c>
      <c r="D611" s="8" t="s">
        <v>30</v>
      </c>
      <c r="E611" s="9" t="s">
        <v>34</v>
      </c>
      <c r="F611" s="9" t="s">
        <v>35</v>
      </c>
      <c r="G611" s="11" t="n">
        <v>25</v>
      </c>
      <c r="H611" s="11" t="n">
        <v>25</v>
      </c>
      <c r="I611" s="11" t="n">
        <v>28</v>
      </c>
      <c r="J611" s="11" t="n">
        <v>26</v>
      </c>
      <c r="K611" s="11" t="n">
        <v>25</v>
      </c>
    </row>
    <row r="612" customFormat="false" ht="25" hidden="false" customHeight="false" outlineLevel="0" collapsed="false">
      <c r="A612" s="1" t="n">
        <v>52</v>
      </c>
      <c r="B612" s="1" t="n">
        <v>2024</v>
      </c>
      <c r="C612" s="3" t="n">
        <v>45427</v>
      </c>
      <c r="D612" s="4" t="s">
        <v>30</v>
      </c>
      <c r="E612" s="5" t="s">
        <v>36</v>
      </c>
      <c r="F612" s="5" t="s">
        <v>35</v>
      </c>
      <c r="G612" s="7" t="n">
        <v>30</v>
      </c>
      <c r="H612" s="7" t="n">
        <v>30</v>
      </c>
      <c r="I612" s="7" t="n">
        <v>35</v>
      </c>
      <c r="J612" s="7" t="s">
        <v>108</v>
      </c>
      <c r="K612" s="7" t="n">
        <v>30</v>
      </c>
    </row>
    <row r="613" customFormat="false" ht="36.5" hidden="false" customHeight="false" outlineLevel="0" collapsed="false">
      <c r="A613" s="1" t="n">
        <v>52</v>
      </c>
      <c r="B613" s="1" t="n">
        <v>2024</v>
      </c>
      <c r="C613" s="3" t="n">
        <v>45427</v>
      </c>
      <c r="D613" s="8" t="s">
        <v>38</v>
      </c>
      <c r="E613" s="9" t="s">
        <v>153</v>
      </c>
      <c r="F613" s="9" t="s">
        <v>154</v>
      </c>
      <c r="G613" s="10"/>
      <c r="H613" s="11" t="n">
        <v>85</v>
      </c>
      <c r="I613" s="11" t="n">
        <v>90</v>
      </c>
      <c r="J613" s="11" t="s">
        <v>239</v>
      </c>
      <c r="K613" s="11" t="s">
        <v>239</v>
      </c>
    </row>
    <row r="614" customFormat="false" ht="36.5" hidden="false" customHeight="false" outlineLevel="0" collapsed="false">
      <c r="A614" s="1" t="n">
        <v>52</v>
      </c>
      <c r="B614" s="1" t="n">
        <v>2024</v>
      </c>
      <c r="C614" s="3" t="n">
        <v>45427</v>
      </c>
      <c r="D614" s="4" t="s">
        <v>38</v>
      </c>
      <c r="E614" s="5" t="s">
        <v>39</v>
      </c>
      <c r="F614" s="5" t="s">
        <v>40</v>
      </c>
      <c r="G614" s="7" t="n">
        <v>50</v>
      </c>
      <c r="H614" s="7" t="n">
        <v>50</v>
      </c>
      <c r="I614" s="7" t="n">
        <v>80</v>
      </c>
      <c r="J614" s="7" t="n">
        <v>60</v>
      </c>
      <c r="K614" s="7" t="n">
        <v>55</v>
      </c>
    </row>
    <row r="615" customFormat="false" ht="36.5" hidden="false" customHeight="false" outlineLevel="0" collapsed="false">
      <c r="A615" s="1" t="n">
        <v>52</v>
      </c>
      <c r="B615" s="1" t="n">
        <v>2024</v>
      </c>
      <c r="C615" s="3" t="n">
        <v>45427</v>
      </c>
      <c r="D615" s="8" t="s">
        <v>38</v>
      </c>
      <c r="E615" s="9" t="s">
        <v>42</v>
      </c>
      <c r="F615" s="9" t="s">
        <v>43</v>
      </c>
      <c r="G615" s="11" t="n">
        <v>70</v>
      </c>
      <c r="H615" s="11" t="n">
        <v>45</v>
      </c>
      <c r="I615" s="11" t="n">
        <v>70</v>
      </c>
      <c r="J615" s="11" t="s">
        <v>101</v>
      </c>
      <c r="K615" s="11" t="n">
        <v>60</v>
      </c>
    </row>
    <row r="616" customFormat="false" ht="36.5" hidden="false" customHeight="false" outlineLevel="0" collapsed="false">
      <c r="A616" s="1" t="n">
        <v>52</v>
      </c>
      <c r="B616" s="1" t="n">
        <v>2024</v>
      </c>
      <c r="C616" s="3" t="n">
        <v>45427</v>
      </c>
      <c r="D616" s="4" t="s">
        <v>38</v>
      </c>
      <c r="E616" s="5" t="s">
        <v>44</v>
      </c>
      <c r="F616" s="5" t="s">
        <v>45</v>
      </c>
      <c r="G616" s="6"/>
      <c r="H616" s="7" t="n">
        <v>35</v>
      </c>
      <c r="I616" s="7" t="n">
        <v>60</v>
      </c>
      <c r="J616" s="7" t="s">
        <v>91</v>
      </c>
      <c r="K616" s="7" t="s">
        <v>91</v>
      </c>
    </row>
    <row r="617" customFormat="false" ht="36.5" hidden="false" customHeight="false" outlineLevel="0" collapsed="false">
      <c r="A617" s="1" t="n">
        <v>52</v>
      </c>
      <c r="B617" s="1" t="n">
        <v>2024</v>
      </c>
      <c r="C617" s="3" t="n">
        <v>45427</v>
      </c>
      <c r="D617" s="8" t="s">
        <v>38</v>
      </c>
      <c r="E617" s="9" t="s">
        <v>48</v>
      </c>
      <c r="F617" s="9" t="s">
        <v>45</v>
      </c>
      <c r="G617" s="11" t="n">
        <v>110</v>
      </c>
      <c r="H617" s="11" t="n">
        <v>110</v>
      </c>
      <c r="I617" s="11" t="n">
        <v>110</v>
      </c>
      <c r="J617" s="11" t="n">
        <v>110</v>
      </c>
      <c r="K617" s="11" t="n">
        <v>110</v>
      </c>
    </row>
    <row r="618" customFormat="false" ht="36.5" hidden="false" customHeight="false" outlineLevel="0" collapsed="false">
      <c r="A618" s="1" t="n">
        <v>52</v>
      </c>
      <c r="B618" s="1" t="n">
        <v>2024</v>
      </c>
      <c r="C618" s="3" t="n">
        <v>45427</v>
      </c>
      <c r="D618" s="4" t="s">
        <v>38</v>
      </c>
      <c r="E618" s="5" t="s">
        <v>49</v>
      </c>
      <c r="F618" s="5" t="s">
        <v>50</v>
      </c>
      <c r="G618" s="6"/>
      <c r="H618" s="7" t="n">
        <v>90</v>
      </c>
      <c r="I618" s="7" t="n">
        <v>160</v>
      </c>
      <c r="J618" s="7" t="s">
        <v>240</v>
      </c>
      <c r="K618" s="7" t="n">
        <v>130</v>
      </c>
    </row>
    <row r="619" customFormat="false" ht="36.5" hidden="false" customHeight="false" outlineLevel="0" collapsed="false">
      <c r="A619" s="1" t="n">
        <v>52</v>
      </c>
      <c r="B619" s="1" t="n">
        <v>2024</v>
      </c>
      <c r="C619" s="3" t="n">
        <v>45427</v>
      </c>
      <c r="D619" s="8" t="s">
        <v>38</v>
      </c>
      <c r="E619" s="9" t="s">
        <v>52</v>
      </c>
      <c r="F619" s="9" t="s">
        <v>43</v>
      </c>
      <c r="G619" s="10"/>
      <c r="H619" s="11" t="n">
        <v>100</v>
      </c>
      <c r="I619" s="11" t="n">
        <v>170</v>
      </c>
      <c r="J619" s="11" t="s">
        <v>170</v>
      </c>
      <c r="K619" s="11" t="n">
        <v>140</v>
      </c>
    </row>
    <row r="620" customFormat="false" ht="36.5" hidden="false" customHeight="false" outlineLevel="0" collapsed="false">
      <c r="A620" s="1" t="n">
        <v>52</v>
      </c>
      <c r="B620" s="1" t="n">
        <v>2024</v>
      </c>
      <c r="C620" s="3" t="n">
        <v>45427</v>
      </c>
      <c r="D620" s="4" t="s">
        <v>38</v>
      </c>
      <c r="E620" s="5" t="s">
        <v>53</v>
      </c>
      <c r="F620" s="5" t="s">
        <v>43</v>
      </c>
      <c r="G620" s="7" t="n">
        <v>60</v>
      </c>
      <c r="H620" s="7" t="n">
        <v>50</v>
      </c>
      <c r="I620" s="7" t="n">
        <v>60</v>
      </c>
      <c r="J620" s="7" t="s">
        <v>41</v>
      </c>
      <c r="K620" s="7" t="n">
        <v>60</v>
      </c>
    </row>
    <row r="621" customFormat="false" ht="36.5" hidden="false" customHeight="false" outlineLevel="0" collapsed="false">
      <c r="A621" s="1" t="n">
        <v>52</v>
      </c>
      <c r="B621" s="1" t="n">
        <v>2024</v>
      </c>
      <c r="C621" s="3" t="n">
        <v>45427</v>
      </c>
      <c r="D621" s="8" t="s">
        <v>38</v>
      </c>
      <c r="E621" s="9" t="s">
        <v>54</v>
      </c>
      <c r="F621" s="9" t="s">
        <v>40</v>
      </c>
      <c r="G621" s="10"/>
      <c r="H621" s="11" t="n">
        <v>60</v>
      </c>
      <c r="I621" s="11" t="n">
        <v>110</v>
      </c>
      <c r="J621" s="11" t="n">
        <v>90</v>
      </c>
      <c r="K621" s="11" t="n">
        <v>95</v>
      </c>
    </row>
    <row r="622" customFormat="false" ht="36.5" hidden="false" customHeight="false" outlineLevel="0" collapsed="false">
      <c r="A622" s="1" t="n">
        <v>52</v>
      </c>
      <c r="B622" s="1" t="n">
        <v>2024</v>
      </c>
      <c r="C622" s="3" t="n">
        <v>45427</v>
      </c>
      <c r="D622" s="4" t="s">
        <v>38</v>
      </c>
      <c r="E622" s="5" t="s">
        <v>56</v>
      </c>
      <c r="F622" s="5" t="s">
        <v>43</v>
      </c>
      <c r="G622" s="6"/>
      <c r="H622" s="7" t="n">
        <v>80</v>
      </c>
      <c r="I622" s="7" t="n">
        <v>80</v>
      </c>
      <c r="J622" s="7" t="n">
        <v>80</v>
      </c>
      <c r="K622" s="7" t="n">
        <v>80</v>
      </c>
    </row>
    <row r="623" customFormat="false" ht="36.5" hidden="false" customHeight="false" outlineLevel="0" collapsed="false">
      <c r="A623" s="1" t="n">
        <v>52</v>
      </c>
      <c r="B623" s="1" t="n">
        <v>2024</v>
      </c>
      <c r="C623" s="3" t="n">
        <v>45427</v>
      </c>
      <c r="D623" s="8" t="s">
        <v>38</v>
      </c>
      <c r="E623" s="9" t="s">
        <v>57</v>
      </c>
      <c r="F623" s="9" t="s">
        <v>40</v>
      </c>
      <c r="G623" s="11" t="n">
        <v>60</v>
      </c>
      <c r="H623" s="11" t="n">
        <v>60</v>
      </c>
      <c r="I623" s="11" t="n">
        <v>60</v>
      </c>
      <c r="J623" s="11" t="n">
        <v>60</v>
      </c>
      <c r="K623" s="11" t="n">
        <v>60</v>
      </c>
    </row>
    <row r="624" customFormat="false" ht="36.5" hidden="false" customHeight="false" outlineLevel="0" collapsed="false">
      <c r="A624" s="1" t="n">
        <v>52</v>
      </c>
      <c r="B624" s="1" t="n">
        <v>2024</v>
      </c>
      <c r="C624" s="3" t="n">
        <v>45427</v>
      </c>
      <c r="D624" s="4" t="s">
        <v>38</v>
      </c>
      <c r="E624" s="5" t="s">
        <v>58</v>
      </c>
      <c r="F624" s="5" t="s">
        <v>40</v>
      </c>
      <c r="G624" s="7" t="n">
        <v>90</v>
      </c>
      <c r="H624" s="7" t="n">
        <v>80</v>
      </c>
      <c r="I624" s="7" t="n">
        <v>90</v>
      </c>
      <c r="J624" s="7" t="s">
        <v>239</v>
      </c>
      <c r="K624" s="7" t="n">
        <v>90</v>
      </c>
    </row>
    <row r="625" customFormat="false" ht="36.5" hidden="false" customHeight="false" outlineLevel="0" collapsed="false">
      <c r="A625" s="1" t="n">
        <v>52</v>
      </c>
      <c r="B625" s="1" t="n">
        <v>2024</v>
      </c>
      <c r="C625" s="3" t="n">
        <v>45427</v>
      </c>
      <c r="D625" s="8" t="s">
        <v>38</v>
      </c>
      <c r="E625" s="9" t="s">
        <v>59</v>
      </c>
      <c r="F625" s="9" t="s">
        <v>45</v>
      </c>
      <c r="G625" s="11" t="n">
        <v>60</v>
      </c>
      <c r="H625" s="11" t="n">
        <v>50</v>
      </c>
      <c r="I625" s="11" t="n">
        <v>60</v>
      </c>
      <c r="J625" s="11" t="n">
        <v>55</v>
      </c>
      <c r="K625" s="11" t="n">
        <v>55</v>
      </c>
    </row>
    <row r="626" customFormat="false" ht="36.5" hidden="false" customHeight="false" outlineLevel="0" collapsed="false">
      <c r="A626" s="1" t="n">
        <v>52</v>
      </c>
      <c r="B626" s="1" t="n">
        <v>2024</v>
      </c>
      <c r="C626" s="3" t="n">
        <v>45427</v>
      </c>
      <c r="D626" s="4" t="s">
        <v>38</v>
      </c>
      <c r="E626" s="5" t="s">
        <v>60</v>
      </c>
      <c r="F626" s="5" t="s">
        <v>61</v>
      </c>
      <c r="G626" s="7" t="n">
        <v>110</v>
      </c>
      <c r="H626" s="7" t="n">
        <v>90</v>
      </c>
      <c r="I626" s="7" t="n">
        <v>120</v>
      </c>
      <c r="J626" s="7" t="s">
        <v>105</v>
      </c>
      <c r="K626" s="7" t="n">
        <v>110</v>
      </c>
    </row>
    <row r="627" customFormat="false" ht="36.5" hidden="false" customHeight="false" outlineLevel="0" collapsed="false">
      <c r="A627" s="1" t="n">
        <v>52</v>
      </c>
      <c r="B627" s="1" t="n">
        <v>2024</v>
      </c>
      <c r="C627" s="3" t="n">
        <v>45427</v>
      </c>
      <c r="D627" s="8" t="s">
        <v>38</v>
      </c>
      <c r="E627" s="9" t="s">
        <v>63</v>
      </c>
      <c r="F627" s="9" t="s">
        <v>40</v>
      </c>
      <c r="G627" s="10"/>
      <c r="H627" s="11" t="n">
        <v>100</v>
      </c>
      <c r="I627" s="11" t="n">
        <v>150</v>
      </c>
      <c r="J627" s="11" t="n">
        <v>125</v>
      </c>
      <c r="K627" s="11" t="n">
        <v>125</v>
      </c>
    </row>
    <row r="628" customFormat="false" ht="36.5" hidden="false" customHeight="false" outlineLevel="0" collapsed="false">
      <c r="A628" s="1" t="n">
        <v>52</v>
      </c>
      <c r="B628" s="1" t="n">
        <v>2024</v>
      </c>
      <c r="C628" s="3" t="n">
        <v>45427</v>
      </c>
      <c r="D628" s="4" t="s">
        <v>38</v>
      </c>
      <c r="E628" s="5" t="s">
        <v>64</v>
      </c>
      <c r="F628" s="5" t="s">
        <v>40</v>
      </c>
      <c r="G628" s="6"/>
      <c r="H628" s="7" t="n">
        <v>180</v>
      </c>
      <c r="I628" s="7" t="n">
        <v>200</v>
      </c>
      <c r="J628" s="7" t="n">
        <v>190</v>
      </c>
      <c r="K628" s="7" t="n">
        <v>190</v>
      </c>
    </row>
    <row r="629" customFormat="false" ht="14.25" hidden="false" customHeight="false" outlineLevel="0" collapsed="false">
      <c r="A629" s="1" t="n">
        <v>52</v>
      </c>
      <c r="B629" s="1" t="n">
        <v>2024</v>
      </c>
      <c r="C629" s="3" t="n">
        <v>45427</v>
      </c>
      <c r="D629" s="8" t="s">
        <v>65</v>
      </c>
      <c r="E629" s="9" t="s">
        <v>66</v>
      </c>
      <c r="F629" s="9" t="s">
        <v>45</v>
      </c>
      <c r="G629" s="10"/>
      <c r="H629" s="11" t="n">
        <v>90</v>
      </c>
      <c r="I629" s="11" t="n">
        <v>90</v>
      </c>
      <c r="J629" s="11" t="n">
        <v>90</v>
      </c>
      <c r="K629" s="11" t="n">
        <v>90</v>
      </c>
    </row>
    <row r="630" customFormat="false" ht="14.25" hidden="false" customHeight="false" outlineLevel="0" collapsed="false">
      <c r="A630" s="1" t="n">
        <v>52</v>
      </c>
      <c r="B630" s="1" t="n">
        <v>2024</v>
      </c>
      <c r="C630" s="3" t="n">
        <v>45427</v>
      </c>
      <c r="D630" s="4" t="s">
        <v>65</v>
      </c>
      <c r="E630" s="5" t="s">
        <v>67</v>
      </c>
      <c r="F630" s="5" t="s">
        <v>45</v>
      </c>
      <c r="G630" s="6"/>
      <c r="H630" s="7" t="n">
        <v>70</v>
      </c>
      <c r="I630" s="7" t="n">
        <v>80</v>
      </c>
      <c r="J630" s="7" t="n">
        <v>75</v>
      </c>
      <c r="K630" s="7" t="n">
        <v>75</v>
      </c>
    </row>
    <row r="631" customFormat="false" ht="14.25" hidden="false" customHeight="false" outlineLevel="0" collapsed="false">
      <c r="A631" s="1" t="n">
        <v>52</v>
      </c>
      <c r="B631" s="1" t="n">
        <v>2024</v>
      </c>
      <c r="C631" s="3" t="n">
        <v>45427</v>
      </c>
      <c r="D631" s="8" t="s">
        <v>65</v>
      </c>
      <c r="E631" s="9" t="s">
        <v>68</v>
      </c>
      <c r="F631" s="9" t="s">
        <v>45</v>
      </c>
      <c r="G631" s="10"/>
      <c r="H631" s="11" t="n">
        <v>50</v>
      </c>
      <c r="I631" s="11" t="n">
        <v>70</v>
      </c>
      <c r="J631" s="11" t="n">
        <v>60</v>
      </c>
      <c r="K631" s="11" t="n">
        <v>60</v>
      </c>
    </row>
    <row r="632" customFormat="false" ht="14.25" hidden="false" customHeight="false" outlineLevel="0" collapsed="false">
      <c r="A632" s="1" t="n">
        <v>52</v>
      </c>
      <c r="B632" s="1" t="n">
        <v>2024</v>
      </c>
      <c r="C632" s="3" t="n">
        <v>45427</v>
      </c>
      <c r="D632" s="4" t="s">
        <v>65</v>
      </c>
      <c r="E632" s="5" t="s">
        <v>69</v>
      </c>
      <c r="F632" s="5" t="s">
        <v>45</v>
      </c>
      <c r="G632" s="6"/>
      <c r="H632" s="7" t="n">
        <v>55</v>
      </c>
      <c r="I632" s="7" t="n">
        <v>55</v>
      </c>
      <c r="J632" s="7" t="n">
        <v>55</v>
      </c>
      <c r="K632" s="7" t="n">
        <v>55</v>
      </c>
    </row>
    <row r="633" customFormat="false" ht="14.25" hidden="false" customHeight="false" outlineLevel="0" collapsed="false">
      <c r="A633" s="1" t="n">
        <v>52</v>
      </c>
      <c r="B633" s="1" t="n">
        <v>2024</v>
      </c>
      <c r="C633" s="3" t="n">
        <v>45427</v>
      </c>
      <c r="D633" s="8" t="s">
        <v>65</v>
      </c>
      <c r="E633" s="9" t="s">
        <v>70</v>
      </c>
      <c r="F633" s="9" t="s">
        <v>71</v>
      </c>
      <c r="G633" s="10"/>
      <c r="H633" s="11" t="n">
        <v>55</v>
      </c>
      <c r="I633" s="11" t="n">
        <v>60</v>
      </c>
      <c r="J633" s="11" t="s">
        <v>41</v>
      </c>
      <c r="K633" s="11" t="s">
        <v>41</v>
      </c>
    </row>
    <row r="634" customFormat="false" ht="25" hidden="false" customHeight="false" outlineLevel="0" collapsed="false">
      <c r="A634" s="1" t="n">
        <v>53</v>
      </c>
      <c r="B634" s="1" t="n">
        <v>2024</v>
      </c>
      <c r="C634" s="3" t="n">
        <v>45434</v>
      </c>
      <c r="D634" s="4" t="s">
        <v>11</v>
      </c>
      <c r="E634" s="5" t="s">
        <v>12</v>
      </c>
      <c r="F634" s="5" t="s">
        <v>13</v>
      </c>
      <c r="G634" s="7" t="n">
        <v>60</v>
      </c>
      <c r="H634" s="7" t="n">
        <v>60</v>
      </c>
      <c r="I634" s="7" t="n">
        <v>80</v>
      </c>
      <c r="J634" s="7" t="s">
        <v>102</v>
      </c>
      <c r="K634" s="7" t="n">
        <v>60</v>
      </c>
    </row>
    <row r="635" customFormat="false" ht="25" hidden="false" customHeight="false" outlineLevel="0" collapsed="false">
      <c r="A635" s="1" t="n">
        <v>53</v>
      </c>
      <c r="B635" s="1" t="n">
        <v>2024</v>
      </c>
      <c r="C635" s="3" t="n">
        <v>45434</v>
      </c>
      <c r="D635" s="8" t="s">
        <v>11</v>
      </c>
      <c r="E635" s="9" t="s">
        <v>14</v>
      </c>
      <c r="F635" s="9" t="s">
        <v>13</v>
      </c>
      <c r="G635" s="11" t="n">
        <v>84</v>
      </c>
      <c r="H635" s="11" t="n">
        <v>72</v>
      </c>
      <c r="I635" s="11" t="n">
        <v>84</v>
      </c>
      <c r="J635" s="11" t="n">
        <v>80</v>
      </c>
      <c r="K635" s="11" t="n">
        <v>84</v>
      </c>
    </row>
    <row r="636" customFormat="false" ht="25" hidden="false" customHeight="false" outlineLevel="0" collapsed="false">
      <c r="A636" s="1" t="n">
        <v>53</v>
      </c>
      <c r="B636" s="1" t="n">
        <v>2024</v>
      </c>
      <c r="C636" s="3" t="n">
        <v>45434</v>
      </c>
      <c r="D636" s="4" t="s">
        <v>11</v>
      </c>
      <c r="E636" s="5" t="s">
        <v>15</v>
      </c>
      <c r="F636" s="5" t="s">
        <v>13</v>
      </c>
      <c r="G636" s="6"/>
      <c r="H636" s="7" t="n">
        <v>36</v>
      </c>
      <c r="I636" s="7" t="n">
        <v>48</v>
      </c>
      <c r="J636" s="7" t="n">
        <v>42</v>
      </c>
      <c r="K636" s="7" t="n">
        <v>42</v>
      </c>
    </row>
    <row r="637" customFormat="false" ht="25" hidden="false" customHeight="false" outlineLevel="0" collapsed="false">
      <c r="A637" s="1" t="n">
        <v>53</v>
      </c>
      <c r="B637" s="1" t="n">
        <v>2024</v>
      </c>
      <c r="C637" s="3" t="n">
        <v>45434</v>
      </c>
      <c r="D637" s="8" t="s">
        <v>11</v>
      </c>
      <c r="E637" s="9" t="s">
        <v>16</v>
      </c>
      <c r="F637" s="9" t="s">
        <v>13</v>
      </c>
      <c r="G637" s="11" t="n">
        <v>30</v>
      </c>
      <c r="H637" s="11" t="n">
        <v>30</v>
      </c>
      <c r="I637" s="11" t="n">
        <v>30</v>
      </c>
      <c r="J637" s="11" t="n">
        <v>30</v>
      </c>
      <c r="K637" s="11" t="n">
        <v>30</v>
      </c>
    </row>
    <row r="638" customFormat="false" ht="25" hidden="false" customHeight="false" outlineLevel="0" collapsed="false">
      <c r="A638" s="1" t="n">
        <v>53</v>
      </c>
      <c r="B638" s="1" t="n">
        <v>2024</v>
      </c>
      <c r="C638" s="3" t="n">
        <v>45434</v>
      </c>
      <c r="D638" s="4" t="s">
        <v>11</v>
      </c>
      <c r="E638" s="5" t="s">
        <v>17</v>
      </c>
      <c r="F638" s="5" t="s">
        <v>13</v>
      </c>
      <c r="G638" s="7" t="n">
        <v>30</v>
      </c>
      <c r="H638" s="7" t="n">
        <v>24</v>
      </c>
      <c r="I638" s="7" t="n">
        <v>30</v>
      </c>
      <c r="J638" s="7" t="n">
        <v>28</v>
      </c>
      <c r="K638" s="7" t="n">
        <v>30</v>
      </c>
    </row>
    <row r="639" customFormat="false" ht="25" hidden="false" customHeight="false" outlineLevel="0" collapsed="false">
      <c r="A639" s="1" t="n">
        <v>53</v>
      </c>
      <c r="B639" s="1" t="n">
        <v>2024</v>
      </c>
      <c r="C639" s="3" t="n">
        <v>45434</v>
      </c>
      <c r="D639" s="8" t="s">
        <v>11</v>
      </c>
      <c r="E639" s="9" t="s">
        <v>18</v>
      </c>
      <c r="F639" s="9" t="s">
        <v>13</v>
      </c>
      <c r="G639" s="11" t="n">
        <v>60</v>
      </c>
      <c r="H639" s="11" t="n">
        <v>60</v>
      </c>
      <c r="I639" s="11" t="n">
        <v>60</v>
      </c>
      <c r="J639" s="11" t="n">
        <v>60</v>
      </c>
      <c r="K639" s="11" t="n">
        <v>60</v>
      </c>
    </row>
    <row r="640" customFormat="false" ht="25" hidden="false" customHeight="false" outlineLevel="0" collapsed="false">
      <c r="A640" s="1" t="n">
        <v>53</v>
      </c>
      <c r="B640" s="1" t="n">
        <v>2024</v>
      </c>
      <c r="C640" s="3" t="n">
        <v>45434</v>
      </c>
      <c r="D640" s="4" t="s">
        <v>11</v>
      </c>
      <c r="E640" s="5" t="s">
        <v>19</v>
      </c>
      <c r="F640" s="5" t="s">
        <v>13</v>
      </c>
      <c r="G640" s="7" t="n">
        <v>72</v>
      </c>
      <c r="H640" s="7" t="n">
        <v>72</v>
      </c>
      <c r="I640" s="7" t="n">
        <v>78</v>
      </c>
      <c r="J640" s="7" t="n">
        <v>74</v>
      </c>
      <c r="K640" s="7" t="n">
        <v>72</v>
      </c>
    </row>
    <row r="641" customFormat="false" ht="25" hidden="false" customHeight="false" outlineLevel="0" collapsed="false">
      <c r="A641" s="1" t="n">
        <v>53</v>
      </c>
      <c r="B641" s="1" t="n">
        <v>2024</v>
      </c>
      <c r="C641" s="3" t="n">
        <v>45434</v>
      </c>
      <c r="D641" s="8" t="s">
        <v>11</v>
      </c>
      <c r="E641" s="9" t="s">
        <v>20</v>
      </c>
      <c r="F641" s="9" t="s">
        <v>13</v>
      </c>
      <c r="G641" s="11" t="n">
        <v>96</v>
      </c>
      <c r="H641" s="11" t="n">
        <v>72</v>
      </c>
      <c r="I641" s="11" t="n">
        <v>96</v>
      </c>
      <c r="J641" s="11" t="n">
        <v>88</v>
      </c>
      <c r="K641" s="11" t="n">
        <v>96</v>
      </c>
    </row>
    <row r="642" customFormat="false" ht="25" hidden="false" customHeight="false" outlineLevel="0" collapsed="false">
      <c r="A642" s="1" t="n">
        <v>53</v>
      </c>
      <c r="B642" s="1" t="n">
        <v>2024</v>
      </c>
      <c r="C642" s="3" t="n">
        <v>45434</v>
      </c>
      <c r="D642" s="4" t="s">
        <v>11</v>
      </c>
      <c r="E642" s="5" t="s">
        <v>21</v>
      </c>
      <c r="F642" s="5" t="s">
        <v>13</v>
      </c>
      <c r="G642" s="7" t="n">
        <v>24</v>
      </c>
      <c r="H642" s="7" t="n">
        <v>24</v>
      </c>
      <c r="I642" s="7" t="n">
        <v>30</v>
      </c>
      <c r="J642" s="7" t="n">
        <v>26</v>
      </c>
      <c r="K642" s="7" t="n">
        <v>24</v>
      </c>
    </row>
    <row r="643" customFormat="false" ht="25" hidden="false" customHeight="false" outlineLevel="0" collapsed="false">
      <c r="A643" s="1" t="n">
        <v>53</v>
      </c>
      <c r="B643" s="1" t="n">
        <v>2024</v>
      </c>
      <c r="C643" s="3" t="n">
        <v>45434</v>
      </c>
      <c r="D643" s="8" t="s">
        <v>11</v>
      </c>
      <c r="E643" s="9" t="s">
        <v>73</v>
      </c>
      <c r="F643" s="9" t="s">
        <v>13</v>
      </c>
      <c r="G643" s="11" t="n">
        <v>72</v>
      </c>
      <c r="H643" s="11" t="n">
        <v>72</v>
      </c>
      <c r="I643" s="11" t="n">
        <v>84</v>
      </c>
      <c r="J643" s="11" t="n">
        <v>76</v>
      </c>
      <c r="K643" s="11" t="n">
        <v>72</v>
      </c>
    </row>
    <row r="644" customFormat="false" ht="25" hidden="false" customHeight="false" outlineLevel="0" collapsed="false">
      <c r="A644" s="1" t="n">
        <v>53</v>
      </c>
      <c r="B644" s="1" t="n">
        <v>2024</v>
      </c>
      <c r="C644" s="3" t="n">
        <v>45434</v>
      </c>
      <c r="D644" s="4" t="s">
        <v>11</v>
      </c>
      <c r="E644" s="5" t="s">
        <v>23</v>
      </c>
      <c r="F644" s="5" t="s">
        <v>13</v>
      </c>
      <c r="G644" s="7" t="n">
        <v>30</v>
      </c>
      <c r="H644" s="7" t="n">
        <v>30</v>
      </c>
      <c r="I644" s="7" t="n">
        <v>30</v>
      </c>
      <c r="J644" s="7" t="n">
        <v>30</v>
      </c>
      <c r="K644" s="7" t="n">
        <v>30</v>
      </c>
    </row>
    <row r="645" customFormat="false" ht="25" hidden="false" customHeight="false" outlineLevel="0" collapsed="false">
      <c r="A645" s="1" t="n">
        <v>53</v>
      </c>
      <c r="B645" s="1" t="n">
        <v>2024</v>
      </c>
      <c r="C645" s="3" t="n">
        <v>45434</v>
      </c>
      <c r="D645" s="8" t="s">
        <v>11</v>
      </c>
      <c r="E645" s="9" t="s">
        <v>24</v>
      </c>
      <c r="F645" s="9" t="s">
        <v>13</v>
      </c>
      <c r="G645" s="10"/>
      <c r="H645" s="11" t="n">
        <v>78</v>
      </c>
      <c r="I645" s="11" t="n">
        <v>96</v>
      </c>
      <c r="J645" s="11" t="n">
        <v>86</v>
      </c>
      <c r="K645" s="11" t="n">
        <v>84</v>
      </c>
    </row>
    <row r="646" customFormat="false" ht="25" hidden="false" customHeight="false" outlineLevel="0" collapsed="false">
      <c r="A646" s="1" t="n">
        <v>53</v>
      </c>
      <c r="B646" s="1" t="n">
        <v>2024</v>
      </c>
      <c r="C646" s="3" t="n">
        <v>45434</v>
      </c>
      <c r="D646" s="4" t="s">
        <v>11</v>
      </c>
      <c r="E646" s="5" t="s">
        <v>25</v>
      </c>
      <c r="F646" s="5" t="s">
        <v>26</v>
      </c>
      <c r="G646" s="7" t="n">
        <v>60</v>
      </c>
      <c r="H646" s="7" t="n">
        <v>60</v>
      </c>
      <c r="I646" s="7" t="n">
        <v>78</v>
      </c>
      <c r="J646" s="7" t="n">
        <v>66</v>
      </c>
      <c r="K646" s="7" t="n">
        <v>60</v>
      </c>
    </row>
    <row r="647" customFormat="false" ht="25" hidden="false" customHeight="false" outlineLevel="0" collapsed="false">
      <c r="A647" s="1" t="n">
        <v>53</v>
      </c>
      <c r="B647" s="1" t="n">
        <v>2024</v>
      </c>
      <c r="C647" s="3" t="n">
        <v>45434</v>
      </c>
      <c r="D647" s="8" t="s">
        <v>11</v>
      </c>
      <c r="E647" s="9" t="s">
        <v>27</v>
      </c>
      <c r="F647" s="9" t="s">
        <v>13</v>
      </c>
      <c r="G647" s="11" t="n">
        <v>84</v>
      </c>
      <c r="H647" s="11" t="n">
        <v>84</v>
      </c>
      <c r="I647" s="11" t="n">
        <v>96</v>
      </c>
      <c r="J647" s="11" t="n">
        <v>88</v>
      </c>
      <c r="K647" s="11" t="n">
        <v>84</v>
      </c>
    </row>
    <row r="648" customFormat="false" ht="25" hidden="false" customHeight="false" outlineLevel="0" collapsed="false">
      <c r="A648" s="1" t="n">
        <v>53</v>
      </c>
      <c r="B648" s="1" t="n">
        <v>2024</v>
      </c>
      <c r="C648" s="3" t="n">
        <v>45434</v>
      </c>
      <c r="D648" s="4" t="s">
        <v>11</v>
      </c>
      <c r="E648" s="5" t="s">
        <v>28</v>
      </c>
      <c r="F648" s="5" t="s">
        <v>13</v>
      </c>
      <c r="G648" s="7" t="n">
        <v>60</v>
      </c>
      <c r="H648" s="7" t="n">
        <v>60</v>
      </c>
      <c r="I648" s="7" t="n">
        <v>70</v>
      </c>
      <c r="J648" s="7" t="s">
        <v>241</v>
      </c>
      <c r="K648" s="7" t="n">
        <v>60</v>
      </c>
    </row>
    <row r="649" customFormat="false" ht="25" hidden="false" customHeight="false" outlineLevel="0" collapsed="false">
      <c r="A649" s="1" t="n">
        <v>53</v>
      </c>
      <c r="B649" s="1" t="n">
        <v>2024</v>
      </c>
      <c r="C649" s="3" t="n">
        <v>45434</v>
      </c>
      <c r="D649" s="8" t="s">
        <v>11</v>
      </c>
      <c r="E649" s="9" t="s">
        <v>29</v>
      </c>
      <c r="F649" s="9" t="s">
        <v>13</v>
      </c>
      <c r="G649" s="11" t="n">
        <v>54</v>
      </c>
      <c r="H649" s="11" t="n">
        <v>48</v>
      </c>
      <c r="I649" s="11" t="n">
        <v>54</v>
      </c>
      <c r="J649" s="11" t="n">
        <v>52</v>
      </c>
      <c r="K649" s="11" t="n">
        <v>54</v>
      </c>
    </row>
    <row r="650" customFormat="false" ht="25" hidden="false" customHeight="false" outlineLevel="0" collapsed="false">
      <c r="A650" s="1" t="n">
        <v>53</v>
      </c>
      <c r="B650" s="1" t="n">
        <v>2024</v>
      </c>
      <c r="C650" s="3" t="n">
        <v>45434</v>
      </c>
      <c r="D650" s="4" t="s">
        <v>30</v>
      </c>
      <c r="E650" s="5" t="s">
        <v>31</v>
      </c>
      <c r="F650" s="5" t="s">
        <v>32</v>
      </c>
      <c r="G650" s="7" t="n">
        <v>5</v>
      </c>
      <c r="H650" s="7" t="n">
        <v>5</v>
      </c>
      <c r="I650" s="7" t="n">
        <v>6</v>
      </c>
      <c r="J650" s="7" t="s">
        <v>242</v>
      </c>
      <c r="K650" s="7" t="n">
        <v>5</v>
      </c>
    </row>
    <row r="651" customFormat="false" ht="25" hidden="false" customHeight="false" outlineLevel="0" collapsed="false">
      <c r="A651" s="1" t="n">
        <v>53</v>
      </c>
      <c r="B651" s="1" t="n">
        <v>2024</v>
      </c>
      <c r="C651" s="3" t="n">
        <v>45434</v>
      </c>
      <c r="D651" s="8" t="s">
        <v>30</v>
      </c>
      <c r="E651" s="9" t="s">
        <v>34</v>
      </c>
      <c r="F651" s="9" t="s">
        <v>35</v>
      </c>
      <c r="G651" s="11" t="n">
        <v>25</v>
      </c>
      <c r="H651" s="11" t="n">
        <v>20</v>
      </c>
      <c r="I651" s="11" t="n">
        <v>25</v>
      </c>
      <c r="J651" s="11" t="s">
        <v>110</v>
      </c>
      <c r="K651" s="11" t="n">
        <v>25</v>
      </c>
    </row>
    <row r="652" customFormat="false" ht="25" hidden="false" customHeight="false" outlineLevel="0" collapsed="false">
      <c r="A652" s="1" t="n">
        <v>53</v>
      </c>
      <c r="B652" s="1" t="n">
        <v>2024</v>
      </c>
      <c r="C652" s="3" t="n">
        <v>45434</v>
      </c>
      <c r="D652" s="4" t="s">
        <v>30</v>
      </c>
      <c r="E652" s="5" t="s">
        <v>36</v>
      </c>
      <c r="F652" s="5" t="s">
        <v>35</v>
      </c>
      <c r="G652" s="6"/>
      <c r="H652" s="7" t="n">
        <v>25</v>
      </c>
      <c r="I652" s="7" t="n">
        <v>32</v>
      </c>
      <c r="J652" s="7" t="n">
        <v>29</v>
      </c>
      <c r="K652" s="7" t="n">
        <v>30</v>
      </c>
    </row>
    <row r="653" customFormat="false" ht="36.5" hidden="false" customHeight="false" outlineLevel="0" collapsed="false">
      <c r="A653" s="1" t="n">
        <v>53</v>
      </c>
      <c r="B653" s="1" t="n">
        <v>2024</v>
      </c>
      <c r="C653" s="3" t="n">
        <v>45434</v>
      </c>
      <c r="D653" s="8" t="s">
        <v>38</v>
      </c>
      <c r="E653" s="9" t="s">
        <v>153</v>
      </c>
      <c r="F653" s="9" t="s">
        <v>154</v>
      </c>
      <c r="G653" s="10"/>
      <c r="H653" s="11" t="n">
        <v>85</v>
      </c>
      <c r="I653" s="11" t="n">
        <v>90</v>
      </c>
      <c r="J653" s="11" t="s">
        <v>239</v>
      </c>
      <c r="K653" s="11" t="s">
        <v>239</v>
      </c>
    </row>
    <row r="654" customFormat="false" ht="36.5" hidden="false" customHeight="false" outlineLevel="0" collapsed="false">
      <c r="A654" s="1" t="n">
        <v>53</v>
      </c>
      <c r="B654" s="1" t="n">
        <v>2024</v>
      </c>
      <c r="C654" s="3" t="n">
        <v>45434</v>
      </c>
      <c r="D654" s="4" t="s">
        <v>38</v>
      </c>
      <c r="E654" s="5" t="s">
        <v>39</v>
      </c>
      <c r="F654" s="5" t="s">
        <v>40</v>
      </c>
      <c r="G654" s="7" t="n">
        <v>70</v>
      </c>
      <c r="H654" s="7" t="n">
        <v>60</v>
      </c>
      <c r="I654" s="7" t="n">
        <v>70</v>
      </c>
      <c r="J654" s="7" t="s">
        <v>84</v>
      </c>
      <c r="K654" s="7" t="n">
        <v>70</v>
      </c>
    </row>
    <row r="655" customFormat="false" ht="36.5" hidden="false" customHeight="false" outlineLevel="0" collapsed="false">
      <c r="A655" s="1" t="n">
        <v>53</v>
      </c>
      <c r="B655" s="1" t="n">
        <v>2024</v>
      </c>
      <c r="C655" s="3" t="n">
        <v>45434</v>
      </c>
      <c r="D655" s="8" t="s">
        <v>38</v>
      </c>
      <c r="E655" s="9" t="s">
        <v>42</v>
      </c>
      <c r="F655" s="9" t="s">
        <v>43</v>
      </c>
      <c r="G655" s="11" t="n">
        <v>65</v>
      </c>
      <c r="H655" s="11" t="n">
        <v>45</v>
      </c>
      <c r="I655" s="11" t="n">
        <v>65</v>
      </c>
      <c r="J655" s="11" t="s">
        <v>235</v>
      </c>
      <c r="K655" s="11" t="s">
        <v>41</v>
      </c>
    </row>
    <row r="656" customFormat="false" ht="36.5" hidden="false" customHeight="false" outlineLevel="0" collapsed="false">
      <c r="A656" s="1" t="n">
        <v>53</v>
      </c>
      <c r="B656" s="1" t="n">
        <v>2024</v>
      </c>
      <c r="C656" s="3" t="n">
        <v>45434</v>
      </c>
      <c r="D656" s="4" t="s">
        <v>38</v>
      </c>
      <c r="E656" s="5" t="s">
        <v>44</v>
      </c>
      <c r="F656" s="5" t="s">
        <v>45</v>
      </c>
      <c r="G656" s="7" t="n">
        <v>50</v>
      </c>
      <c r="H656" s="7" t="n">
        <v>40</v>
      </c>
      <c r="I656" s="7" t="n">
        <v>50</v>
      </c>
      <c r="J656" s="7" t="s">
        <v>91</v>
      </c>
      <c r="K656" s="7" t="n">
        <v>50</v>
      </c>
    </row>
    <row r="657" customFormat="false" ht="36.5" hidden="false" customHeight="false" outlineLevel="0" collapsed="false">
      <c r="A657" s="1" t="n">
        <v>53</v>
      </c>
      <c r="B657" s="1" t="n">
        <v>2024</v>
      </c>
      <c r="C657" s="3" t="n">
        <v>45434</v>
      </c>
      <c r="D657" s="8" t="s">
        <v>38</v>
      </c>
      <c r="E657" s="9" t="s">
        <v>48</v>
      </c>
      <c r="F657" s="9" t="s">
        <v>45</v>
      </c>
      <c r="G657" s="11" t="n">
        <v>100</v>
      </c>
      <c r="H657" s="11" t="n">
        <v>90</v>
      </c>
      <c r="I657" s="11" t="n">
        <v>100</v>
      </c>
      <c r="J657" s="11" t="s">
        <v>184</v>
      </c>
      <c r="K657" s="11" t="n">
        <v>100</v>
      </c>
    </row>
    <row r="658" customFormat="false" ht="36.5" hidden="false" customHeight="false" outlineLevel="0" collapsed="false">
      <c r="A658" s="1" t="n">
        <v>53</v>
      </c>
      <c r="B658" s="1" t="n">
        <v>2024</v>
      </c>
      <c r="C658" s="3" t="n">
        <v>45434</v>
      </c>
      <c r="D658" s="4" t="s">
        <v>38</v>
      </c>
      <c r="E658" s="5" t="s">
        <v>49</v>
      </c>
      <c r="F658" s="5" t="s">
        <v>50</v>
      </c>
      <c r="G658" s="7" t="n">
        <v>110</v>
      </c>
      <c r="H658" s="7" t="n">
        <v>110</v>
      </c>
      <c r="I658" s="7" t="n">
        <v>150</v>
      </c>
      <c r="J658" s="7" t="s">
        <v>243</v>
      </c>
      <c r="K658" s="7" t="s">
        <v>240</v>
      </c>
    </row>
    <row r="659" customFormat="false" ht="36.5" hidden="false" customHeight="false" outlineLevel="0" collapsed="false">
      <c r="A659" s="1" t="n">
        <v>53</v>
      </c>
      <c r="B659" s="1" t="n">
        <v>2024</v>
      </c>
      <c r="C659" s="3" t="n">
        <v>45434</v>
      </c>
      <c r="D659" s="8" t="s">
        <v>38</v>
      </c>
      <c r="E659" s="9" t="s">
        <v>52</v>
      </c>
      <c r="F659" s="9" t="s">
        <v>43</v>
      </c>
      <c r="G659" s="11" t="n">
        <v>170</v>
      </c>
      <c r="H659" s="11" t="n">
        <v>100</v>
      </c>
      <c r="I659" s="11" t="n">
        <v>170</v>
      </c>
      <c r="J659" s="11" t="n">
        <v>135</v>
      </c>
      <c r="K659" s="11" t="n">
        <v>135</v>
      </c>
    </row>
    <row r="660" customFormat="false" ht="36.5" hidden="false" customHeight="false" outlineLevel="0" collapsed="false">
      <c r="A660" s="1" t="n">
        <v>53</v>
      </c>
      <c r="B660" s="1" t="n">
        <v>2024</v>
      </c>
      <c r="C660" s="3" t="n">
        <v>45434</v>
      </c>
      <c r="D660" s="4" t="s">
        <v>38</v>
      </c>
      <c r="E660" s="5" t="s">
        <v>53</v>
      </c>
      <c r="F660" s="5" t="s">
        <v>43</v>
      </c>
      <c r="G660" s="7" t="n">
        <v>50</v>
      </c>
      <c r="H660" s="7" t="n">
        <v>50</v>
      </c>
      <c r="I660" s="7" t="n">
        <v>60</v>
      </c>
      <c r="J660" s="7" t="n">
        <v>55</v>
      </c>
      <c r="K660" s="7" t="n">
        <v>55</v>
      </c>
    </row>
    <row r="661" customFormat="false" ht="36.5" hidden="false" customHeight="false" outlineLevel="0" collapsed="false">
      <c r="A661" s="1" t="n">
        <v>53</v>
      </c>
      <c r="B661" s="1" t="n">
        <v>2024</v>
      </c>
      <c r="C661" s="3" t="n">
        <v>45434</v>
      </c>
      <c r="D661" s="8" t="s">
        <v>38</v>
      </c>
      <c r="E661" s="9" t="s">
        <v>54</v>
      </c>
      <c r="F661" s="9" t="s">
        <v>40</v>
      </c>
      <c r="G661" s="11" t="n">
        <v>90</v>
      </c>
      <c r="H661" s="11" t="n">
        <v>80</v>
      </c>
      <c r="I661" s="11" t="n">
        <v>90</v>
      </c>
      <c r="J661" s="11" t="s">
        <v>244</v>
      </c>
      <c r="K661" s="11" t="n">
        <v>90</v>
      </c>
    </row>
    <row r="662" customFormat="false" ht="36.5" hidden="false" customHeight="false" outlineLevel="0" collapsed="false">
      <c r="A662" s="1" t="n">
        <v>53</v>
      </c>
      <c r="B662" s="1" t="n">
        <v>2024</v>
      </c>
      <c r="C662" s="3" t="n">
        <v>45434</v>
      </c>
      <c r="D662" s="4" t="s">
        <v>38</v>
      </c>
      <c r="E662" s="5" t="s">
        <v>56</v>
      </c>
      <c r="F662" s="5" t="s">
        <v>43</v>
      </c>
      <c r="G662" s="7" t="n">
        <v>75</v>
      </c>
      <c r="H662" s="7" t="n">
        <v>75</v>
      </c>
      <c r="I662" s="7" t="n">
        <v>75</v>
      </c>
      <c r="J662" s="7" t="n">
        <v>75</v>
      </c>
      <c r="K662" s="7" t="n">
        <v>75</v>
      </c>
    </row>
    <row r="663" customFormat="false" ht="36.5" hidden="false" customHeight="false" outlineLevel="0" collapsed="false">
      <c r="A663" s="1" t="n">
        <v>53</v>
      </c>
      <c r="B663" s="1" t="n">
        <v>2024</v>
      </c>
      <c r="C663" s="3" t="n">
        <v>45434</v>
      </c>
      <c r="D663" s="8" t="s">
        <v>38</v>
      </c>
      <c r="E663" s="9" t="s">
        <v>57</v>
      </c>
      <c r="F663" s="9" t="s">
        <v>40</v>
      </c>
      <c r="G663" s="10"/>
      <c r="H663" s="11" t="n">
        <v>50</v>
      </c>
      <c r="I663" s="11" t="n">
        <v>85</v>
      </c>
      <c r="J663" s="11" t="s">
        <v>62</v>
      </c>
      <c r="K663" s="11" t="n">
        <v>70</v>
      </c>
    </row>
    <row r="664" customFormat="false" ht="36.5" hidden="false" customHeight="false" outlineLevel="0" collapsed="false">
      <c r="A664" s="1" t="n">
        <v>53</v>
      </c>
      <c r="B664" s="1" t="n">
        <v>2024</v>
      </c>
      <c r="C664" s="3" t="n">
        <v>45434</v>
      </c>
      <c r="D664" s="4" t="s">
        <v>38</v>
      </c>
      <c r="E664" s="5" t="s">
        <v>58</v>
      </c>
      <c r="F664" s="5" t="s">
        <v>40</v>
      </c>
      <c r="G664" s="7" t="n">
        <v>80</v>
      </c>
      <c r="H664" s="7" t="n">
        <v>80</v>
      </c>
      <c r="I664" s="7" t="n">
        <v>150</v>
      </c>
      <c r="J664" s="7" t="n">
        <v>100</v>
      </c>
      <c r="K664" s="7" t="n">
        <v>85</v>
      </c>
    </row>
    <row r="665" customFormat="false" ht="36.5" hidden="false" customHeight="false" outlineLevel="0" collapsed="false">
      <c r="A665" s="1" t="n">
        <v>53</v>
      </c>
      <c r="B665" s="1" t="n">
        <v>2024</v>
      </c>
      <c r="C665" s="3" t="n">
        <v>45434</v>
      </c>
      <c r="D665" s="8" t="s">
        <v>38</v>
      </c>
      <c r="E665" s="9" t="s">
        <v>59</v>
      </c>
      <c r="F665" s="9" t="s">
        <v>45</v>
      </c>
      <c r="G665" s="11" t="n">
        <v>50</v>
      </c>
      <c r="H665" s="11" t="n">
        <v>50</v>
      </c>
      <c r="I665" s="11" t="n">
        <v>65</v>
      </c>
      <c r="J665" s="11" t="n">
        <v>56</v>
      </c>
      <c r="K665" s="11" t="n">
        <v>55</v>
      </c>
    </row>
    <row r="666" customFormat="false" ht="36.5" hidden="false" customHeight="false" outlineLevel="0" collapsed="false">
      <c r="A666" s="1" t="n">
        <v>53</v>
      </c>
      <c r="B666" s="1" t="n">
        <v>2024</v>
      </c>
      <c r="C666" s="3" t="n">
        <v>45434</v>
      </c>
      <c r="D666" s="4" t="s">
        <v>38</v>
      </c>
      <c r="E666" s="5" t="s">
        <v>60</v>
      </c>
      <c r="F666" s="5" t="s">
        <v>61</v>
      </c>
      <c r="G666" s="7" t="n">
        <v>120</v>
      </c>
      <c r="H666" s="7" t="n">
        <v>100</v>
      </c>
      <c r="I666" s="7" t="n">
        <v>120</v>
      </c>
      <c r="J666" s="7" t="s">
        <v>166</v>
      </c>
      <c r="K666" s="7" t="n">
        <v>115</v>
      </c>
    </row>
    <row r="667" customFormat="false" ht="36.5" hidden="false" customHeight="false" outlineLevel="0" collapsed="false">
      <c r="A667" s="1" t="n">
        <v>53</v>
      </c>
      <c r="B667" s="1" t="n">
        <v>2024</v>
      </c>
      <c r="C667" s="3" t="n">
        <v>45434</v>
      </c>
      <c r="D667" s="8" t="s">
        <v>38</v>
      </c>
      <c r="E667" s="9" t="s">
        <v>63</v>
      </c>
      <c r="F667" s="9" t="s">
        <v>40</v>
      </c>
      <c r="G667" s="11" t="n">
        <v>140</v>
      </c>
      <c r="H667" s="11" t="n">
        <v>80</v>
      </c>
      <c r="I667" s="11" t="n">
        <v>140</v>
      </c>
      <c r="J667" s="11" t="s">
        <v>245</v>
      </c>
      <c r="K667" s="11" t="n">
        <v>105</v>
      </c>
    </row>
    <row r="668" customFormat="false" ht="36.5" hidden="false" customHeight="false" outlineLevel="0" collapsed="false">
      <c r="A668" s="1" t="n">
        <v>53</v>
      </c>
      <c r="B668" s="1" t="n">
        <v>2024</v>
      </c>
      <c r="C668" s="3" t="n">
        <v>45434</v>
      </c>
      <c r="D668" s="4" t="s">
        <v>38</v>
      </c>
      <c r="E668" s="5" t="s">
        <v>64</v>
      </c>
      <c r="F668" s="5" t="s">
        <v>40</v>
      </c>
      <c r="G668" s="7" t="n">
        <v>200</v>
      </c>
      <c r="H668" s="7" t="n">
        <v>170</v>
      </c>
      <c r="I668" s="7" t="n">
        <v>200</v>
      </c>
      <c r="J668" s="7" t="n">
        <v>190</v>
      </c>
      <c r="K668" s="7" t="n">
        <v>200</v>
      </c>
    </row>
    <row r="669" customFormat="false" ht="14.25" hidden="false" customHeight="false" outlineLevel="0" collapsed="false">
      <c r="A669" s="1" t="n">
        <v>53</v>
      </c>
      <c r="B669" s="1" t="n">
        <v>2024</v>
      </c>
      <c r="C669" s="3" t="n">
        <v>45434</v>
      </c>
      <c r="D669" s="8" t="s">
        <v>65</v>
      </c>
      <c r="E669" s="9" t="s">
        <v>66</v>
      </c>
      <c r="F669" s="9" t="s">
        <v>45</v>
      </c>
      <c r="G669" s="10"/>
      <c r="H669" s="11" t="n">
        <v>170</v>
      </c>
      <c r="I669" s="11" t="n">
        <v>170</v>
      </c>
      <c r="J669" s="11" t="n">
        <v>170</v>
      </c>
      <c r="K669" s="11" t="n">
        <v>170</v>
      </c>
    </row>
    <row r="670" customFormat="false" ht="14.25" hidden="false" customHeight="false" outlineLevel="0" collapsed="false">
      <c r="A670" s="1" t="n">
        <v>53</v>
      </c>
      <c r="B670" s="1" t="n">
        <v>2024</v>
      </c>
      <c r="C670" s="3" t="n">
        <v>45434</v>
      </c>
      <c r="D670" s="4" t="s">
        <v>65</v>
      </c>
      <c r="E670" s="5" t="s">
        <v>67</v>
      </c>
      <c r="F670" s="5" t="s">
        <v>45</v>
      </c>
      <c r="G670" s="6"/>
      <c r="H670" s="7" t="n">
        <v>75</v>
      </c>
      <c r="I670" s="7" t="n">
        <v>75</v>
      </c>
      <c r="J670" s="7" t="n">
        <v>75</v>
      </c>
      <c r="K670" s="7" t="n">
        <v>75</v>
      </c>
    </row>
    <row r="671" customFormat="false" ht="14.25" hidden="false" customHeight="false" outlineLevel="0" collapsed="false">
      <c r="A671" s="1" t="n">
        <v>53</v>
      </c>
      <c r="B671" s="1" t="n">
        <v>2024</v>
      </c>
      <c r="C671" s="3" t="n">
        <v>45434</v>
      </c>
      <c r="D671" s="8" t="s">
        <v>65</v>
      </c>
      <c r="E671" s="9" t="s">
        <v>68</v>
      </c>
      <c r="F671" s="9" t="s">
        <v>45</v>
      </c>
      <c r="G671" s="10"/>
      <c r="H671" s="11" t="n">
        <v>0</v>
      </c>
      <c r="I671" s="11" t="n">
        <v>0</v>
      </c>
      <c r="J671" s="10"/>
      <c r="K671" s="10"/>
    </row>
    <row r="672" customFormat="false" ht="14.25" hidden="false" customHeight="false" outlineLevel="0" collapsed="false">
      <c r="A672" s="1" t="n">
        <v>53</v>
      </c>
      <c r="B672" s="1" t="n">
        <v>2024</v>
      </c>
      <c r="C672" s="3" t="n">
        <v>45434</v>
      </c>
      <c r="D672" s="4" t="s">
        <v>65</v>
      </c>
      <c r="E672" s="5" t="s">
        <v>69</v>
      </c>
      <c r="F672" s="5" t="s">
        <v>45</v>
      </c>
      <c r="G672" s="6"/>
      <c r="H672" s="7" t="n">
        <v>50</v>
      </c>
      <c r="I672" s="7" t="n">
        <v>50</v>
      </c>
      <c r="J672" s="7" t="n">
        <v>50</v>
      </c>
      <c r="K672" s="7" t="n">
        <v>50</v>
      </c>
    </row>
    <row r="673" customFormat="false" ht="14.25" hidden="false" customHeight="false" outlineLevel="0" collapsed="false">
      <c r="A673" s="1" t="n">
        <v>53</v>
      </c>
      <c r="B673" s="1" t="n">
        <v>2024</v>
      </c>
      <c r="C673" s="3" t="n">
        <v>45434</v>
      </c>
      <c r="D673" s="8" t="s">
        <v>65</v>
      </c>
      <c r="E673" s="9" t="s">
        <v>70</v>
      </c>
      <c r="F673" s="9" t="s">
        <v>71</v>
      </c>
      <c r="G673" s="10"/>
      <c r="H673" s="11" t="n">
        <v>50</v>
      </c>
      <c r="I673" s="11" t="n">
        <v>60</v>
      </c>
      <c r="J673" s="11" t="n">
        <v>55</v>
      </c>
      <c r="K673" s="11" t="n">
        <v>55</v>
      </c>
    </row>
    <row r="674" customFormat="false" ht="25" hidden="false" customHeight="false" outlineLevel="0" collapsed="false">
      <c r="A674" s="1" t="n">
        <v>54</v>
      </c>
      <c r="B674" s="1" t="n">
        <v>2024</v>
      </c>
      <c r="C674" s="3" t="n">
        <v>45441</v>
      </c>
      <c r="D674" s="4" t="s">
        <v>11</v>
      </c>
      <c r="E674" s="5" t="s">
        <v>12</v>
      </c>
      <c r="F674" s="5" t="s">
        <v>13</v>
      </c>
      <c r="G674" s="7" t="n">
        <v>60</v>
      </c>
      <c r="H674" s="7" t="n">
        <v>48</v>
      </c>
      <c r="I674" s="7" t="n">
        <v>66</v>
      </c>
      <c r="J674" s="7" t="s">
        <v>246</v>
      </c>
      <c r="K674" s="7" t="n">
        <v>60</v>
      </c>
    </row>
    <row r="675" customFormat="false" ht="25" hidden="false" customHeight="false" outlineLevel="0" collapsed="false">
      <c r="A675" s="1" t="n">
        <v>54</v>
      </c>
      <c r="B675" s="1" t="n">
        <v>2024</v>
      </c>
      <c r="C675" s="3" t="n">
        <v>45441</v>
      </c>
      <c r="D675" s="8" t="s">
        <v>11</v>
      </c>
      <c r="E675" s="9" t="s">
        <v>14</v>
      </c>
      <c r="F675" s="9" t="s">
        <v>13</v>
      </c>
      <c r="G675" s="11" t="n">
        <v>84</v>
      </c>
      <c r="H675" s="11" t="n">
        <v>60</v>
      </c>
      <c r="I675" s="11" t="n">
        <v>84</v>
      </c>
      <c r="J675" s="11" t="n">
        <v>78</v>
      </c>
      <c r="K675" s="11" t="n">
        <v>84</v>
      </c>
    </row>
    <row r="676" customFormat="false" ht="25" hidden="false" customHeight="false" outlineLevel="0" collapsed="false">
      <c r="A676" s="1" t="n">
        <v>54</v>
      </c>
      <c r="B676" s="1" t="n">
        <v>2024</v>
      </c>
      <c r="C676" s="3" t="n">
        <v>45441</v>
      </c>
      <c r="D676" s="4" t="s">
        <v>11</v>
      </c>
      <c r="E676" s="5" t="s">
        <v>15</v>
      </c>
      <c r="F676" s="5" t="s">
        <v>13</v>
      </c>
      <c r="G676" s="6"/>
      <c r="H676" s="7" t="n">
        <v>36</v>
      </c>
      <c r="I676" s="7" t="n">
        <v>54</v>
      </c>
      <c r="J676" s="7" t="s">
        <v>247</v>
      </c>
      <c r="K676" s="7" t="n">
        <v>44</v>
      </c>
    </row>
    <row r="677" customFormat="false" ht="25" hidden="false" customHeight="false" outlineLevel="0" collapsed="false">
      <c r="A677" s="1" t="n">
        <v>54</v>
      </c>
      <c r="B677" s="1" t="n">
        <v>2024</v>
      </c>
      <c r="C677" s="3" t="n">
        <v>45441</v>
      </c>
      <c r="D677" s="8" t="s">
        <v>11</v>
      </c>
      <c r="E677" s="9" t="s">
        <v>16</v>
      </c>
      <c r="F677" s="9" t="s">
        <v>13</v>
      </c>
      <c r="G677" s="11" t="n">
        <v>24</v>
      </c>
      <c r="H677" s="11" t="n">
        <v>24</v>
      </c>
      <c r="I677" s="11" t="n">
        <v>30</v>
      </c>
      <c r="J677" s="11" t="n">
        <v>27</v>
      </c>
      <c r="K677" s="11" t="n">
        <v>27</v>
      </c>
    </row>
    <row r="678" customFormat="false" ht="25" hidden="false" customHeight="false" outlineLevel="0" collapsed="false">
      <c r="A678" s="1" t="n">
        <v>54</v>
      </c>
      <c r="B678" s="1" t="n">
        <v>2024</v>
      </c>
      <c r="C678" s="3" t="n">
        <v>45441</v>
      </c>
      <c r="D678" s="4" t="s">
        <v>11</v>
      </c>
      <c r="E678" s="5" t="s">
        <v>17</v>
      </c>
      <c r="F678" s="5" t="s">
        <v>13</v>
      </c>
      <c r="G678" s="7" t="n">
        <v>24</v>
      </c>
      <c r="H678" s="7" t="n">
        <v>24</v>
      </c>
      <c r="I678" s="7" t="n">
        <v>30</v>
      </c>
      <c r="J678" s="7" t="n">
        <v>27</v>
      </c>
      <c r="K678" s="7" t="n">
        <v>27</v>
      </c>
    </row>
    <row r="679" customFormat="false" ht="25" hidden="false" customHeight="false" outlineLevel="0" collapsed="false">
      <c r="A679" s="1" t="n">
        <v>54</v>
      </c>
      <c r="B679" s="1" t="n">
        <v>2024</v>
      </c>
      <c r="C679" s="3" t="n">
        <v>45441</v>
      </c>
      <c r="D679" s="8" t="s">
        <v>11</v>
      </c>
      <c r="E679" s="9" t="s">
        <v>18</v>
      </c>
      <c r="F679" s="9" t="s">
        <v>13</v>
      </c>
      <c r="G679" s="11" t="n">
        <v>50</v>
      </c>
      <c r="H679" s="11" t="n">
        <v>48</v>
      </c>
      <c r="I679" s="11" t="n">
        <v>60</v>
      </c>
      <c r="J679" s="11" t="n">
        <v>52</v>
      </c>
      <c r="K679" s="11" t="n">
        <v>50</v>
      </c>
    </row>
    <row r="680" customFormat="false" ht="25" hidden="false" customHeight="false" outlineLevel="0" collapsed="false">
      <c r="A680" s="1" t="n">
        <v>54</v>
      </c>
      <c r="B680" s="1" t="n">
        <v>2024</v>
      </c>
      <c r="C680" s="3" t="n">
        <v>45441</v>
      </c>
      <c r="D680" s="4" t="s">
        <v>11</v>
      </c>
      <c r="E680" s="5" t="s">
        <v>19</v>
      </c>
      <c r="F680" s="5" t="s">
        <v>13</v>
      </c>
      <c r="G680" s="7" t="n">
        <v>84</v>
      </c>
      <c r="H680" s="7" t="n">
        <v>84</v>
      </c>
      <c r="I680" s="7" t="n">
        <v>96</v>
      </c>
      <c r="J680" s="7" t="n">
        <v>90</v>
      </c>
      <c r="K680" s="7" t="n">
        <v>90</v>
      </c>
    </row>
    <row r="681" customFormat="false" ht="25" hidden="false" customHeight="false" outlineLevel="0" collapsed="false">
      <c r="A681" s="1" t="n">
        <v>54</v>
      </c>
      <c r="B681" s="1" t="n">
        <v>2024</v>
      </c>
      <c r="C681" s="3" t="n">
        <v>45441</v>
      </c>
      <c r="D681" s="8" t="s">
        <v>11</v>
      </c>
      <c r="E681" s="9" t="s">
        <v>20</v>
      </c>
      <c r="F681" s="9" t="s">
        <v>13</v>
      </c>
      <c r="G681" s="11" t="n">
        <v>96</v>
      </c>
      <c r="H681" s="11" t="n">
        <v>84</v>
      </c>
      <c r="I681" s="11" t="n">
        <v>96</v>
      </c>
      <c r="J681" s="11" t="n">
        <v>93</v>
      </c>
      <c r="K681" s="11" t="n">
        <v>96</v>
      </c>
    </row>
    <row r="682" customFormat="false" ht="25" hidden="false" customHeight="false" outlineLevel="0" collapsed="false">
      <c r="A682" s="1" t="n">
        <v>54</v>
      </c>
      <c r="B682" s="1" t="n">
        <v>2024</v>
      </c>
      <c r="C682" s="3" t="n">
        <v>45441</v>
      </c>
      <c r="D682" s="4" t="s">
        <v>11</v>
      </c>
      <c r="E682" s="5" t="s">
        <v>21</v>
      </c>
      <c r="F682" s="5" t="s">
        <v>13</v>
      </c>
      <c r="G682" s="7" t="n">
        <v>24</v>
      </c>
      <c r="H682" s="7" t="n">
        <v>24</v>
      </c>
      <c r="I682" s="7" t="n">
        <v>30</v>
      </c>
      <c r="J682" s="7" t="n">
        <v>27</v>
      </c>
      <c r="K682" s="7" t="n">
        <v>27</v>
      </c>
    </row>
    <row r="683" customFormat="false" ht="25" hidden="false" customHeight="false" outlineLevel="0" collapsed="false">
      <c r="A683" s="1" t="n">
        <v>54</v>
      </c>
      <c r="B683" s="1" t="n">
        <v>2024</v>
      </c>
      <c r="C683" s="3" t="n">
        <v>45441</v>
      </c>
      <c r="D683" s="8" t="s">
        <v>11</v>
      </c>
      <c r="E683" s="9" t="s">
        <v>73</v>
      </c>
      <c r="F683" s="9" t="s">
        <v>13</v>
      </c>
      <c r="G683" s="11" t="n">
        <v>96</v>
      </c>
      <c r="H683" s="11" t="n">
        <v>96</v>
      </c>
      <c r="I683" s="11" t="n">
        <v>120</v>
      </c>
      <c r="J683" s="11" t="n">
        <v>102</v>
      </c>
      <c r="K683" s="11" t="n">
        <v>96</v>
      </c>
    </row>
    <row r="684" customFormat="false" ht="25" hidden="false" customHeight="false" outlineLevel="0" collapsed="false">
      <c r="A684" s="1" t="n">
        <v>54</v>
      </c>
      <c r="B684" s="1" t="n">
        <v>2024</v>
      </c>
      <c r="C684" s="3" t="n">
        <v>45441</v>
      </c>
      <c r="D684" s="4" t="s">
        <v>11</v>
      </c>
      <c r="E684" s="5" t="s">
        <v>23</v>
      </c>
      <c r="F684" s="5" t="s">
        <v>13</v>
      </c>
      <c r="G684" s="7" t="n">
        <v>24</v>
      </c>
      <c r="H684" s="7" t="n">
        <v>24</v>
      </c>
      <c r="I684" s="7" t="n">
        <v>30</v>
      </c>
      <c r="J684" s="7" t="n">
        <v>27</v>
      </c>
      <c r="K684" s="7" t="n">
        <v>27</v>
      </c>
    </row>
    <row r="685" customFormat="false" ht="25" hidden="false" customHeight="false" outlineLevel="0" collapsed="false">
      <c r="A685" s="1" t="n">
        <v>54</v>
      </c>
      <c r="B685" s="1" t="n">
        <v>2024</v>
      </c>
      <c r="C685" s="3" t="n">
        <v>45441</v>
      </c>
      <c r="D685" s="8" t="s">
        <v>11</v>
      </c>
      <c r="E685" s="9" t="s">
        <v>24</v>
      </c>
      <c r="F685" s="9" t="s">
        <v>13</v>
      </c>
      <c r="G685" s="10"/>
      <c r="H685" s="11" t="n">
        <v>66</v>
      </c>
      <c r="I685" s="11" t="n">
        <v>86</v>
      </c>
      <c r="J685" s="11" t="s">
        <v>248</v>
      </c>
      <c r="K685" s="11" t="n">
        <v>75</v>
      </c>
    </row>
    <row r="686" customFormat="false" ht="25" hidden="false" customHeight="false" outlineLevel="0" collapsed="false">
      <c r="A686" s="1" t="n">
        <v>54</v>
      </c>
      <c r="B686" s="1" t="n">
        <v>2024</v>
      </c>
      <c r="C686" s="3" t="n">
        <v>45441</v>
      </c>
      <c r="D686" s="4" t="s">
        <v>11</v>
      </c>
      <c r="E686" s="5" t="s">
        <v>25</v>
      </c>
      <c r="F686" s="5" t="s">
        <v>26</v>
      </c>
      <c r="G686" s="7" t="n">
        <v>48</v>
      </c>
      <c r="H686" s="7" t="n">
        <v>48</v>
      </c>
      <c r="I686" s="7" t="n">
        <v>72</v>
      </c>
      <c r="J686" s="7" t="n">
        <v>57</v>
      </c>
      <c r="K686" s="7" t="n">
        <v>54</v>
      </c>
    </row>
    <row r="687" customFormat="false" ht="25" hidden="false" customHeight="false" outlineLevel="0" collapsed="false">
      <c r="A687" s="1" t="n">
        <v>54</v>
      </c>
      <c r="B687" s="1" t="n">
        <v>2024</v>
      </c>
      <c r="C687" s="3" t="n">
        <v>45441</v>
      </c>
      <c r="D687" s="8" t="s">
        <v>11</v>
      </c>
      <c r="E687" s="9" t="s">
        <v>27</v>
      </c>
      <c r="F687" s="9" t="s">
        <v>13</v>
      </c>
      <c r="G687" s="10"/>
      <c r="H687" s="11" t="n">
        <v>60</v>
      </c>
      <c r="I687" s="11" t="n">
        <v>96</v>
      </c>
      <c r="J687" s="11" t="n">
        <v>78</v>
      </c>
      <c r="K687" s="11" t="n">
        <v>78</v>
      </c>
    </row>
    <row r="688" customFormat="false" ht="25" hidden="false" customHeight="false" outlineLevel="0" collapsed="false">
      <c r="A688" s="1" t="n">
        <v>54</v>
      </c>
      <c r="B688" s="1" t="n">
        <v>2024</v>
      </c>
      <c r="C688" s="3" t="n">
        <v>45441</v>
      </c>
      <c r="D688" s="4" t="s">
        <v>11</v>
      </c>
      <c r="E688" s="5" t="s">
        <v>28</v>
      </c>
      <c r="F688" s="5" t="s">
        <v>13</v>
      </c>
      <c r="G688" s="7" t="n">
        <v>48</v>
      </c>
      <c r="H688" s="7" t="n">
        <v>48</v>
      </c>
      <c r="I688" s="7" t="n">
        <v>72</v>
      </c>
      <c r="J688" s="7" t="s">
        <v>249</v>
      </c>
      <c r="K688" s="7" t="n">
        <v>50</v>
      </c>
    </row>
    <row r="689" customFormat="false" ht="25" hidden="false" customHeight="false" outlineLevel="0" collapsed="false">
      <c r="A689" s="1" t="n">
        <v>54</v>
      </c>
      <c r="B689" s="1" t="n">
        <v>2024</v>
      </c>
      <c r="C689" s="3" t="n">
        <v>45441</v>
      </c>
      <c r="D689" s="8" t="s">
        <v>11</v>
      </c>
      <c r="E689" s="9" t="s">
        <v>29</v>
      </c>
      <c r="F689" s="9" t="s">
        <v>13</v>
      </c>
      <c r="G689" s="11" t="n">
        <v>54</v>
      </c>
      <c r="H689" s="11" t="n">
        <v>48</v>
      </c>
      <c r="I689" s="11" t="n">
        <v>60</v>
      </c>
      <c r="J689" s="11" t="n">
        <v>54</v>
      </c>
      <c r="K689" s="11" t="n">
        <v>54</v>
      </c>
    </row>
    <row r="690" customFormat="false" ht="25" hidden="false" customHeight="false" outlineLevel="0" collapsed="false">
      <c r="A690" s="1" t="n">
        <v>54</v>
      </c>
      <c r="B690" s="1" t="n">
        <v>2024</v>
      </c>
      <c r="C690" s="3" t="n">
        <v>45441</v>
      </c>
      <c r="D690" s="4" t="s">
        <v>30</v>
      </c>
      <c r="E690" s="5" t="s">
        <v>31</v>
      </c>
      <c r="F690" s="5" t="s">
        <v>32</v>
      </c>
      <c r="G690" s="7" t="n">
        <v>5</v>
      </c>
      <c r="H690" s="7" t="n">
        <v>5</v>
      </c>
      <c r="I690" s="7" t="n">
        <v>6</v>
      </c>
      <c r="J690" s="7" t="s">
        <v>250</v>
      </c>
      <c r="K690" s="7" t="n">
        <v>5</v>
      </c>
    </row>
    <row r="691" customFormat="false" ht="25" hidden="false" customHeight="false" outlineLevel="0" collapsed="false">
      <c r="A691" s="1" t="n">
        <v>54</v>
      </c>
      <c r="B691" s="1" t="n">
        <v>2024</v>
      </c>
      <c r="C691" s="3" t="n">
        <v>45441</v>
      </c>
      <c r="D691" s="8" t="s">
        <v>30</v>
      </c>
      <c r="E691" s="9" t="s">
        <v>34</v>
      </c>
      <c r="F691" s="9" t="s">
        <v>35</v>
      </c>
      <c r="G691" s="11" t="n">
        <v>20</v>
      </c>
      <c r="H691" s="11" t="n">
        <v>15</v>
      </c>
      <c r="I691" s="11" t="n">
        <v>25</v>
      </c>
      <c r="J691" s="11" t="n">
        <v>20</v>
      </c>
      <c r="K691" s="11" t="n">
        <v>20</v>
      </c>
    </row>
    <row r="692" customFormat="false" ht="25" hidden="false" customHeight="false" outlineLevel="0" collapsed="false">
      <c r="A692" s="1" t="n">
        <v>54</v>
      </c>
      <c r="B692" s="1" t="n">
        <v>2024</v>
      </c>
      <c r="C692" s="3" t="n">
        <v>45441</v>
      </c>
      <c r="D692" s="4" t="s">
        <v>30</v>
      </c>
      <c r="E692" s="5" t="s">
        <v>36</v>
      </c>
      <c r="F692" s="5" t="s">
        <v>35</v>
      </c>
      <c r="G692" s="7" t="n">
        <v>25</v>
      </c>
      <c r="H692" s="7" t="n">
        <v>25</v>
      </c>
      <c r="I692" s="7" t="n">
        <v>35</v>
      </c>
      <c r="J692" s="7" t="n">
        <v>30</v>
      </c>
      <c r="K692" s="7" t="n">
        <v>30</v>
      </c>
    </row>
    <row r="693" customFormat="false" ht="36.5" hidden="false" customHeight="false" outlineLevel="0" collapsed="false">
      <c r="A693" s="1" t="n">
        <v>54</v>
      </c>
      <c r="B693" s="1" t="n">
        <v>2024</v>
      </c>
      <c r="C693" s="3" t="n">
        <v>45441</v>
      </c>
      <c r="D693" s="8" t="s">
        <v>38</v>
      </c>
      <c r="E693" s="9" t="s">
        <v>153</v>
      </c>
      <c r="F693" s="9" t="s">
        <v>154</v>
      </c>
      <c r="G693" s="10"/>
      <c r="H693" s="11" t="n">
        <v>85</v>
      </c>
      <c r="I693" s="11" t="n">
        <v>85</v>
      </c>
      <c r="J693" s="11" t="n">
        <v>85</v>
      </c>
      <c r="K693" s="11" t="n">
        <v>85</v>
      </c>
    </row>
    <row r="694" customFormat="false" ht="36.5" hidden="false" customHeight="false" outlineLevel="0" collapsed="false">
      <c r="A694" s="1" t="n">
        <v>54</v>
      </c>
      <c r="B694" s="1" t="n">
        <v>2024</v>
      </c>
      <c r="C694" s="3" t="n">
        <v>45441</v>
      </c>
      <c r="D694" s="4" t="s">
        <v>38</v>
      </c>
      <c r="E694" s="5" t="s">
        <v>39</v>
      </c>
      <c r="F694" s="5" t="s">
        <v>40</v>
      </c>
      <c r="G694" s="7" t="n">
        <v>100</v>
      </c>
      <c r="H694" s="7" t="n">
        <v>80</v>
      </c>
      <c r="I694" s="7" t="n">
        <v>100</v>
      </c>
      <c r="J694" s="7" t="s">
        <v>196</v>
      </c>
      <c r="K694" s="7" t="n">
        <v>100</v>
      </c>
    </row>
    <row r="695" customFormat="false" ht="36.5" hidden="false" customHeight="false" outlineLevel="0" collapsed="false">
      <c r="A695" s="1" t="n">
        <v>54</v>
      </c>
      <c r="B695" s="1" t="n">
        <v>2024</v>
      </c>
      <c r="C695" s="3" t="n">
        <v>45441</v>
      </c>
      <c r="D695" s="8" t="s">
        <v>38</v>
      </c>
      <c r="E695" s="9" t="s">
        <v>42</v>
      </c>
      <c r="F695" s="9" t="s">
        <v>43</v>
      </c>
      <c r="G695" s="11" t="n">
        <v>50</v>
      </c>
      <c r="H695" s="11" t="n">
        <v>50</v>
      </c>
      <c r="I695" s="11" t="n">
        <v>70</v>
      </c>
      <c r="J695" s="11" t="n">
        <v>60</v>
      </c>
      <c r="K695" s="11" t="n">
        <v>60</v>
      </c>
    </row>
    <row r="696" customFormat="false" ht="36.5" hidden="false" customHeight="false" outlineLevel="0" collapsed="false">
      <c r="A696" s="1" t="n">
        <v>54</v>
      </c>
      <c r="B696" s="1" t="n">
        <v>2024</v>
      </c>
      <c r="C696" s="3" t="n">
        <v>45441</v>
      </c>
      <c r="D696" s="4" t="s">
        <v>38</v>
      </c>
      <c r="E696" s="5" t="s">
        <v>44</v>
      </c>
      <c r="F696" s="5" t="s">
        <v>45</v>
      </c>
      <c r="G696" s="6"/>
      <c r="H696" s="7" t="n">
        <v>40</v>
      </c>
      <c r="I696" s="7" t="n">
        <v>50</v>
      </c>
      <c r="J696" s="7" t="n">
        <v>45</v>
      </c>
      <c r="K696" s="7" t="n">
        <v>45</v>
      </c>
    </row>
    <row r="697" customFormat="false" ht="36.5" hidden="false" customHeight="false" outlineLevel="0" collapsed="false">
      <c r="A697" s="1" t="n">
        <v>54</v>
      </c>
      <c r="B697" s="1" t="n">
        <v>2024</v>
      </c>
      <c r="C697" s="3" t="n">
        <v>45441</v>
      </c>
      <c r="D697" s="8" t="s">
        <v>38</v>
      </c>
      <c r="E697" s="9" t="s">
        <v>48</v>
      </c>
      <c r="F697" s="9" t="s">
        <v>45</v>
      </c>
      <c r="G697" s="10"/>
      <c r="H697" s="11" t="n">
        <v>100</v>
      </c>
      <c r="I697" s="11" t="n">
        <v>100</v>
      </c>
      <c r="J697" s="11" t="n">
        <v>100</v>
      </c>
      <c r="K697" s="11" t="n">
        <v>100</v>
      </c>
    </row>
    <row r="698" customFormat="false" ht="36.5" hidden="false" customHeight="false" outlineLevel="0" collapsed="false">
      <c r="A698" s="1" t="n">
        <v>54</v>
      </c>
      <c r="B698" s="1" t="n">
        <v>2024</v>
      </c>
      <c r="C698" s="3" t="n">
        <v>45441</v>
      </c>
      <c r="D698" s="4" t="s">
        <v>38</v>
      </c>
      <c r="E698" s="5" t="s">
        <v>49</v>
      </c>
      <c r="F698" s="5" t="s">
        <v>50</v>
      </c>
      <c r="G698" s="7" t="n">
        <v>110</v>
      </c>
      <c r="H698" s="7" t="n">
        <v>110</v>
      </c>
      <c r="I698" s="7" t="n">
        <v>140</v>
      </c>
      <c r="J698" s="7" t="n">
        <v>120</v>
      </c>
      <c r="K698" s="7" t="n">
        <v>110</v>
      </c>
    </row>
    <row r="699" customFormat="false" ht="36.5" hidden="false" customHeight="false" outlineLevel="0" collapsed="false">
      <c r="A699" s="1" t="n">
        <v>54</v>
      </c>
      <c r="B699" s="1" t="n">
        <v>2024</v>
      </c>
      <c r="C699" s="3" t="n">
        <v>45441</v>
      </c>
      <c r="D699" s="8" t="s">
        <v>38</v>
      </c>
      <c r="E699" s="9" t="s">
        <v>52</v>
      </c>
      <c r="F699" s="9" t="s">
        <v>43</v>
      </c>
      <c r="G699" s="10"/>
      <c r="H699" s="11" t="n">
        <v>100</v>
      </c>
      <c r="I699" s="11" t="n">
        <v>170</v>
      </c>
      <c r="J699" s="11" t="s">
        <v>234</v>
      </c>
      <c r="K699" s="11" t="n">
        <v>130</v>
      </c>
    </row>
    <row r="700" customFormat="false" ht="36.5" hidden="false" customHeight="false" outlineLevel="0" collapsed="false">
      <c r="A700" s="1" t="n">
        <v>54</v>
      </c>
      <c r="B700" s="1" t="n">
        <v>2024</v>
      </c>
      <c r="C700" s="3" t="n">
        <v>45441</v>
      </c>
      <c r="D700" s="4" t="s">
        <v>38</v>
      </c>
      <c r="E700" s="5" t="s">
        <v>53</v>
      </c>
      <c r="F700" s="5" t="s">
        <v>43</v>
      </c>
      <c r="G700" s="7" t="n">
        <v>70</v>
      </c>
      <c r="H700" s="7" t="n">
        <v>60</v>
      </c>
      <c r="I700" s="7" t="n">
        <v>70</v>
      </c>
      <c r="J700" s="7" t="s">
        <v>102</v>
      </c>
      <c r="K700" s="7" t="n">
        <v>70</v>
      </c>
    </row>
    <row r="701" customFormat="false" ht="36.5" hidden="false" customHeight="false" outlineLevel="0" collapsed="false">
      <c r="A701" s="1" t="n">
        <v>54</v>
      </c>
      <c r="B701" s="1" t="n">
        <v>2024</v>
      </c>
      <c r="C701" s="3" t="n">
        <v>45441</v>
      </c>
      <c r="D701" s="8" t="s">
        <v>38</v>
      </c>
      <c r="E701" s="9" t="s">
        <v>54</v>
      </c>
      <c r="F701" s="9" t="s">
        <v>40</v>
      </c>
      <c r="G701" s="10"/>
      <c r="H701" s="11" t="n">
        <v>110</v>
      </c>
      <c r="I701" s="11" t="n">
        <v>120</v>
      </c>
      <c r="J701" s="11" t="n">
        <v>115</v>
      </c>
      <c r="K701" s="11" t="n">
        <v>115</v>
      </c>
    </row>
    <row r="702" customFormat="false" ht="36.5" hidden="false" customHeight="false" outlineLevel="0" collapsed="false">
      <c r="A702" s="1" t="n">
        <v>54</v>
      </c>
      <c r="B702" s="1" t="n">
        <v>2024</v>
      </c>
      <c r="C702" s="3" t="n">
        <v>45441</v>
      </c>
      <c r="D702" s="4" t="s">
        <v>38</v>
      </c>
      <c r="E702" s="5" t="s">
        <v>56</v>
      </c>
      <c r="F702" s="5" t="s">
        <v>43</v>
      </c>
      <c r="G702" s="6"/>
      <c r="H702" s="7" t="n">
        <v>75</v>
      </c>
      <c r="I702" s="7" t="n">
        <v>75</v>
      </c>
      <c r="J702" s="7" t="n">
        <v>75</v>
      </c>
      <c r="K702" s="7" t="n">
        <v>75</v>
      </c>
    </row>
    <row r="703" customFormat="false" ht="36.5" hidden="false" customHeight="false" outlineLevel="0" collapsed="false">
      <c r="A703" s="1" t="n">
        <v>54</v>
      </c>
      <c r="B703" s="1" t="n">
        <v>2024</v>
      </c>
      <c r="C703" s="3" t="n">
        <v>45441</v>
      </c>
      <c r="D703" s="8" t="s">
        <v>38</v>
      </c>
      <c r="E703" s="9" t="s">
        <v>57</v>
      </c>
      <c r="F703" s="9" t="s">
        <v>40</v>
      </c>
      <c r="G703" s="10"/>
      <c r="H703" s="11" t="n">
        <v>80</v>
      </c>
      <c r="I703" s="11" t="n">
        <v>80</v>
      </c>
      <c r="J703" s="11" t="n">
        <v>80</v>
      </c>
      <c r="K703" s="11" t="n">
        <v>80</v>
      </c>
    </row>
    <row r="704" customFormat="false" ht="36.5" hidden="false" customHeight="false" outlineLevel="0" collapsed="false">
      <c r="A704" s="1" t="n">
        <v>54</v>
      </c>
      <c r="B704" s="1" t="n">
        <v>2024</v>
      </c>
      <c r="C704" s="3" t="n">
        <v>45441</v>
      </c>
      <c r="D704" s="4" t="s">
        <v>38</v>
      </c>
      <c r="E704" s="5" t="s">
        <v>58</v>
      </c>
      <c r="F704" s="5" t="s">
        <v>40</v>
      </c>
      <c r="G704" s="6"/>
      <c r="H704" s="7" t="n">
        <v>60</v>
      </c>
      <c r="I704" s="7" t="n">
        <v>100</v>
      </c>
      <c r="J704" s="7" t="s">
        <v>155</v>
      </c>
      <c r="K704" s="7" t="s">
        <v>134</v>
      </c>
    </row>
    <row r="705" customFormat="false" ht="36.5" hidden="false" customHeight="false" outlineLevel="0" collapsed="false">
      <c r="A705" s="1" t="n">
        <v>54</v>
      </c>
      <c r="B705" s="1" t="n">
        <v>2024</v>
      </c>
      <c r="C705" s="3" t="n">
        <v>45441</v>
      </c>
      <c r="D705" s="8" t="s">
        <v>38</v>
      </c>
      <c r="E705" s="9" t="s">
        <v>59</v>
      </c>
      <c r="F705" s="9" t="s">
        <v>45</v>
      </c>
      <c r="G705" s="11" t="n">
        <v>60</v>
      </c>
      <c r="H705" s="11" t="n">
        <v>50</v>
      </c>
      <c r="I705" s="11" t="n">
        <v>60</v>
      </c>
      <c r="J705" s="11" t="s">
        <v>235</v>
      </c>
      <c r="K705" s="11" t="s">
        <v>41</v>
      </c>
    </row>
    <row r="706" customFormat="false" ht="36.5" hidden="false" customHeight="false" outlineLevel="0" collapsed="false">
      <c r="A706" s="1" t="n">
        <v>54</v>
      </c>
      <c r="B706" s="1" t="n">
        <v>2024</v>
      </c>
      <c r="C706" s="3" t="n">
        <v>45441</v>
      </c>
      <c r="D706" s="4" t="s">
        <v>38</v>
      </c>
      <c r="E706" s="5" t="s">
        <v>60</v>
      </c>
      <c r="F706" s="5" t="s">
        <v>61</v>
      </c>
      <c r="G706" s="6"/>
      <c r="H706" s="7" t="n">
        <v>140</v>
      </c>
      <c r="I706" s="7" t="n">
        <v>150</v>
      </c>
      <c r="J706" s="7" t="n">
        <v>145</v>
      </c>
      <c r="K706" s="7" t="n">
        <v>145</v>
      </c>
    </row>
    <row r="707" customFormat="false" ht="36.5" hidden="false" customHeight="false" outlineLevel="0" collapsed="false">
      <c r="A707" s="1" t="n">
        <v>54</v>
      </c>
      <c r="B707" s="1" t="n">
        <v>2024</v>
      </c>
      <c r="C707" s="3" t="n">
        <v>45441</v>
      </c>
      <c r="D707" s="8" t="s">
        <v>38</v>
      </c>
      <c r="E707" s="9" t="s">
        <v>63</v>
      </c>
      <c r="F707" s="9" t="s">
        <v>40</v>
      </c>
      <c r="G707" s="10"/>
      <c r="H707" s="11" t="n">
        <v>100</v>
      </c>
      <c r="I707" s="11" t="n">
        <v>150</v>
      </c>
      <c r="J707" s="11" t="s">
        <v>251</v>
      </c>
      <c r="K707" s="11" t="n">
        <v>120</v>
      </c>
    </row>
    <row r="708" customFormat="false" ht="36.5" hidden="false" customHeight="false" outlineLevel="0" collapsed="false">
      <c r="A708" s="1" t="n">
        <v>54</v>
      </c>
      <c r="B708" s="1" t="n">
        <v>2024</v>
      </c>
      <c r="C708" s="3" t="n">
        <v>45441</v>
      </c>
      <c r="D708" s="4" t="s">
        <v>38</v>
      </c>
      <c r="E708" s="5" t="s">
        <v>64</v>
      </c>
      <c r="F708" s="5" t="s">
        <v>40</v>
      </c>
      <c r="G708" s="7" t="n">
        <v>200</v>
      </c>
      <c r="H708" s="7" t="n">
        <v>200</v>
      </c>
      <c r="I708" s="7" t="n">
        <v>200</v>
      </c>
      <c r="J708" s="7" t="n">
        <v>200</v>
      </c>
      <c r="K708" s="7" t="n">
        <v>200</v>
      </c>
    </row>
    <row r="709" customFormat="false" ht="14.25" hidden="false" customHeight="false" outlineLevel="0" collapsed="false">
      <c r="A709" s="1" t="n">
        <v>54</v>
      </c>
      <c r="B709" s="1" t="n">
        <v>2024</v>
      </c>
      <c r="C709" s="3" t="n">
        <v>45441</v>
      </c>
      <c r="D709" s="8" t="s">
        <v>65</v>
      </c>
      <c r="E709" s="9" t="s">
        <v>66</v>
      </c>
      <c r="F709" s="9" t="s">
        <v>45</v>
      </c>
      <c r="G709" s="10"/>
      <c r="H709" s="11" t="n">
        <v>100</v>
      </c>
      <c r="I709" s="11" t="n">
        <v>100</v>
      </c>
      <c r="J709" s="11" t="n">
        <v>100</v>
      </c>
      <c r="K709" s="11" t="n">
        <v>100</v>
      </c>
    </row>
    <row r="710" customFormat="false" ht="14.25" hidden="false" customHeight="false" outlineLevel="0" collapsed="false">
      <c r="A710" s="1" t="n">
        <v>54</v>
      </c>
      <c r="B710" s="1" t="n">
        <v>2024</v>
      </c>
      <c r="C710" s="3" t="n">
        <v>45441</v>
      </c>
      <c r="D710" s="4" t="s">
        <v>65</v>
      </c>
      <c r="E710" s="5" t="s">
        <v>67</v>
      </c>
      <c r="F710" s="5" t="s">
        <v>45</v>
      </c>
      <c r="G710" s="6"/>
      <c r="H710" s="7" t="n">
        <v>75</v>
      </c>
      <c r="I710" s="7" t="n">
        <v>75</v>
      </c>
      <c r="J710" s="7" t="n">
        <v>75</v>
      </c>
      <c r="K710" s="7" t="n">
        <v>75</v>
      </c>
    </row>
    <row r="711" customFormat="false" ht="14.25" hidden="false" customHeight="false" outlineLevel="0" collapsed="false">
      <c r="A711" s="1" t="n">
        <v>54</v>
      </c>
      <c r="B711" s="1" t="n">
        <v>2024</v>
      </c>
      <c r="C711" s="3" t="n">
        <v>45441</v>
      </c>
      <c r="D711" s="8" t="s">
        <v>65</v>
      </c>
      <c r="E711" s="9" t="s">
        <v>68</v>
      </c>
      <c r="F711" s="9" t="s">
        <v>45</v>
      </c>
      <c r="G711" s="10"/>
      <c r="H711" s="10"/>
      <c r="I711" s="10"/>
      <c r="J711" s="10"/>
      <c r="K711" s="10"/>
    </row>
    <row r="712" customFormat="false" ht="14.25" hidden="false" customHeight="false" outlineLevel="0" collapsed="false">
      <c r="A712" s="1" t="n">
        <v>54</v>
      </c>
      <c r="B712" s="1" t="n">
        <v>2024</v>
      </c>
      <c r="C712" s="3" t="n">
        <v>45441</v>
      </c>
      <c r="D712" s="4" t="s">
        <v>65</v>
      </c>
      <c r="E712" s="5" t="s">
        <v>69</v>
      </c>
      <c r="F712" s="5" t="s">
        <v>45</v>
      </c>
      <c r="G712" s="6"/>
      <c r="H712" s="7" t="n">
        <v>40</v>
      </c>
      <c r="I712" s="7" t="n">
        <v>40</v>
      </c>
      <c r="J712" s="7" t="n">
        <v>40</v>
      </c>
      <c r="K712" s="7" t="n">
        <v>40</v>
      </c>
    </row>
    <row r="713" customFormat="false" ht="14.25" hidden="false" customHeight="false" outlineLevel="0" collapsed="false">
      <c r="A713" s="1" t="n">
        <v>54</v>
      </c>
      <c r="B713" s="1" t="n">
        <v>2024</v>
      </c>
      <c r="C713" s="3" t="n">
        <v>45441</v>
      </c>
      <c r="D713" s="8" t="s">
        <v>65</v>
      </c>
      <c r="E713" s="9" t="s">
        <v>70</v>
      </c>
      <c r="F713" s="9" t="s">
        <v>71</v>
      </c>
      <c r="G713" s="10"/>
      <c r="H713" s="11" t="n">
        <v>55</v>
      </c>
      <c r="I713" s="11" t="n">
        <v>55</v>
      </c>
      <c r="J713" s="11" t="n">
        <v>55</v>
      </c>
      <c r="K713" s="11" t="n">
        <v>55</v>
      </c>
    </row>
    <row r="714" customFormat="false" ht="25" hidden="false" customHeight="false" outlineLevel="0" collapsed="false">
      <c r="A714" s="1" t="n">
        <v>55</v>
      </c>
      <c r="B714" s="1" t="n">
        <v>2024</v>
      </c>
      <c r="C714" s="3" t="n">
        <v>45448</v>
      </c>
      <c r="D714" s="4" t="s">
        <v>11</v>
      </c>
      <c r="E714" s="5" t="s">
        <v>12</v>
      </c>
      <c r="F714" s="5" t="s">
        <v>13</v>
      </c>
      <c r="G714" s="7" t="n">
        <v>72</v>
      </c>
      <c r="H714" s="7" t="n">
        <v>48</v>
      </c>
      <c r="I714" s="7" t="n">
        <v>72</v>
      </c>
      <c r="J714" s="7" t="n">
        <v>64</v>
      </c>
      <c r="K714" s="7" t="n">
        <v>72</v>
      </c>
    </row>
    <row r="715" customFormat="false" ht="25" hidden="false" customHeight="false" outlineLevel="0" collapsed="false">
      <c r="A715" s="1" t="n">
        <v>55</v>
      </c>
      <c r="B715" s="1" t="n">
        <v>2024</v>
      </c>
      <c r="C715" s="3" t="n">
        <v>45448</v>
      </c>
      <c r="D715" s="8" t="s">
        <v>11</v>
      </c>
      <c r="E715" s="9" t="s">
        <v>14</v>
      </c>
      <c r="F715" s="9" t="s">
        <v>13</v>
      </c>
      <c r="G715" s="11" t="n">
        <v>84</v>
      </c>
      <c r="H715" s="11" t="n">
        <v>72</v>
      </c>
      <c r="I715" s="11" t="n">
        <v>84</v>
      </c>
      <c r="J715" s="11" t="n">
        <v>80</v>
      </c>
      <c r="K715" s="11" t="n">
        <v>84</v>
      </c>
    </row>
    <row r="716" customFormat="false" ht="25" hidden="false" customHeight="false" outlineLevel="0" collapsed="false">
      <c r="A716" s="1" t="n">
        <v>55</v>
      </c>
      <c r="B716" s="1" t="n">
        <v>2024</v>
      </c>
      <c r="C716" s="3" t="n">
        <v>45448</v>
      </c>
      <c r="D716" s="4" t="s">
        <v>11</v>
      </c>
      <c r="E716" s="5" t="s">
        <v>15</v>
      </c>
      <c r="F716" s="5" t="s">
        <v>13</v>
      </c>
      <c r="G716" s="6"/>
      <c r="H716" s="7" t="n">
        <v>36</v>
      </c>
      <c r="I716" s="7" t="n">
        <v>54</v>
      </c>
      <c r="J716" s="7" t="n">
        <v>44</v>
      </c>
      <c r="K716" s="7" t="n">
        <v>42</v>
      </c>
    </row>
    <row r="717" customFormat="false" ht="25" hidden="false" customHeight="false" outlineLevel="0" collapsed="false">
      <c r="A717" s="1" t="n">
        <v>55</v>
      </c>
      <c r="B717" s="1" t="n">
        <v>2024</v>
      </c>
      <c r="C717" s="3" t="n">
        <v>45448</v>
      </c>
      <c r="D717" s="8" t="s">
        <v>11</v>
      </c>
      <c r="E717" s="9" t="s">
        <v>16</v>
      </c>
      <c r="F717" s="9" t="s">
        <v>13</v>
      </c>
      <c r="G717" s="11" t="n">
        <v>30</v>
      </c>
      <c r="H717" s="11" t="n">
        <v>24</v>
      </c>
      <c r="I717" s="11" t="n">
        <v>30</v>
      </c>
      <c r="J717" s="11" t="n">
        <v>28</v>
      </c>
      <c r="K717" s="11" t="n">
        <v>30</v>
      </c>
    </row>
    <row r="718" customFormat="false" ht="25" hidden="false" customHeight="false" outlineLevel="0" collapsed="false">
      <c r="A718" s="1" t="n">
        <v>55</v>
      </c>
      <c r="B718" s="1" t="n">
        <v>2024</v>
      </c>
      <c r="C718" s="3" t="n">
        <v>45448</v>
      </c>
      <c r="D718" s="4" t="s">
        <v>11</v>
      </c>
      <c r="E718" s="5" t="s">
        <v>17</v>
      </c>
      <c r="F718" s="5" t="s">
        <v>13</v>
      </c>
      <c r="G718" s="7" t="n">
        <v>30</v>
      </c>
      <c r="H718" s="7" t="n">
        <v>24</v>
      </c>
      <c r="I718" s="7" t="n">
        <v>30</v>
      </c>
      <c r="J718" s="7" t="n">
        <v>28</v>
      </c>
      <c r="K718" s="7" t="n">
        <v>30</v>
      </c>
    </row>
    <row r="719" customFormat="false" ht="25" hidden="false" customHeight="false" outlineLevel="0" collapsed="false">
      <c r="A719" s="1" t="n">
        <v>55</v>
      </c>
      <c r="B719" s="1" t="n">
        <v>2024</v>
      </c>
      <c r="C719" s="3" t="n">
        <v>45448</v>
      </c>
      <c r="D719" s="8" t="s">
        <v>11</v>
      </c>
      <c r="E719" s="9" t="s">
        <v>18</v>
      </c>
      <c r="F719" s="9" t="s">
        <v>13</v>
      </c>
      <c r="G719" s="11" t="n">
        <v>60</v>
      </c>
      <c r="H719" s="11" t="n">
        <v>60</v>
      </c>
      <c r="I719" s="11" t="n">
        <v>60</v>
      </c>
      <c r="J719" s="11" t="n">
        <v>60</v>
      </c>
      <c r="K719" s="11" t="n">
        <v>60</v>
      </c>
    </row>
    <row r="720" customFormat="false" ht="25" hidden="false" customHeight="false" outlineLevel="0" collapsed="false">
      <c r="A720" s="1" t="n">
        <v>55</v>
      </c>
      <c r="B720" s="1" t="n">
        <v>2024</v>
      </c>
      <c r="C720" s="3" t="n">
        <v>45448</v>
      </c>
      <c r="D720" s="4" t="s">
        <v>11</v>
      </c>
      <c r="E720" s="5" t="s">
        <v>19</v>
      </c>
      <c r="F720" s="5" t="s">
        <v>13</v>
      </c>
      <c r="G720" s="7" t="n">
        <v>96</v>
      </c>
      <c r="H720" s="7" t="n">
        <v>96</v>
      </c>
      <c r="I720" s="7" t="n">
        <v>120</v>
      </c>
      <c r="J720" s="7" t="n">
        <v>104</v>
      </c>
      <c r="K720" s="7" t="n">
        <v>96</v>
      </c>
    </row>
    <row r="721" customFormat="false" ht="25" hidden="false" customHeight="false" outlineLevel="0" collapsed="false">
      <c r="A721" s="1" t="n">
        <v>55</v>
      </c>
      <c r="B721" s="1" t="n">
        <v>2024</v>
      </c>
      <c r="C721" s="3" t="n">
        <v>45448</v>
      </c>
      <c r="D721" s="8" t="s">
        <v>11</v>
      </c>
      <c r="E721" s="9" t="s">
        <v>20</v>
      </c>
      <c r="F721" s="9" t="s">
        <v>13</v>
      </c>
      <c r="G721" s="10"/>
      <c r="H721" s="11" t="n">
        <v>84</v>
      </c>
      <c r="I721" s="11" t="n">
        <v>120</v>
      </c>
      <c r="J721" s="11" t="n">
        <v>100</v>
      </c>
      <c r="K721" s="11" t="n">
        <v>96</v>
      </c>
    </row>
    <row r="722" customFormat="false" ht="25" hidden="false" customHeight="false" outlineLevel="0" collapsed="false">
      <c r="A722" s="1" t="n">
        <v>55</v>
      </c>
      <c r="B722" s="1" t="n">
        <v>2024</v>
      </c>
      <c r="C722" s="3" t="n">
        <v>45448</v>
      </c>
      <c r="D722" s="4" t="s">
        <v>11</v>
      </c>
      <c r="E722" s="5" t="s">
        <v>21</v>
      </c>
      <c r="F722" s="5" t="s">
        <v>13</v>
      </c>
      <c r="G722" s="7" t="n">
        <v>24</v>
      </c>
      <c r="H722" s="7" t="n">
        <v>24</v>
      </c>
      <c r="I722" s="7" t="n">
        <v>30</v>
      </c>
      <c r="J722" s="7" t="n">
        <v>26</v>
      </c>
      <c r="K722" s="7" t="n">
        <v>24</v>
      </c>
    </row>
    <row r="723" customFormat="false" ht="25" hidden="false" customHeight="false" outlineLevel="0" collapsed="false">
      <c r="A723" s="1" t="n">
        <v>55</v>
      </c>
      <c r="B723" s="1" t="n">
        <v>2024</v>
      </c>
      <c r="C723" s="3" t="n">
        <v>45448</v>
      </c>
      <c r="D723" s="8" t="s">
        <v>11</v>
      </c>
      <c r="E723" s="9" t="s">
        <v>73</v>
      </c>
      <c r="F723" s="9" t="s">
        <v>13</v>
      </c>
      <c r="G723" s="10"/>
      <c r="H723" s="11" t="n">
        <v>96</v>
      </c>
      <c r="I723" s="11" t="n">
        <v>120</v>
      </c>
      <c r="J723" s="11" t="n">
        <v>106</v>
      </c>
      <c r="K723" s="11" t="n">
        <v>102</v>
      </c>
    </row>
    <row r="724" customFormat="false" ht="25" hidden="false" customHeight="false" outlineLevel="0" collapsed="false">
      <c r="A724" s="1" t="n">
        <v>55</v>
      </c>
      <c r="B724" s="1" t="n">
        <v>2024</v>
      </c>
      <c r="C724" s="3" t="n">
        <v>45448</v>
      </c>
      <c r="D724" s="4" t="s">
        <v>11</v>
      </c>
      <c r="E724" s="5" t="s">
        <v>23</v>
      </c>
      <c r="F724" s="5" t="s">
        <v>13</v>
      </c>
      <c r="G724" s="7" t="n">
        <v>30</v>
      </c>
      <c r="H724" s="7" t="n">
        <v>24</v>
      </c>
      <c r="I724" s="7" t="n">
        <v>30</v>
      </c>
      <c r="J724" s="7" t="n">
        <v>28</v>
      </c>
      <c r="K724" s="7" t="n">
        <v>30</v>
      </c>
    </row>
    <row r="725" customFormat="false" ht="25" hidden="false" customHeight="false" outlineLevel="0" collapsed="false">
      <c r="A725" s="1" t="n">
        <v>55</v>
      </c>
      <c r="B725" s="1" t="n">
        <v>2024</v>
      </c>
      <c r="C725" s="3" t="n">
        <v>45448</v>
      </c>
      <c r="D725" s="8" t="s">
        <v>11</v>
      </c>
      <c r="E725" s="9" t="s">
        <v>24</v>
      </c>
      <c r="F725" s="9" t="s">
        <v>13</v>
      </c>
      <c r="G725" s="11" t="n">
        <v>60</v>
      </c>
      <c r="H725" s="11" t="n">
        <v>60</v>
      </c>
      <c r="I725" s="11" t="n">
        <v>84</v>
      </c>
      <c r="J725" s="11" t="n">
        <v>68</v>
      </c>
      <c r="K725" s="11" t="n">
        <v>60</v>
      </c>
    </row>
    <row r="726" customFormat="false" ht="25" hidden="false" customHeight="false" outlineLevel="0" collapsed="false">
      <c r="A726" s="1" t="n">
        <v>55</v>
      </c>
      <c r="B726" s="1" t="n">
        <v>2024</v>
      </c>
      <c r="C726" s="3" t="n">
        <v>45448</v>
      </c>
      <c r="D726" s="4" t="s">
        <v>11</v>
      </c>
      <c r="E726" s="5" t="s">
        <v>25</v>
      </c>
      <c r="F726" s="5" t="s">
        <v>26</v>
      </c>
      <c r="G726" s="7" t="n">
        <v>60</v>
      </c>
      <c r="H726" s="7" t="n">
        <v>60</v>
      </c>
      <c r="I726" s="7" t="n">
        <v>78</v>
      </c>
      <c r="J726" s="7" t="n">
        <v>66</v>
      </c>
      <c r="K726" s="7" t="n">
        <v>60</v>
      </c>
    </row>
    <row r="727" customFormat="false" ht="25" hidden="false" customHeight="false" outlineLevel="0" collapsed="false">
      <c r="A727" s="1" t="n">
        <v>55</v>
      </c>
      <c r="B727" s="1" t="n">
        <v>2024</v>
      </c>
      <c r="C727" s="3" t="n">
        <v>45448</v>
      </c>
      <c r="D727" s="8" t="s">
        <v>11</v>
      </c>
      <c r="E727" s="9" t="s">
        <v>27</v>
      </c>
      <c r="F727" s="9" t="s">
        <v>13</v>
      </c>
      <c r="G727" s="10"/>
      <c r="H727" s="11" t="n">
        <v>72</v>
      </c>
      <c r="I727" s="11" t="n">
        <v>100</v>
      </c>
      <c r="J727" s="11" t="s">
        <v>252</v>
      </c>
      <c r="K727" s="11" t="n">
        <v>84</v>
      </c>
    </row>
    <row r="728" customFormat="false" ht="25" hidden="false" customHeight="false" outlineLevel="0" collapsed="false">
      <c r="A728" s="1" t="n">
        <v>55</v>
      </c>
      <c r="B728" s="1" t="n">
        <v>2024</v>
      </c>
      <c r="C728" s="3" t="n">
        <v>45448</v>
      </c>
      <c r="D728" s="4" t="s">
        <v>11</v>
      </c>
      <c r="E728" s="5" t="s">
        <v>28</v>
      </c>
      <c r="F728" s="5" t="s">
        <v>13</v>
      </c>
      <c r="G728" s="6"/>
      <c r="H728" s="7" t="n">
        <v>48</v>
      </c>
      <c r="I728" s="7" t="n">
        <v>80</v>
      </c>
      <c r="J728" s="7" t="n">
        <v>61</v>
      </c>
      <c r="K728" s="7" t="n">
        <v>55</v>
      </c>
    </row>
    <row r="729" customFormat="false" ht="25" hidden="false" customHeight="false" outlineLevel="0" collapsed="false">
      <c r="A729" s="1" t="n">
        <v>55</v>
      </c>
      <c r="B729" s="1" t="n">
        <v>2024</v>
      </c>
      <c r="C729" s="3" t="n">
        <v>45448</v>
      </c>
      <c r="D729" s="8" t="s">
        <v>11</v>
      </c>
      <c r="E729" s="9" t="s">
        <v>29</v>
      </c>
      <c r="F729" s="9" t="s">
        <v>13</v>
      </c>
      <c r="G729" s="11" t="n">
        <v>54</v>
      </c>
      <c r="H729" s="11" t="n">
        <v>48</v>
      </c>
      <c r="I729" s="11" t="n">
        <v>54</v>
      </c>
      <c r="J729" s="11" t="n">
        <v>52</v>
      </c>
      <c r="K729" s="11" t="n">
        <v>54</v>
      </c>
    </row>
    <row r="730" customFormat="false" ht="25" hidden="false" customHeight="false" outlineLevel="0" collapsed="false">
      <c r="A730" s="1" t="n">
        <v>55</v>
      </c>
      <c r="B730" s="1" t="n">
        <v>2024</v>
      </c>
      <c r="C730" s="3" t="n">
        <v>45448</v>
      </c>
      <c r="D730" s="4" t="s">
        <v>30</v>
      </c>
      <c r="E730" s="5" t="s">
        <v>31</v>
      </c>
      <c r="F730" s="5" t="s">
        <v>32</v>
      </c>
      <c r="G730" s="7" t="n">
        <v>5</v>
      </c>
      <c r="H730" s="7" t="n">
        <v>5</v>
      </c>
      <c r="I730" s="7" t="n">
        <v>6</v>
      </c>
      <c r="J730" s="7" t="s">
        <v>253</v>
      </c>
      <c r="K730" s="7" t="n">
        <v>5</v>
      </c>
    </row>
    <row r="731" customFormat="false" ht="25" hidden="false" customHeight="false" outlineLevel="0" collapsed="false">
      <c r="A731" s="1" t="n">
        <v>55</v>
      </c>
      <c r="B731" s="1" t="n">
        <v>2024</v>
      </c>
      <c r="C731" s="3" t="n">
        <v>45448</v>
      </c>
      <c r="D731" s="8" t="s">
        <v>30</v>
      </c>
      <c r="E731" s="9" t="s">
        <v>34</v>
      </c>
      <c r="F731" s="9" t="s">
        <v>35</v>
      </c>
      <c r="G731" s="11" t="n">
        <v>20</v>
      </c>
      <c r="H731" s="11" t="n">
        <v>20</v>
      </c>
      <c r="I731" s="11" t="n">
        <v>20</v>
      </c>
      <c r="J731" s="11" t="n">
        <v>20</v>
      </c>
      <c r="K731" s="11" t="n">
        <v>20</v>
      </c>
    </row>
    <row r="732" customFormat="false" ht="25" hidden="false" customHeight="false" outlineLevel="0" collapsed="false">
      <c r="A732" s="1" t="n">
        <v>55</v>
      </c>
      <c r="B732" s="1" t="n">
        <v>2024</v>
      </c>
      <c r="C732" s="3" t="n">
        <v>45448</v>
      </c>
      <c r="D732" s="4" t="s">
        <v>30</v>
      </c>
      <c r="E732" s="5" t="s">
        <v>36</v>
      </c>
      <c r="F732" s="5" t="s">
        <v>35</v>
      </c>
      <c r="G732" s="6"/>
      <c r="H732" s="7" t="n">
        <v>25</v>
      </c>
      <c r="I732" s="7" t="n">
        <v>35</v>
      </c>
      <c r="J732" s="7" t="n">
        <v>30</v>
      </c>
      <c r="K732" s="7" t="n">
        <v>30</v>
      </c>
    </row>
    <row r="733" customFormat="false" ht="36.5" hidden="false" customHeight="false" outlineLevel="0" collapsed="false">
      <c r="A733" s="1" t="n">
        <v>55</v>
      </c>
      <c r="B733" s="1" t="n">
        <v>2024</v>
      </c>
      <c r="C733" s="3" t="n">
        <v>45448</v>
      </c>
      <c r="D733" s="8" t="s">
        <v>38</v>
      </c>
      <c r="E733" s="9" t="s">
        <v>153</v>
      </c>
      <c r="F733" s="9" t="s">
        <v>154</v>
      </c>
      <c r="G733" s="10"/>
      <c r="H733" s="11" t="n">
        <v>85</v>
      </c>
      <c r="I733" s="11" t="n">
        <v>95</v>
      </c>
      <c r="J733" s="11" t="n">
        <v>90</v>
      </c>
      <c r="K733" s="11" t="n">
        <v>90</v>
      </c>
    </row>
    <row r="734" customFormat="false" ht="36.5" hidden="false" customHeight="false" outlineLevel="0" collapsed="false">
      <c r="A734" s="1" t="n">
        <v>55</v>
      </c>
      <c r="B734" s="1" t="n">
        <v>2024</v>
      </c>
      <c r="C734" s="3" t="n">
        <v>45448</v>
      </c>
      <c r="D734" s="4" t="s">
        <v>38</v>
      </c>
      <c r="E734" s="5" t="s">
        <v>39</v>
      </c>
      <c r="F734" s="5" t="s">
        <v>40</v>
      </c>
      <c r="G734" s="7" t="n">
        <v>120</v>
      </c>
      <c r="H734" s="7" t="n">
        <v>100</v>
      </c>
      <c r="I734" s="7" t="n">
        <v>120</v>
      </c>
      <c r="J734" s="7" t="n">
        <v>116</v>
      </c>
      <c r="K734" s="7" t="n">
        <v>120</v>
      </c>
    </row>
    <row r="735" customFormat="false" ht="36.5" hidden="false" customHeight="false" outlineLevel="0" collapsed="false">
      <c r="A735" s="1" t="n">
        <v>55</v>
      </c>
      <c r="B735" s="1" t="n">
        <v>2024</v>
      </c>
      <c r="C735" s="3" t="n">
        <v>45448</v>
      </c>
      <c r="D735" s="8" t="s">
        <v>38</v>
      </c>
      <c r="E735" s="9" t="s">
        <v>42</v>
      </c>
      <c r="F735" s="9" t="s">
        <v>43</v>
      </c>
      <c r="G735" s="11" t="n">
        <v>60</v>
      </c>
      <c r="H735" s="11" t="n">
        <v>40</v>
      </c>
      <c r="I735" s="11" t="n">
        <v>70</v>
      </c>
      <c r="J735" s="11" t="s">
        <v>41</v>
      </c>
      <c r="K735" s="11" t="n">
        <v>60</v>
      </c>
    </row>
    <row r="736" customFormat="false" ht="36.5" hidden="false" customHeight="false" outlineLevel="0" collapsed="false">
      <c r="A736" s="1" t="n">
        <v>55</v>
      </c>
      <c r="B736" s="1" t="n">
        <v>2024</v>
      </c>
      <c r="C736" s="3" t="n">
        <v>45448</v>
      </c>
      <c r="D736" s="4" t="s">
        <v>38</v>
      </c>
      <c r="E736" s="5" t="s">
        <v>44</v>
      </c>
      <c r="F736" s="5" t="s">
        <v>45</v>
      </c>
      <c r="G736" s="7" t="n">
        <v>40</v>
      </c>
      <c r="H736" s="7" t="n">
        <v>35</v>
      </c>
      <c r="I736" s="7" t="n">
        <v>55</v>
      </c>
      <c r="J736" s="7" t="s">
        <v>47</v>
      </c>
      <c r="K736" s="7" t="n">
        <v>40</v>
      </c>
    </row>
    <row r="737" customFormat="false" ht="36.5" hidden="false" customHeight="false" outlineLevel="0" collapsed="false">
      <c r="A737" s="1" t="n">
        <v>55</v>
      </c>
      <c r="B737" s="1" t="n">
        <v>2024</v>
      </c>
      <c r="C737" s="3" t="n">
        <v>45448</v>
      </c>
      <c r="D737" s="8" t="s">
        <v>38</v>
      </c>
      <c r="E737" s="9" t="s">
        <v>48</v>
      </c>
      <c r="F737" s="9" t="s">
        <v>45</v>
      </c>
      <c r="G737" s="10"/>
      <c r="H737" s="11" t="n">
        <v>90</v>
      </c>
      <c r="I737" s="11" t="n">
        <v>110</v>
      </c>
      <c r="J737" s="11" t="n">
        <v>100</v>
      </c>
      <c r="K737" s="11" t="n">
        <v>100</v>
      </c>
    </row>
    <row r="738" customFormat="false" ht="36.5" hidden="false" customHeight="false" outlineLevel="0" collapsed="false">
      <c r="A738" s="1" t="n">
        <v>55</v>
      </c>
      <c r="B738" s="1" t="n">
        <v>2024</v>
      </c>
      <c r="C738" s="3" t="n">
        <v>45448</v>
      </c>
      <c r="D738" s="4" t="s">
        <v>38</v>
      </c>
      <c r="E738" s="5" t="s">
        <v>49</v>
      </c>
      <c r="F738" s="5" t="s">
        <v>50</v>
      </c>
      <c r="G738" s="7" t="n">
        <v>120</v>
      </c>
      <c r="H738" s="7" t="n">
        <v>80</v>
      </c>
      <c r="I738" s="7" t="n">
        <v>120</v>
      </c>
      <c r="J738" s="7" t="n">
        <v>110</v>
      </c>
      <c r="K738" s="7" t="n">
        <v>120</v>
      </c>
    </row>
    <row r="739" customFormat="false" ht="36.5" hidden="false" customHeight="false" outlineLevel="0" collapsed="false">
      <c r="A739" s="1" t="n">
        <v>55</v>
      </c>
      <c r="B739" s="1" t="n">
        <v>2024</v>
      </c>
      <c r="C739" s="3" t="n">
        <v>45448</v>
      </c>
      <c r="D739" s="8" t="s">
        <v>38</v>
      </c>
      <c r="E739" s="9" t="s">
        <v>52</v>
      </c>
      <c r="F739" s="9" t="s">
        <v>43</v>
      </c>
      <c r="G739" s="10"/>
      <c r="H739" s="11" t="n">
        <v>60</v>
      </c>
      <c r="I739" s="11" t="n">
        <v>160</v>
      </c>
      <c r="J739" s="11" t="n">
        <v>118</v>
      </c>
      <c r="K739" s="11" t="n">
        <v>130</v>
      </c>
    </row>
    <row r="740" customFormat="false" ht="36.5" hidden="false" customHeight="false" outlineLevel="0" collapsed="false">
      <c r="A740" s="1" t="n">
        <v>55</v>
      </c>
      <c r="B740" s="1" t="n">
        <v>2024</v>
      </c>
      <c r="C740" s="3" t="n">
        <v>45448</v>
      </c>
      <c r="D740" s="4" t="s">
        <v>38</v>
      </c>
      <c r="E740" s="5" t="s">
        <v>53</v>
      </c>
      <c r="F740" s="5" t="s">
        <v>43</v>
      </c>
      <c r="G740" s="7" t="n">
        <v>80</v>
      </c>
      <c r="H740" s="7" t="n">
        <v>75</v>
      </c>
      <c r="I740" s="7" t="n">
        <v>110</v>
      </c>
      <c r="J740" s="7" t="n">
        <v>90</v>
      </c>
      <c r="K740" s="7" t="n">
        <v>80</v>
      </c>
    </row>
    <row r="741" customFormat="false" ht="36.5" hidden="false" customHeight="false" outlineLevel="0" collapsed="false">
      <c r="A741" s="1" t="n">
        <v>55</v>
      </c>
      <c r="B741" s="1" t="n">
        <v>2024</v>
      </c>
      <c r="C741" s="3" t="n">
        <v>45448</v>
      </c>
      <c r="D741" s="8" t="s">
        <v>38</v>
      </c>
      <c r="E741" s="9" t="s">
        <v>54</v>
      </c>
      <c r="F741" s="9" t="s">
        <v>40</v>
      </c>
      <c r="G741" s="11" t="n">
        <v>100</v>
      </c>
      <c r="H741" s="11" t="n">
        <v>70</v>
      </c>
      <c r="I741" s="11" t="n">
        <v>100</v>
      </c>
      <c r="J741" s="11" t="s">
        <v>239</v>
      </c>
      <c r="K741" s="11" t="n">
        <v>90</v>
      </c>
    </row>
    <row r="742" customFormat="false" ht="36.5" hidden="false" customHeight="false" outlineLevel="0" collapsed="false">
      <c r="A742" s="1" t="n">
        <v>55</v>
      </c>
      <c r="B742" s="1" t="n">
        <v>2024</v>
      </c>
      <c r="C742" s="3" t="n">
        <v>45448</v>
      </c>
      <c r="D742" s="4" t="s">
        <v>38</v>
      </c>
      <c r="E742" s="5" t="s">
        <v>56</v>
      </c>
      <c r="F742" s="5" t="s">
        <v>43</v>
      </c>
      <c r="G742" s="6"/>
      <c r="H742" s="7" t="n">
        <v>40</v>
      </c>
      <c r="I742" s="7" t="n">
        <v>60</v>
      </c>
      <c r="J742" s="7" t="s">
        <v>254</v>
      </c>
      <c r="K742" s="7" t="s">
        <v>78</v>
      </c>
    </row>
    <row r="743" customFormat="false" ht="36.5" hidden="false" customHeight="false" outlineLevel="0" collapsed="false">
      <c r="A743" s="1" t="n">
        <v>55</v>
      </c>
      <c r="B743" s="1" t="n">
        <v>2024</v>
      </c>
      <c r="C743" s="3" t="n">
        <v>45448</v>
      </c>
      <c r="D743" s="8" t="s">
        <v>38</v>
      </c>
      <c r="E743" s="9" t="s">
        <v>57</v>
      </c>
      <c r="F743" s="9" t="s">
        <v>40</v>
      </c>
      <c r="G743" s="11" t="n">
        <v>70</v>
      </c>
      <c r="H743" s="11" t="n">
        <v>65</v>
      </c>
      <c r="I743" s="11" t="n">
        <v>70</v>
      </c>
      <c r="J743" s="11" t="s">
        <v>94</v>
      </c>
      <c r="K743" s="11" t="n">
        <v>70</v>
      </c>
    </row>
    <row r="744" customFormat="false" ht="36.5" hidden="false" customHeight="false" outlineLevel="0" collapsed="false">
      <c r="A744" s="1" t="n">
        <v>55</v>
      </c>
      <c r="B744" s="1" t="n">
        <v>2024</v>
      </c>
      <c r="C744" s="3" t="n">
        <v>45448</v>
      </c>
      <c r="D744" s="4" t="s">
        <v>38</v>
      </c>
      <c r="E744" s="5" t="s">
        <v>58</v>
      </c>
      <c r="F744" s="5" t="s">
        <v>40</v>
      </c>
      <c r="G744" s="7" t="n">
        <v>120</v>
      </c>
      <c r="H744" s="7" t="n">
        <v>100</v>
      </c>
      <c r="I744" s="7" t="n">
        <v>125</v>
      </c>
      <c r="J744" s="7" t="s">
        <v>255</v>
      </c>
      <c r="K744" s="7" t="n">
        <v>120</v>
      </c>
    </row>
    <row r="745" customFormat="false" ht="36.5" hidden="false" customHeight="false" outlineLevel="0" collapsed="false">
      <c r="A745" s="1" t="n">
        <v>55</v>
      </c>
      <c r="B745" s="1" t="n">
        <v>2024</v>
      </c>
      <c r="C745" s="3" t="n">
        <v>45448</v>
      </c>
      <c r="D745" s="8" t="s">
        <v>38</v>
      </c>
      <c r="E745" s="9" t="s">
        <v>59</v>
      </c>
      <c r="F745" s="9" t="s">
        <v>45</v>
      </c>
      <c r="G745" s="11" t="n">
        <v>50</v>
      </c>
      <c r="H745" s="11" t="n">
        <v>40</v>
      </c>
      <c r="I745" s="11" t="n">
        <v>80</v>
      </c>
      <c r="J745" s="11" t="s">
        <v>242</v>
      </c>
      <c r="K745" s="11" t="n">
        <v>50</v>
      </c>
    </row>
    <row r="746" customFormat="false" ht="36.5" hidden="false" customHeight="false" outlineLevel="0" collapsed="false">
      <c r="A746" s="1" t="n">
        <v>55</v>
      </c>
      <c r="B746" s="1" t="n">
        <v>2024</v>
      </c>
      <c r="C746" s="3" t="n">
        <v>45448</v>
      </c>
      <c r="D746" s="4" t="s">
        <v>38</v>
      </c>
      <c r="E746" s="5" t="s">
        <v>60</v>
      </c>
      <c r="F746" s="5" t="s">
        <v>61</v>
      </c>
      <c r="G746" s="6"/>
      <c r="H746" s="7" t="n">
        <v>120</v>
      </c>
      <c r="I746" s="7" t="n">
        <v>200</v>
      </c>
      <c r="J746" s="7" t="n">
        <v>160</v>
      </c>
      <c r="K746" s="7" t="n">
        <v>160</v>
      </c>
    </row>
    <row r="747" customFormat="false" ht="36.5" hidden="false" customHeight="false" outlineLevel="0" collapsed="false">
      <c r="A747" s="1" t="n">
        <v>55</v>
      </c>
      <c r="B747" s="1" t="n">
        <v>2024</v>
      </c>
      <c r="C747" s="3" t="n">
        <v>45448</v>
      </c>
      <c r="D747" s="8" t="s">
        <v>38</v>
      </c>
      <c r="E747" s="9" t="s">
        <v>63</v>
      </c>
      <c r="F747" s="9" t="s">
        <v>40</v>
      </c>
      <c r="G747" s="11" t="n">
        <v>130</v>
      </c>
      <c r="H747" s="11" t="n">
        <v>100</v>
      </c>
      <c r="I747" s="11" t="n">
        <v>170</v>
      </c>
      <c r="J747" s="11" t="n">
        <v>140</v>
      </c>
      <c r="K747" s="11" t="n">
        <v>140</v>
      </c>
    </row>
    <row r="748" customFormat="false" ht="36.5" hidden="false" customHeight="false" outlineLevel="0" collapsed="false">
      <c r="A748" s="1" t="n">
        <v>55</v>
      </c>
      <c r="B748" s="1" t="n">
        <v>2024</v>
      </c>
      <c r="C748" s="3" t="n">
        <v>45448</v>
      </c>
      <c r="D748" s="4" t="s">
        <v>38</v>
      </c>
      <c r="E748" s="5" t="s">
        <v>64</v>
      </c>
      <c r="F748" s="5" t="s">
        <v>40</v>
      </c>
      <c r="G748" s="6"/>
      <c r="H748" s="7" t="n">
        <v>120</v>
      </c>
      <c r="I748" s="7" t="n">
        <v>235</v>
      </c>
      <c r="J748" s="7" t="s">
        <v>256</v>
      </c>
      <c r="K748" s="7" t="n">
        <v>210</v>
      </c>
    </row>
    <row r="749" customFormat="false" ht="14.25" hidden="false" customHeight="false" outlineLevel="0" collapsed="false">
      <c r="A749" s="1" t="n">
        <v>55</v>
      </c>
      <c r="B749" s="1" t="n">
        <v>2024</v>
      </c>
      <c r="C749" s="3" t="n">
        <v>45448</v>
      </c>
      <c r="D749" s="8" t="s">
        <v>65</v>
      </c>
      <c r="E749" s="9" t="s">
        <v>66</v>
      </c>
      <c r="F749" s="9" t="s">
        <v>45</v>
      </c>
      <c r="G749" s="10"/>
      <c r="H749" s="10"/>
      <c r="I749" s="10"/>
      <c r="J749" s="10"/>
      <c r="K749" s="10"/>
    </row>
    <row r="750" customFormat="false" ht="14.25" hidden="false" customHeight="false" outlineLevel="0" collapsed="false">
      <c r="A750" s="1" t="n">
        <v>55</v>
      </c>
      <c r="B750" s="1" t="n">
        <v>2024</v>
      </c>
      <c r="C750" s="3" t="n">
        <v>45448</v>
      </c>
      <c r="D750" s="4" t="s">
        <v>65</v>
      </c>
      <c r="E750" s="5" t="s">
        <v>67</v>
      </c>
      <c r="F750" s="5" t="s">
        <v>45</v>
      </c>
      <c r="G750" s="6"/>
      <c r="H750" s="6"/>
      <c r="I750" s="6"/>
      <c r="J750" s="6"/>
      <c r="K750" s="6"/>
    </row>
    <row r="751" customFormat="false" ht="14.25" hidden="false" customHeight="false" outlineLevel="0" collapsed="false">
      <c r="A751" s="1" t="n">
        <v>55</v>
      </c>
      <c r="B751" s="1" t="n">
        <v>2024</v>
      </c>
      <c r="C751" s="3" t="n">
        <v>45448</v>
      </c>
      <c r="D751" s="8" t="s">
        <v>65</v>
      </c>
      <c r="E751" s="9" t="s">
        <v>68</v>
      </c>
      <c r="F751" s="9" t="s">
        <v>45</v>
      </c>
      <c r="G751" s="10"/>
      <c r="H751" s="10"/>
      <c r="I751" s="10"/>
      <c r="J751" s="10"/>
      <c r="K751" s="10"/>
    </row>
    <row r="752" customFormat="false" ht="14.25" hidden="false" customHeight="false" outlineLevel="0" collapsed="false">
      <c r="A752" s="1" t="n">
        <v>55</v>
      </c>
      <c r="B752" s="1" t="n">
        <v>2024</v>
      </c>
      <c r="C752" s="3" t="n">
        <v>45448</v>
      </c>
      <c r="D752" s="4" t="s">
        <v>65</v>
      </c>
      <c r="E752" s="5" t="s">
        <v>69</v>
      </c>
      <c r="F752" s="5" t="s">
        <v>45</v>
      </c>
      <c r="G752" s="6"/>
      <c r="H752" s="7" t="n">
        <v>50</v>
      </c>
      <c r="I752" s="7" t="n">
        <v>50</v>
      </c>
      <c r="J752" s="7" t="n">
        <v>50</v>
      </c>
      <c r="K752" s="7" t="n">
        <v>50</v>
      </c>
    </row>
    <row r="753" customFormat="false" ht="14.25" hidden="false" customHeight="false" outlineLevel="0" collapsed="false">
      <c r="A753" s="1" t="n">
        <v>55</v>
      </c>
      <c r="B753" s="1" t="n">
        <v>2024</v>
      </c>
      <c r="C753" s="3" t="n">
        <v>45448</v>
      </c>
      <c r="D753" s="8" t="s">
        <v>65</v>
      </c>
      <c r="E753" s="9" t="s">
        <v>70</v>
      </c>
      <c r="F753" s="9" t="s">
        <v>71</v>
      </c>
      <c r="G753" s="11" t="n">
        <v>60</v>
      </c>
      <c r="H753" s="11" t="n">
        <v>60</v>
      </c>
      <c r="I753" s="11" t="n">
        <v>60</v>
      </c>
      <c r="J753" s="11" t="n">
        <v>60</v>
      </c>
      <c r="K753" s="11" t="n">
        <v>60</v>
      </c>
    </row>
    <row r="754" customFormat="false" ht="25" hidden="false" customHeight="false" outlineLevel="0" collapsed="false">
      <c r="A754" s="1" t="n">
        <v>56</v>
      </c>
      <c r="B754" s="1" t="n">
        <v>2024</v>
      </c>
      <c r="C754" s="3" t="n">
        <v>45455</v>
      </c>
      <c r="D754" s="4" t="s">
        <v>11</v>
      </c>
      <c r="E754" s="5" t="s">
        <v>12</v>
      </c>
      <c r="F754" s="5" t="s">
        <v>13</v>
      </c>
      <c r="G754" s="6"/>
      <c r="H754" s="6"/>
      <c r="I754" s="6"/>
      <c r="J754" s="6"/>
      <c r="K754" s="6"/>
    </row>
    <row r="755" customFormat="false" ht="25" hidden="false" customHeight="false" outlineLevel="0" collapsed="false">
      <c r="A755" s="1" t="n">
        <v>56</v>
      </c>
      <c r="B755" s="1" t="n">
        <v>2024</v>
      </c>
      <c r="C755" s="3" t="n">
        <v>45455</v>
      </c>
      <c r="D755" s="8" t="s">
        <v>11</v>
      </c>
      <c r="E755" s="9" t="s">
        <v>14</v>
      </c>
      <c r="F755" s="9" t="s">
        <v>13</v>
      </c>
      <c r="G755" s="10"/>
      <c r="H755" s="11" t="n">
        <v>60</v>
      </c>
      <c r="I755" s="11" t="n">
        <v>72</v>
      </c>
      <c r="J755" s="11" t="n">
        <v>66</v>
      </c>
      <c r="K755" s="11" t="n">
        <v>66</v>
      </c>
    </row>
    <row r="756" customFormat="false" ht="25" hidden="false" customHeight="false" outlineLevel="0" collapsed="false">
      <c r="A756" s="1" t="n">
        <v>56</v>
      </c>
      <c r="B756" s="1" t="n">
        <v>2024</v>
      </c>
      <c r="C756" s="3" t="n">
        <v>45455</v>
      </c>
      <c r="D756" s="4" t="s">
        <v>11</v>
      </c>
      <c r="E756" s="5" t="s">
        <v>15</v>
      </c>
      <c r="F756" s="5" t="s">
        <v>13</v>
      </c>
      <c r="G756" s="6"/>
      <c r="H756" s="7" t="n">
        <v>72</v>
      </c>
      <c r="I756" s="7" t="n">
        <v>84</v>
      </c>
      <c r="J756" s="7" t="n">
        <v>78</v>
      </c>
      <c r="K756" s="7" t="n">
        <v>78</v>
      </c>
    </row>
    <row r="757" customFormat="false" ht="25" hidden="false" customHeight="false" outlineLevel="0" collapsed="false">
      <c r="A757" s="1" t="n">
        <v>56</v>
      </c>
      <c r="B757" s="1" t="n">
        <v>2024</v>
      </c>
      <c r="C757" s="3" t="n">
        <v>45455</v>
      </c>
      <c r="D757" s="8" t="s">
        <v>11</v>
      </c>
      <c r="E757" s="9" t="s">
        <v>16</v>
      </c>
      <c r="F757" s="9" t="s">
        <v>13</v>
      </c>
      <c r="G757" s="10"/>
      <c r="H757" s="11" t="n">
        <v>42</v>
      </c>
      <c r="I757" s="11" t="n">
        <v>54</v>
      </c>
      <c r="J757" s="11" t="n">
        <v>48</v>
      </c>
      <c r="K757" s="11" t="n">
        <v>48</v>
      </c>
    </row>
    <row r="758" customFormat="false" ht="25" hidden="false" customHeight="false" outlineLevel="0" collapsed="false">
      <c r="A758" s="1" t="n">
        <v>56</v>
      </c>
      <c r="B758" s="1" t="n">
        <v>2024</v>
      </c>
      <c r="C758" s="3" t="n">
        <v>45455</v>
      </c>
      <c r="D758" s="4" t="s">
        <v>11</v>
      </c>
      <c r="E758" s="5" t="s">
        <v>17</v>
      </c>
      <c r="F758" s="5" t="s">
        <v>13</v>
      </c>
      <c r="G758" s="7" t="n">
        <v>30</v>
      </c>
      <c r="H758" s="7" t="n">
        <v>30</v>
      </c>
      <c r="I758" s="7" t="n">
        <v>30</v>
      </c>
      <c r="J758" s="7" t="n">
        <v>30</v>
      </c>
      <c r="K758" s="7" t="n">
        <v>30</v>
      </c>
    </row>
    <row r="759" customFormat="false" ht="25" hidden="false" customHeight="false" outlineLevel="0" collapsed="false">
      <c r="A759" s="1" t="n">
        <v>56</v>
      </c>
      <c r="B759" s="1" t="n">
        <v>2024</v>
      </c>
      <c r="C759" s="3" t="n">
        <v>45455</v>
      </c>
      <c r="D759" s="8" t="s">
        <v>11</v>
      </c>
      <c r="E759" s="9" t="s">
        <v>18</v>
      </c>
      <c r="F759" s="9" t="s">
        <v>13</v>
      </c>
      <c r="G759" s="11" t="n">
        <v>30</v>
      </c>
      <c r="H759" s="11" t="n">
        <v>30</v>
      </c>
      <c r="I759" s="11" t="n">
        <v>30</v>
      </c>
      <c r="J759" s="11" t="n">
        <v>30</v>
      </c>
      <c r="K759" s="11" t="n">
        <v>30</v>
      </c>
    </row>
    <row r="760" customFormat="false" ht="25" hidden="false" customHeight="false" outlineLevel="0" collapsed="false">
      <c r="A760" s="1" t="n">
        <v>56</v>
      </c>
      <c r="B760" s="1" t="n">
        <v>2024</v>
      </c>
      <c r="C760" s="3" t="n">
        <v>45455</v>
      </c>
      <c r="D760" s="4" t="s">
        <v>11</v>
      </c>
      <c r="E760" s="5" t="s">
        <v>19</v>
      </c>
      <c r="F760" s="5" t="s">
        <v>13</v>
      </c>
      <c r="G760" s="7" t="n">
        <v>60</v>
      </c>
      <c r="H760" s="7" t="n">
        <v>60</v>
      </c>
      <c r="I760" s="7" t="n">
        <v>60</v>
      </c>
      <c r="J760" s="7" t="n">
        <v>60</v>
      </c>
      <c r="K760" s="7" t="n">
        <v>60</v>
      </c>
    </row>
    <row r="761" customFormat="false" ht="25" hidden="false" customHeight="false" outlineLevel="0" collapsed="false">
      <c r="A761" s="1" t="n">
        <v>56</v>
      </c>
      <c r="B761" s="1" t="n">
        <v>2024</v>
      </c>
      <c r="C761" s="3" t="n">
        <v>45455</v>
      </c>
      <c r="D761" s="8" t="s">
        <v>11</v>
      </c>
      <c r="E761" s="9" t="s">
        <v>20</v>
      </c>
      <c r="F761" s="9" t="s">
        <v>13</v>
      </c>
      <c r="G761" s="11" t="n">
        <v>96</v>
      </c>
      <c r="H761" s="11" t="n">
        <v>96</v>
      </c>
      <c r="I761" s="11" t="n">
        <v>96</v>
      </c>
      <c r="J761" s="11" t="n">
        <v>96</v>
      </c>
      <c r="K761" s="11" t="n">
        <v>96</v>
      </c>
    </row>
    <row r="762" customFormat="false" ht="25" hidden="false" customHeight="false" outlineLevel="0" collapsed="false">
      <c r="A762" s="1" t="n">
        <v>56</v>
      </c>
      <c r="B762" s="1" t="n">
        <v>2024</v>
      </c>
      <c r="C762" s="3" t="n">
        <v>45455</v>
      </c>
      <c r="D762" s="4" t="s">
        <v>11</v>
      </c>
      <c r="E762" s="5" t="s">
        <v>21</v>
      </c>
      <c r="F762" s="5" t="s">
        <v>13</v>
      </c>
      <c r="G762" s="6"/>
      <c r="H762" s="7" t="n">
        <v>80</v>
      </c>
      <c r="I762" s="7" t="n">
        <v>84</v>
      </c>
      <c r="J762" s="7" t="n">
        <v>82</v>
      </c>
      <c r="K762" s="7" t="n">
        <v>82</v>
      </c>
    </row>
    <row r="763" customFormat="false" ht="25" hidden="false" customHeight="false" outlineLevel="0" collapsed="false">
      <c r="A763" s="1" t="n">
        <v>56</v>
      </c>
      <c r="B763" s="1" t="n">
        <v>2024</v>
      </c>
      <c r="C763" s="3" t="n">
        <v>45455</v>
      </c>
      <c r="D763" s="8" t="s">
        <v>11</v>
      </c>
      <c r="E763" s="9" t="s">
        <v>73</v>
      </c>
      <c r="F763" s="9" t="s">
        <v>13</v>
      </c>
      <c r="G763" s="10"/>
      <c r="H763" s="11" t="n">
        <v>25</v>
      </c>
      <c r="I763" s="11" t="n">
        <v>30</v>
      </c>
      <c r="J763" s="11" t="s">
        <v>257</v>
      </c>
      <c r="K763" s="11" t="s">
        <v>257</v>
      </c>
    </row>
    <row r="764" customFormat="false" ht="25" hidden="false" customHeight="false" outlineLevel="0" collapsed="false">
      <c r="A764" s="1" t="n">
        <v>56</v>
      </c>
      <c r="B764" s="1" t="n">
        <v>2024</v>
      </c>
      <c r="C764" s="3" t="n">
        <v>45455</v>
      </c>
      <c r="D764" s="4" t="s">
        <v>11</v>
      </c>
      <c r="E764" s="5" t="s">
        <v>23</v>
      </c>
      <c r="F764" s="5" t="s">
        <v>13</v>
      </c>
      <c r="G764" s="6"/>
      <c r="H764" s="7" t="n">
        <v>100</v>
      </c>
      <c r="I764" s="7" t="n">
        <v>108</v>
      </c>
      <c r="J764" s="7" t="n">
        <v>104</v>
      </c>
      <c r="K764" s="7" t="n">
        <v>104</v>
      </c>
    </row>
    <row r="765" customFormat="false" ht="25" hidden="false" customHeight="false" outlineLevel="0" collapsed="false">
      <c r="A765" s="1" t="n">
        <v>56</v>
      </c>
      <c r="B765" s="1" t="n">
        <v>2024</v>
      </c>
      <c r="C765" s="3" t="n">
        <v>45455</v>
      </c>
      <c r="D765" s="8" t="s">
        <v>11</v>
      </c>
      <c r="E765" s="9" t="s">
        <v>24</v>
      </c>
      <c r="F765" s="9" t="s">
        <v>13</v>
      </c>
      <c r="G765" s="11" t="n">
        <v>30</v>
      </c>
      <c r="H765" s="11" t="n">
        <v>30</v>
      </c>
      <c r="I765" s="11" t="n">
        <v>30</v>
      </c>
      <c r="J765" s="11" t="n">
        <v>30</v>
      </c>
      <c r="K765" s="11" t="n">
        <v>30</v>
      </c>
    </row>
    <row r="766" customFormat="false" ht="25" hidden="false" customHeight="false" outlineLevel="0" collapsed="false">
      <c r="A766" s="1" t="n">
        <v>56</v>
      </c>
      <c r="B766" s="1" t="n">
        <v>2024</v>
      </c>
      <c r="C766" s="3" t="n">
        <v>45455</v>
      </c>
      <c r="D766" s="4" t="s">
        <v>11</v>
      </c>
      <c r="E766" s="5" t="s">
        <v>25</v>
      </c>
      <c r="F766" s="5" t="s">
        <v>26</v>
      </c>
      <c r="G766" s="7" t="n">
        <v>72</v>
      </c>
      <c r="H766" s="7" t="n">
        <v>72</v>
      </c>
      <c r="I766" s="7" t="n">
        <v>72</v>
      </c>
      <c r="J766" s="7" t="n">
        <v>72</v>
      </c>
      <c r="K766" s="7" t="n">
        <v>72</v>
      </c>
    </row>
    <row r="767" customFormat="false" ht="25" hidden="false" customHeight="false" outlineLevel="0" collapsed="false">
      <c r="A767" s="1" t="n">
        <v>56</v>
      </c>
      <c r="B767" s="1" t="n">
        <v>2024</v>
      </c>
      <c r="C767" s="3" t="n">
        <v>45455</v>
      </c>
      <c r="D767" s="8" t="s">
        <v>11</v>
      </c>
      <c r="E767" s="9" t="s">
        <v>27</v>
      </c>
      <c r="F767" s="9" t="s">
        <v>13</v>
      </c>
      <c r="G767" s="10"/>
      <c r="H767" s="11" t="n">
        <v>60</v>
      </c>
      <c r="I767" s="11" t="n">
        <v>72</v>
      </c>
      <c r="J767" s="11" t="n">
        <v>66</v>
      </c>
      <c r="K767" s="11" t="n">
        <v>66</v>
      </c>
    </row>
    <row r="768" customFormat="false" ht="25" hidden="false" customHeight="false" outlineLevel="0" collapsed="false">
      <c r="A768" s="1" t="n">
        <v>56</v>
      </c>
      <c r="B768" s="1" t="n">
        <v>2024</v>
      </c>
      <c r="C768" s="3" t="n">
        <v>45455</v>
      </c>
      <c r="D768" s="4" t="s">
        <v>11</v>
      </c>
      <c r="E768" s="5" t="s">
        <v>28</v>
      </c>
      <c r="F768" s="5" t="s">
        <v>13</v>
      </c>
      <c r="G768" s="7" t="n">
        <v>96</v>
      </c>
      <c r="H768" s="7" t="n">
        <v>60</v>
      </c>
      <c r="I768" s="7" t="n">
        <v>96</v>
      </c>
      <c r="J768" s="7" t="n">
        <v>84</v>
      </c>
      <c r="K768" s="7" t="n">
        <v>96</v>
      </c>
    </row>
    <row r="769" customFormat="false" ht="25" hidden="false" customHeight="false" outlineLevel="0" collapsed="false">
      <c r="A769" s="1" t="n">
        <v>56</v>
      </c>
      <c r="B769" s="1" t="n">
        <v>2024</v>
      </c>
      <c r="C769" s="3" t="n">
        <v>45455</v>
      </c>
      <c r="D769" s="8" t="s">
        <v>11</v>
      </c>
      <c r="E769" s="9" t="s">
        <v>29</v>
      </c>
      <c r="F769" s="9" t="s">
        <v>13</v>
      </c>
      <c r="G769" s="10"/>
      <c r="H769" s="11" t="n">
        <v>50</v>
      </c>
      <c r="I769" s="11" t="n">
        <v>65</v>
      </c>
      <c r="J769" s="11" t="s">
        <v>258</v>
      </c>
      <c r="K769" s="11" t="n">
        <v>60</v>
      </c>
    </row>
    <row r="770" customFormat="false" ht="25" hidden="false" customHeight="false" outlineLevel="0" collapsed="false">
      <c r="A770" s="1" t="n">
        <v>56</v>
      </c>
      <c r="B770" s="1" t="n">
        <v>2024</v>
      </c>
      <c r="C770" s="3" t="n">
        <v>45455</v>
      </c>
      <c r="D770" s="4" t="s">
        <v>30</v>
      </c>
      <c r="E770" s="5" t="s">
        <v>31</v>
      </c>
      <c r="F770" s="5" t="s">
        <v>32</v>
      </c>
      <c r="G770" s="7" t="n">
        <v>5</v>
      </c>
      <c r="H770" s="7" t="n">
        <v>5</v>
      </c>
      <c r="I770" s="7" t="n">
        <v>5</v>
      </c>
      <c r="J770" s="7" t="n">
        <v>5</v>
      </c>
      <c r="K770" s="7" t="n">
        <v>5</v>
      </c>
    </row>
    <row r="771" customFormat="false" ht="25" hidden="false" customHeight="false" outlineLevel="0" collapsed="false">
      <c r="A771" s="1" t="n">
        <v>56</v>
      </c>
      <c r="B771" s="1" t="n">
        <v>2024</v>
      </c>
      <c r="C771" s="3" t="n">
        <v>45455</v>
      </c>
      <c r="D771" s="8" t="s">
        <v>30</v>
      </c>
      <c r="E771" s="9" t="s">
        <v>34</v>
      </c>
      <c r="F771" s="9" t="s">
        <v>35</v>
      </c>
      <c r="G771" s="11" t="n">
        <v>25</v>
      </c>
      <c r="H771" s="11" t="n">
        <v>25</v>
      </c>
      <c r="I771" s="11" t="n">
        <v>25</v>
      </c>
      <c r="J771" s="11" t="n">
        <v>25</v>
      </c>
      <c r="K771" s="11" t="n">
        <v>25</v>
      </c>
    </row>
    <row r="772" customFormat="false" ht="25" hidden="false" customHeight="false" outlineLevel="0" collapsed="false">
      <c r="A772" s="1" t="n">
        <v>56</v>
      </c>
      <c r="B772" s="1" t="n">
        <v>2024</v>
      </c>
      <c r="C772" s="3" t="n">
        <v>45455</v>
      </c>
      <c r="D772" s="4" t="s">
        <v>30</v>
      </c>
      <c r="E772" s="5" t="s">
        <v>36</v>
      </c>
      <c r="F772" s="5" t="s">
        <v>35</v>
      </c>
      <c r="G772" s="7" t="n">
        <v>30</v>
      </c>
      <c r="H772" s="7" t="n">
        <v>30</v>
      </c>
      <c r="I772" s="7" t="n">
        <v>30</v>
      </c>
      <c r="J772" s="7" t="n">
        <v>30</v>
      </c>
      <c r="K772" s="7" t="n">
        <v>30</v>
      </c>
    </row>
    <row r="773" customFormat="false" ht="36.5" hidden="false" customHeight="false" outlineLevel="0" collapsed="false">
      <c r="A773" s="1" t="n">
        <v>56</v>
      </c>
      <c r="B773" s="1" t="n">
        <v>2024</v>
      </c>
      <c r="C773" s="3" t="n">
        <v>45455</v>
      </c>
      <c r="D773" s="8" t="s">
        <v>38</v>
      </c>
      <c r="E773" s="9" t="s">
        <v>153</v>
      </c>
      <c r="F773" s="9" t="s">
        <v>154</v>
      </c>
      <c r="G773" s="10"/>
      <c r="H773" s="11" t="n">
        <v>90</v>
      </c>
      <c r="I773" s="11" t="n">
        <v>110</v>
      </c>
      <c r="J773" s="11" t="s">
        <v>259</v>
      </c>
      <c r="K773" s="11" t="n">
        <v>95</v>
      </c>
    </row>
    <row r="774" customFormat="false" ht="36.5" hidden="false" customHeight="false" outlineLevel="0" collapsed="false">
      <c r="A774" s="1" t="n">
        <v>56</v>
      </c>
      <c r="B774" s="1" t="n">
        <v>2024</v>
      </c>
      <c r="C774" s="3" t="n">
        <v>45455</v>
      </c>
      <c r="D774" s="4" t="s">
        <v>38</v>
      </c>
      <c r="E774" s="5" t="s">
        <v>39</v>
      </c>
      <c r="F774" s="5" t="s">
        <v>40</v>
      </c>
      <c r="G774" s="7" t="n">
        <v>90</v>
      </c>
      <c r="H774" s="7" t="n">
        <v>80</v>
      </c>
      <c r="I774" s="7" t="n">
        <v>100</v>
      </c>
      <c r="J774" s="7" t="n">
        <v>92</v>
      </c>
      <c r="K774" s="7" t="n">
        <v>90</v>
      </c>
    </row>
    <row r="775" customFormat="false" ht="36.5" hidden="false" customHeight="false" outlineLevel="0" collapsed="false">
      <c r="A775" s="1" t="n">
        <v>56</v>
      </c>
      <c r="B775" s="1" t="n">
        <v>2024</v>
      </c>
      <c r="C775" s="3" t="n">
        <v>45455</v>
      </c>
      <c r="D775" s="8" t="s">
        <v>38</v>
      </c>
      <c r="E775" s="9" t="s">
        <v>42</v>
      </c>
      <c r="F775" s="9" t="s">
        <v>43</v>
      </c>
      <c r="G775" s="11" t="n">
        <v>65</v>
      </c>
      <c r="H775" s="11" t="n">
        <v>48</v>
      </c>
      <c r="I775" s="11" t="n">
        <v>70</v>
      </c>
      <c r="J775" s="11" t="n">
        <v>63</v>
      </c>
      <c r="K775" s="11" t="n">
        <v>65</v>
      </c>
    </row>
    <row r="776" customFormat="false" ht="36.5" hidden="false" customHeight="false" outlineLevel="0" collapsed="false">
      <c r="A776" s="1" t="n">
        <v>56</v>
      </c>
      <c r="B776" s="1" t="n">
        <v>2024</v>
      </c>
      <c r="C776" s="3" t="n">
        <v>45455</v>
      </c>
      <c r="D776" s="4" t="s">
        <v>38</v>
      </c>
      <c r="E776" s="5" t="s">
        <v>44</v>
      </c>
      <c r="F776" s="5" t="s">
        <v>45</v>
      </c>
      <c r="G776" s="7" t="n">
        <v>40</v>
      </c>
      <c r="H776" s="7" t="n">
        <v>35</v>
      </c>
      <c r="I776" s="7" t="n">
        <v>60</v>
      </c>
      <c r="J776" s="7" t="n">
        <v>45</v>
      </c>
      <c r="K776" s="7" t="s">
        <v>47</v>
      </c>
    </row>
    <row r="777" customFormat="false" ht="36.5" hidden="false" customHeight="false" outlineLevel="0" collapsed="false">
      <c r="A777" s="1" t="n">
        <v>56</v>
      </c>
      <c r="B777" s="1" t="n">
        <v>2024</v>
      </c>
      <c r="C777" s="3" t="n">
        <v>45455</v>
      </c>
      <c r="D777" s="8" t="s">
        <v>38</v>
      </c>
      <c r="E777" s="9" t="s">
        <v>48</v>
      </c>
      <c r="F777" s="9" t="s">
        <v>45</v>
      </c>
      <c r="G777" s="10"/>
      <c r="H777" s="11" t="n">
        <v>100</v>
      </c>
      <c r="I777" s="11" t="n">
        <v>115</v>
      </c>
      <c r="J777" s="11" t="s">
        <v>260</v>
      </c>
      <c r="K777" s="11" t="n">
        <v>110</v>
      </c>
    </row>
    <row r="778" customFormat="false" ht="36.5" hidden="false" customHeight="false" outlineLevel="0" collapsed="false">
      <c r="A778" s="1" t="n">
        <v>56</v>
      </c>
      <c r="B778" s="1" t="n">
        <v>2024</v>
      </c>
      <c r="C778" s="3" t="n">
        <v>45455</v>
      </c>
      <c r="D778" s="4" t="s">
        <v>38</v>
      </c>
      <c r="E778" s="5" t="s">
        <v>49</v>
      </c>
      <c r="F778" s="5" t="s">
        <v>50</v>
      </c>
      <c r="G778" s="7" t="n">
        <v>120</v>
      </c>
      <c r="H778" s="7" t="n">
        <v>100</v>
      </c>
      <c r="I778" s="7" t="n">
        <v>120</v>
      </c>
      <c r="J778" s="7" t="n">
        <v>110</v>
      </c>
      <c r="K778" s="7" t="n">
        <v>110</v>
      </c>
    </row>
    <row r="779" customFormat="false" ht="36.5" hidden="false" customHeight="false" outlineLevel="0" collapsed="false">
      <c r="A779" s="1" t="n">
        <v>56</v>
      </c>
      <c r="B779" s="1" t="n">
        <v>2024</v>
      </c>
      <c r="C779" s="3" t="n">
        <v>45455</v>
      </c>
      <c r="D779" s="8" t="s">
        <v>38</v>
      </c>
      <c r="E779" s="9" t="s">
        <v>52</v>
      </c>
      <c r="F779" s="9" t="s">
        <v>43</v>
      </c>
      <c r="G779" s="10"/>
      <c r="H779" s="11" t="n">
        <v>90</v>
      </c>
      <c r="I779" s="11" t="n">
        <v>145</v>
      </c>
      <c r="J779" s="11" t="s">
        <v>261</v>
      </c>
      <c r="K779" s="11" t="n">
        <v>125</v>
      </c>
    </row>
    <row r="780" customFormat="false" ht="36.5" hidden="false" customHeight="false" outlineLevel="0" collapsed="false">
      <c r="A780" s="1" t="n">
        <v>56</v>
      </c>
      <c r="B780" s="1" t="n">
        <v>2024</v>
      </c>
      <c r="C780" s="3" t="n">
        <v>45455</v>
      </c>
      <c r="D780" s="4" t="s">
        <v>38</v>
      </c>
      <c r="E780" s="5" t="s">
        <v>53</v>
      </c>
      <c r="F780" s="5" t="s">
        <v>43</v>
      </c>
      <c r="G780" s="7" t="n">
        <v>80</v>
      </c>
      <c r="H780" s="7" t="n">
        <v>60</v>
      </c>
      <c r="I780" s="7" t="n">
        <v>80</v>
      </c>
      <c r="J780" s="7" t="n">
        <v>74</v>
      </c>
      <c r="K780" s="7" t="n">
        <v>75</v>
      </c>
    </row>
    <row r="781" customFormat="false" ht="36.5" hidden="false" customHeight="false" outlineLevel="0" collapsed="false">
      <c r="A781" s="1" t="n">
        <v>56</v>
      </c>
      <c r="B781" s="1" t="n">
        <v>2024</v>
      </c>
      <c r="C781" s="3" t="n">
        <v>45455</v>
      </c>
      <c r="D781" s="8" t="s">
        <v>38</v>
      </c>
      <c r="E781" s="9" t="s">
        <v>54</v>
      </c>
      <c r="F781" s="9" t="s">
        <v>40</v>
      </c>
      <c r="G781" s="10"/>
      <c r="H781" s="11" t="n">
        <v>90</v>
      </c>
      <c r="I781" s="11" t="n">
        <v>130</v>
      </c>
      <c r="J781" s="11" t="n">
        <v>110</v>
      </c>
      <c r="K781" s="11" t="n">
        <v>110</v>
      </c>
    </row>
    <row r="782" customFormat="false" ht="36.5" hidden="false" customHeight="false" outlineLevel="0" collapsed="false">
      <c r="A782" s="1" t="n">
        <v>56</v>
      </c>
      <c r="B782" s="1" t="n">
        <v>2024</v>
      </c>
      <c r="C782" s="3" t="n">
        <v>45455</v>
      </c>
      <c r="D782" s="4" t="s">
        <v>38</v>
      </c>
      <c r="E782" s="5" t="s">
        <v>56</v>
      </c>
      <c r="F782" s="5" t="s">
        <v>43</v>
      </c>
      <c r="G782" s="7" t="n">
        <v>70</v>
      </c>
      <c r="H782" s="7" t="n">
        <v>35</v>
      </c>
      <c r="I782" s="7" t="n">
        <v>70</v>
      </c>
      <c r="J782" s="7" t="s">
        <v>92</v>
      </c>
      <c r="K782" s="7" t="n">
        <v>55</v>
      </c>
    </row>
    <row r="783" customFormat="false" ht="36.5" hidden="false" customHeight="false" outlineLevel="0" collapsed="false">
      <c r="A783" s="1" t="n">
        <v>56</v>
      </c>
      <c r="B783" s="1" t="n">
        <v>2024</v>
      </c>
      <c r="C783" s="3" t="n">
        <v>45455</v>
      </c>
      <c r="D783" s="8" t="s">
        <v>38</v>
      </c>
      <c r="E783" s="9" t="s">
        <v>57</v>
      </c>
      <c r="F783" s="9" t="s">
        <v>40</v>
      </c>
      <c r="G783" s="10"/>
      <c r="H783" s="11" t="n">
        <v>70</v>
      </c>
      <c r="I783" s="11" t="n">
        <v>90</v>
      </c>
      <c r="J783" s="11" t="s">
        <v>262</v>
      </c>
      <c r="K783" s="11" t="n">
        <v>75</v>
      </c>
    </row>
    <row r="784" customFormat="false" ht="36.5" hidden="false" customHeight="false" outlineLevel="0" collapsed="false">
      <c r="A784" s="1" t="n">
        <v>56</v>
      </c>
      <c r="B784" s="1" t="n">
        <v>2024</v>
      </c>
      <c r="C784" s="3" t="n">
        <v>45455</v>
      </c>
      <c r="D784" s="4" t="s">
        <v>38</v>
      </c>
      <c r="E784" s="5" t="s">
        <v>58</v>
      </c>
      <c r="F784" s="5" t="s">
        <v>40</v>
      </c>
      <c r="G784" s="7" t="n">
        <v>110</v>
      </c>
      <c r="H784" s="7" t="n">
        <v>90</v>
      </c>
      <c r="I784" s="7" t="n">
        <v>130</v>
      </c>
      <c r="J784" s="7" t="s">
        <v>263</v>
      </c>
      <c r="K784" s="7" t="n">
        <v>105</v>
      </c>
    </row>
    <row r="785" customFormat="false" ht="36.5" hidden="false" customHeight="false" outlineLevel="0" collapsed="false">
      <c r="A785" s="1" t="n">
        <v>56</v>
      </c>
      <c r="B785" s="1" t="n">
        <v>2024</v>
      </c>
      <c r="C785" s="3" t="n">
        <v>45455</v>
      </c>
      <c r="D785" s="8" t="s">
        <v>38</v>
      </c>
      <c r="E785" s="9" t="s">
        <v>59</v>
      </c>
      <c r="F785" s="9" t="s">
        <v>45</v>
      </c>
      <c r="G785" s="11" t="n">
        <v>60</v>
      </c>
      <c r="H785" s="11" t="n">
        <v>45</v>
      </c>
      <c r="I785" s="11" t="n">
        <v>60</v>
      </c>
      <c r="J785" s="11" t="n">
        <v>54</v>
      </c>
      <c r="K785" s="11" t="n">
        <v>55</v>
      </c>
    </row>
    <row r="786" customFormat="false" ht="36.5" hidden="false" customHeight="false" outlineLevel="0" collapsed="false">
      <c r="A786" s="1" t="n">
        <v>56</v>
      </c>
      <c r="B786" s="1" t="n">
        <v>2024</v>
      </c>
      <c r="C786" s="3" t="n">
        <v>45455</v>
      </c>
      <c r="D786" s="4" t="s">
        <v>38</v>
      </c>
      <c r="E786" s="5" t="s">
        <v>60</v>
      </c>
      <c r="F786" s="5" t="s">
        <v>61</v>
      </c>
      <c r="G786" s="7" t="n">
        <v>200</v>
      </c>
      <c r="H786" s="7" t="n">
        <v>100</v>
      </c>
      <c r="I786" s="7" t="n">
        <v>200</v>
      </c>
      <c r="J786" s="7" t="n">
        <v>160</v>
      </c>
      <c r="K786" s="7" t="n">
        <v>160</v>
      </c>
    </row>
    <row r="787" customFormat="false" ht="36.5" hidden="false" customHeight="false" outlineLevel="0" collapsed="false">
      <c r="A787" s="1" t="n">
        <v>56</v>
      </c>
      <c r="B787" s="1" t="n">
        <v>2024</v>
      </c>
      <c r="C787" s="3" t="n">
        <v>45455</v>
      </c>
      <c r="D787" s="8" t="s">
        <v>38</v>
      </c>
      <c r="E787" s="9" t="s">
        <v>63</v>
      </c>
      <c r="F787" s="9" t="s">
        <v>40</v>
      </c>
      <c r="G787" s="11" t="n">
        <v>180</v>
      </c>
      <c r="H787" s="11" t="n">
        <v>120</v>
      </c>
      <c r="I787" s="11" t="n">
        <v>180</v>
      </c>
      <c r="J787" s="11" t="n">
        <v>158</v>
      </c>
      <c r="K787" s="11" t="n">
        <v>160</v>
      </c>
    </row>
    <row r="788" customFormat="false" ht="36.5" hidden="false" customHeight="false" outlineLevel="0" collapsed="false">
      <c r="A788" s="1" t="n">
        <v>56</v>
      </c>
      <c r="B788" s="1" t="n">
        <v>2024</v>
      </c>
      <c r="C788" s="3" t="n">
        <v>45455</v>
      </c>
      <c r="D788" s="4" t="s">
        <v>38</v>
      </c>
      <c r="E788" s="5" t="s">
        <v>64</v>
      </c>
      <c r="F788" s="5" t="s">
        <v>40</v>
      </c>
      <c r="G788" s="6"/>
      <c r="H788" s="7" t="n">
        <v>200</v>
      </c>
      <c r="I788" s="7" t="n">
        <v>250</v>
      </c>
      <c r="J788" s="7" t="s">
        <v>264</v>
      </c>
      <c r="K788" s="7" t="n">
        <v>220</v>
      </c>
    </row>
    <row r="789" customFormat="false" ht="14.25" hidden="false" customHeight="false" outlineLevel="0" collapsed="false">
      <c r="A789" s="1" t="n">
        <v>56</v>
      </c>
      <c r="B789" s="1" t="n">
        <v>2024</v>
      </c>
      <c r="C789" s="3" t="n">
        <v>45455</v>
      </c>
      <c r="D789" s="8" t="s">
        <v>65</v>
      </c>
      <c r="E789" s="9" t="s">
        <v>66</v>
      </c>
      <c r="F789" s="9" t="s">
        <v>45</v>
      </c>
      <c r="G789" s="10"/>
      <c r="H789" s="11" t="n">
        <v>110</v>
      </c>
      <c r="I789" s="11" t="n">
        <v>110</v>
      </c>
      <c r="J789" s="11" t="n">
        <v>110</v>
      </c>
      <c r="K789" s="11" t="n">
        <v>110</v>
      </c>
    </row>
    <row r="790" customFormat="false" ht="14.25" hidden="false" customHeight="false" outlineLevel="0" collapsed="false">
      <c r="A790" s="1" t="n">
        <v>56</v>
      </c>
      <c r="B790" s="1" t="n">
        <v>2024</v>
      </c>
      <c r="C790" s="3" t="n">
        <v>45455</v>
      </c>
      <c r="D790" s="4" t="s">
        <v>65</v>
      </c>
      <c r="E790" s="5" t="s">
        <v>67</v>
      </c>
      <c r="F790" s="5" t="s">
        <v>45</v>
      </c>
      <c r="G790" s="6"/>
      <c r="H790" s="7" t="n">
        <v>110</v>
      </c>
      <c r="I790" s="7" t="n">
        <v>110</v>
      </c>
      <c r="J790" s="7" t="n">
        <v>110</v>
      </c>
      <c r="K790" s="7" t="n">
        <v>110</v>
      </c>
    </row>
    <row r="791" customFormat="false" ht="14.25" hidden="false" customHeight="false" outlineLevel="0" collapsed="false">
      <c r="A791" s="1" t="n">
        <v>56</v>
      </c>
      <c r="B791" s="1" t="n">
        <v>2024</v>
      </c>
      <c r="C791" s="3" t="n">
        <v>45455</v>
      </c>
      <c r="D791" s="8" t="s">
        <v>65</v>
      </c>
      <c r="E791" s="9" t="s">
        <v>68</v>
      </c>
      <c r="F791" s="9" t="s">
        <v>45</v>
      </c>
      <c r="G791" s="10"/>
      <c r="H791" s="10"/>
      <c r="I791" s="10"/>
      <c r="J791" s="10"/>
      <c r="K791" s="10"/>
    </row>
    <row r="792" customFormat="false" ht="14.25" hidden="false" customHeight="false" outlineLevel="0" collapsed="false">
      <c r="A792" s="1" t="n">
        <v>56</v>
      </c>
      <c r="B792" s="1" t="n">
        <v>2024</v>
      </c>
      <c r="C792" s="3" t="n">
        <v>45455</v>
      </c>
      <c r="D792" s="4" t="s">
        <v>65</v>
      </c>
      <c r="E792" s="5" t="s">
        <v>69</v>
      </c>
      <c r="F792" s="5" t="s">
        <v>45</v>
      </c>
      <c r="G792" s="6"/>
      <c r="H792" s="7" t="n">
        <v>48</v>
      </c>
      <c r="I792" s="7" t="n">
        <v>48</v>
      </c>
      <c r="J792" s="7" t="n">
        <v>48</v>
      </c>
      <c r="K792" s="7" t="n">
        <v>48</v>
      </c>
    </row>
    <row r="793" customFormat="false" ht="14.25" hidden="false" customHeight="false" outlineLevel="0" collapsed="false">
      <c r="A793" s="1" t="n">
        <v>56</v>
      </c>
      <c r="B793" s="1" t="n">
        <v>2024</v>
      </c>
      <c r="C793" s="3" t="n">
        <v>45455</v>
      </c>
      <c r="D793" s="8" t="s">
        <v>65</v>
      </c>
      <c r="E793" s="9" t="s">
        <v>70</v>
      </c>
      <c r="F793" s="9" t="s">
        <v>71</v>
      </c>
      <c r="G793" s="10"/>
      <c r="H793" s="11" t="n">
        <v>65</v>
      </c>
      <c r="I793" s="11" t="n">
        <v>65</v>
      </c>
      <c r="J793" s="11" t="n">
        <v>65</v>
      </c>
      <c r="K793" s="11" t="n">
        <v>65</v>
      </c>
    </row>
    <row r="794" customFormat="false" ht="25" hidden="false" customHeight="false" outlineLevel="0" collapsed="false">
      <c r="A794" s="1" t="n">
        <v>57</v>
      </c>
      <c r="B794" s="1" t="n">
        <v>2024</v>
      </c>
      <c r="C794" s="3" t="n">
        <v>45462</v>
      </c>
      <c r="D794" s="4" t="s">
        <v>11</v>
      </c>
      <c r="E794" s="5" t="s">
        <v>12</v>
      </c>
      <c r="F794" s="5" t="s">
        <v>13</v>
      </c>
      <c r="G794" s="6"/>
      <c r="H794" s="7" t="n">
        <v>48</v>
      </c>
      <c r="I794" s="7" t="n">
        <v>60</v>
      </c>
      <c r="J794" s="7" t="n">
        <v>54</v>
      </c>
      <c r="K794" s="7" t="n">
        <v>54</v>
      </c>
    </row>
    <row r="795" customFormat="false" ht="25" hidden="false" customHeight="false" outlineLevel="0" collapsed="false">
      <c r="A795" s="1" t="n">
        <v>57</v>
      </c>
      <c r="B795" s="1" t="n">
        <v>2024</v>
      </c>
      <c r="C795" s="3" t="n">
        <v>45462</v>
      </c>
      <c r="D795" s="8" t="s">
        <v>11</v>
      </c>
      <c r="E795" s="9" t="s">
        <v>14</v>
      </c>
      <c r="F795" s="9" t="s">
        <v>13</v>
      </c>
      <c r="G795" s="11" t="n">
        <v>84</v>
      </c>
      <c r="H795" s="11" t="n">
        <v>84</v>
      </c>
      <c r="I795" s="11" t="n">
        <v>84</v>
      </c>
      <c r="J795" s="11" t="n">
        <v>84</v>
      </c>
      <c r="K795" s="11" t="n">
        <v>84</v>
      </c>
    </row>
    <row r="796" customFormat="false" ht="25" hidden="false" customHeight="false" outlineLevel="0" collapsed="false">
      <c r="A796" s="1" t="n">
        <v>57</v>
      </c>
      <c r="B796" s="1" t="n">
        <v>2024</v>
      </c>
      <c r="C796" s="3" t="n">
        <v>45462</v>
      </c>
      <c r="D796" s="4" t="s">
        <v>11</v>
      </c>
      <c r="E796" s="5" t="s">
        <v>15</v>
      </c>
      <c r="F796" s="5" t="s">
        <v>13</v>
      </c>
      <c r="G796" s="6"/>
      <c r="H796" s="7" t="n">
        <v>36</v>
      </c>
      <c r="I796" s="7" t="n">
        <v>42</v>
      </c>
      <c r="J796" s="7" t="n">
        <v>39</v>
      </c>
      <c r="K796" s="7" t="n">
        <v>39</v>
      </c>
    </row>
    <row r="797" customFormat="false" ht="25" hidden="false" customHeight="false" outlineLevel="0" collapsed="false">
      <c r="A797" s="1" t="n">
        <v>57</v>
      </c>
      <c r="B797" s="1" t="n">
        <v>2024</v>
      </c>
      <c r="C797" s="3" t="n">
        <v>45462</v>
      </c>
      <c r="D797" s="8" t="s">
        <v>11</v>
      </c>
      <c r="E797" s="9" t="s">
        <v>16</v>
      </c>
      <c r="F797" s="9" t="s">
        <v>13</v>
      </c>
      <c r="G797" s="10"/>
      <c r="H797" s="11" t="n">
        <v>20</v>
      </c>
      <c r="I797" s="11" t="n">
        <v>24</v>
      </c>
      <c r="J797" s="11" t="n">
        <v>22</v>
      </c>
      <c r="K797" s="11" t="n">
        <v>22</v>
      </c>
    </row>
    <row r="798" customFormat="false" ht="25" hidden="false" customHeight="false" outlineLevel="0" collapsed="false">
      <c r="A798" s="1" t="n">
        <v>57</v>
      </c>
      <c r="B798" s="1" t="n">
        <v>2024</v>
      </c>
      <c r="C798" s="3" t="n">
        <v>45462</v>
      </c>
      <c r="D798" s="4" t="s">
        <v>11</v>
      </c>
      <c r="E798" s="5" t="s">
        <v>17</v>
      </c>
      <c r="F798" s="5" t="s">
        <v>13</v>
      </c>
      <c r="G798" s="6"/>
      <c r="H798" s="7" t="n">
        <v>20</v>
      </c>
      <c r="I798" s="7" t="n">
        <v>24</v>
      </c>
      <c r="J798" s="7" t="n">
        <v>22</v>
      </c>
      <c r="K798" s="7" t="n">
        <v>22</v>
      </c>
    </row>
    <row r="799" customFormat="false" ht="25" hidden="false" customHeight="false" outlineLevel="0" collapsed="false">
      <c r="A799" s="1" t="n">
        <v>57</v>
      </c>
      <c r="B799" s="1" t="n">
        <v>2024</v>
      </c>
      <c r="C799" s="3" t="n">
        <v>45462</v>
      </c>
      <c r="D799" s="8" t="s">
        <v>11</v>
      </c>
      <c r="E799" s="9" t="s">
        <v>18</v>
      </c>
      <c r="F799" s="9" t="s">
        <v>13</v>
      </c>
      <c r="G799" s="11" t="n">
        <v>60</v>
      </c>
      <c r="H799" s="11" t="n">
        <v>60</v>
      </c>
      <c r="I799" s="11" t="n">
        <v>60</v>
      </c>
      <c r="J799" s="11" t="n">
        <v>60</v>
      </c>
      <c r="K799" s="11" t="n">
        <v>60</v>
      </c>
    </row>
    <row r="800" customFormat="false" ht="25" hidden="false" customHeight="false" outlineLevel="0" collapsed="false">
      <c r="A800" s="1" t="n">
        <v>57</v>
      </c>
      <c r="B800" s="1" t="n">
        <v>2024</v>
      </c>
      <c r="C800" s="3" t="n">
        <v>45462</v>
      </c>
      <c r="D800" s="4" t="s">
        <v>11</v>
      </c>
      <c r="E800" s="5" t="s">
        <v>19</v>
      </c>
      <c r="F800" s="5" t="s">
        <v>13</v>
      </c>
      <c r="G800" s="6"/>
      <c r="H800" s="7" t="n">
        <v>90</v>
      </c>
      <c r="I800" s="7" t="n">
        <v>96</v>
      </c>
      <c r="J800" s="7" t="n">
        <v>93</v>
      </c>
      <c r="K800" s="7" t="n">
        <v>93</v>
      </c>
    </row>
    <row r="801" customFormat="false" ht="25" hidden="false" customHeight="false" outlineLevel="0" collapsed="false">
      <c r="A801" s="1" t="n">
        <v>57</v>
      </c>
      <c r="B801" s="1" t="n">
        <v>2024</v>
      </c>
      <c r="C801" s="3" t="n">
        <v>45462</v>
      </c>
      <c r="D801" s="8" t="s">
        <v>11</v>
      </c>
      <c r="E801" s="9" t="s">
        <v>20</v>
      </c>
      <c r="F801" s="9" t="s">
        <v>13</v>
      </c>
      <c r="G801" s="11" t="n">
        <v>84</v>
      </c>
      <c r="H801" s="11" t="n">
        <v>84</v>
      </c>
      <c r="I801" s="11" t="n">
        <v>84</v>
      </c>
      <c r="J801" s="11" t="n">
        <v>84</v>
      </c>
      <c r="K801" s="11" t="n">
        <v>84</v>
      </c>
    </row>
    <row r="802" customFormat="false" ht="25" hidden="false" customHeight="false" outlineLevel="0" collapsed="false">
      <c r="A802" s="1" t="n">
        <v>57</v>
      </c>
      <c r="B802" s="1" t="n">
        <v>2024</v>
      </c>
      <c r="C802" s="3" t="n">
        <v>45462</v>
      </c>
      <c r="D802" s="4" t="s">
        <v>11</v>
      </c>
      <c r="E802" s="5" t="s">
        <v>21</v>
      </c>
      <c r="F802" s="5" t="s">
        <v>13</v>
      </c>
      <c r="G802" s="6"/>
      <c r="H802" s="7" t="n">
        <v>24</v>
      </c>
      <c r="I802" s="7" t="n">
        <v>30</v>
      </c>
      <c r="J802" s="7" t="n">
        <v>27</v>
      </c>
      <c r="K802" s="7" t="n">
        <v>27</v>
      </c>
    </row>
    <row r="803" customFormat="false" ht="25" hidden="false" customHeight="false" outlineLevel="0" collapsed="false">
      <c r="A803" s="1" t="n">
        <v>57</v>
      </c>
      <c r="B803" s="1" t="n">
        <v>2024</v>
      </c>
      <c r="C803" s="3" t="n">
        <v>45462</v>
      </c>
      <c r="D803" s="8" t="s">
        <v>11</v>
      </c>
      <c r="E803" s="9" t="s">
        <v>73</v>
      </c>
      <c r="F803" s="9" t="s">
        <v>13</v>
      </c>
      <c r="G803" s="10"/>
      <c r="H803" s="11" t="n">
        <v>96</v>
      </c>
      <c r="I803" s="11" t="n">
        <v>108</v>
      </c>
      <c r="J803" s="11" t="n">
        <v>102</v>
      </c>
      <c r="K803" s="11" t="n">
        <v>102</v>
      </c>
    </row>
    <row r="804" customFormat="false" ht="25" hidden="false" customHeight="false" outlineLevel="0" collapsed="false">
      <c r="A804" s="1" t="n">
        <v>57</v>
      </c>
      <c r="B804" s="1" t="n">
        <v>2024</v>
      </c>
      <c r="C804" s="3" t="n">
        <v>45462</v>
      </c>
      <c r="D804" s="4" t="s">
        <v>11</v>
      </c>
      <c r="E804" s="5" t="s">
        <v>23</v>
      </c>
      <c r="F804" s="5" t="s">
        <v>13</v>
      </c>
      <c r="G804" s="6"/>
      <c r="H804" s="7" t="n">
        <v>20</v>
      </c>
      <c r="I804" s="7" t="n">
        <v>24</v>
      </c>
      <c r="J804" s="7" t="n">
        <v>22</v>
      </c>
      <c r="K804" s="7" t="n">
        <v>22</v>
      </c>
    </row>
    <row r="805" customFormat="false" ht="25" hidden="false" customHeight="false" outlineLevel="0" collapsed="false">
      <c r="A805" s="1" t="n">
        <v>57</v>
      </c>
      <c r="B805" s="1" t="n">
        <v>2024</v>
      </c>
      <c r="C805" s="3" t="n">
        <v>45462</v>
      </c>
      <c r="D805" s="8" t="s">
        <v>11</v>
      </c>
      <c r="E805" s="9" t="s">
        <v>24</v>
      </c>
      <c r="F805" s="9" t="s">
        <v>13</v>
      </c>
      <c r="G805" s="10"/>
      <c r="H805" s="11" t="n">
        <v>72</v>
      </c>
      <c r="I805" s="11" t="n">
        <v>78</v>
      </c>
      <c r="J805" s="11" t="n">
        <v>75</v>
      </c>
      <c r="K805" s="11" t="n">
        <v>75</v>
      </c>
    </row>
    <row r="806" customFormat="false" ht="25" hidden="false" customHeight="false" outlineLevel="0" collapsed="false">
      <c r="A806" s="1" t="n">
        <v>57</v>
      </c>
      <c r="B806" s="1" t="n">
        <v>2024</v>
      </c>
      <c r="C806" s="3" t="n">
        <v>45462</v>
      </c>
      <c r="D806" s="4" t="s">
        <v>11</v>
      </c>
      <c r="E806" s="5" t="s">
        <v>25</v>
      </c>
      <c r="F806" s="5" t="s">
        <v>26</v>
      </c>
      <c r="G806" s="7" t="n">
        <v>60</v>
      </c>
      <c r="H806" s="7" t="n">
        <v>60</v>
      </c>
      <c r="I806" s="7" t="n">
        <v>60</v>
      </c>
      <c r="J806" s="7" t="n">
        <v>60</v>
      </c>
      <c r="K806" s="7" t="n">
        <v>60</v>
      </c>
    </row>
    <row r="807" customFormat="false" ht="25" hidden="false" customHeight="false" outlineLevel="0" collapsed="false">
      <c r="A807" s="1" t="n">
        <v>57</v>
      </c>
      <c r="B807" s="1" t="n">
        <v>2024</v>
      </c>
      <c r="C807" s="3" t="n">
        <v>45462</v>
      </c>
      <c r="D807" s="8" t="s">
        <v>11</v>
      </c>
      <c r="E807" s="9" t="s">
        <v>27</v>
      </c>
      <c r="F807" s="9" t="s">
        <v>13</v>
      </c>
      <c r="G807" s="10"/>
      <c r="H807" s="11" t="n">
        <v>66</v>
      </c>
      <c r="I807" s="11" t="n">
        <v>72</v>
      </c>
      <c r="J807" s="11" t="n">
        <v>69</v>
      </c>
      <c r="K807" s="11" t="n">
        <v>69</v>
      </c>
    </row>
    <row r="808" customFormat="false" ht="25" hidden="false" customHeight="false" outlineLevel="0" collapsed="false">
      <c r="A808" s="1" t="n">
        <v>57</v>
      </c>
      <c r="B808" s="1" t="n">
        <v>2024</v>
      </c>
      <c r="C808" s="3" t="n">
        <v>45462</v>
      </c>
      <c r="D808" s="4" t="s">
        <v>11</v>
      </c>
      <c r="E808" s="5" t="s">
        <v>28</v>
      </c>
      <c r="F808" s="5" t="s">
        <v>13</v>
      </c>
      <c r="G808" s="6"/>
      <c r="H808" s="7" t="n">
        <v>45</v>
      </c>
      <c r="I808" s="7" t="n">
        <v>48</v>
      </c>
      <c r="J808" s="7" t="s">
        <v>174</v>
      </c>
      <c r="K808" s="7" t="s">
        <v>174</v>
      </c>
    </row>
    <row r="809" customFormat="false" ht="25" hidden="false" customHeight="false" outlineLevel="0" collapsed="false">
      <c r="A809" s="1" t="n">
        <v>57</v>
      </c>
      <c r="B809" s="1" t="n">
        <v>2024</v>
      </c>
      <c r="C809" s="3" t="n">
        <v>45462</v>
      </c>
      <c r="D809" s="8" t="s">
        <v>11</v>
      </c>
      <c r="E809" s="9" t="s">
        <v>29</v>
      </c>
      <c r="F809" s="9" t="s">
        <v>13</v>
      </c>
      <c r="G809" s="10"/>
      <c r="H809" s="11" t="n">
        <v>48</v>
      </c>
      <c r="I809" s="11" t="n">
        <v>54</v>
      </c>
      <c r="J809" s="11" t="n">
        <v>51</v>
      </c>
      <c r="K809" s="11" t="n">
        <v>51</v>
      </c>
    </row>
    <row r="810" customFormat="false" ht="25" hidden="false" customHeight="false" outlineLevel="0" collapsed="false">
      <c r="A810" s="1" t="n">
        <v>57</v>
      </c>
      <c r="B810" s="1" t="n">
        <v>2024</v>
      </c>
      <c r="C810" s="3" t="n">
        <v>45462</v>
      </c>
      <c r="D810" s="4" t="s">
        <v>30</v>
      </c>
      <c r="E810" s="5" t="s">
        <v>31</v>
      </c>
      <c r="F810" s="5" t="s">
        <v>32</v>
      </c>
      <c r="G810" s="7" t="n">
        <v>5</v>
      </c>
      <c r="H810" s="7" t="n">
        <v>5</v>
      </c>
      <c r="I810" s="7" t="n">
        <v>5</v>
      </c>
      <c r="J810" s="7" t="n">
        <v>5</v>
      </c>
      <c r="K810" s="7" t="n">
        <v>5</v>
      </c>
    </row>
    <row r="811" customFormat="false" ht="25" hidden="false" customHeight="false" outlineLevel="0" collapsed="false">
      <c r="A811" s="1" t="n">
        <v>57</v>
      </c>
      <c r="B811" s="1" t="n">
        <v>2024</v>
      </c>
      <c r="C811" s="3" t="n">
        <v>45462</v>
      </c>
      <c r="D811" s="8" t="s">
        <v>30</v>
      </c>
      <c r="E811" s="9" t="s">
        <v>34</v>
      </c>
      <c r="F811" s="9" t="s">
        <v>35</v>
      </c>
      <c r="G811" s="11" t="n">
        <v>20</v>
      </c>
      <c r="H811" s="11" t="n">
        <v>20</v>
      </c>
      <c r="I811" s="11" t="n">
        <v>20</v>
      </c>
      <c r="J811" s="11" t="n">
        <v>20</v>
      </c>
      <c r="K811" s="11" t="n">
        <v>20</v>
      </c>
    </row>
    <row r="812" customFormat="false" ht="25" hidden="false" customHeight="false" outlineLevel="0" collapsed="false">
      <c r="A812" s="1" t="n">
        <v>57</v>
      </c>
      <c r="B812" s="1" t="n">
        <v>2024</v>
      </c>
      <c r="C812" s="3" t="n">
        <v>45462</v>
      </c>
      <c r="D812" s="4" t="s">
        <v>30</v>
      </c>
      <c r="E812" s="5" t="s">
        <v>36</v>
      </c>
      <c r="F812" s="5" t="s">
        <v>35</v>
      </c>
      <c r="G812" s="6"/>
      <c r="H812" s="7" t="n">
        <v>25</v>
      </c>
      <c r="I812" s="7" t="n">
        <v>35</v>
      </c>
      <c r="J812" s="7" t="n">
        <v>30</v>
      </c>
      <c r="K812" s="7" t="n">
        <v>30</v>
      </c>
    </row>
    <row r="813" customFormat="false" ht="36.5" hidden="false" customHeight="false" outlineLevel="0" collapsed="false">
      <c r="A813" s="1" t="n">
        <v>57</v>
      </c>
      <c r="B813" s="1" t="n">
        <v>2024</v>
      </c>
      <c r="C813" s="3" t="n">
        <v>45462</v>
      </c>
      <c r="D813" s="8" t="s">
        <v>38</v>
      </c>
      <c r="E813" s="9" t="s">
        <v>153</v>
      </c>
      <c r="F813" s="9" t="s">
        <v>154</v>
      </c>
      <c r="G813" s="10"/>
      <c r="H813" s="11" t="n">
        <v>80</v>
      </c>
      <c r="I813" s="11" t="n">
        <v>95</v>
      </c>
      <c r="J813" s="11" t="s">
        <v>239</v>
      </c>
      <c r="K813" s="11" t="s">
        <v>239</v>
      </c>
    </row>
    <row r="814" customFormat="false" ht="36.5" hidden="false" customHeight="false" outlineLevel="0" collapsed="false">
      <c r="A814" s="1" t="n">
        <v>57</v>
      </c>
      <c r="B814" s="1" t="n">
        <v>2024</v>
      </c>
      <c r="C814" s="3" t="n">
        <v>45462</v>
      </c>
      <c r="D814" s="4" t="s">
        <v>38</v>
      </c>
      <c r="E814" s="5" t="s">
        <v>39</v>
      </c>
      <c r="F814" s="5" t="s">
        <v>40</v>
      </c>
      <c r="G814" s="7" t="n">
        <v>50</v>
      </c>
      <c r="H814" s="7" t="n">
        <v>50</v>
      </c>
      <c r="I814" s="7" t="n">
        <v>60</v>
      </c>
      <c r="J814" s="7" t="n">
        <v>54</v>
      </c>
      <c r="K814" s="7" t="n">
        <v>50</v>
      </c>
    </row>
    <row r="815" customFormat="false" ht="36.5" hidden="false" customHeight="false" outlineLevel="0" collapsed="false">
      <c r="A815" s="1" t="n">
        <v>57</v>
      </c>
      <c r="B815" s="1" t="n">
        <v>2024</v>
      </c>
      <c r="C815" s="3" t="n">
        <v>45462</v>
      </c>
      <c r="D815" s="8" t="s">
        <v>38</v>
      </c>
      <c r="E815" s="9" t="s">
        <v>42</v>
      </c>
      <c r="F815" s="9" t="s">
        <v>43</v>
      </c>
      <c r="G815" s="11" t="n">
        <v>65</v>
      </c>
      <c r="H815" s="11" t="n">
        <v>45</v>
      </c>
      <c r="I815" s="11" t="n">
        <v>65</v>
      </c>
      <c r="J815" s="11" t="n">
        <v>57</v>
      </c>
      <c r="K815" s="11" t="n">
        <v>60</v>
      </c>
    </row>
    <row r="816" customFormat="false" ht="36.5" hidden="false" customHeight="false" outlineLevel="0" collapsed="false">
      <c r="A816" s="1" t="n">
        <v>57</v>
      </c>
      <c r="B816" s="1" t="n">
        <v>2024</v>
      </c>
      <c r="C816" s="3" t="n">
        <v>45462</v>
      </c>
      <c r="D816" s="4" t="s">
        <v>38</v>
      </c>
      <c r="E816" s="5" t="s">
        <v>44</v>
      </c>
      <c r="F816" s="5" t="s">
        <v>45</v>
      </c>
      <c r="G816" s="6"/>
      <c r="H816" s="7" t="n">
        <v>40</v>
      </c>
      <c r="I816" s="7" t="n">
        <v>55</v>
      </c>
      <c r="J816" s="7" t="s">
        <v>91</v>
      </c>
      <c r="K816" s="7" t="s">
        <v>91</v>
      </c>
    </row>
    <row r="817" customFormat="false" ht="36.5" hidden="false" customHeight="false" outlineLevel="0" collapsed="false">
      <c r="A817" s="1" t="n">
        <v>57</v>
      </c>
      <c r="B817" s="1" t="n">
        <v>2024</v>
      </c>
      <c r="C817" s="3" t="n">
        <v>45462</v>
      </c>
      <c r="D817" s="8" t="s">
        <v>38</v>
      </c>
      <c r="E817" s="9" t="s">
        <v>48</v>
      </c>
      <c r="F817" s="9" t="s">
        <v>45</v>
      </c>
      <c r="G817" s="10"/>
      <c r="H817" s="11" t="n">
        <v>90</v>
      </c>
      <c r="I817" s="11" t="n">
        <v>110</v>
      </c>
      <c r="J817" s="11" t="n">
        <v>100</v>
      </c>
      <c r="K817" s="11" t="n">
        <v>100</v>
      </c>
    </row>
    <row r="818" customFormat="false" ht="36.5" hidden="false" customHeight="false" outlineLevel="0" collapsed="false">
      <c r="A818" s="1" t="n">
        <v>57</v>
      </c>
      <c r="B818" s="1" t="n">
        <v>2024</v>
      </c>
      <c r="C818" s="3" t="n">
        <v>45462</v>
      </c>
      <c r="D818" s="4" t="s">
        <v>38</v>
      </c>
      <c r="E818" s="5" t="s">
        <v>49</v>
      </c>
      <c r="F818" s="5" t="s">
        <v>50</v>
      </c>
      <c r="G818" s="7" t="n">
        <v>110</v>
      </c>
      <c r="H818" s="7" t="n">
        <v>90</v>
      </c>
      <c r="I818" s="7" t="n">
        <v>110</v>
      </c>
      <c r="J818" s="7" t="s">
        <v>183</v>
      </c>
      <c r="K818" s="7" t="n">
        <v>105</v>
      </c>
    </row>
    <row r="819" customFormat="false" ht="36.5" hidden="false" customHeight="false" outlineLevel="0" collapsed="false">
      <c r="A819" s="1" t="n">
        <v>57</v>
      </c>
      <c r="B819" s="1" t="n">
        <v>2024</v>
      </c>
      <c r="C819" s="3" t="n">
        <v>45462</v>
      </c>
      <c r="D819" s="8" t="s">
        <v>38</v>
      </c>
      <c r="E819" s="9" t="s">
        <v>52</v>
      </c>
      <c r="F819" s="9" t="s">
        <v>43</v>
      </c>
      <c r="G819" s="11" t="n">
        <v>80</v>
      </c>
      <c r="H819" s="11" t="n">
        <v>70</v>
      </c>
      <c r="I819" s="11" t="n">
        <v>100</v>
      </c>
      <c r="J819" s="11" t="n">
        <v>84</v>
      </c>
      <c r="K819" s="11" t="n">
        <v>80</v>
      </c>
    </row>
    <row r="820" customFormat="false" ht="36.5" hidden="false" customHeight="false" outlineLevel="0" collapsed="false">
      <c r="A820" s="1" t="n">
        <v>57</v>
      </c>
      <c r="B820" s="1" t="n">
        <v>2024</v>
      </c>
      <c r="C820" s="3" t="n">
        <v>45462</v>
      </c>
      <c r="D820" s="4" t="s">
        <v>38</v>
      </c>
      <c r="E820" s="5" t="s">
        <v>53</v>
      </c>
      <c r="F820" s="5" t="s">
        <v>43</v>
      </c>
      <c r="G820" s="6"/>
      <c r="H820" s="7" t="n">
        <v>50</v>
      </c>
      <c r="I820" s="7" t="n">
        <v>85</v>
      </c>
      <c r="J820" s="7" t="s">
        <v>265</v>
      </c>
      <c r="K820" s="7" t="n">
        <v>65</v>
      </c>
    </row>
    <row r="821" customFormat="false" ht="36.5" hidden="false" customHeight="false" outlineLevel="0" collapsed="false">
      <c r="A821" s="1" t="n">
        <v>57</v>
      </c>
      <c r="B821" s="1" t="n">
        <v>2024</v>
      </c>
      <c r="C821" s="3" t="n">
        <v>45462</v>
      </c>
      <c r="D821" s="8" t="s">
        <v>38</v>
      </c>
      <c r="E821" s="9" t="s">
        <v>54</v>
      </c>
      <c r="F821" s="9" t="s">
        <v>40</v>
      </c>
      <c r="G821" s="11" t="n">
        <v>100</v>
      </c>
      <c r="H821" s="11" t="n">
        <v>100</v>
      </c>
      <c r="I821" s="11" t="n">
        <v>100</v>
      </c>
      <c r="J821" s="11" t="n">
        <v>100</v>
      </c>
      <c r="K821" s="11" t="n">
        <v>100</v>
      </c>
    </row>
    <row r="822" customFormat="false" ht="36.5" hidden="false" customHeight="false" outlineLevel="0" collapsed="false">
      <c r="A822" s="1" t="n">
        <v>57</v>
      </c>
      <c r="B822" s="1" t="n">
        <v>2024</v>
      </c>
      <c r="C822" s="3" t="n">
        <v>45462</v>
      </c>
      <c r="D822" s="4" t="s">
        <v>38</v>
      </c>
      <c r="E822" s="5" t="s">
        <v>56</v>
      </c>
      <c r="F822" s="5" t="s">
        <v>43</v>
      </c>
      <c r="G822" s="6"/>
      <c r="H822" s="7" t="n">
        <v>60</v>
      </c>
      <c r="I822" s="7" t="n">
        <v>70</v>
      </c>
      <c r="J822" s="7" t="n">
        <v>65</v>
      </c>
      <c r="K822" s="7" t="n">
        <v>65</v>
      </c>
    </row>
    <row r="823" customFormat="false" ht="36.5" hidden="false" customHeight="false" outlineLevel="0" collapsed="false">
      <c r="A823" s="1" t="n">
        <v>57</v>
      </c>
      <c r="B823" s="1" t="n">
        <v>2024</v>
      </c>
      <c r="C823" s="3" t="n">
        <v>45462</v>
      </c>
      <c r="D823" s="8" t="s">
        <v>38</v>
      </c>
      <c r="E823" s="9" t="s">
        <v>57</v>
      </c>
      <c r="F823" s="9" t="s">
        <v>40</v>
      </c>
      <c r="G823" s="11" t="n">
        <v>80</v>
      </c>
      <c r="H823" s="11" t="n">
        <v>80</v>
      </c>
      <c r="I823" s="11" t="n">
        <v>80</v>
      </c>
      <c r="J823" s="11" t="n">
        <v>80</v>
      </c>
      <c r="K823" s="11" t="n">
        <v>80</v>
      </c>
    </row>
    <row r="824" customFormat="false" ht="36.5" hidden="false" customHeight="false" outlineLevel="0" collapsed="false">
      <c r="A824" s="1" t="n">
        <v>57</v>
      </c>
      <c r="B824" s="1" t="n">
        <v>2024</v>
      </c>
      <c r="C824" s="3" t="n">
        <v>45462</v>
      </c>
      <c r="D824" s="4" t="s">
        <v>38</v>
      </c>
      <c r="E824" s="5" t="s">
        <v>58</v>
      </c>
      <c r="F824" s="5" t="s">
        <v>40</v>
      </c>
      <c r="G824" s="7" t="n">
        <v>80</v>
      </c>
      <c r="H824" s="7" t="n">
        <v>65</v>
      </c>
      <c r="I824" s="7" t="n">
        <v>80</v>
      </c>
      <c r="J824" s="7" t="n">
        <v>75</v>
      </c>
      <c r="K824" s="7" t="n">
        <v>80</v>
      </c>
    </row>
    <row r="825" customFormat="false" ht="36.5" hidden="false" customHeight="false" outlineLevel="0" collapsed="false">
      <c r="A825" s="1" t="n">
        <v>57</v>
      </c>
      <c r="B825" s="1" t="n">
        <v>2024</v>
      </c>
      <c r="C825" s="3" t="n">
        <v>45462</v>
      </c>
      <c r="D825" s="8" t="s">
        <v>38</v>
      </c>
      <c r="E825" s="9" t="s">
        <v>59</v>
      </c>
      <c r="F825" s="9" t="s">
        <v>45</v>
      </c>
      <c r="G825" s="11" t="n">
        <v>60</v>
      </c>
      <c r="H825" s="11" t="n">
        <v>50</v>
      </c>
      <c r="I825" s="11" t="n">
        <v>60</v>
      </c>
      <c r="J825" s="11" t="s">
        <v>235</v>
      </c>
      <c r="K825" s="11" t="s">
        <v>41</v>
      </c>
    </row>
    <row r="826" customFormat="false" ht="36.5" hidden="false" customHeight="false" outlineLevel="0" collapsed="false">
      <c r="A826" s="1" t="n">
        <v>57</v>
      </c>
      <c r="B826" s="1" t="n">
        <v>2024</v>
      </c>
      <c r="C826" s="3" t="n">
        <v>45462</v>
      </c>
      <c r="D826" s="4" t="s">
        <v>38</v>
      </c>
      <c r="E826" s="5" t="s">
        <v>60</v>
      </c>
      <c r="F826" s="5" t="s">
        <v>61</v>
      </c>
      <c r="G826" s="7" t="n">
        <v>180</v>
      </c>
      <c r="H826" s="7" t="n">
        <v>180</v>
      </c>
      <c r="I826" s="7" t="n">
        <v>180</v>
      </c>
      <c r="J826" s="7" t="n">
        <v>180</v>
      </c>
      <c r="K826" s="7" t="n">
        <v>180</v>
      </c>
    </row>
    <row r="827" customFormat="false" ht="36.5" hidden="false" customHeight="false" outlineLevel="0" collapsed="false">
      <c r="A827" s="1" t="n">
        <v>57</v>
      </c>
      <c r="B827" s="1" t="n">
        <v>2024</v>
      </c>
      <c r="C827" s="3" t="n">
        <v>45462</v>
      </c>
      <c r="D827" s="8" t="s">
        <v>38</v>
      </c>
      <c r="E827" s="9" t="s">
        <v>63</v>
      </c>
      <c r="F827" s="9" t="s">
        <v>40</v>
      </c>
      <c r="G827" s="11" t="n">
        <v>90</v>
      </c>
      <c r="H827" s="11" t="n">
        <v>80</v>
      </c>
      <c r="I827" s="11" t="n">
        <v>100</v>
      </c>
      <c r="J827" s="11" t="n">
        <v>92</v>
      </c>
      <c r="K827" s="11" t="n">
        <v>90</v>
      </c>
    </row>
    <row r="828" customFormat="false" ht="36.5" hidden="false" customHeight="false" outlineLevel="0" collapsed="false">
      <c r="A828" s="1" t="n">
        <v>57</v>
      </c>
      <c r="B828" s="1" t="n">
        <v>2024</v>
      </c>
      <c r="C828" s="3" t="n">
        <v>45462</v>
      </c>
      <c r="D828" s="4" t="s">
        <v>38</v>
      </c>
      <c r="E828" s="5" t="s">
        <v>64</v>
      </c>
      <c r="F828" s="5" t="s">
        <v>40</v>
      </c>
      <c r="G828" s="6"/>
      <c r="H828" s="7" t="n">
        <v>150</v>
      </c>
      <c r="I828" s="7" t="n">
        <v>220</v>
      </c>
      <c r="J828" s="7" t="s">
        <v>266</v>
      </c>
      <c r="K828" s="7" t="n">
        <v>160</v>
      </c>
    </row>
    <row r="829" customFormat="false" ht="14.25" hidden="false" customHeight="false" outlineLevel="0" collapsed="false">
      <c r="A829" s="1" t="n">
        <v>57</v>
      </c>
      <c r="B829" s="1" t="n">
        <v>2024</v>
      </c>
      <c r="C829" s="3" t="n">
        <v>45462</v>
      </c>
      <c r="D829" s="8" t="s">
        <v>65</v>
      </c>
      <c r="E829" s="9" t="s">
        <v>66</v>
      </c>
      <c r="F829" s="9" t="s">
        <v>45</v>
      </c>
      <c r="G829" s="10"/>
      <c r="H829" s="11" t="n">
        <v>120</v>
      </c>
      <c r="I829" s="11" t="n">
        <v>120</v>
      </c>
      <c r="J829" s="11" t="n">
        <v>120</v>
      </c>
      <c r="K829" s="11" t="n">
        <v>120</v>
      </c>
    </row>
    <row r="830" customFormat="false" ht="14.25" hidden="false" customHeight="false" outlineLevel="0" collapsed="false">
      <c r="A830" s="1" t="n">
        <v>57</v>
      </c>
      <c r="B830" s="1" t="n">
        <v>2024</v>
      </c>
      <c r="C830" s="3" t="n">
        <v>45462</v>
      </c>
      <c r="D830" s="4" t="s">
        <v>65</v>
      </c>
      <c r="E830" s="5" t="s">
        <v>67</v>
      </c>
      <c r="F830" s="5" t="s">
        <v>45</v>
      </c>
      <c r="G830" s="6"/>
      <c r="H830" s="6"/>
      <c r="I830" s="6"/>
      <c r="J830" s="6"/>
      <c r="K830" s="6"/>
    </row>
    <row r="831" customFormat="false" ht="14.25" hidden="false" customHeight="false" outlineLevel="0" collapsed="false">
      <c r="A831" s="1" t="n">
        <v>57</v>
      </c>
      <c r="B831" s="1" t="n">
        <v>2024</v>
      </c>
      <c r="C831" s="3" t="n">
        <v>45462</v>
      </c>
      <c r="D831" s="8" t="s">
        <v>65</v>
      </c>
      <c r="E831" s="9" t="s">
        <v>68</v>
      </c>
      <c r="F831" s="9" t="s">
        <v>45</v>
      </c>
      <c r="G831" s="10"/>
      <c r="H831" s="10"/>
      <c r="I831" s="10"/>
      <c r="J831" s="10"/>
      <c r="K831" s="10"/>
    </row>
    <row r="832" customFormat="false" ht="14.25" hidden="false" customHeight="false" outlineLevel="0" collapsed="false">
      <c r="A832" s="1" t="n">
        <v>57</v>
      </c>
      <c r="B832" s="1" t="n">
        <v>2024</v>
      </c>
      <c r="C832" s="3" t="n">
        <v>45462</v>
      </c>
      <c r="D832" s="4" t="s">
        <v>65</v>
      </c>
      <c r="E832" s="5" t="s">
        <v>69</v>
      </c>
      <c r="F832" s="5" t="s">
        <v>45</v>
      </c>
      <c r="G832" s="6"/>
      <c r="H832" s="7" t="n">
        <v>50</v>
      </c>
      <c r="I832" s="7" t="n">
        <v>50</v>
      </c>
      <c r="J832" s="7" t="n">
        <v>50</v>
      </c>
      <c r="K832" s="7" t="n">
        <v>50</v>
      </c>
    </row>
    <row r="833" customFormat="false" ht="14.25" hidden="false" customHeight="false" outlineLevel="0" collapsed="false">
      <c r="A833" s="1" t="n">
        <v>57</v>
      </c>
      <c r="B833" s="1" t="n">
        <v>2024</v>
      </c>
      <c r="C833" s="3" t="n">
        <v>45462</v>
      </c>
      <c r="D833" s="8" t="s">
        <v>65</v>
      </c>
      <c r="E833" s="9" t="s">
        <v>70</v>
      </c>
      <c r="F833" s="9" t="s">
        <v>71</v>
      </c>
      <c r="G833" s="10"/>
      <c r="H833" s="11" t="n">
        <v>60</v>
      </c>
      <c r="I833" s="11" t="n">
        <v>60</v>
      </c>
      <c r="J833" s="11" t="n">
        <v>60</v>
      </c>
      <c r="K833" s="11" t="n">
        <v>60</v>
      </c>
    </row>
    <row r="834" customFormat="false" ht="25" hidden="false" customHeight="false" outlineLevel="0" collapsed="false">
      <c r="A834" s="1" t="n">
        <v>58</v>
      </c>
      <c r="B834" s="1" t="n">
        <v>2024</v>
      </c>
      <c r="C834" s="3" t="n">
        <v>45469</v>
      </c>
      <c r="D834" s="4" t="s">
        <v>11</v>
      </c>
      <c r="E834" s="5" t="s">
        <v>12</v>
      </c>
      <c r="F834" s="5" t="s">
        <v>13</v>
      </c>
      <c r="G834" s="7" t="n">
        <v>60</v>
      </c>
      <c r="H834" s="7" t="n">
        <v>60</v>
      </c>
      <c r="I834" s="7" t="n">
        <v>60</v>
      </c>
      <c r="J834" s="7" t="n">
        <v>60</v>
      </c>
      <c r="K834" s="7" t="n">
        <v>60</v>
      </c>
    </row>
    <row r="835" customFormat="false" ht="25" hidden="false" customHeight="false" outlineLevel="0" collapsed="false">
      <c r="A835" s="1" t="n">
        <v>58</v>
      </c>
      <c r="B835" s="1" t="n">
        <v>2024</v>
      </c>
      <c r="C835" s="3" t="n">
        <v>45469</v>
      </c>
      <c r="D835" s="8" t="s">
        <v>11</v>
      </c>
      <c r="E835" s="9" t="s">
        <v>14</v>
      </c>
      <c r="F835" s="9" t="s">
        <v>13</v>
      </c>
      <c r="G835" s="11" t="n">
        <v>84</v>
      </c>
      <c r="H835" s="11" t="n">
        <v>84</v>
      </c>
      <c r="I835" s="11" t="n">
        <v>84</v>
      </c>
      <c r="J835" s="11" t="n">
        <v>84</v>
      </c>
      <c r="K835" s="11" t="n">
        <v>84</v>
      </c>
    </row>
    <row r="836" customFormat="false" ht="25" hidden="false" customHeight="false" outlineLevel="0" collapsed="false">
      <c r="A836" s="1" t="n">
        <v>58</v>
      </c>
      <c r="B836" s="1" t="n">
        <v>2024</v>
      </c>
      <c r="C836" s="3" t="n">
        <v>45469</v>
      </c>
      <c r="D836" s="4" t="s">
        <v>11</v>
      </c>
      <c r="E836" s="5" t="s">
        <v>15</v>
      </c>
      <c r="F836" s="5" t="s">
        <v>13</v>
      </c>
      <c r="G836" s="6"/>
      <c r="H836" s="7" t="n">
        <v>36</v>
      </c>
      <c r="I836" s="7" t="n">
        <v>40</v>
      </c>
      <c r="J836" s="7" t="n">
        <v>38</v>
      </c>
      <c r="K836" s="7" t="n">
        <v>38</v>
      </c>
    </row>
    <row r="837" customFormat="false" ht="25" hidden="false" customHeight="false" outlineLevel="0" collapsed="false">
      <c r="A837" s="1" t="n">
        <v>58</v>
      </c>
      <c r="B837" s="1" t="n">
        <v>2024</v>
      </c>
      <c r="C837" s="3" t="n">
        <v>45469</v>
      </c>
      <c r="D837" s="8" t="s">
        <v>11</v>
      </c>
      <c r="E837" s="9" t="s">
        <v>16</v>
      </c>
      <c r="F837" s="9" t="s">
        <v>13</v>
      </c>
      <c r="G837" s="10"/>
      <c r="H837" s="11" t="n">
        <v>20</v>
      </c>
      <c r="I837" s="11" t="n">
        <v>24</v>
      </c>
      <c r="J837" s="11" t="n">
        <v>22</v>
      </c>
      <c r="K837" s="11" t="n">
        <v>22</v>
      </c>
    </row>
    <row r="838" customFormat="false" ht="25" hidden="false" customHeight="false" outlineLevel="0" collapsed="false">
      <c r="A838" s="1" t="n">
        <v>58</v>
      </c>
      <c r="B838" s="1" t="n">
        <v>2024</v>
      </c>
      <c r="C838" s="3" t="n">
        <v>45469</v>
      </c>
      <c r="D838" s="4" t="s">
        <v>11</v>
      </c>
      <c r="E838" s="5" t="s">
        <v>17</v>
      </c>
      <c r="F838" s="5" t="s">
        <v>13</v>
      </c>
      <c r="G838" s="6"/>
      <c r="H838" s="7" t="n">
        <v>20</v>
      </c>
      <c r="I838" s="7" t="n">
        <v>24</v>
      </c>
      <c r="J838" s="7" t="n">
        <v>22</v>
      </c>
      <c r="K838" s="7" t="n">
        <v>22</v>
      </c>
    </row>
    <row r="839" customFormat="false" ht="25" hidden="false" customHeight="false" outlineLevel="0" collapsed="false">
      <c r="A839" s="1" t="n">
        <v>58</v>
      </c>
      <c r="B839" s="1" t="n">
        <v>2024</v>
      </c>
      <c r="C839" s="3" t="n">
        <v>45469</v>
      </c>
      <c r="D839" s="8" t="s">
        <v>11</v>
      </c>
      <c r="E839" s="9" t="s">
        <v>18</v>
      </c>
      <c r="F839" s="9" t="s">
        <v>13</v>
      </c>
      <c r="G839" s="11" t="n">
        <v>60</v>
      </c>
      <c r="H839" s="11" t="n">
        <v>60</v>
      </c>
      <c r="I839" s="11" t="n">
        <v>60</v>
      </c>
      <c r="J839" s="11" t="n">
        <v>60</v>
      </c>
      <c r="K839" s="11" t="n">
        <v>60</v>
      </c>
    </row>
    <row r="840" customFormat="false" ht="25" hidden="false" customHeight="false" outlineLevel="0" collapsed="false">
      <c r="A840" s="1" t="n">
        <v>58</v>
      </c>
      <c r="B840" s="1" t="n">
        <v>2024</v>
      </c>
      <c r="C840" s="3" t="n">
        <v>45469</v>
      </c>
      <c r="D840" s="4" t="s">
        <v>11</v>
      </c>
      <c r="E840" s="5" t="s">
        <v>19</v>
      </c>
      <c r="F840" s="5" t="s">
        <v>13</v>
      </c>
      <c r="G840" s="7" t="n">
        <v>84</v>
      </c>
      <c r="H840" s="7" t="n">
        <v>60</v>
      </c>
      <c r="I840" s="7" t="n">
        <v>84</v>
      </c>
      <c r="J840" s="7" t="n">
        <v>76</v>
      </c>
      <c r="K840" s="7" t="n">
        <v>84</v>
      </c>
    </row>
    <row r="841" customFormat="false" ht="25" hidden="false" customHeight="false" outlineLevel="0" collapsed="false">
      <c r="A841" s="1" t="n">
        <v>58</v>
      </c>
      <c r="B841" s="1" t="n">
        <v>2024</v>
      </c>
      <c r="C841" s="3" t="n">
        <v>45469</v>
      </c>
      <c r="D841" s="8" t="s">
        <v>11</v>
      </c>
      <c r="E841" s="9" t="s">
        <v>20</v>
      </c>
      <c r="F841" s="9" t="s">
        <v>13</v>
      </c>
      <c r="G841" s="10"/>
      <c r="H841" s="11" t="n">
        <v>84</v>
      </c>
      <c r="I841" s="11" t="n">
        <v>96</v>
      </c>
      <c r="J841" s="11" t="n">
        <v>90</v>
      </c>
      <c r="K841" s="11" t="n">
        <v>90</v>
      </c>
    </row>
    <row r="842" customFormat="false" ht="25" hidden="false" customHeight="false" outlineLevel="0" collapsed="false">
      <c r="A842" s="1" t="n">
        <v>58</v>
      </c>
      <c r="B842" s="1" t="n">
        <v>2024</v>
      </c>
      <c r="C842" s="3" t="n">
        <v>45469</v>
      </c>
      <c r="D842" s="4" t="s">
        <v>11</v>
      </c>
      <c r="E842" s="5" t="s">
        <v>21</v>
      </c>
      <c r="F842" s="5" t="s">
        <v>13</v>
      </c>
      <c r="G842" s="7" t="n">
        <v>24</v>
      </c>
      <c r="H842" s="7" t="n">
        <v>24</v>
      </c>
      <c r="I842" s="7" t="n">
        <v>30</v>
      </c>
      <c r="J842" s="7" t="n">
        <v>26</v>
      </c>
      <c r="K842" s="7" t="n">
        <v>24</v>
      </c>
    </row>
    <row r="843" customFormat="false" ht="25" hidden="false" customHeight="false" outlineLevel="0" collapsed="false">
      <c r="A843" s="1" t="n">
        <v>58</v>
      </c>
      <c r="B843" s="1" t="n">
        <v>2024</v>
      </c>
      <c r="C843" s="3" t="n">
        <v>45469</v>
      </c>
      <c r="D843" s="8" t="s">
        <v>11</v>
      </c>
      <c r="E843" s="9" t="s">
        <v>73</v>
      </c>
      <c r="F843" s="9" t="s">
        <v>13</v>
      </c>
      <c r="G843" s="10"/>
      <c r="H843" s="11" t="n">
        <v>84</v>
      </c>
      <c r="I843" s="11" t="n">
        <v>96</v>
      </c>
      <c r="J843" s="11" t="n">
        <v>90</v>
      </c>
      <c r="K843" s="11" t="n">
        <v>90</v>
      </c>
    </row>
    <row r="844" customFormat="false" ht="25" hidden="false" customHeight="false" outlineLevel="0" collapsed="false">
      <c r="A844" s="1" t="n">
        <v>58</v>
      </c>
      <c r="B844" s="1" t="n">
        <v>2024</v>
      </c>
      <c r="C844" s="3" t="n">
        <v>45469</v>
      </c>
      <c r="D844" s="4" t="s">
        <v>11</v>
      </c>
      <c r="E844" s="5" t="s">
        <v>23</v>
      </c>
      <c r="F844" s="5" t="s">
        <v>13</v>
      </c>
      <c r="G844" s="6"/>
      <c r="H844" s="7" t="n">
        <v>20</v>
      </c>
      <c r="I844" s="7" t="n">
        <v>24</v>
      </c>
      <c r="J844" s="7" t="n">
        <v>22</v>
      </c>
      <c r="K844" s="7" t="n">
        <v>22</v>
      </c>
    </row>
    <row r="845" customFormat="false" ht="25" hidden="false" customHeight="false" outlineLevel="0" collapsed="false">
      <c r="A845" s="1" t="n">
        <v>58</v>
      </c>
      <c r="B845" s="1" t="n">
        <v>2024</v>
      </c>
      <c r="C845" s="3" t="n">
        <v>45469</v>
      </c>
      <c r="D845" s="8" t="s">
        <v>11</v>
      </c>
      <c r="E845" s="9" t="s">
        <v>24</v>
      </c>
      <c r="F845" s="9" t="s">
        <v>13</v>
      </c>
      <c r="G845" s="11" t="n">
        <v>72</v>
      </c>
      <c r="H845" s="11" t="n">
        <v>72</v>
      </c>
      <c r="I845" s="11" t="n">
        <v>72</v>
      </c>
      <c r="J845" s="11" t="n">
        <v>72</v>
      </c>
      <c r="K845" s="11" t="n">
        <v>72</v>
      </c>
    </row>
    <row r="846" customFormat="false" ht="25" hidden="false" customHeight="false" outlineLevel="0" collapsed="false">
      <c r="A846" s="1" t="n">
        <v>58</v>
      </c>
      <c r="B846" s="1" t="n">
        <v>2024</v>
      </c>
      <c r="C846" s="3" t="n">
        <v>45469</v>
      </c>
      <c r="D846" s="4" t="s">
        <v>11</v>
      </c>
      <c r="E846" s="5" t="s">
        <v>25</v>
      </c>
      <c r="F846" s="5" t="s">
        <v>26</v>
      </c>
      <c r="G846" s="6"/>
      <c r="H846" s="7" t="n">
        <v>60</v>
      </c>
      <c r="I846" s="7" t="n">
        <v>72</v>
      </c>
      <c r="J846" s="7" t="n">
        <v>66</v>
      </c>
      <c r="K846" s="7" t="n">
        <v>66</v>
      </c>
    </row>
    <row r="847" customFormat="false" ht="25" hidden="false" customHeight="false" outlineLevel="0" collapsed="false">
      <c r="A847" s="1" t="n">
        <v>58</v>
      </c>
      <c r="B847" s="1" t="n">
        <v>2024</v>
      </c>
      <c r="C847" s="3" t="n">
        <v>45469</v>
      </c>
      <c r="D847" s="8" t="s">
        <v>11</v>
      </c>
      <c r="E847" s="9" t="s">
        <v>27</v>
      </c>
      <c r="F847" s="9" t="s">
        <v>13</v>
      </c>
      <c r="G847" s="10"/>
      <c r="H847" s="11" t="n">
        <v>65</v>
      </c>
      <c r="I847" s="11" t="n">
        <v>72</v>
      </c>
      <c r="J847" s="11" t="s">
        <v>267</v>
      </c>
      <c r="K847" s="11" t="s">
        <v>267</v>
      </c>
    </row>
    <row r="848" customFormat="false" ht="25" hidden="false" customHeight="false" outlineLevel="0" collapsed="false">
      <c r="A848" s="1" t="n">
        <v>58</v>
      </c>
      <c r="B848" s="1" t="n">
        <v>2024</v>
      </c>
      <c r="C848" s="3" t="n">
        <v>45469</v>
      </c>
      <c r="D848" s="4" t="s">
        <v>11</v>
      </c>
      <c r="E848" s="5" t="s">
        <v>28</v>
      </c>
      <c r="F848" s="5" t="s">
        <v>13</v>
      </c>
      <c r="G848" s="7" t="n">
        <v>60</v>
      </c>
      <c r="H848" s="7" t="n">
        <v>50</v>
      </c>
      <c r="I848" s="7" t="n">
        <v>60</v>
      </c>
      <c r="J848" s="7" t="s">
        <v>55</v>
      </c>
      <c r="K848" s="7" t="n">
        <v>60</v>
      </c>
    </row>
    <row r="849" customFormat="false" ht="25" hidden="false" customHeight="false" outlineLevel="0" collapsed="false">
      <c r="A849" s="1" t="n">
        <v>58</v>
      </c>
      <c r="B849" s="1" t="n">
        <v>2024</v>
      </c>
      <c r="C849" s="3" t="n">
        <v>45469</v>
      </c>
      <c r="D849" s="8" t="s">
        <v>11</v>
      </c>
      <c r="E849" s="9" t="s">
        <v>29</v>
      </c>
      <c r="F849" s="9" t="s">
        <v>13</v>
      </c>
      <c r="G849" s="10"/>
      <c r="H849" s="11" t="n">
        <v>54</v>
      </c>
      <c r="I849" s="11" t="n">
        <v>72</v>
      </c>
      <c r="J849" s="11" t="n">
        <v>62</v>
      </c>
      <c r="K849" s="11" t="n">
        <v>60</v>
      </c>
    </row>
    <row r="850" customFormat="false" ht="25" hidden="false" customHeight="false" outlineLevel="0" collapsed="false">
      <c r="A850" s="1" t="n">
        <v>58</v>
      </c>
      <c r="B850" s="1" t="n">
        <v>2024</v>
      </c>
      <c r="C850" s="3" t="n">
        <v>45469</v>
      </c>
      <c r="D850" s="4" t="s">
        <v>30</v>
      </c>
      <c r="E850" s="5" t="s">
        <v>31</v>
      </c>
      <c r="F850" s="5" t="s">
        <v>32</v>
      </c>
      <c r="G850" s="7" t="n">
        <v>5</v>
      </c>
      <c r="H850" s="7" t="n">
        <v>5</v>
      </c>
      <c r="I850" s="7" t="n">
        <v>5</v>
      </c>
      <c r="J850" s="7" t="n">
        <v>5</v>
      </c>
      <c r="K850" s="7" t="n">
        <v>5</v>
      </c>
    </row>
    <row r="851" customFormat="false" ht="25" hidden="false" customHeight="false" outlineLevel="0" collapsed="false">
      <c r="A851" s="1" t="n">
        <v>58</v>
      </c>
      <c r="B851" s="1" t="n">
        <v>2024</v>
      </c>
      <c r="C851" s="3" t="n">
        <v>45469</v>
      </c>
      <c r="D851" s="8" t="s">
        <v>30</v>
      </c>
      <c r="E851" s="9" t="s">
        <v>34</v>
      </c>
      <c r="F851" s="9" t="s">
        <v>35</v>
      </c>
      <c r="G851" s="11" t="n">
        <v>20</v>
      </c>
      <c r="H851" s="11" t="n">
        <v>20</v>
      </c>
      <c r="I851" s="11" t="n">
        <v>20</v>
      </c>
      <c r="J851" s="11" t="n">
        <v>20</v>
      </c>
      <c r="K851" s="11" t="n">
        <v>20</v>
      </c>
    </row>
    <row r="852" customFormat="false" ht="25" hidden="false" customHeight="false" outlineLevel="0" collapsed="false">
      <c r="A852" s="1" t="n">
        <v>58</v>
      </c>
      <c r="B852" s="1" t="n">
        <v>2024</v>
      </c>
      <c r="C852" s="3" t="n">
        <v>45469</v>
      </c>
      <c r="D852" s="4" t="s">
        <v>30</v>
      </c>
      <c r="E852" s="5" t="s">
        <v>36</v>
      </c>
      <c r="F852" s="5" t="s">
        <v>35</v>
      </c>
      <c r="G852" s="6"/>
      <c r="H852" s="7" t="n">
        <v>15</v>
      </c>
      <c r="I852" s="7" t="n">
        <v>35</v>
      </c>
      <c r="J852" s="7" t="n">
        <v>25</v>
      </c>
      <c r="K852" s="7" t="n">
        <v>25</v>
      </c>
    </row>
    <row r="853" customFormat="false" ht="36.5" hidden="false" customHeight="false" outlineLevel="0" collapsed="false">
      <c r="A853" s="1" t="n">
        <v>58</v>
      </c>
      <c r="B853" s="1" t="n">
        <v>2024</v>
      </c>
      <c r="C853" s="3" t="n">
        <v>45469</v>
      </c>
      <c r="D853" s="8" t="s">
        <v>38</v>
      </c>
      <c r="E853" s="9" t="s">
        <v>153</v>
      </c>
      <c r="F853" s="9" t="s">
        <v>154</v>
      </c>
      <c r="G853" s="10"/>
      <c r="H853" s="11" t="n">
        <v>70</v>
      </c>
      <c r="I853" s="11" t="n">
        <v>90</v>
      </c>
      <c r="J853" s="11" t="n">
        <v>80</v>
      </c>
      <c r="K853" s="11" t="n">
        <v>80</v>
      </c>
    </row>
    <row r="854" customFormat="false" ht="36.5" hidden="false" customHeight="false" outlineLevel="0" collapsed="false">
      <c r="A854" s="1" t="n">
        <v>58</v>
      </c>
      <c r="B854" s="1" t="n">
        <v>2024</v>
      </c>
      <c r="C854" s="3" t="n">
        <v>45469</v>
      </c>
      <c r="D854" s="4" t="s">
        <v>38</v>
      </c>
      <c r="E854" s="5" t="s">
        <v>39</v>
      </c>
      <c r="F854" s="5" t="s">
        <v>40</v>
      </c>
      <c r="G854" s="7" t="n">
        <v>45</v>
      </c>
      <c r="H854" s="7" t="n">
        <v>40</v>
      </c>
      <c r="I854" s="7" t="n">
        <v>100</v>
      </c>
      <c r="J854" s="7" t="s">
        <v>242</v>
      </c>
      <c r="K854" s="7" t="n">
        <v>45</v>
      </c>
    </row>
    <row r="855" customFormat="false" ht="36.5" hidden="false" customHeight="false" outlineLevel="0" collapsed="false">
      <c r="A855" s="1" t="n">
        <v>58</v>
      </c>
      <c r="B855" s="1" t="n">
        <v>2024</v>
      </c>
      <c r="C855" s="3" t="n">
        <v>45469</v>
      </c>
      <c r="D855" s="8" t="s">
        <v>38</v>
      </c>
      <c r="E855" s="9" t="s">
        <v>42</v>
      </c>
      <c r="F855" s="9" t="s">
        <v>43</v>
      </c>
      <c r="G855" s="11" t="n">
        <v>65</v>
      </c>
      <c r="H855" s="11" t="n">
        <v>45</v>
      </c>
      <c r="I855" s="11" t="n">
        <v>70</v>
      </c>
      <c r="J855" s="11" t="s">
        <v>268</v>
      </c>
      <c r="K855" s="11" t="s">
        <v>80</v>
      </c>
    </row>
    <row r="856" customFormat="false" ht="36.5" hidden="false" customHeight="false" outlineLevel="0" collapsed="false">
      <c r="A856" s="1" t="n">
        <v>58</v>
      </c>
      <c r="B856" s="1" t="n">
        <v>2024</v>
      </c>
      <c r="C856" s="3" t="n">
        <v>45469</v>
      </c>
      <c r="D856" s="4" t="s">
        <v>38</v>
      </c>
      <c r="E856" s="5" t="s">
        <v>44</v>
      </c>
      <c r="F856" s="5" t="s">
        <v>45</v>
      </c>
      <c r="G856" s="7" t="n">
        <v>40</v>
      </c>
      <c r="H856" s="7" t="n">
        <v>40</v>
      </c>
      <c r="I856" s="7" t="n">
        <v>55</v>
      </c>
      <c r="J856" s="7" t="s">
        <v>90</v>
      </c>
      <c r="K856" s="7" t="n">
        <v>45</v>
      </c>
    </row>
    <row r="857" customFormat="false" ht="36.5" hidden="false" customHeight="false" outlineLevel="0" collapsed="false">
      <c r="A857" s="1" t="n">
        <v>58</v>
      </c>
      <c r="B857" s="1" t="n">
        <v>2024</v>
      </c>
      <c r="C857" s="3" t="n">
        <v>45469</v>
      </c>
      <c r="D857" s="8" t="s">
        <v>38</v>
      </c>
      <c r="E857" s="9" t="s">
        <v>48</v>
      </c>
      <c r="F857" s="9" t="s">
        <v>45</v>
      </c>
      <c r="G857" s="10"/>
      <c r="H857" s="11" t="n">
        <v>45</v>
      </c>
      <c r="I857" s="11" t="n">
        <v>115</v>
      </c>
      <c r="J857" s="11" t="s">
        <v>155</v>
      </c>
      <c r="K857" s="11" t="s">
        <v>134</v>
      </c>
    </row>
    <row r="858" customFormat="false" ht="36.5" hidden="false" customHeight="false" outlineLevel="0" collapsed="false">
      <c r="A858" s="1" t="n">
        <v>58</v>
      </c>
      <c r="B858" s="1" t="n">
        <v>2024</v>
      </c>
      <c r="C858" s="3" t="n">
        <v>45469</v>
      </c>
      <c r="D858" s="4" t="s">
        <v>38</v>
      </c>
      <c r="E858" s="5" t="s">
        <v>49</v>
      </c>
      <c r="F858" s="5" t="s">
        <v>50</v>
      </c>
      <c r="G858" s="7" t="n">
        <v>80</v>
      </c>
      <c r="H858" s="7" t="n">
        <v>70</v>
      </c>
      <c r="I858" s="7" t="n">
        <v>100</v>
      </c>
      <c r="J858" s="7" t="n">
        <v>85</v>
      </c>
      <c r="K858" s="7" t="n">
        <v>80</v>
      </c>
    </row>
    <row r="859" customFormat="false" ht="36.5" hidden="false" customHeight="false" outlineLevel="0" collapsed="false">
      <c r="A859" s="1" t="n">
        <v>58</v>
      </c>
      <c r="B859" s="1" t="n">
        <v>2024</v>
      </c>
      <c r="C859" s="3" t="n">
        <v>45469</v>
      </c>
      <c r="D859" s="8" t="s">
        <v>38</v>
      </c>
      <c r="E859" s="9" t="s">
        <v>52</v>
      </c>
      <c r="F859" s="9" t="s">
        <v>43</v>
      </c>
      <c r="G859" s="11" t="n">
        <v>90</v>
      </c>
      <c r="H859" s="11" t="n">
        <v>65</v>
      </c>
      <c r="I859" s="11" t="n">
        <v>90</v>
      </c>
      <c r="J859" s="11" t="n">
        <v>81</v>
      </c>
      <c r="K859" s="11" t="n">
        <v>90</v>
      </c>
    </row>
    <row r="860" customFormat="false" ht="36.5" hidden="false" customHeight="false" outlineLevel="0" collapsed="false">
      <c r="A860" s="1" t="n">
        <v>58</v>
      </c>
      <c r="B860" s="1" t="n">
        <v>2024</v>
      </c>
      <c r="C860" s="3" t="n">
        <v>45469</v>
      </c>
      <c r="D860" s="4" t="s">
        <v>38</v>
      </c>
      <c r="E860" s="5" t="s">
        <v>53</v>
      </c>
      <c r="F860" s="5" t="s">
        <v>43</v>
      </c>
      <c r="G860" s="6"/>
      <c r="H860" s="7" t="n">
        <v>55</v>
      </c>
      <c r="I860" s="7" t="n">
        <v>80</v>
      </c>
      <c r="J860" s="7" t="s">
        <v>265</v>
      </c>
      <c r="K860" s="7" t="n">
        <v>65</v>
      </c>
    </row>
    <row r="861" customFormat="false" ht="36.5" hidden="false" customHeight="false" outlineLevel="0" collapsed="false">
      <c r="A861" s="1" t="n">
        <v>58</v>
      </c>
      <c r="B861" s="1" t="n">
        <v>2024</v>
      </c>
      <c r="C861" s="3" t="n">
        <v>45469</v>
      </c>
      <c r="D861" s="8" t="s">
        <v>38</v>
      </c>
      <c r="E861" s="9" t="s">
        <v>54</v>
      </c>
      <c r="F861" s="9" t="s">
        <v>40</v>
      </c>
      <c r="G861" s="11" t="n">
        <v>100</v>
      </c>
      <c r="H861" s="11" t="n">
        <v>80</v>
      </c>
      <c r="I861" s="11" t="n">
        <v>100</v>
      </c>
      <c r="J861" s="11" t="n">
        <v>95</v>
      </c>
      <c r="K861" s="11" t="n">
        <v>100</v>
      </c>
    </row>
    <row r="862" customFormat="false" ht="36.5" hidden="false" customHeight="false" outlineLevel="0" collapsed="false">
      <c r="A862" s="1" t="n">
        <v>58</v>
      </c>
      <c r="B862" s="1" t="n">
        <v>2024</v>
      </c>
      <c r="C862" s="3" t="n">
        <v>45469</v>
      </c>
      <c r="D862" s="4" t="s">
        <v>38</v>
      </c>
      <c r="E862" s="5" t="s">
        <v>56</v>
      </c>
      <c r="F862" s="5" t="s">
        <v>43</v>
      </c>
      <c r="G862" s="6"/>
      <c r="H862" s="7" t="n">
        <v>40</v>
      </c>
      <c r="I862" s="7" t="n">
        <v>60</v>
      </c>
      <c r="J862" s="7" t="s">
        <v>254</v>
      </c>
      <c r="K862" s="7" t="s">
        <v>78</v>
      </c>
    </row>
    <row r="863" customFormat="false" ht="36.5" hidden="false" customHeight="false" outlineLevel="0" collapsed="false">
      <c r="A863" s="1" t="n">
        <v>58</v>
      </c>
      <c r="B863" s="1" t="n">
        <v>2024</v>
      </c>
      <c r="C863" s="3" t="n">
        <v>45469</v>
      </c>
      <c r="D863" s="8" t="s">
        <v>38</v>
      </c>
      <c r="E863" s="9" t="s">
        <v>57</v>
      </c>
      <c r="F863" s="9" t="s">
        <v>40</v>
      </c>
      <c r="G863" s="10"/>
      <c r="H863" s="11" t="n">
        <v>50</v>
      </c>
      <c r="I863" s="11" t="n">
        <v>70</v>
      </c>
      <c r="J863" s="11" t="s">
        <v>131</v>
      </c>
      <c r="K863" s="11" t="n">
        <v>65</v>
      </c>
    </row>
    <row r="864" customFormat="false" ht="36.5" hidden="false" customHeight="false" outlineLevel="0" collapsed="false">
      <c r="A864" s="1" t="n">
        <v>58</v>
      </c>
      <c r="B864" s="1" t="n">
        <v>2024</v>
      </c>
      <c r="C864" s="3" t="n">
        <v>45469</v>
      </c>
      <c r="D864" s="4" t="s">
        <v>38</v>
      </c>
      <c r="E864" s="5" t="s">
        <v>58</v>
      </c>
      <c r="F864" s="5" t="s">
        <v>40</v>
      </c>
      <c r="G864" s="7" t="n">
        <v>60</v>
      </c>
      <c r="H864" s="7" t="n">
        <v>60</v>
      </c>
      <c r="I864" s="7" t="n">
        <v>70</v>
      </c>
      <c r="J864" s="7" t="n">
        <v>65</v>
      </c>
      <c r="K864" s="7" t="n">
        <v>65</v>
      </c>
    </row>
    <row r="865" customFormat="false" ht="36.5" hidden="false" customHeight="false" outlineLevel="0" collapsed="false">
      <c r="A865" s="1" t="n">
        <v>58</v>
      </c>
      <c r="B865" s="1" t="n">
        <v>2024</v>
      </c>
      <c r="C865" s="3" t="n">
        <v>45469</v>
      </c>
      <c r="D865" s="8" t="s">
        <v>38</v>
      </c>
      <c r="E865" s="9" t="s">
        <v>59</v>
      </c>
      <c r="F865" s="9" t="s">
        <v>45</v>
      </c>
      <c r="G865" s="11" t="n">
        <v>45</v>
      </c>
      <c r="H865" s="11" t="n">
        <v>40</v>
      </c>
      <c r="I865" s="11" t="n">
        <v>60</v>
      </c>
      <c r="J865" s="11" t="s">
        <v>112</v>
      </c>
      <c r="K865" s="11" t="n">
        <v>50</v>
      </c>
    </row>
    <row r="866" customFormat="false" ht="36.5" hidden="false" customHeight="false" outlineLevel="0" collapsed="false">
      <c r="A866" s="1" t="n">
        <v>58</v>
      </c>
      <c r="B866" s="1" t="n">
        <v>2024</v>
      </c>
      <c r="C866" s="3" t="n">
        <v>45469</v>
      </c>
      <c r="D866" s="4" t="s">
        <v>38</v>
      </c>
      <c r="E866" s="5" t="s">
        <v>60</v>
      </c>
      <c r="F866" s="5" t="s">
        <v>61</v>
      </c>
      <c r="G866" s="6"/>
      <c r="H866" s="7" t="n">
        <v>120</v>
      </c>
      <c r="I866" s="7" t="n">
        <v>180</v>
      </c>
      <c r="J866" s="7" t="s">
        <v>269</v>
      </c>
      <c r="K866" s="7" t="n">
        <v>130</v>
      </c>
    </row>
    <row r="867" customFormat="false" ht="36.5" hidden="false" customHeight="false" outlineLevel="0" collapsed="false">
      <c r="A867" s="1" t="n">
        <v>58</v>
      </c>
      <c r="B867" s="1" t="n">
        <v>2024</v>
      </c>
      <c r="C867" s="3" t="n">
        <v>45469</v>
      </c>
      <c r="D867" s="8" t="s">
        <v>38</v>
      </c>
      <c r="E867" s="9" t="s">
        <v>63</v>
      </c>
      <c r="F867" s="9" t="s">
        <v>40</v>
      </c>
      <c r="G867" s="11" t="n">
        <v>70</v>
      </c>
      <c r="H867" s="11" t="n">
        <v>70</v>
      </c>
      <c r="I867" s="11" t="n">
        <v>100</v>
      </c>
      <c r="J867" s="11" t="s">
        <v>270</v>
      </c>
      <c r="K867" s="11" t="n">
        <v>80</v>
      </c>
    </row>
    <row r="868" customFormat="false" ht="36.5" hidden="false" customHeight="false" outlineLevel="0" collapsed="false">
      <c r="A868" s="1" t="n">
        <v>58</v>
      </c>
      <c r="B868" s="1" t="n">
        <v>2024</v>
      </c>
      <c r="C868" s="3" t="n">
        <v>45469</v>
      </c>
      <c r="D868" s="4" t="s">
        <v>38</v>
      </c>
      <c r="E868" s="5" t="s">
        <v>64</v>
      </c>
      <c r="F868" s="5" t="s">
        <v>40</v>
      </c>
      <c r="G868" s="7" t="n">
        <v>120</v>
      </c>
      <c r="H868" s="7" t="n">
        <v>100</v>
      </c>
      <c r="I868" s="7" t="n">
        <v>200</v>
      </c>
      <c r="J868" s="7" t="n">
        <v>135</v>
      </c>
      <c r="K868" s="7" t="n">
        <v>120</v>
      </c>
    </row>
    <row r="869" customFormat="false" ht="14.25" hidden="false" customHeight="false" outlineLevel="0" collapsed="false">
      <c r="A869" s="1" t="n">
        <v>58</v>
      </c>
      <c r="B869" s="1" t="n">
        <v>2024</v>
      </c>
      <c r="C869" s="3" t="n">
        <v>45469</v>
      </c>
      <c r="D869" s="8" t="s">
        <v>65</v>
      </c>
      <c r="E869" s="9" t="s">
        <v>66</v>
      </c>
      <c r="F869" s="9" t="s">
        <v>45</v>
      </c>
      <c r="G869" s="10"/>
      <c r="H869" s="11" t="n">
        <v>130</v>
      </c>
      <c r="I869" s="11" t="n">
        <v>130</v>
      </c>
      <c r="J869" s="11" t="n">
        <v>130</v>
      </c>
      <c r="K869" s="11" t="n">
        <v>130</v>
      </c>
    </row>
    <row r="870" customFormat="false" ht="14.25" hidden="false" customHeight="false" outlineLevel="0" collapsed="false">
      <c r="A870" s="1" t="n">
        <v>58</v>
      </c>
      <c r="B870" s="1" t="n">
        <v>2024</v>
      </c>
      <c r="C870" s="3" t="n">
        <v>45469</v>
      </c>
      <c r="D870" s="4" t="s">
        <v>65</v>
      </c>
      <c r="E870" s="5" t="s">
        <v>67</v>
      </c>
      <c r="F870" s="5" t="s">
        <v>45</v>
      </c>
      <c r="G870" s="6"/>
      <c r="H870" s="6"/>
      <c r="I870" s="6"/>
      <c r="J870" s="6"/>
      <c r="K870" s="6"/>
    </row>
    <row r="871" customFormat="false" ht="14.25" hidden="false" customHeight="false" outlineLevel="0" collapsed="false">
      <c r="A871" s="1" t="n">
        <v>58</v>
      </c>
      <c r="B871" s="1" t="n">
        <v>2024</v>
      </c>
      <c r="C871" s="3" t="n">
        <v>45469</v>
      </c>
      <c r="D871" s="8" t="s">
        <v>65</v>
      </c>
      <c r="E871" s="9" t="s">
        <v>68</v>
      </c>
      <c r="F871" s="9" t="s">
        <v>45</v>
      </c>
      <c r="G871" s="10"/>
      <c r="H871" s="10"/>
      <c r="I871" s="10"/>
      <c r="J871" s="10"/>
      <c r="K871" s="10"/>
    </row>
    <row r="872" customFormat="false" ht="14.25" hidden="false" customHeight="false" outlineLevel="0" collapsed="false">
      <c r="A872" s="1" t="n">
        <v>58</v>
      </c>
      <c r="B872" s="1" t="n">
        <v>2024</v>
      </c>
      <c r="C872" s="3" t="n">
        <v>45469</v>
      </c>
      <c r="D872" s="4" t="s">
        <v>65</v>
      </c>
      <c r="E872" s="5" t="s">
        <v>69</v>
      </c>
      <c r="F872" s="5" t="s">
        <v>45</v>
      </c>
      <c r="G872" s="6"/>
      <c r="H872" s="7" t="n">
        <v>50</v>
      </c>
      <c r="I872" s="7" t="n">
        <v>50</v>
      </c>
      <c r="J872" s="7" t="n">
        <v>50</v>
      </c>
      <c r="K872" s="7" t="n">
        <v>50</v>
      </c>
    </row>
    <row r="873" customFormat="false" ht="14.25" hidden="false" customHeight="false" outlineLevel="0" collapsed="false">
      <c r="A873" s="1" t="n">
        <v>58</v>
      </c>
      <c r="B873" s="1" t="n">
        <v>2024</v>
      </c>
      <c r="C873" s="3" t="n">
        <v>45469</v>
      </c>
      <c r="D873" s="8" t="s">
        <v>65</v>
      </c>
      <c r="E873" s="9" t="s">
        <v>70</v>
      </c>
      <c r="F873" s="9" t="s">
        <v>71</v>
      </c>
      <c r="G873" s="10"/>
      <c r="H873" s="11" t="n">
        <v>60</v>
      </c>
      <c r="I873" s="11" t="n">
        <v>65</v>
      </c>
      <c r="J873" s="11" t="s">
        <v>80</v>
      </c>
      <c r="K873" s="11" t="s">
        <v>80</v>
      </c>
    </row>
    <row r="874" customFormat="false" ht="25" hidden="false" customHeight="false" outlineLevel="0" collapsed="false">
      <c r="A874" s="1" t="n">
        <v>59</v>
      </c>
      <c r="B874" s="1" t="n">
        <v>2024</v>
      </c>
      <c r="C874" s="3" t="n">
        <v>45476</v>
      </c>
      <c r="D874" s="4" t="s">
        <v>11</v>
      </c>
      <c r="E874" s="5" t="s">
        <v>12</v>
      </c>
      <c r="F874" s="5" t="s">
        <v>13</v>
      </c>
      <c r="G874" s="7" t="n">
        <v>60</v>
      </c>
      <c r="H874" s="7" t="n">
        <v>48</v>
      </c>
      <c r="I874" s="7" t="n">
        <v>60</v>
      </c>
      <c r="J874" s="7" t="n">
        <v>57</v>
      </c>
      <c r="K874" s="7" t="n">
        <v>60</v>
      </c>
    </row>
    <row r="875" customFormat="false" ht="25" hidden="false" customHeight="false" outlineLevel="0" collapsed="false">
      <c r="A875" s="1" t="n">
        <v>59</v>
      </c>
      <c r="B875" s="1" t="n">
        <v>2024</v>
      </c>
      <c r="C875" s="3" t="n">
        <v>45476</v>
      </c>
      <c r="D875" s="8" t="s">
        <v>11</v>
      </c>
      <c r="E875" s="9" t="s">
        <v>14</v>
      </c>
      <c r="F875" s="9" t="s">
        <v>13</v>
      </c>
      <c r="G875" s="11" t="n">
        <v>72</v>
      </c>
      <c r="H875" s="11" t="n">
        <v>72</v>
      </c>
      <c r="I875" s="11" t="n">
        <v>84</v>
      </c>
      <c r="J875" s="11" t="n">
        <v>75</v>
      </c>
      <c r="K875" s="11" t="n">
        <v>72</v>
      </c>
    </row>
    <row r="876" customFormat="false" ht="25" hidden="false" customHeight="false" outlineLevel="0" collapsed="false">
      <c r="A876" s="1" t="n">
        <v>59</v>
      </c>
      <c r="B876" s="1" t="n">
        <v>2024</v>
      </c>
      <c r="C876" s="3" t="n">
        <v>45476</v>
      </c>
      <c r="D876" s="4" t="s">
        <v>11</v>
      </c>
      <c r="E876" s="5" t="s">
        <v>15</v>
      </c>
      <c r="F876" s="5" t="s">
        <v>13</v>
      </c>
      <c r="G876" s="6"/>
      <c r="H876" s="7" t="n">
        <v>30</v>
      </c>
      <c r="I876" s="7" t="n">
        <v>48</v>
      </c>
      <c r="J876" s="7" t="n">
        <v>39</v>
      </c>
      <c r="K876" s="7" t="n">
        <v>39</v>
      </c>
    </row>
    <row r="877" customFormat="false" ht="25" hidden="false" customHeight="false" outlineLevel="0" collapsed="false">
      <c r="A877" s="1" t="n">
        <v>59</v>
      </c>
      <c r="B877" s="1" t="n">
        <v>2024</v>
      </c>
      <c r="C877" s="3" t="n">
        <v>45476</v>
      </c>
      <c r="D877" s="8" t="s">
        <v>11</v>
      </c>
      <c r="E877" s="9" t="s">
        <v>16</v>
      </c>
      <c r="F877" s="9" t="s">
        <v>13</v>
      </c>
      <c r="G877" s="11" t="n">
        <v>30</v>
      </c>
      <c r="H877" s="11" t="n">
        <v>20</v>
      </c>
      <c r="I877" s="11" t="n">
        <v>30</v>
      </c>
      <c r="J877" s="11" t="n">
        <v>26</v>
      </c>
      <c r="K877" s="11" t="n">
        <v>27</v>
      </c>
    </row>
    <row r="878" customFormat="false" ht="25" hidden="false" customHeight="false" outlineLevel="0" collapsed="false">
      <c r="A878" s="1" t="n">
        <v>59</v>
      </c>
      <c r="B878" s="1" t="n">
        <v>2024</v>
      </c>
      <c r="C878" s="3" t="n">
        <v>45476</v>
      </c>
      <c r="D878" s="4" t="s">
        <v>11</v>
      </c>
      <c r="E878" s="5" t="s">
        <v>17</v>
      </c>
      <c r="F878" s="5" t="s">
        <v>13</v>
      </c>
      <c r="G878" s="7" t="n">
        <v>30</v>
      </c>
      <c r="H878" s="7" t="n">
        <v>18</v>
      </c>
      <c r="I878" s="7" t="n">
        <v>30</v>
      </c>
      <c r="J878" s="7" t="s">
        <v>271</v>
      </c>
      <c r="K878" s="7" t="n">
        <v>25</v>
      </c>
    </row>
    <row r="879" customFormat="false" ht="25" hidden="false" customHeight="false" outlineLevel="0" collapsed="false">
      <c r="A879" s="1" t="n">
        <v>59</v>
      </c>
      <c r="B879" s="1" t="n">
        <v>2024</v>
      </c>
      <c r="C879" s="3" t="n">
        <v>45476</v>
      </c>
      <c r="D879" s="8" t="s">
        <v>11</v>
      </c>
      <c r="E879" s="9" t="s">
        <v>18</v>
      </c>
      <c r="F879" s="9" t="s">
        <v>13</v>
      </c>
      <c r="G879" s="11" t="n">
        <v>60</v>
      </c>
      <c r="H879" s="11" t="n">
        <v>48</v>
      </c>
      <c r="I879" s="11" t="n">
        <v>60</v>
      </c>
      <c r="J879" s="11" t="n">
        <v>57</v>
      </c>
      <c r="K879" s="11" t="n">
        <v>60</v>
      </c>
    </row>
    <row r="880" customFormat="false" ht="25" hidden="false" customHeight="false" outlineLevel="0" collapsed="false">
      <c r="A880" s="1" t="n">
        <v>59</v>
      </c>
      <c r="B880" s="1" t="n">
        <v>2024</v>
      </c>
      <c r="C880" s="3" t="n">
        <v>45476</v>
      </c>
      <c r="D880" s="4" t="s">
        <v>11</v>
      </c>
      <c r="E880" s="5" t="s">
        <v>19</v>
      </c>
      <c r="F880" s="5" t="s">
        <v>13</v>
      </c>
      <c r="G880" s="7" t="n">
        <v>60</v>
      </c>
      <c r="H880" s="7" t="n">
        <v>60</v>
      </c>
      <c r="I880" s="7" t="n">
        <v>76</v>
      </c>
      <c r="J880" s="7" t="n">
        <v>64</v>
      </c>
      <c r="K880" s="7" t="n">
        <v>60</v>
      </c>
    </row>
    <row r="881" customFormat="false" ht="25" hidden="false" customHeight="false" outlineLevel="0" collapsed="false">
      <c r="A881" s="1" t="n">
        <v>59</v>
      </c>
      <c r="B881" s="1" t="n">
        <v>2024</v>
      </c>
      <c r="C881" s="3" t="n">
        <v>45476</v>
      </c>
      <c r="D881" s="8" t="s">
        <v>11</v>
      </c>
      <c r="E881" s="9" t="s">
        <v>20</v>
      </c>
      <c r="F881" s="9" t="s">
        <v>13</v>
      </c>
      <c r="G881" s="11" t="n">
        <v>84</v>
      </c>
      <c r="H881" s="11" t="n">
        <v>72</v>
      </c>
      <c r="I881" s="11" t="n">
        <v>84</v>
      </c>
      <c r="J881" s="11" t="n">
        <v>80</v>
      </c>
      <c r="K881" s="11" t="n">
        <v>82</v>
      </c>
    </row>
    <row r="882" customFormat="false" ht="25" hidden="false" customHeight="false" outlineLevel="0" collapsed="false">
      <c r="A882" s="1" t="n">
        <v>59</v>
      </c>
      <c r="B882" s="1" t="n">
        <v>2024</v>
      </c>
      <c r="C882" s="3" t="n">
        <v>45476</v>
      </c>
      <c r="D882" s="4" t="s">
        <v>11</v>
      </c>
      <c r="E882" s="5" t="s">
        <v>21</v>
      </c>
      <c r="F882" s="5" t="s">
        <v>13</v>
      </c>
      <c r="G882" s="7" t="n">
        <v>24</v>
      </c>
      <c r="H882" s="7" t="n">
        <v>20</v>
      </c>
      <c r="I882" s="7" t="n">
        <v>30</v>
      </c>
      <c r="J882" s="7" t="s">
        <v>271</v>
      </c>
      <c r="K882" s="7" t="n">
        <v>24</v>
      </c>
    </row>
    <row r="883" customFormat="false" ht="25" hidden="false" customHeight="false" outlineLevel="0" collapsed="false">
      <c r="A883" s="1" t="n">
        <v>59</v>
      </c>
      <c r="B883" s="1" t="n">
        <v>2024</v>
      </c>
      <c r="C883" s="3" t="n">
        <v>45476</v>
      </c>
      <c r="D883" s="8" t="s">
        <v>11</v>
      </c>
      <c r="E883" s="9" t="s">
        <v>73</v>
      </c>
      <c r="F883" s="9" t="s">
        <v>13</v>
      </c>
      <c r="G883" s="10"/>
      <c r="H883" s="11" t="n">
        <v>60</v>
      </c>
      <c r="I883" s="11" t="n">
        <v>84</v>
      </c>
      <c r="J883" s="11" t="s">
        <v>272</v>
      </c>
      <c r="K883" s="11" t="n">
        <v>71</v>
      </c>
    </row>
    <row r="884" customFormat="false" ht="25" hidden="false" customHeight="false" outlineLevel="0" collapsed="false">
      <c r="A884" s="1" t="n">
        <v>59</v>
      </c>
      <c r="B884" s="1" t="n">
        <v>2024</v>
      </c>
      <c r="C884" s="3" t="n">
        <v>45476</v>
      </c>
      <c r="D884" s="4" t="s">
        <v>11</v>
      </c>
      <c r="E884" s="5" t="s">
        <v>23</v>
      </c>
      <c r="F884" s="5" t="s">
        <v>13</v>
      </c>
      <c r="G884" s="7" t="n">
        <v>24</v>
      </c>
      <c r="H884" s="7" t="n">
        <v>24</v>
      </c>
      <c r="I884" s="7" t="n">
        <v>30</v>
      </c>
      <c r="J884" s="7" t="n">
        <v>27</v>
      </c>
      <c r="K884" s="7" t="n">
        <v>27</v>
      </c>
    </row>
    <row r="885" customFormat="false" ht="25" hidden="false" customHeight="false" outlineLevel="0" collapsed="false">
      <c r="A885" s="1" t="n">
        <v>59</v>
      </c>
      <c r="B885" s="1" t="n">
        <v>2024</v>
      </c>
      <c r="C885" s="3" t="n">
        <v>45476</v>
      </c>
      <c r="D885" s="8" t="s">
        <v>11</v>
      </c>
      <c r="E885" s="9" t="s">
        <v>24</v>
      </c>
      <c r="F885" s="9" t="s">
        <v>13</v>
      </c>
      <c r="G885" s="11" t="n">
        <v>72</v>
      </c>
      <c r="H885" s="11" t="n">
        <v>60</v>
      </c>
      <c r="I885" s="11" t="n">
        <v>72</v>
      </c>
      <c r="J885" s="11" t="n">
        <v>69</v>
      </c>
      <c r="K885" s="11" t="n">
        <v>72</v>
      </c>
    </row>
    <row r="886" customFormat="false" ht="25" hidden="false" customHeight="false" outlineLevel="0" collapsed="false">
      <c r="A886" s="1" t="n">
        <v>59</v>
      </c>
      <c r="B886" s="1" t="n">
        <v>2024</v>
      </c>
      <c r="C886" s="3" t="n">
        <v>45476</v>
      </c>
      <c r="D886" s="4" t="s">
        <v>11</v>
      </c>
      <c r="E886" s="5" t="s">
        <v>25</v>
      </c>
      <c r="F886" s="5" t="s">
        <v>26</v>
      </c>
      <c r="G886" s="7" t="n">
        <v>60</v>
      </c>
      <c r="H886" s="7" t="n">
        <v>60</v>
      </c>
      <c r="I886" s="7" t="n">
        <v>60</v>
      </c>
      <c r="J886" s="7" t="n">
        <v>60</v>
      </c>
      <c r="K886" s="7" t="n">
        <v>60</v>
      </c>
    </row>
    <row r="887" customFormat="false" ht="25" hidden="false" customHeight="false" outlineLevel="0" collapsed="false">
      <c r="A887" s="1" t="n">
        <v>59</v>
      </c>
      <c r="B887" s="1" t="n">
        <v>2024</v>
      </c>
      <c r="C887" s="3" t="n">
        <v>45476</v>
      </c>
      <c r="D887" s="8" t="s">
        <v>11</v>
      </c>
      <c r="E887" s="9" t="s">
        <v>27</v>
      </c>
      <c r="F887" s="9" t="s">
        <v>13</v>
      </c>
      <c r="G887" s="10"/>
      <c r="H887" s="11" t="n">
        <v>60</v>
      </c>
      <c r="I887" s="11" t="n">
        <v>84</v>
      </c>
      <c r="J887" s="11" t="n">
        <v>72</v>
      </c>
      <c r="K887" s="11" t="n">
        <v>72</v>
      </c>
    </row>
    <row r="888" customFormat="false" ht="25" hidden="false" customHeight="false" outlineLevel="0" collapsed="false">
      <c r="A888" s="1" t="n">
        <v>59</v>
      </c>
      <c r="B888" s="1" t="n">
        <v>2024</v>
      </c>
      <c r="C888" s="3" t="n">
        <v>45476</v>
      </c>
      <c r="D888" s="4" t="s">
        <v>11</v>
      </c>
      <c r="E888" s="5" t="s">
        <v>28</v>
      </c>
      <c r="F888" s="5" t="s">
        <v>13</v>
      </c>
      <c r="G888" s="6"/>
      <c r="H888" s="7" t="n">
        <v>36</v>
      </c>
      <c r="I888" s="7" t="n">
        <v>54</v>
      </c>
      <c r="J888" s="7" t="n">
        <v>47</v>
      </c>
      <c r="K888" s="7" t="n">
        <v>49</v>
      </c>
    </row>
    <row r="889" customFormat="false" ht="25" hidden="false" customHeight="false" outlineLevel="0" collapsed="false">
      <c r="A889" s="1" t="n">
        <v>59</v>
      </c>
      <c r="B889" s="1" t="n">
        <v>2024</v>
      </c>
      <c r="C889" s="3" t="n">
        <v>45476</v>
      </c>
      <c r="D889" s="8" t="s">
        <v>11</v>
      </c>
      <c r="E889" s="9" t="s">
        <v>29</v>
      </c>
      <c r="F889" s="9" t="s">
        <v>13</v>
      </c>
      <c r="G889" s="11" t="n">
        <v>54</v>
      </c>
      <c r="H889" s="11" t="n">
        <v>48</v>
      </c>
      <c r="I889" s="11" t="n">
        <v>60</v>
      </c>
      <c r="J889" s="11" t="n">
        <v>54</v>
      </c>
      <c r="K889" s="11" t="n">
        <v>54</v>
      </c>
    </row>
    <row r="890" customFormat="false" ht="25" hidden="false" customHeight="false" outlineLevel="0" collapsed="false">
      <c r="A890" s="1" t="n">
        <v>59</v>
      </c>
      <c r="B890" s="1" t="n">
        <v>2024</v>
      </c>
      <c r="C890" s="3" t="n">
        <v>45476</v>
      </c>
      <c r="D890" s="4" t="s">
        <v>30</v>
      </c>
      <c r="E890" s="5" t="s">
        <v>31</v>
      </c>
      <c r="F890" s="5" t="s">
        <v>32</v>
      </c>
      <c r="G890" s="7" t="n">
        <v>5</v>
      </c>
      <c r="H890" s="7" t="n">
        <v>5</v>
      </c>
      <c r="I890" s="7" t="n">
        <v>5</v>
      </c>
      <c r="J890" s="7" t="n">
        <v>5</v>
      </c>
      <c r="K890" s="7" t="n">
        <v>5</v>
      </c>
    </row>
    <row r="891" customFormat="false" ht="25" hidden="false" customHeight="false" outlineLevel="0" collapsed="false">
      <c r="A891" s="1" t="n">
        <v>59</v>
      </c>
      <c r="B891" s="1" t="n">
        <v>2024</v>
      </c>
      <c r="C891" s="3" t="n">
        <v>45476</v>
      </c>
      <c r="D891" s="8" t="s">
        <v>30</v>
      </c>
      <c r="E891" s="9" t="s">
        <v>34</v>
      </c>
      <c r="F891" s="9" t="s">
        <v>35</v>
      </c>
      <c r="G891" s="11" t="n">
        <v>18</v>
      </c>
      <c r="H891" s="11" t="n">
        <v>15</v>
      </c>
      <c r="I891" s="11" t="n">
        <v>18</v>
      </c>
      <c r="J891" s="11" t="s">
        <v>273</v>
      </c>
      <c r="K891" s="11" t="n">
        <v>18</v>
      </c>
    </row>
    <row r="892" customFormat="false" ht="25" hidden="false" customHeight="false" outlineLevel="0" collapsed="false">
      <c r="A892" s="1" t="n">
        <v>59</v>
      </c>
      <c r="B892" s="1" t="n">
        <v>2024</v>
      </c>
      <c r="C892" s="3" t="n">
        <v>45476</v>
      </c>
      <c r="D892" s="4" t="s">
        <v>30</v>
      </c>
      <c r="E892" s="5" t="s">
        <v>36</v>
      </c>
      <c r="F892" s="5" t="s">
        <v>35</v>
      </c>
      <c r="G892" s="7" t="n">
        <v>25</v>
      </c>
      <c r="H892" s="7" t="n">
        <v>25</v>
      </c>
      <c r="I892" s="7" t="n">
        <v>30</v>
      </c>
      <c r="J892" s="7" t="s">
        <v>151</v>
      </c>
      <c r="K892" s="7" t="n">
        <v>25</v>
      </c>
    </row>
    <row r="893" customFormat="false" ht="36.5" hidden="false" customHeight="false" outlineLevel="0" collapsed="false">
      <c r="A893" s="1" t="n">
        <v>59</v>
      </c>
      <c r="B893" s="1" t="n">
        <v>2024</v>
      </c>
      <c r="C893" s="3" t="n">
        <v>45476</v>
      </c>
      <c r="D893" s="8" t="s">
        <v>38</v>
      </c>
      <c r="E893" s="9" t="s">
        <v>153</v>
      </c>
      <c r="F893" s="9" t="s">
        <v>154</v>
      </c>
      <c r="G893" s="10"/>
      <c r="H893" s="11" t="n">
        <v>80</v>
      </c>
      <c r="I893" s="11" t="n">
        <v>90</v>
      </c>
      <c r="J893" s="11" t="n">
        <v>85</v>
      </c>
      <c r="K893" s="11" t="n">
        <v>85</v>
      </c>
    </row>
    <row r="894" customFormat="false" ht="36.5" hidden="false" customHeight="false" outlineLevel="0" collapsed="false">
      <c r="A894" s="1" t="n">
        <v>59</v>
      </c>
      <c r="B894" s="1" t="n">
        <v>2024</v>
      </c>
      <c r="C894" s="3" t="n">
        <v>45476</v>
      </c>
      <c r="D894" s="4" t="s">
        <v>38</v>
      </c>
      <c r="E894" s="5" t="s">
        <v>39</v>
      </c>
      <c r="F894" s="5" t="s">
        <v>40</v>
      </c>
      <c r="G894" s="7" t="n">
        <v>50</v>
      </c>
      <c r="H894" s="7" t="n">
        <v>40</v>
      </c>
      <c r="I894" s="7" t="n">
        <v>55</v>
      </c>
      <c r="J894" s="7" t="s">
        <v>137</v>
      </c>
      <c r="K894" s="7" t="n">
        <v>50</v>
      </c>
    </row>
    <row r="895" customFormat="false" ht="36.5" hidden="false" customHeight="false" outlineLevel="0" collapsed="false">
      <c r="A895" s="1" t="n">
        <v>59</v>
      </c>
      <c r="B895" s="1" t="n">
        <v>2024</v>
      </c>
      <c r="C895" s="3" t="n">
        <v>45476</v>
      </c>
      <c r="D895" s="8" t="s">
        <v>38</v>
      </c>
      <c r="E895" s="9" t="s">
        <v>42</v>
      </c>
      <c r="F895" s="9" t="s">
        <v>43</v>
      </c>
      <c r="G895" s="10"/>
      <c r="H895" s="11" t="n">
        <v>45</v>
      </c>
      <c r="I895" s="11" t="n">
        <v>70</v>
      </c>
      <c r="J895" s="11" t="n">
        <v>58</v>
      </c>
      <c r="K895" s="11" t="n">
        <v>60</v>
      </c>
    </row>
    <row r="896" customFormat="false" ht="36.5" hidden="false" customHeight="false" outlineLevel="0" collapsed="false">
      <c r="A896" s="1" t="n">
        <v>59</v>
      </c>
      <c r="B896" s="1" t="n">
        <v>2024</v>
      </c>
      <c r="C896" s="3" t="n">
        <v>45476</v>
      </c>
      <c r="D896" s="4" t="s">
        <v>38</v>
      </c>
      <c r="E896" s="5" t="s">
        <v>44</v>
      </c>
      <c r="F896" s="5" t="s">
        <v>45</v>
      </c>
      <c r="G896" s="7" t="n">
        <v>40</v>
      </c>
      <c r="H896" s="7" t="n">
        <v>40</v>
      </c>
      <c r="I896" s="7" t="n">
        <v>48</v>
      </c>
      <c r="J896" s="7" t="n">
        <v>42</v>
      </c>
      <c r="K896" s="7" t="n">
        <v>40</v>
      </c>
    </row>
    <row r="897" customFormat="false" ht="36.5" hidden="false" customHeight="false" outlineLevel="0" collapsed="false">
      <c r="A897" s="1" t="n">
        <v>59</v>
      </c>
      <c r="B897" s="1" t="n">
        <v>2024</v>
      </c>
      <c r="C897" s="3" t="n">
        <v>45476</v>
      </c>
      <c r="D897" s="8" t="s">
        <v>38</v>
      </c>
      <c r="E897" s="9" t="s">
        <v>48</v>
      </c>
      <c r="F897" s="9" t="s">
        <v>45</v>
      </c>
      <c r="G897" s="10"/>
      <c r="H897" s="11" t="n">
        <v>100</v>
      </c>
      <c r="I897" s="11" t="n">
        <v>100</v>
      </c>
      <c r="J897" s="11" t="n">
        <v>100</v>
      </c>
      <c r="K897" s="11" t="n">
        <v>100</v>
      </c>
    </row>
    <row r="898" customFormat="false" ht="36.5" hidden="false" customHeight="false" outlineLevel="0" collapsed="false">
      <c r="A898" s="1" t="n">
        <v>59</v>
      </c>
      <c r="B898" s="1" t="n">
        <v>2024</v>
      </c>
      <c r="C898" s="3" t="n">
        <v>45476</v>
      </c>
      <c r="D898" s="4" t="s">
        <v>38</v>
      </c>
      <c r="E898" s="5" t="s">
        <v>49</v>
      </c>
      <c r="F898" s="5" t="s">
        <v>50</v>
      </c>
      <c r="G898" s="6"/>
      <c r="H898" s="7" t="n">
        <v>75</v>
      </c>
      <c r="I898" s="7" t="n">
        <v>100</v>
      </c>
      <c r="J898" s="7" t="n">
        <v>86</v>
      </c>
      <c r="K898" s="7" t="n">
        <v>85</v>
      </c>
    </row>
    <row r="899" customFormat="false" ht="36.5" hidden="false" customHeight="false" outlineLevel="0" collapsed="false">
      <c r="A899" s="1" t="n">
        <v>59</v>
      </c>
      <c r="B899" s="1" t="n">
        <v>2024</v>
      </c>
      <c r="C899" s="3" t="n">
        <v>45476</v>
      </c>
      <c r="D899" s="8" t="s">
        <v>38</v>
      </c>
      <c r="E899" s="9" t="s">
        <v>52</v>
      </c>
      <c r="F899" s="9" t="s">
        <v>43</v>
      </c>
      <c r="G899" s="11" t="n">
        <v>65</v>
      </c>
      <c r="H899" s="11" t="n">
        <v>65</v>
      </c>
      <c r="I899" s="11" t="n">
        <v>80</v>
      </c>
      <c r="J899" s="11" t="s">
        <v>274</v>
      </c>
      <c r="K899" s="11" t="n">
        <v>70</v>
      </c>
    </row>
    <row r="900" customFormat="false" ht="36.5" hidden="false" customHeight="false" outlineLevel="0" collapsed="false">
      <c r="A900" s="1" t="n">
        <v>59</v>
      </c>
      <c r="B900" s="1" t="n">
        <v>2024</v>
      </c>
      <c r="C900" s="3" t="n">
        <v>45476</v>
      </c>
      <c r="D900" s="4" t="s">
        <v>38</v>
      </c>
      <c r="E900" s="5" t="s">
        <v>53</v>
      </c>
      <c r="F900" s="5" t="s">
        <v>43</v>
      </c>
      <c r="G900" s="6"/>
      <c r="H900" s="7" t="n">
        <v>50</v>
      </c>
      <c r="I900" s="7" t="n">
        <v>70</v>
      </c>
      <c r="J900" s="7" t="s">
        <v>225</v>
      </c>
      <c r="K900" s="7" t="s">
        <v>80</v>
      </c>
    </row>
    <row r="901" customFormat="false" ht="36.5" hidden="false" customHeight="false" outlineLevel="0" collapsed="false">
      <c r="A901" s="1" t="n">
        <v>59</v>
      </c>
      <c r="B901" s="1" t="n">
        <v>2024</v>
      </c>
      <c r="C901" s="3" t="n">
        <v>45476</v>
      </c>
      <c r="D901" s="8" t="s">
        <v>38</v>
      </c>
      <c r="E901" s="9" t="s">
        <v>54</v>
      </c>
      <c r="F901" s="9" t="s">
        <v>40</v>
      </c>
      <c r="G901" s="11" t="n">
        <v>100</v>
      </c>
      <c r="H901" s="11" t="n">
        <v>80</v>
      </c>
      <c r="I901" s="11" t="n">
        <v>100</v>
      </c>
      <c r="J901" s="11" t="s">
        <v>196</v>
      </c>
      <c r="K901" s="11" t="n">
        <v>100</v>
      </c>
    </row>
    <row r="902" customFormat="false" ht="36.5" hidden="false" customHeight="false" outlineLevel="0" collapsed="false">
      <c r="A902" s="1" t="n">
        <v>59</v>
      </c>
      <c r="B902" s="1" t="n">
        <v>2024</v>
      </c>
      <c r="C902" s="3" t="n">
        <v>45476</v>
      </c>
      <c r="D902" s="4" t="s">
        <v>38</v>
      </c>
      <c r="E902" s="5" t="s">
        <v>56</v>
      </c>
      <c r="F902" s="5" t="s">
        <v>43</v>
      </c>
      <c r="G902" s="6"/>
      <c r="H902" s="7" t="n">
        <v>50</v>
      </c>
      <c r="I902" s="7" t="n">
        <v>53</v>
      </c>
      <c r="J902" s="7" t="s">
        <v>275</v>
      </c>
      <c r="K902" s="7" t="s">
        <v>275</v>
      </c>
    </row>
    <row r="903" customFormat="false" ht="36.5" hidden="false" customHeight="false" outlineLevel="0" collapsed="false">
      <c r="A903" s="1" t="n">
        <v>59</v>
      </c>
      <c r="B903" s="1" t="n">
        <v>2024</v>
      </c>
      <c r="C903" s="3" t="n">
        <v>45476</v>
      </c>
      <c r="D903" s="8" t="s">
        <v>38</v>
      </c>
      <c r="E903" s="9" t="s">
        <v>57</v>
      </c>
      <c r="F903" s="9" t="s">
        <v>40</v>
      </c>
      <c r="G903" s="10"/>
      <c r="H903" s="11" t="n">
        <v>50</v>
      </c>
      <c r="I903" s="11" t="n">
        <v>65</v>
      </c>
      <c r="J903" s="11" t="s">
        <v>258</v>
      </c>
      <c r="K903" s="11" t="n">
        <v>60</v>
      </c>
    </row>
    <row r="904" customFormat="false" ht="36.5" hidden="false" customHeight="false" outlineLevel="0" collapsed="false">
      <c r="A904" s="1" t="n">
        <v>59</v>
      </c>
      <c r="B904" s="1" t="n">
        <v>2024</v>
      </c>
      <c r="C904" s="3" t="n">
        <v>45476</v>
      </c>
      <c r="D904" s="4" t="s">
        <v>38</v>
      </c>
      <c r="E904" s="5" t="s">
        <v>58</v>
      </c>
      <c r="F904" s="5" t="s">
        <v>40</v>
      </c>
      <c r="G904" s="7" t="n">
        <v>60</v>
      </c>
      <c r="H904" s="7" t="n">
        <v>60</v>
      </c>
      <c r="I904" s="7" t="n">
        <v>70</v>
      </c>
      <c r="J904" s="7" t="n">
        <v>63</v>
      </c>
      <c r="K904" s="7" t="n">
        <v>60</v>
      </c>
    </row>
    <row r="905" customFormat="false" ht="36.5" hidden="false" customHeight="false" outlineLevel="0" collapsed="false">
      <c r="A905" s="1" t="n">
        <v>59</v>
      </c>
      <c r="B905" s="1" t="n">
        <v>2024</v>
      </c>
      <c r="C905" s="3" t="n">
        <v>45476</v>
      </c>
      <c r="D905" s="8" t="s">
        <v>38</v>
      </c>
      <c r="E905" s="9" t="s">
        <v>59</v>
      </c>
      <c r="F905" s="9" t="s">
        <v>45</v>
      </c>
      <c r="G905" s="11" t="n">
        <v>50</v>
      </c>
      <c r="H905" s="11" t="n">
        <v>40</v>
      </c>
      <c r="I905" s="11" t="n">
        <v>55</v>
      </c>
      <c r="J905" s="11" t="n">
        <v>50</v>
      </c>
      <c r="K905" s="11" t="n">
        <v>50</v>
      </c>
    </row>
    <row r="906" customFormat="false" ht="36.5" hidden="false" customHeight="false" outlineLevel="0" collapsed="false">
      <c r="A906" s="1" t="n">
        <v>59</v>
      </c>
      <c r="B906" s="1" t="n">
        <v>2024</v>
      </c>
      <c r="C906" s="3" t="n">
        <v>45476</v>
      </c>
      <c r="D906" s="4" t="s">
        <v>38</v>
      </c>
      <c r="E906" s="5" t="s">
        <v>60</v>
      </c>
      <c r="F906" s="5" t="s">
        <v>61</v>
      </c>
      <c r="G906" s="7" t="n">
        <v>100</v>
      </c>
      <c r="H906" s="7" t="n">
        <v>90</v>
      </c>
      <c r="I906" s="7" t="n">
        <v>120</v>
      </c>
      <c r="J906" s="7" t="s">
        <v>183</v>
      </c>
      <c r="K906" s="7" t="n">
        <v>100</v>
      </c>
    </row>
    <row r="907" customFormat="false" ht="36.5" hidden="false" customHeight="false" outlineLevel="0" collapsed="false">
      <c r="A907" s="1" t="n">
        <v>59</v>
      </c>
      <c r="B907" s="1" t="n">
        <v>2024</v>
      </c>
      <c r="C907" s="3" t="n">
        <v>45476</v>
      </c>
      <c r="D907" s="8" t="s">
        <v>38</v>
      </c>
      <c r="E907" s="9" t="s">
        <v>63</v>
      </c>
      <c r="F907" s="9" t="s">
        <v>40</v>
      </c>
      <c r="G907" s="10"/>
      <c r="H907" s="11" t="n">
        <v>65</v>
      </c>
      <c r="I907" s="11" t="n">
        <v>100</v>
      </c>
      <c r="J907" s="11" t="n">
        <v>78</v>
      </c>
      <c r="K907" s="11" t="n">
        <v>75</v>
      </c>
    </row>
    <row r="908" customFormat="false" ht="36.5" hidden="false" customHeight="false" outlineLevel="0" collapsed="false">
      <c r="A908" s="1" t="n">
        <v>59</v>
      </c>
      <c r="B908" s="1" t="n">
        <v>2024</v>
      </c>
      <c r="C908" s="3" t="n">
        <v>45476</v>
      </c>
      <c r="D908" s="4" t="s">
        <v>38</v>
      </c>
      <c r="E908" s="5" t="s">
        <v>64</v>
      </c>
      <c r="F908" s="5" t="s">
        <v>40</v>
      </c>
      <c r="G908" s="7" t="n">
        <v>100</v>
      </c>
      <c r="H908" s="7" t="n">
        <v>100</v>
      </c>
      <c r="I908" s="7" t="n">
        <v>120</v>
      </c>
      <c r="J908" s="7" t="s">
        <v>263</v>
      </c>
      <c r="K908" s="7" t="n">
        <v>100</v>
      </c>
    </row>
    <row r="909" customFormat="false" ht="14.25" hidden="false" customHeight="false" outlineLevel="0" collapsed="false">
      <c r="A909" s="1" t="n">
        <v>59</v>
      </c>
      <c r="B909" s="1" t="n">
        <v>2024</v>
      </c>
      <c r="C909" s="3" t="n">
        <v>45476</v>
      </c>
      <c r="D909" s="8" t="s">
        <v>65</v>
      </c>
      <c r="E909" s="9" t="s">
        <v>66</v>
      </c>
      <c r="F909" s="9" t="s">
        <v>45</v>
      </c>
      <c r="G909" s="10"/>
      <c r="H909" s="10"/>
      <c r="I909" s="10"/>
      <c r="J909" s="10"/>
      <c r="K909" s="10"/>
    </row>
    <row r="910" customFormat="false" ht="14.25" hidden="false" customHeight="false" outlineLevel="0" collapsed="false">
      <c r="A910" s="1" t="n">
        <v>59</v>
      </c>
      <c r="B910" s="1" t="n">
        <v>2024</v>
      </c>
      <c r="C910" s="3" t="n">
        <v>45476</v>
      </c>
      <c r="D910" s="4" t="s">
        <v>65</v>
      </c>
      <c r="E910" s="5" t="s">
        <v>67</v>
      </c>
      <c r="F910" s="5" t="s">
        <v>45</v>
      </c>
      <c r="G910" s="6"/>
      <c r="H910" s="6"/>
      <c r="I910" s="6"/>
      <c r="J910" s="6"/>
      <c r="K910" s="6"/>
    </row>
    <row r="911" customFormat="false" ht="14.25" hidden="false" customHeight="false" outlineLevel="0" collapsed="false">
      <c r="A911" s="1" t="n">
        <v>59</v>
      </c>
      <c r="B911" s="1" t="n">
        <v>2024</v>
      </c>
      <c r="C911" s="3" t="n">
        <v>45476</v>
      </c>
      <c r="D911" s="8" t="s">
        <v>65</v>
      </c>
      <c r="E911" s="9" t="s">
        <v>68</v>
      </c>
      <c r="F911" s="9" t="s">
        <v>45</v>
      </c>
      <c r="G911" s="10"/>
      <c r="H911" s="10"/>
      <c r="I911" s="10"/>
      <c r="J911" s="10"/>
      <c r="K911" s="10"/>
    </row>
    <row r="912" customFormat="false" ht="14.25" hidden="false" customHeight="false" outlineLevel="0" collapsed="false">
      <c r="A912" s="1" t="n">
        <v>59</v>
      </c>
      <c r="B912" s="1" t="n">
        <v>2024</v>
      </c>
      <c r="C912" s="3" t="n">
        <v>45476</v>
      </c>
      <c r="D912" s="4" t="s">
        <v>65</v>
      </c>
      <c r="E912" s="5" t="s">
        <v>69</v>
      </c>
      <c r="F912" s="5" t="s">
        <v>45</v>
      </c>
      <c r="G912" s="6"/>
      <c r="H912" s="7" t="n">
        <v>50</v>
      </c>
      <c r="I912" s="7" t="n">
        <v>50</v>
      </c>
      <c r="J912" s="7" t="n">
        <v>50</v>
      </c>
      <c r="K912" s="7" t="n">
        <v>50</v>
      </c>
    </row>
    <row r="913" customFormat="false" ht="14.25" hidden="false" customHeight="false" outlineLevel="0" collapsed="false">
      <c r="A913" s="1" t="n">
        <v>59</v>
      </c>
      <c r="B913" s="1" t="n">
        <v>2024</v>
      </c>
      <c r="C913" s="3" t="n">
        <v>45476</v>
      </c>
      <c r="D913" s="8" t="s">
        <v>65</v>
      </c>
      <c r="E913" s="9" t="s">
        <v>70</v>
      </c>
      <c r="F913" s="9" t="s">
        <v>71</v>
      </c>
      <c r="G913" s="10"/>
      <c r="H913" s="11" t="n">
        <v>65</v>
      </c>
      <c r="I913" s="11" t="n">
        <v>65</v>
      </c>
      <c r="J913" s="11" t="n">
        <v>65</v>
      </c>
      <c r="K913" s="11" t="n">
        <v>65</v>
      </c>
    </row>
    <row r="914" customFormat="false" ht="25" hidden="false" customHeight="false" outlineLevel="0" collapsed="false">
      <c r="A914" s="1" t="n">
        <v>60</v>
      </c>
      <c r="B914" s="1" t="n">
        <v>2024</v>
      </c>
      <c r="C914" s="3" t="n">
        <v>45483</v>
      </c>
      <c r="D914" s="4" t="s">
        <v>11</v>
      </c>
      <c r="E914" s="5" t="s">
        <v>12</v>
      </c>
      <c r="F914" s="5" t="s">
        <v>13</v>
      </c>
      <c r="G914" s="7" t="n">
        <v>48</v>
      </c>
      <c r="H914" s="7" t="n">
        <v>48</v>
      </c>
      <c r="I914" s="7" t="n">
        <v>60</v>
      </c>
      <c r="J914" s="7" t="n">
        <v>54</v>
      </c>
      <c r="K914" s="7" t="n">
        <v>54</v>
      </c>
    </row>
    <row r="915" customFormat="false" ht="25" hidden="false" customHeight="false" outlineLevel="0" collapsed="false">
      <c r="A915" s="1" t="n">
        <v>60</v>
      </c>
      <c r="B915" s="1" t="n">
        <v>2024</v>
      </c>
      <c r="C915" s="3" t="n">
        <v>45483</v>
      </c>
      <c r="D915" s="8" t="s">
        <v>11</v>
      </c>
      <c r="E915" s="9" t="s">
        <v>14</v>
      </c>
      <c r="F915" s="9" t="s">
        <v>13</v>
      </c>
      <c r="G915" s="11" t="n">
        <v>72</v>
      </c>
      <c r="H915" s="11" t="n">
        <v>72</v>
      </c>
      <c r="I915" s="11" t="n">
        <v>84</v>
      </c>
      <c r="J915" s="11" t="n">
        <v>78</v>
      </c>
      <c r="K915" s="11" t="n">
        <v>78</v>
      </c>
    </row>
    <row r="916" customFormat="false" ht="25" hidden="false" customHeight="false" outlineLevel="0" collapsed="false">
      <c r="A916" s="1" t="n">
        <v>60</v>
      </c>
      <c r="B916" s="1" t="n">
        <v>2024</v>
      </c>
      <c r="C916" s="3" t="n">
        <v>45483</v>
      </c>
      <c r="D916" s="4" t="s">
        <v>11</v>
      </c>
      <c r="E916" s="5" t="s">
        <v>15</v>
      </c>
      <c r="F916" s="5" t="s">
        <v>13</v>
      </c>
      <c r="G916" s="7" t="n">
        <v>36</v>
      </c>
      <c r="H916" s="7" t="n">
        <v>36</v>
      </c>
      <c r="I916" s="7" t="n">
        <v>48</v>
      </c>
      <c r="J916" s="7" t="n">
        <v>40</v>
      </c>
      <c r="K916" s="7" t="n">
        <v>38</v>
      </c>
    </row>
    <row r="917" customFormat="false" ht="25" hidden="false" customHeight="false" outlineLevel="0" collapsed="false">
      <c r="A917" s="1" t="n">
        <v>60</v>
      </c>
      <c r="B917" s="1" t="n">
        <v>2024</v>
      </c>
      <c r="C917" s="3" t="n">
        <v>45483</v>
      </c>
      <c r="D917" s="8" t="s">
        <v>11</v>
      </c>
      <c r="E917" s="9" t="s">
        <v>16</v>
      </c>
      <c r="F917" s="9" t="s">
        <v>13</v>
      </c>
      <c r="G917" s="11" t="n">
        <v>24</v>
      </c>
      <c r="H917" s="11" t="n">
        <v>20</v>
      </c>
      <c r="I917" s="11" t="n">
        <v>24</v>
      </c>
      <c r="J917" s="11" t="n">
        <v>23</v>
      </c>
      <c r="K917" s="11" t="n">
        <v>24</v>
      </c>
    </row>
    <row r="918" customFormat="false" ht="25" hidden="false" customHeight="false" outlineLevel="0" collapsed="false">
      <c r="A918" s="1" t="n">
        <v>60</v>
      </c>
      <c r="B918" s="1" t="n">
        <v>2024</v>
      </c>
      <c r="C918" s="3" t="n">
        <v>45483</v>
      </c>
      <c r="D918" s="4" t="s">
        <v>11</v>
      </c>
      <c r="E918" s="5" t="s">
        <v>17</v>
      </c>
      <c r="F918" s="5" t="s">
        <v>13</v>
      </c>
      <c r="G918" s="7" t="n">
        <v>24</v>
      </c>
      <c r="H918" s="7" t="n">
        <v>20</v>
      </c>
      <c r="I918" s="7" t="n">
        <v>24</v>
      </c>
      <c r="J918" s="7" t="n">
        <v>23</v>
      </c>
      <c r="K918" s="7" t="n">
        <v>24</v>
      </c>
    </row>
    <row r="919" customFormat="false" ht="25" hidden="false" customHeight="false" outlineLevel="0" collapsed="false">
      <c r="A919" s="1" t="n">
        <v>60</v>
      </c>
      <c r="B919" s="1" t="n">
        <v>2024</v>
      </c>
      <c r="C919" s="3" t="n">
        <v>45483</v>
      </c>
      <c r="D919" s="8" t="s">
        <v>11</v>
      </c>
      <c r="E919" s="9" t="s">
        <v>18</v>
      </c>
      <c r="F919" s="9" t="s">
        <v>13</v>
      </c>
      <c r="G919" s="11" t="n">
        <v>60</v>
      </c>
      <c r="H919" s="11" t="n">
        <v>60</v>
      </c>
      <c r="I919" s="11" t="n">
        <v>60</v>
      </c>
      <c r="J919" s="11" t="n">
        <v>60</v>
      </c>
      <c r="K919" s="11" t="n">
        <v>60</v>
      </c>
    </row>
    <row r="920" customFormat="false" ht="25" hidden="false" customHeight="false" outlineLevel="0" collapsed="false">
      <c r="A920" s="1" t="n">
        <v>60</v>
      </c>
      <c r="B920" s="1" t="n">
        <v>2024</v>
      </c>
      <c r="C920" s="3" t="n">
        <v>45483</v>
      </c>
      <c r="D920" s="4" t="s">
        <v>11</v>
      </c>
      <c r="E920" s="5" t="s">
        <v>19</v>
      </c>
      <c r="F920" s="5" t="s">
        <v>13</v>
      </c>
      <c r="G920" s="7" t="n">
        <v>60</v>
      </c>
      <c r="H920" s="7" t="n">
        <v>54</v>
      </c>
      <c r="I920" s="7" t="n">
        <v>60</v>
      </c>
      <c r="J920" s="7" t="s">
        <v>246</v>
      </c>
      <c r="K920" s="7" t="n">
        <v>60</v>
      </c>
    </row>
    <row r="921" customFormat="false" ht="25" hidden="false" customHeight="false" outlineLevel="0" collapsed="false">
      <c r="A921" s="1" t="n">
        <v>60</v>
      </c>
      <c r="B921" s="1" t="n">
        <v>2024</v>
      </c>
      <c r="C921" s="3" t="n">
        <v>45483</v>
      </c>
      <c r="D921" s="8" t="s">
        <v>11</v>
      </c>
      <c r="E921" s="9" t="s">
        <v>20</v>
      </c>
      <c r="F921" s="9" t="s">
        <v>13</v>
      </c>
      <c r="G921" s="11" t="n">
        <v>84</v>
      </c>
      <c r="H921" s="11" t="n">
        <v>72</v>
      </c>
      <c r="I921" s="11" t="n">
        <v>96</v>
      </c>
      <c r="J921" s="11" t="n">
        <v>84</v>
      </c>
      <c r="K921" s="11" t="n">
        <v>84</v>
      </c>
    </row>
    <row r="922" customFormat="false" ht="25" hidden="false" customHeight="false" outlineLevel="0" collapsed="false">
      <c r="A922" s="1" t="n">
        <v>60</v>
      </c>
      <c r="B922" s="1" t="n">
        <v>2024</v>
      </c>
      <c r="C922" s="3" t="n">
        <v>45483</v>
      </c>
      <c r="D922" s="4" t="s">
        <v>11</v>
      </c>
      <c r="E922" s="5" t="s">
        <v>21</v>
      </c>
      <c r="F922" s="5" t="s">
        <v>13</v>
      </c>
      <c r="G922" s="7" t="n">
        <v>24</v>
      </c>
      <c r="H922" s="7" t="n">
        <v>24</v>
      </c>
      <c r="I922" s="7" t="n">
        <v>30</v>
      </c>
      <c r="J922" s="7" t="s">
        <v>276</v>
      </c>
      <c r="K922" s="7" t="n">
        <v>24</v>
      </c>
    </row>
    <row r="923" customFormat="false" ht="25" hidden="false" customHeight="false" outlineLevel="0" collapsed="false">
      <c r="A923" s="1" t="n">
        <v>60</v>
      </c>
      <c r="B923" s="1" t="n">
        <v>2024</v>
      </c>
      <c r="C923" s="3" t="n">
        <v>45483</v>
      </c>
      <c r="D923" s="8" t="s">
        <v>11</v>
      </c>
      <c r="E923" s="9" t="s">
        <v>73</v>
      </c>
      <c r="F923" s="9" t="s">
        <v>13</v>
      </c>
      <c r="G923" s="11" t="n">
        <v>60</v>
      </c>
      <c r="H923" s="11" t="n">
        <v>60</v>
      </c>
      <c r="I923" s="11" t="n">
        <v>72</v>
      </c>
      <c r="J923" s="11" t="n">
        <v>63</v>
      </c>
      <c r="K923" s="11" t="n">
        <v>60</v>
      </c>
    </row>
    <row r="924" customFormat="false" ht="25" hidden="false" customHeight="false" outlineLevel="0" collapsed="false">
      <c r="A924" s="1" t="n">
        <v>60</v>
      </c>
      <c r="B924" s="1" t="n">
        <v>2024</v>
      </c>
      <c r="C924" s="3" t="n">
        <v>45483</v>
      </c>
      <c r="D924" s="4" t="s">
        <v>11</v>
      </c>
      <c r="E924" s="5" t="s">
        <v>23</v>
      </c>
      <c r="F924" s="5" t="s">
        <v>13</v>
      </c>
      <c r="G924" s="7" t="n">
        <v>24</v>
      </c>
      <c r="H924" s="7" t="n">
        <v>20</v>
      </c>
      <c r="I924" s="7" t="n">
        <v>24</v>
      </c>
      <c r="J924" s="7" t="n">
        <v>23</v>
      </c>
      <c r="K924" s="7" t="n">
        <v>24</v>
      </c>
    </row>
    <row r="925" customFormat="false" ht="25" hidden="false" customHeight="false" outlineLevel="0" collapsed="false">
      <c r="A925" s="1" t="n">
        <v>60</v>
      </c>
      <c r="B925" s="1" t="n">
        <v>2024</v>
      </c>
      <c r="C925" s="3" t="n">
        <v>45483</v>
      </c>
      <c r="D925" s="8" t="s">
        <v>11</v>
      </c>
      <c r="E925" s="9" t="s">
        <v>24</v>
      </c>
      <c r="F925" s="9" t="s">
        <v>13</v>
      </c>
      <c r="G925" s="11" t="n">
        <v>60</v>
      </c>
      <c r="H925" s="11" t="n">
        <v>60</v>
      </c>
      <c r="I925" s="11" t="n">
        <v>78</v>
      </c>
      <c r="J925" s="11" t="s">
        <v>178</v>
      </c>
      <c r="K925" s="11" t="n">
        <v>60</v>
      </c>
    </row>
    <row r="926" customFormat="false" ht="25" hidden="false" customHeight="false" outlineLevel="0" collapsed="false">
      <c r="A926" s="1" t="n">
        <v>60</v>
      </c>
      <c r="B926" s="1" t="n">
        <v>2024</v>
      </c>
      <c r="C926" s="3" t="n">
        <v>45483</v>
      </c>
      <c r="D926" s="4" t="s">
        <v>11</v>
      </c>
      <c r="E926" s="5" t="s">
        <v>25</v>
      </c>
      <c r="F926" s="5" t="s">
        <v>26</v>
      </c>
      <c r="G926" s="7" t="n">
        <v>60</v>
      </c>
      <c r="H926" s="7" t="n">
        <v>60</v>
      </c>
      <c r="I926" s="7" t="n">
        <v>60</v>
      </c>
      <c r="J926" s="7" t="n">
        <v>60</v>
      </c>
      <c r="K926" s="7" t="n">
        <v>60</v>
      </c>
    </row>
    <row r="927" customFormat="false" ht="25" hidden="false" customHeight="false" outlineLevel="0" collapsed="false">
      <c r="A927" s="1" t="n">
        <v>60</v>
      </c>
      <c r="B927" s="1" t="n">
        <v>2024</v>
      </c>
      <c r="C927" s="3" t="n">
        <v>45483</v>
      </c>
      <c r="D927" s="8" t="s">
        <v>11</v>
      </c>
      <c r="E927" s="9" t="s">
        <v>27</v>
      </c>
      <c r="F927" s="9" t="s">
        <v>13</v>
      </c>
      <c r="G927" s="10"/>
      <c r="H927" s="11" t="n">
        <v>50</v>
      </c>
      <c r="I927" s="11" t="n">
        <v>84</v>
      </c>
      <c r="J927" s="11" t="s">
        <v>277</v>
      </c>
      <c r="K927" s="11" t="n">
        <v>66</v>
      </c>
    </row>
    <row r="928" customFormat="false" ht="25" hidden="false" customHeight="false" outlineLevel="0" collapsed="false">
      <c r="A928" s="1" t="n">
        <v>60</v>
      </c>
      <c r="B928" s="1" t="n">
        <v>2024</v>
      </c>
      <c r="C928" s="3" t="n">
        <v>45483</v>
      </c>
      <c r="D928" s="4" t="s">
        <v>11</v>
      </c>
      <c r="E928" s="5" t="s">
        <v>28</v>
      </c>
      <c r="F928" s="5" t="s">
        <v>13</v>
      </c>
      <c r="G928" s="7" t="n">
        <v>45</v>
      </c>
      <c r="H928" s="7" t="n">
        <v>40</v>
      </c>
      <c r="I928" s="7" t="n">
        <v>48</v>
      </c>
      <c r="J928" s="7" t="s">
        <v>247</v>
      </c>
      <c r="K928" s="7" t="n">
        <v>45</v>
      </c>
    </row>
    <row r="929" customFormat="false" ht="25" hidden="false" customHeight="false" outlineLevel="0" collapsed="false">
      <c r="A929" s="1" t="n">
        <v>60</v>
      </c>
      <c r="B929" s="1" t="n">
        <v>2024</v>
      </c>
      <c r="C929" s="3" t="n">
        <v>45483</v>
      </c>
      <c r="D929" s="8" t="s">
        <v>11</v>
      </c>
      <c r="E929" s="9" t="s">
        <v>29</v>
      </c>
      <c r="F929" s="9" t="s">
        <v>13</v>
      </c>
      <c r="G929" s="11" t="n">
        <v>48</v>
      </c>
      <c r="H929" s="11" t="n">
        <v>48</v>
      </c>
      <c r="I929" s="11" t="n">
        <v>54</v>
      </c>
      <c r="J929" s="11" t="s">
        <v>173</v>
      </c>
      <c r="K929" s="11" t="n">
        <v>48</v>
      </c>
    </row>
    <row r="930" customFormat="false" ht="25" hidden="false" customHeight="false" outlineLevel="0" collapsed="false">
      <c r="A930" s="1" t="n">
        <v>60</v>
      </c>
      <c r="B930" s="1" t="n">
        <v>2024</v>
      </c>
      <c r="C930" s="3" t="n">
        <v>45483</v>
      </c>
      <c r="D930" s="4" t="s">
        <v>30</v>
      </c>
      <c r="E930" s="5" t="s">
        <v>31</v>
      </c>
      <c r="F930" s="5" t="s">
        <v>32</v>
      </c>
      <c r="G930" s="7" t="n">
        <v>5</v>
      </c>
      <c r="H930" s="7" t="n">
        <v>5</v>
      </c>
      <c r="I930" s="7" t="n">
        <v>5</v>
      </c>
      <c r="J930" s="7" t="n">
        <v>5</v>
      </c>
      <c r="K930" s="7" t="n">
        <v>5</v>
      </c>
    </row>
    <row r="931" customFormat="false" ht="25" hidden="false" customHeight="false" outlineLevel="0" collapsed="false">
      <c r="A931" s="1" t="n">
        <v>60</v>
      </c>
      <c r="B931" s="1" t="n">
        <v>2024</v>
      </c>
      <c r="C931" s="3" t="n">
        <v>45483</v>
      </c>
      <c r="D931" s="8" t="s">
        <v>30</v>
      </c>
      <c r="E931" s="9" t="s">
        <v>34</v>
      </c>
      <c r="F931" s="9" t="s">
        <v>35</v>
      </c>
      <c r="G931" s="11" t="n">
        <v>15</v>
      </c>
      <c r="H931" s="11" t="n">
        <v>10</v>
      </c>
      <c r="I931" s="11" t="n">
        <v>15</v>
      </c>
      <c r="J931" s="11" t="n">
        <v>13</v>
      </c>
      <c r="K931" s="11" t="s">
        <v>278</v>
      </c>
    </row>
    <row r="932" customFormat="false" ht="25" hidden="false" customHeight="false" outlineLevel="0" collapsed="false">
      <c r="A932" s="1" t="n">
        <v>60</v>
      </c>
      <c r="B932" s="1" t="n">
        <v>2024</v>
      </c>
      <c r="C932" s="3" t="n">
        <v>45483</v>
      </c>
      <c r="D932" s="4" t="s">
        <v>30</v>
      </c>
      <c r="E932" s="5" t="s">
        <v>36</v>
      </c>
      <c r="F932" s="5" t="s">
        <v>35</v>
      </c>
      <c r="G932" s="7" t="n">
        <v>25</v>
      </c>
      <c r="H932" s="7" t="n">
        <v>20</v>
      </c>
      <c r="I932" s="7" t="n">
        <v>30</v>
      </c>
      <c r="J932" s="7" t="n">
        <v>25</v>
      </c>
      <c r="K932" s="7" t="n">
        <v>25</v>
      </c>
    </row>
    <row r="933" customFormat="false" ht="36.5" hidden="false" customHeight="false" outlineLevel="0" collapsed="false">
      <c r="A933" s="1" t="n">
        <v>60</v>
      </c>
      <c r="B933" s="1" t="n">
        <v>2024</v>
      </c>
      <c r="C933" s="3" t="n">
        <v>45483</v>
      </c>
      <c r="D933" s="8" t="s">
        <v>38</v>
      </c>
      <c r="E933" s="9" t="s">
        <v>153</v>
      </c>
      <c r="F933" s="9" t="s">
        <v>154</v>
      </c>
      <c r="G933" s="10"/>
      <c r="H933" s="11" t="n">
        <v>65</v>
      </c>
      <c r="I933" s="11" t="n">
        <v>80</v>
      </c>
      <c r="J933" s="11" t="s">
        <v>279</v>
      </c>
      <c r="K933" s="11" t="n">
        <v>70</v>
      </c>
    </row>
    <row r="934" customFormat="false" ht="36.5" hidden="false" customHeight="false" outlineLevel="0" collapsed="false">
      <c r="A934" s="1" t="n">
        <v>60</v>
      </c>
      <c r="B934" s="1" t="n">
        <v>2024</v>
      </c>
      <c r="C934" s="3" t="n">
        <v>45483</v>
      </c>
      <c r="D934" s="4" t="s">
        <v>38</v>
      </c>
      <c r="E934" s="5" t="s">
        <v>39</v>
      </c>
      <c r="F934" s="5" t="s">
        <v>40</v>
      </c>
      <c r="G934" s="7" t="n">
        <v>60</v>
      </c>
      <c r="H934" s="7" t="n">
        <v>45</v>
      </c>
      <c r="I934" s="7" t="n">
        <v>70</v>
      </c>
      <c r="J934" s="7" t="n">
        <v>59</v>
      </c>
      <c r="K934" s="7" t="n">
        <v>60</v>
      </c>
    </row>
    <row r="935" customFormat="false" ht="36.5" hidden="false" customHeight="false" outlineLevel="0" collapsed="false">
      <c r="A935" s="1" t="n">
        <v>60</v>
      </c>
      <c r="B935" s="1" t="n">
        <v>2024</v>
      </c>
      <c r="C935" s="3" t="n">
        <v>45483</v>
      </c>
      <c r="D935" s="8" t="s">
        <v>38</v>
      </c>
      <c r="E935" s="9" t="s">
        <v>42</v>
      </c>
      <c r="F935" s="9" t="s">
        <v>43</v>
      </c>
      <c r="G935" s="11" t="n">
        <v>70</v>
      </c>
      <c r="H935" s="11" t="n">
        <v>45</v>
      </c>
      <c r="I935" s="11" t="n">
        <v>70</v>
      </c>
      <c r="J935" s="11" t="n">
        <v>64</v>
      </c>
      <c r="K935" s="11" t="n">
        <v>70</v>
      </c>
    </row>
    <row r="936" customFormat="false" ht="36.5" hidden="false" customHeight="false" outlineLevel="0" collapsed="false">
      <c r="A936" s="1" t="n">
        <v>60</v>
      </c>
      <c r="B936" s="1" t="n">
        <v>2024</v>
      </c>
      <c r="C936" s="3" t="n">
        <v>45483</v>
      </c>
      <c r="D936" s="4" t="s">
        <v>38</v>
      </c>
      <c r="E936" s="5" t="s">
        <v>44</v>
      </c>
      <c r="F936" s="5" t="s">
        <v>45</v>
      </c>
      <c r="G936" s="7" t="n">
        <v>50</v>
      </c>
      <c r="H936" s="7" t="n">
        <v>30</v>
      </c>
      <c r="I936" s="7" t="n">
        <v>50</v>
      </c>
      <c r="J936" s="7" t="n">
        <v>45</v>
      </c>
      <c r="K936" s="7" t="n">
        <v>50</v>
      </c>
    </row>
    <row r="937" customFormat="false" ht="36.5" hidden="false" customHeight="false" outlineLevel="0" collapsed="false">
      <c r="A937" s="1" t="n">
        <v>60</v>
      </c>
      <c r="B937" s="1" t="n">
        <v>2024</v>
      </c>
      <c r="C937" s="3" t="n">
        <v>45483</v>
      </c>
      <c r="D937" s="8" t="s">
        <v>38</v>
      </c>
      <c r="E937" s="9" t="s">
        <v>48</v>
      </c>
      <c r="F937" s="9" t="s">
        <v>45</v>
      </c>
      <c r="G937" s="10"/>
      <c r="H937" s="11" t="n">
        <v>40</v>
      </c>
      <c r="I937" s="11" t="n">
        <v>110</v>
      </c>
      <c r="J937" s="11" t="n">
        <v>85</v>
      </c>
      <c r="K937" s="11" t="n">
        <v>95</v>
      </c>
    </row>
    <row r="938" customFormat="false" ht="36.5" hidden="false" customHeight="false" outlineLevel="0" collapsed="false">
      <c r="A938" s="1" t="n">
        <v>60</v>
      </c>
      <c r="B938" s="1" t="n">
        <v>2024</v>
      </c>
      <c r="C938" s="3" t="n">
        <v>45483</v>
      </c>
      <c r="D938" s="4" t="s">
        <v>38</v>
      </c>
      <c r="E938" s="5" t="s">
        <v>49</v>
      </c>
      <c r="F938" s="5" t="s">
        <v>50</v>
      </c>
      <c r="G938" s="7" t="n">
        <v>70</v>
      </c>
      <c r="H938" s="7" t="n">
        <v>70</v>
      </c>
      <c r="I938" s="7" t="n">
        <v>90</v>
      </c>
      <c r="J938" s="7" t="n">
        <v>79</v>
      </c>
      <c r="K938" s="7" t="n">
        <v>80</v>
      </c>
    </row>
    <row r="939" customFormat="false" ht="36.5" hidden="false" customHeight="false" outlineLevel="0" collapsed="false">
      <c r="A939" s="1" t="n">
        <v>60</v>
      </c>
      <c r="B939" s="1" t="n">
        <v>2024</v>
      </c>
      <c r="C939" s="3" t="n">
        <v>45483</v>
      </c>
      <c r="D939" s="8" t="s">
        <v>38</v>
      </c>
      <c r="E939" s="9" t="s">
        <v>52</v>
      </c>
      <c r="F939" s="9" t="s">
        <v>43</v>
      </c>
      <c r="G939" s="11" t="n">
        <v>60</v>
      </c>
      <c r="H939" s="11" t="n">
        <v>40</v>
      </c>
      <c r="I939" s="11" t="n">
        <v>80</v>
      </c>
      <c r="J939" s="11" t="s">
        <v>241</v>
      </c>
      <c r="K939" s="11" t="s">
        <v>80</v>
      </c>
    </row>
    <row r="940" customFormat="false" ht="36.5" hidden="false" customHeight="false" outlineLevel="0" collapsed="false">
      <c r="A940" s="1" t="n">
        <v>60</v>
      </c>
      <c r="B940" s="1" t="n">
        <v>2024</v>
      </c>
      <c r="C940" s="3" t="n">
        <v>45483</v>
      </c>
      <c r="D940" s="4" t="s">
        <v>38</v>
      </c>
      <c r="E940" s="5" t="s">
        <v>53</v>
      </c>
      <c r="F940" s="5" t="s">
        <v>43</v>
      </c>
      <c r="G940" s="7" t="n">
        <v>65</v>
      </c>
      <c r="H940" s="7" t="n">
        <v>45</v>
      </c>
      <c r="I940" s="7" t="n">
        <v>65</v>
      </c>
      <c r="J940" s="7" t="n">
        <v>57</v>
      </c>
      <c r="K940" s="7" t="n">
        <v>60</v>
      </c>
    </row>
    <row r="941" customFormat="false" ht="36.5" hidden="false" customHeight="false" outlineLevel="0" collapsed="false">
      <c r="A941" s="1" t="n">
        <v>60</v>
      </c>
      <c r="B941" s="1" t="n">
        <v>2024</v>
      </c>
      <c r="C941" s="3" t="n">
        <v>45483</v>
      </c>
      <c r="D941" s="8" t="s">
        <v>38</v>
      </c>
      <c r="E941" s="9" t="s">
        <v>54</v>
      </c>
      <c r="F941" s="9" t="s">
        <v>40</v>
      </c>
      <c r="G941" s="11" t="n">
        <v>90</v>
      </c>
      <c r="H941" s="11" t="n">
        <v>60</v>
      </c>
      <c r="I941" s="11" t="n">
        <v>100</v>
      </c>
      <c r="J941" s="11" t="s">
        <v>270</v>
      </c>
      <c r="K941" s="11" t="n">
        <v>85</v>
      </c>
    </row>
    <row r="942" customFormat="false" ht="36.5" hidden="false" customHeight="false" outlineLevel="0" collapsed="false">
      <c r="A942" s="1" t="n">
        <v>60</v>
      </c>
      <c r="B942" s="1" t="n">
        <v>2024</v>
      </c>
      <c r="C942" s="3" t="n">
        <v>45483</v>
      </c>
      <c r="D942" s="4" t="s">
        <v>38</v>
      </c>
      <c r="E942" s="5" t="s">
        <v>56</v>
      </c>
      <c r="F942" s="5" t="s">
        <v>43</v>
      </c>
      <c r="G942" s="7" t="n">
        <v>50</v>
      </c>
      <c r="H942" s="7" t="n">
        <v>50</v>
      </c>
      <c r="I942" s="7" t="n">
        <v>60</v>
      </c>
      <c r="J942" s="7" t="s">
        <v>92</v>
      </c>
      <c r="K942" s="7" t="s">
        <v>78</v>
      </c>
    </row>
    <row r="943" customFormat="false" ht="36.5" hidden="false" customHeight="false" outlineLevel="0" collapsed="false">
      <c r="A943" s="1" t="n">
        <v>60</v>
      </c>
      <c r="B943" s="1" t="n">
        <v>2024</v>
      </c>
      <c r="C943" s="3" t="n">
        <v>45483</v>
      </c>
      <c r="D943" s="8" t="s">
        <v>38</v>
      </c>
      <c r="E943" s="9" t="s">
        <v>57</v>
      </c>
      <c r="F943" s="9" t="s">
        <v>40</v>
      </c>
      <c r="G943" s="11" t="n">
        <v>60</v>
      </c>
      <c r="H943" s="11" t="n">
        <v>40</v>
      </c>
      <c r="I943" s="11" t="n">
        <v>60</v>
      </c>
      <c r="J943" s="11" t="s">
        <v>78</v>
      </c>
      <c r="K943" s="11" t="n">
        <v>55</v>
      </c>
    </row>
    <row r="944" customFormat="false" ht="36.5" hidden="false" customHeight="false" outlineLevel="0" collapsed="false">
      <c r="A944" s="1" t="n">
        <v>60</v>
      </c>
      <c r="B944" s="1" t="n">
        <v>2024</v>
      </c>
      <c r="C944" s="3" t="n">
        <v>45483</v>
      </c>
      <c r="D944" s="4" t="s">
        <v>38</v>
      </c>
      <c r="E944" s="5" t="s">
        <v>58</v>
      </c>
      <c r="F944" s="5" t="s">
        <v>40</v>
      </c>
      <c r="G944" s="7" t="n">
        <v>80</v>
      </c>
      <c r="H944" s="7" t="n">
        <v>70</v>
      </c>
      <c r="I944" s="7" t="n">
        <v>80</v>
      </c>
      <c r="J944" s="7" t="n">
        <v>77</v>
      </c>
      <c r="K944" s="7" t="n">
        <v>80</v>
      </c>
    </row>
    <row r="945" customFormat="false" ht="36.5" hidden="false" customHeight="false" outlineLevel="0" collapsed="false">
      <c r="A945" s="1" t="n">
        <v>60</v>
      </c>
      <c r="B945" s="1" t="n">
        <v>2024</v>
      </c>
      <c r="C945" s="3" t="n">
        <v>45483</v>
      </c>
      <c r="D945" s="8" t="s">
        <v>38</v>
      </c>
      <c r="E945" s="9" t="s">
        <v>59</v>
      </c>
      <c r="F945" s="9" t="s">
        <v>45</v>
      </c>
      <c r="G945" s="11" t="n">
        <v>50</v>
      </c>
      <c r="H945" s="11" t="n">
        <v>50</v>
      </c>
      <c r="I945" s="11" t="n">
        <v>60</v>
      </c>
      <c r="J945" s="11" t="n">
        <v>53</v>
      </c>
      <c r="K945" s="11" t="n">
        <v>50</v>
      </c>
    </row>
    <row r="946" customFormat="false" ht="36.5" hidden="false" customHeight="false" outlineLevel="0" collapsed="false">
      <c r="A946" s="1" t="n">
        <v>60</v>
      </c>
      <c r="B946" s="1" t="n">
        <v>2024</v>
      </c>
      <c r="C946" s="3" t="n">
        <v>45483</v>
      </c>
      <c r="D946" s="4" t="s">
        <v>38</v>
      </c>
      <c r="E946" s="5" t="s">
        <v>60</v>
      </c>
      <c r="F946" s="5" t="s">
        <v>61</v>
      </c>
      <c r="G946" s="7" t="n">
        <v>100</v>
      </c>
      <c r="H946" s="7" t="n">
        <v>90</v>
      </c>
      <c r="I946" s="7" t="n">
        <v>120</v>
      </c>
      <c r="J946" s="7" t="s">
        <v>183</v>
      </c>
      <c r="K946" s="7" t="n">
        <v>100</v>
      </c>
    </row>
    <row r="947" customFormat="false" ht="36.5" hidden="false" customHeight="false" outlineLevel="0" collapsed="false">
      <c r="A947" s="1" t="n">
        <v>60</v>
      </c>
      <c r="B947" s="1" t="n">
        <v>2024</v>
      </c>
      <c r="C947" s="3" t="n">
        <v>45483</v>
      </c>
      <c r="D947" s="8" t="s">
        <v>38</v>
      </c>
      <c r="E947" s="9" t="s">
        <v>63</v>
      </c>
      <c r="F947" s="9" t="s">
        <v>40</v>
      </c>
      <c r="G947" s="10"/>
      <c r="H947" s="11" t="n">
        <v>30</v>
      </c>
      <c r="I947" s="11" t="n">
        <v>90</v>
      </c>
      <c r="J947" s="11" t="s">
        <v>84</v>
      </c>
      <c r="K947" s="11" t="s">
        <v>200</v>
      </c>
    </row>
    <row r="948" customFormat="false" ht="36.5" hidden="false" customHeight="false" outlineLevel="0" collapsed="false">
      <c r="A948" s="1" t="n">
        <v>60</v>
      </c>
      <c r="B948" s="1" t="n">
        <v>2024</v>
      </c>
      <c r="C948" s="3" t="n">
        <v>45483</v>
      </c>
      <c r="D948" s="4" t="s">
        <v>38</v>
      </c>
      <c r="E948" s="5" t="s">
        <v>64</v>
      </c>
      <c r="F948" s="5" t="s">
        <v>40</v>
      </c>
      <c r="G948" s="7" t="n">
        <v>120</v>
      </c>
      <c r="H948" s="7" t="n">
        <v>120</v>
      </c>
      <c r="I948" s="7" t="n">
        <v>150</v>
      </c>
      <c r="J948" s="7" t="n">
        <v>130</v>
      </c>
      <c r="K948" s="7" t="n">
        <v>125</v>
      </c>
    </row>
    <row r="949" customFormat="false" ht="14.25" hidden="false" customHeight="false" outlineLevel="0" collapsed="false">
      <c r="A949" s="1" t="n">
        <v>60</v>
      </c>
      <c r="B949" s="1" t="n">
        <v>2024</v>
      </c>
      <c r="C949" s="3" t="n">
        <v>45483</v>
      </c>
      <c r="D949" s="8" t="s">
        <v>65</v>
      </c>
      <c r="E949" s="9" t="s">
        <v>66</v>
      </c>
      <c r="F949" s="9" t="s">
        <v>45</v>
      </c>
      <c r="G949" s="10"/>
      <c r="H949" s="10"/>
      <c r="I949" s="10"/>
      <c r="J949" s="10"/>
      <c r="K949" s="10"/>
    </row>
    <row r="950" customFormat="false" ht="14.25" hidden="false" customHeight="false" outlineLevel="0" collapsed="false">
      <c r="A950" s="1" t="n">
        <v>60</v>
      </c>
      <c r="B950" s="1" t="n">
        <v>2024</v>
      </c>
      <c r="C950" s="3" t="n">
        <v>45483</v>
      </c>
      <c r="D950" s="4" t="s">
        <v>65</v>
      </c>
      <c r="E950" s="5" t="s">
        <v>67</v>
      </c>
      <c r="F950" s="5" t="s">
        <v>45</v>
      </c>
      <c r="G950" s="6"/>
      <c r="H950" s="6"/>
      <c r="I950" s="6"/>
      <c r="J950" s="6"/>
      <c r="K950" s="6"/>
    </row>
    <row r="951" customFormat="false" ht="14.25" hidden="false" customHeight="false" outlineLevel="0" collapsed="false">
      <c r="A951" s="1" t="n">
        <v>60</v>
      </c>
      <c r="B951" s="1" t="n">
        <v>2024</v>
      </c>
      <c r="C951" s="3" t="n">
        <v>45483</v>
      </c>
      <c r="D951" s="8" t="s">
        <v>65</v>
      </c>
      <c r="E951" s="9" t="s">
        <v>68</v>
      </c>
      <c r="F951" s="9" t="s">
        <v>45</v>
      </c>
      <c r="G951" s="10"/>
      <c r="H951" s="10"/>
      <c r="I951" s="10"/>
      <c r="J951" s="10"/>
      <c r="K951" s="10"/>
    </row>
    <row r="952" customFormat="false" ht="14.25" hidden="false" customHeight="false" outlineLevel="0" collapsed="false">
      <c r="A952" s="1" t="n">
        <v>60</v>
      </c>
      <c r="B952" s="1" t="n">
        <v>2024</v>
      </c>
      <c r="C952" s="3" t="n">
        <v>45483</v>
      </c>
      <c r="D952" s="4" t="s">
        <v>65</v>
      </c>
      <c r="E952" s="5" t="s">
        <v>69</v>
      </c>
      <c r="F952" s="5" t="s">
        <v>45</v>
      </c>
      <c r="G952" s="7" t="n">
        <v>48</v>
      </c>
      <c r="H952" s="7" t="n">
        <v>48</v>
      </c>
      <c r="I952" s="7" t="n">
        <v>48</v>
      </c>
      <c r="J952" s="7" t="n">
        <v>48</v>
      </c>
      <c r="K952" s="7" t="n">
        <v>48</v>
      </c>
    </row>
    <row r="953" customFormat="false" ht="14.25" hidden="false" customHeight="false" outlineLevel="0" collapsed="false">
      <c r="A953" s="1" t="n">
        <v>60</v>
      </c>
      <c r="B953" s="1" t="n">
        <v>2024</v>
      </c>
      <c r="C953" s="3" t="n">
        <v>45483</v>
      </c>
      <c r="D953" s="8" t="s">
        <v>65</v>
      </c>
      <c r="E953" s="9" t="s">
        <v>70</v>
      </c>
      <c r="F953" s="9" t="s">
        <v>71</v>
      </c>
      <c r="G953" s="11" t="n">
        <v>70</v>
      </c>
      <c r="H953" s="11" t="n">
        <v>65</v>
      </c>
      <c r="I953" s="11" t="n">
        <v>70</v>
      </c>
      <c r="J953" s="11" t="s">
        <v>62</v>
      </c>
      <c r="K953" s="11" t="n">
        <v>70</v>
      </c>
    </row>
    <row r="954" customFormat="false" ht="25" hidden="false" customHeight="false" outlineLevel="0" collapsed="false">
      <c r="A954" s="1" t="n">
        <v>62</v>
      </c>
      <c r="B954" s="1" t="n">
        <v>2024</v>
      </c>
      <c r="C954" s="3" t="n">
        <v>45497</v>
      </c>
      <c r="D954" s="4" t="s">
        <v>11</v>
      </c>
      <c r="E954" s="5" t="s">
        <v>12</v>
      </c>
      <c r="F954" s="5" t="s">
        <v>13</v>
      </c>
      <c r="G954" s="7" t="n">
        <v>60</v>
      </c>
      <c r="H954" s="7" t="n">
        <v>48</v>
      </c>
      <c r="I954" s="7" t="n">
        <v>60</v>
      </c>
      <c r="J954" s="7" t="n">
        <v>54</v>
      </c>
      <c r="K954" s="7" t="n">
        <v>54</v>
      </c>
    </row>
    <row r="955" customFormat="false" ht="25" hidden="false" customHeight="false" outlineLevel="0" collapsed="false">
      <c r="A955" s="1" t="n">
        <v>62</v>
      </c>
      <c r="B955" s="1" t="n">
        <v>2024</v>
      </c>
      <c r="C955" s="3" t="n">
        <v>45497</v>
      </c>
      <c r="D955" s="8" t="s">
        <v>11</v>
      </c>
      <c r="E955" s="9" t="s">
        <v>14</v>
      </c>
      <c r="F955" s="9" t="s">
        <v>13</v>
      </c>
      <c r="G955" s="11" t="n">
        <v>84</v>
      </c>
      <c r="H955" s="11" t="n">
        <v>60</v>
      </c>
      <c r="I955" s="11" t="n">
        <v>84</v>
      </c>
      <c r="J955" s="11" t="s">
        <v>280</v>
      </c>
      <c r="K955" s="11" t="n">
        <v>72</v>
      </c>
    </row>
    <row r="956" customFormat="false" ht="25" hidden="false" customHeight="false" outlineLevel="0" collapsed="false">
      <c r="A956" s="1" t="n">
        <v>62</v>
      </c>
      <c r="B956" s="1" t="n">
        <v>2024</v>
      </c>
      <c r="C956" s="3" t="n">
        <v>45497</v>
      </c>
      <c r="D956" s="4" t="s">
        <v>11</v>
      </c>
      <c r="E956" s="5" t="s">
        <v>15</v>
      </c>
      <c r="F956" s="5" t="s">
        <v>13</v>
      </c>
      <c r="G956" s="7" t="n">
        <v>36</v>
      </c>
      <c r="H956" s="7" t="n">
        <v>30</v>
      </c>
      <c r="I956" s="7" t="n">
        <v>48</v>
      </c>
      <c r="J956" s="7" t="n">
        <v>36</v>
      </c>
      <c r="K956" s="7" t="n">
        <v>36</v>
      </c>
    </row>
    <row r="957" customFormat="false" ht="25" hidden="false" customHeight="false" outlineLevel="0" collapsed="false">
      <c r="A957" s="1" t="n">
        <v>62</v>
      </c>
      <c r="B957" s="1" t="n">
        <v>2024</v>
      </c>
      <c r="C957" s="3" t="n">
        <v>45497</v>
      </c>
      <c r="D957" s="8" t="s">
        <v>11</v>
      </c>
      <c r="E957" s="9" t="s">
        <v>16</v>
      </c>
      <c r="F957" s="9" t="s">
        <v>13</v>
      </c>
      <c r="G957" s="11" t="n">
        <v>24</v>
      </c>
      <c r="H957" s="11" t="n">
        <v>18</v>
      </c>
      <c r="I957" s="11" t="n">
        <v>30</v>
      </c>
      <c r="J957" s="11" t="s">
        <v>281</v>
      </c>
      <c r="K957" s="11" t="n">
        <v>24</v>
      </c>
    </row>
    <row r="958" customFormat="false" ht="25" hidden="false" customHeight="false" outlineLevel="0" collapsed="false">
      <c r="A958" s="1" t="n">
        <v>62</v>
      </c>
      <c r="B958" s="1" t="n">
        <v>2024</v>
      </c>
      <c r="C958" s="3" t="n">
        <v>45497</v>
      </c>
      <c r="D958" s="4" t="s">
        <v>11</v>
      </c>
      <c r="E958" s="5" t="s">
        <v>17</v>
      </c>
      <c r="F958" s="5" t="s">
        <v>13</v>
      </c>
      <c r="G958" s="7" t="n">
        <v>30</v>
      </c>
      <c r="H958" s="7" t="n">
        <v>18</v>
      </c>
      <c r="I958" s="7" t="n">
        <v>30</v>
      </c>
      <c r="J958" s="7" t="s">
        <v>282</v>
      </c>
      <c r="K958" s="7" t="n">
        <v>24</v>
      </c>
    </row>
    <row r="959" customFormat="false" ht="25" hidden="false" customHeight="false" outlineLevel="0" collapsed="false">
      <c r="A959" s="1" t="n">
        <v>62</v>
      </c>
      <c r="B959" s="1" t="n">
        <v>2024</v>
      </c>
      <c r="C959" s="3" t="n">
        <v>45497</v>
      </c>
      <c r="D959" s="8" t="s">
        <v>11</v>
      </c>
      <c r="E959" s="9" t="s">
        <v>18</v>
      </c>
      <c r="F959" s="9" t="s">
        <v>13</v>
      </c>
      <c r="G959" s="11" t="n">
        <v>60</v>
      </c>
      <c r="H959" s="11" t="n">
        <v>60</v>
      </c>
      <c r="I959" s="11" t="n">
        <v>60</v>
      </c>
      <c r="J959" s="11" t="n">
        <v>60</v>
      </c>
      <c r="K959" s="11" t="n">
        <v>60</v>
      </c>
    </row>
    <row r="960" customFormat="false" ht="25" hidden="false" customHeight="false" outlineLevel="0" collapsed="false">
      <c r="A960" s="1" t="n">
        <v>62</v>
      </c>
      <c r="B960" s="1" t="n">
        <v>2024</v>
      </c>
      <c r="C960" s="3" t="n">
        <v>45497</v>
      </c>
      <c r="D960" s="4" t="s">
        <v>11</v>
      </c>
      <c r="E960" s="5" t="s">
        <v>19</v>
      </c>
      <c r="F960" s="5" t="s">
        <v>13</v>
      </c>
      <c r="G960" s="7" t="n">
        <v>60</v>
      </c>
      <c r="H960" s="7" t="n">
        <v>60</v>
      </c>
      <c r="I960" s="7" t="n">
        <v>72</v>
      </c>
      <c r="J960" s="7" t="s">
        <v>283</v>
      </c>
      <c r="K960" s="7" t="n">
        <v>60</v>
      </c>
    </row>
    <row r="961" customFormat="false" ht="25" hidden="false" customHeight="false" outlineLevel="0" collapsed="false">
      <c r="A961" s="1" t="n">
        <v>62</v>
      </c>
      <c r="B961" s="1" t="n">
        <v>2024</v>
      </c>
      <c r="C961" s="3" t="n">
        <v>45497</v>
      </c>
      <c r="D961" s="8" t="s">
        <v>11</v>
      </c>
      <c r="E961" s="9" t="s">
        <v>20</v>
      </c>
      <c r="F961" s="9" t="s">
        <v>13</v>
      </c>
      <c r="G961" s="11" t="n">
        <v>84</v>
      </c>
      <c r="H961" s="11" t="n">
        <v>72</v>
      </c>
      <c r="I961" s="11" t="n">
        <v>96</v>
      </c>
      <c r="J961" s="11" t="n">
        <v>84</v>
      </c>
      <c r="K961" s="11" t="n">
        <v>84</v>
      </c>
    </row>
    <row r="962" customFormat="false" ht="25" hidden="false" customHeight="false" outlineLevel="0" collapsed="false">
      <c r="A962" s="1" t="n">
        <v>62</v>
      </c>
      <c r="B962" s="1" t="n">
        <v>2024</v>
      </c>
      <c r="C962" s="3" t="n">
        <v>45497</v>
      </c>
      <c r="D962" s="4" t="s">
        <v>11</v>
      </c>
      <c r="E962" s="5" t="s">
        <v>21</v>
      </c>
      <c r="F962" s="5" t="s">
        <v>13</v>
      </c>
      <c r="G962" s="7" t="n">
        <v>24</v>
      </c>
      <c r="H962" s="7" t="n">
        <v>18</v>
      </c>
      <c r="I962" s="7" t="n">
        <v>30</v>
      </c>
      <c r="J962" s="7" t="s">
        <v>281</v>
      </c>
      <c r="K962" s="7" t="n">
        <v>24</v>
      </c>
    </row>
    <row r="963" customFormat="false" ht="25" hidden="false" customHeight="false" outlineLevel="0" collapsed="false">
      <c r="A963" s="1" t="n">
        <v>62</v>
      </c>
      <c r="B963" s="1" t="n">
        <v>2024</v>
      </c>
      <c r="C963" s="3" t="n">
        <v>45497</v>
      </c>
      <c r="D963" s="8" t="s">
        <v>11</v>
      </c>
      <c r="E963" s="9" t="s">
        <v>73</v>
      </c>
      <c r="F963" s="9" t="s">
        <v>13</v>
      </c>
      <c r="G963" s="11" t="n">
        <v>72</v>
      </c>
      <c r="H963" s="11" t="n">
        <v>72</v>
      </c>
      <c r="I963" s="11" t="n">
        <v>84</v>
      </c>
      <c r="J963" s="11" t="n">
        <v>75</v>
      </c>
      <c r="K963" s="11" t="n">
        <v>72</v>
      </c>
    </row>
    <row r="964" customFormat="false" ht="25" hidden="false" customHeight="false" outlineLevel="0" collapsed="false">
      <c r="A964" s="1" t="n">
        <v>62</v>
      </c>
      <c r="B964" s="1" t="n">
        <v>2024</v>
      </c>
      <c r="C964" s="3" t="n">
        <v>45497</v>
      </c>
      <c r="D964" s="4" t="s">
        <v>11</v>
      </c>
      <c r="E964" s="5" t="s">
        <v>23</v>
      </c>
      <c r="F964" s="5" t="s">
        <v>13</v>
      </c>
      <c r="G964" s="7" t="n">
        <v>30</v>
      </c>
      <c r="H964" s="7" t="n">
        <v>18</v>
      </c>
      <c r="I964" s="7" t="n">
        <v>30</v>
      </c>
      <c r="J964" s="7" t="s">
        <v>282</v>
      </c>
      <c r="K964" s="7" t="n">
        <v>24</v>
      </c>
    </row>
    <row r="965" customFormat="false" ht="25" hidden="false" customHeight="false" outlineLevel="0" collapsed="false">
      <c r="A965" s="1" t="n">
        <v>62</v>
      </c>
      <c r="B965" s="1" t="n">
        <v>2024</v>
      </c>
      <c r="C965" s="3" t="n">
        <v>45497</v>
      </c>
      <c r="D965" s="8" t="s">
        <v>11</v>
      </c>
      <c r="E965" s="9" t="s">
        <v>24</v>
      </c>
      <c r="F965" s="9" t="s">
        <v>13</v>
      </c>
      <c r="G965" s="11" t="n">
        <v>60</v>
      </c>
      <c r="H965" s="11" t="n">
        <v>60</v>
      </c>
      <c r="I965" s="11" t="n">
        <v>60</v>
      </c>
      <c r="J965" s="11" t="n">
        <v>60</v>
      </c>
      <c r="K965" s="11" t="n">
        <v>60</v>
      </c>
    </row>
    <row r="966" customFormat="false" ht="25" hidden="false" customHeight="false" outlineLevel="0" collapsed="false">
      <c r="A966" s="1" t="n">
        <v>62</v>
      </c>
      <c r="B966" s="1" t="n">
        <v>2024</v>
      </c>
      <c r="C966" s="3" t="n">
        <v>45497</v>
      </c>
      <c r="D966" s="4" t="s">
        <v>11</v>
      </c>
      <c r="E966" s="5" t="s">
        <v>25</v>
      </c>
      <c r="F966" s="5" t="s">
        <v>26</v>
      </c>
      <c r="G966" s="7" t="n">
        <v>60</v>
      </c>
      <c r="H966" s="7" t="n">
        <v>48</v>
      </c>
      <c r="I966" s="7" t="n">
        <v>60</v>
      </c>
      <c r="J966" s="7" t="n">
        <v>54</v>
      </c>
      <c r="K966" s="7" t="n">
        <v>54</v>
      </c>
    </row>
    <row r="967" customFormat="false" ht="25" hidden="false" customHeight="false" outlineLevel="0" collapsed="false">
      <c r="A967" s="1" t="n">
        <v>62</v>
      </c>
      <c r="B967" s="1" t="n">
        <v>2024</v>
      </c>
      <c r="C967" s="3" t="n">
        <v>45497</v>
      </c>
      <c r="D967" s="8" t="s">
        <v>11</v>
      </c>
      <c r="E967" s="9" t="s">
        <v>27</v>
      </c>
      <c r="F967" s="9" t="s">
        <v>13</v>
      </c>
      <c r="G967" s="11" t="n">
        <v>60</v>
      </c>
      <c r="H967" s="11" t="n">
        <v>60</v>
      </c>
      <c r="I967" s="11" t="n">
        <v>96</v>
      </c>
      <c r="J967" s="11" t="n">
        <v>75</v>
      </c>
      <c r="K967" s="11" t="n">
        <v>72</v>
      </c>
    </row>
    <row r="968" customFormat="false" ht="25" hidden="false" customHeight="false" outlineLevel="0" collapsed="false">
      <c r="A968" s="1" t="n">
        <v>62</v>
      </c>
      <c r="B968" s="1" t="n">
        <v>2024</v>
      </c>
      <c r="C968" s="3" t="n">
        <v>45497</v>
      </c>
      <c r="D968" s="4" t="s">
        <v>11</v>
      </c>
      <c r="E968" s="5" t="s">
        <v>28</v>
      </c>
      <c r="F968" s="5" t="s">
        <v>13</v>
      </c>
      <c r="G968" s="7" t="n">
        <v>48</v>
      </c>
      <c r="H968" s="7" t="n">
        <v>25</v>
      </c>
      <c r="I968" s="7" t="n">
        <v>60</v>
      </c>
      <c r="J968" s="7" t="s">
        <v>284</v>
      </c>
      <c r="K968" s="7" t="n">
        <v>48</v>
      </c>
    </row>
    <row r="969" customFormat="false" ht="25" hidden="false" customHeight="false" outlineLevel="0" collapsed="false">
      <c r="A969" s="1" t="n">
        <v>62</v>
      </c>
      <c r="B969" s="1" t="n">
        <v>2024</v>
      </c>
      <c r="C969" s="3" t="n">
        <v>45497</v>
      </c>
      <c r="D969" s="8" t="s">
        <v>11</v>
      </c>
      <c r="E969" s="9" t="s">
        <v>29</v>
      </c>
      <c r="F969" s="9" t="s">
        <v>13</v>
      </c>
      <c r="G969" s="11" t="n">
        <v>54</v>
      </c>
      <c r="H969" s="11" t="n">
        <v>48</v>
      </c>
      <c r="I969" s="11" t="n">
        <v>54</v>
      </c>
      <c r="J969" s="11" t="n">
        <v>51</v>
      </c>
      <c r="K969" s="11" t="n">
        <v>51</v>
      </c>
    </row>
    <row r="970" customFormat="false" ht="25" hidden="false" customHeight="false" outlineLevel="0" collapsed="false">
      <c r="A970" s="1" t="n">
        <v>62</v>
      </c>
      <c r="B970" s="1" t="n">
        <v>2024</v>
      </c>
      <c r="C970" s="3" t="n">
        <v>45497</v>
      </c>
      <c r="D970" s="4" t="s">
        <v>30</v>
      </c>
      <c r="E970" s="5" t="s">
        <v>31</v>
      </c>
      <c r="F970" s="5" t="s">
        <v>32</v>
      </c>
      <c r="G970" s="7" t="n">
        <v>5</v>
      </c>
      <c r="H970" s="7" t="n">
        <v>5</v>
      </c>
      <c r="I970" s="7" t="n">
        <v>5</v>
      </c>
      <c r="J970" s="7" t="n">
        <v>5</v>
      </c>
      <c r="K970" s="7" t="n">
        <v>5</v>
      </c>
    </row>
    <row r="971" customFormat="false" ht="25" hidden="false" customHeight="false" outlineLevel="0" collapsed="false">
      <c r="A971" s="1" t="n">
        <v>62</v>
      </c>
      <c r="B971" s="1" t="n">
        <v>2024</v>
      </c>
      <c r="C971" s="3" t="n">
        <v>45497</v>
      </c>
      <c r="D971" s="8" t="s">
        <v>30</v>
      </c>
      <c r="E971" s="9" t="s">
        <v>34</v>
      </c>
      <c r="F971" s="9" t="s">
        <v>35</v>
      </c>
      <c r="G971" s="11" t="n">
        <v>15</v>
      </c>
      <c r="H971" s="11" t="n">
        <v>10</v>
      </c>
      <c r="I971" s="11" t="n">
        <v>15</v>
      </c>
      <c r="J971" s="11" t="s">
        <v>285</v>
      </c>
      <c r="K971" s="11" t="n">
        <v>12</v>
      </c>
    </row>
    <row r="972" customFormat="false" ht="25" hidden="false" customHeight="false" outlineLevel="0" collapsed="false">
      <c r="A972" s="1" t="n">
        <v>62</v>
      </c>
      <c r="B972" s="1" t="n">
        <v>2024</v>
      </c>
      <c r="C972" s="3" t="n">
        <v>45497</v>
      </c>
      <c r="D972" s="4" t="s">
        <v>30</v>
      </c>
      <c r="E972" s="5" t="s">
        <v>36</v>
      </c>
      <c r="F972" s="5" t="s">
        <v>35</v>
      </c>
      <c r="G972" s="7" t="n">
        <v>20</v>
      </c>
      <c r="H972" s="7" t="n">
        <v>20</v>
      </c>
      <c r="I972" s="7" t="n">
        <v>35</v>
      </c>
      <c r="J972" s="7" t="n">
        <v>26</v>
      </c>
      <c r="K972" s="7" t="n">
        <v>25</v>
      </c>
    </row>
    <row r="973" customFormat="false" ht="36.5" hidden="false" customHeight="false" outlineLevel="0" collapsed="false">
      <c r="A973" s="1" t="n">
        <v>62</v>
      </c>
      <c r="B973" s="1" t="n">
        <v>2024</v>
      </c>
      <c r="C973" s="3" t="n">
        <v>45497</v>
      </c>
      <c r="D973" s="8" t="s">
        <v>38</v>
      </c>
      <c r="E973" s="9" t="s">
        <v>153</v>
      </c>
      <c r="F973" s="9" t="s">
        <v>154</v>
      </c>
      <c r="G973" s="10"/>
      <c r="H973" s="11" t="n">
        <v>85</v>
      </c>
      <c r="I973" s="11" t="n">
        <v>85</v>
      </c>
      <c r="J973" s="11" t="n">
        <v>85</v>
      </c>
      <c r="K973" s="11" t="n">
        <v>85</v>
      </c>
    </row>
    <row r="974" customFormat="false" ht="36.5" hidden="false" customHeight="false" outlineLevel="0" collapsed="false">
      <c r="A974" s="1" t="n">
        <v>62</v>
      </c>
      <c r="B974" s="1" t="n">
        <v>2024</v>
      </c>
      <c r="C974" s="3" t="n">
        <v>45497</v>
      </c>
      <c r="D974" s="4" t="s">
        <v>38</v>
      </c>
      <c r="E974" s="5" t="s">
        <v>39</v>
      </c>
      <c r="F974" s="5" t="s">
        <v>40</v>
      </c>
      <c r="G974" s="7" t="n">
        <v>60</v>
      </c>
      <c r="H974" s="7" t="n">
        <v>50</v>
      </c>
      <c r="I974" s="7" t="n">
        <v>60</v>
      </c>
      <c r="J974" s="7" t="s">
        <v>235</v>
      </c>
      <c r="K974" s="7" t="s">
        <v>41</v>
      </c>
    </row>
    <row r="975" customFormat="false" ht="36.5" hidden="false" customHeight="false" outlineLevel="0" collapsed="false">
      <c r="A975" s="1" t="n">
        <v>62</v>
      </c>
      <c r="B975" s="1" t="n">
        <v>2024</v>
      </c>
      <c r="C975" s="3" t="n">
        <v>45497</v>
      </c>
      <c r="D975" s="8" t="s">
        <v>38</v>
      </c>
      <c r="E975" s="9" t="s">
        <v>42</v>
      </c>
      <c r="F975" s="9" t="s">
        <v>43</v>
      </c>
      <c r="G975" s="11" t="n">
        <v>70</v>
      </c>
      <c r="H975" s="11" t="n">
        <v>45</v>
      </c>
      <c r="I975" s="11" t="n">
        <v>70</v>
      </c>
      <c r="J975" s="11" t="s">
        <v>286</v>
      </c>
      <c r="K975" s="11" t="n">
        <v>70</v>
      </c>
    </row>
    <row r="976" customFormat="false" ht="36.5" hidden="false" customHeight="false" outlineLevel="0" collapsed="false">
      <c r="A976" s="1" t="n">
        <v>62</v>
      </c>
      <c r="B976" s="1" t="n">
        <v>2024</v>
      </c>
      <c r="C976" s="3" t="n">
        <v>45497</v>
      </c>
      <c r="D976" s="4" t="s">
        <v>38</v>
      </c>
      <c r="E976" s="5" t="s">
        <v>44</v>
      </c>
      <c r="F976" s="5" t="s">
        <v>45</v>
      </c>
      <c r="G976" s="7" t="n">
        <v>45</v>
      </c>
      <c r="H976" s="7" t="n">
        <v>40</v>
      </c>
      <c r="I976" s="7" t="n">
        <v>50</v>
      </c>
      <c r="J976" s="7" t="n">
        <v>46</v>
      </c>
      <c r="K976" s="7" t="n">
        <v>45</v>
      </c>
    </row>
    <row r="977" customFormat="false" ht="36.5" hidden="false" customHeight="false" outlineLevel="0" collapsed="false">
      <c r="A977" s="1" t="n">
        <v>62</v>
      </c>
      <c r="B977" s="1" t="n">
        <v>2024</v>
      </c>
      <c r="C977" s="3" t="n">
        <v>45497</v>
      </c>
      <c r="D977" s="8" t="s">
        <v>38</v>
      </c>
      <c r="E977" s="9" t="s">
        <v>48</v>
      </c>
      <c r="F977" s="9" t="s">
        <v>45</v>
      </c>
      <c r="G977" s="10"/>
      <c r="H977" s="11" t="n">
        <v>90</v>
      </c>
      <c r="I977" s="11" t="n">
        <v>90</v>
      </c>
      <c r="J977" s="11" t="n">
        <v>90</v>
      </c>
      <c r="K977" s="11" t="n">
        <v>90</v>
      </c>
    </row>
    <row r="978" customFormat="false" ht="36.5" hidden="false" customHeight="false" outlineLevel="0" collapsed="false">
      <c r="A978" s="1" t="n">
        <v>62</v>
      </c>
      <c r="B978" s="1" t="n">
        <v>2024</v>
      </c>
      <c r="C978" s="3" t="n">
        <v>45497</v>
      </c>
      <c r="D978" s="4" t="s">
        <v>38</v>
      </c>
      <c r="E978" s="5" t="s">
        <v>49</v>
      </c>
      <c r="F978" s="5" t="s">
        <v>50</v>
      </c>
      <c r="G978" s="7" t="n">
        <v>65</v>
      </c>
      <c r="H978" s="7" t="n">
        <v>60</v>
      </c>
      <c r="I978" s="7" t="n">
        <v>65</v>
      </c>
      <c r="J978" s="7" t="s">
        <v>80</v>
      </c>
      <c r="K978" s="7" t="s">
        <v>80</v>
      </c>
    </row>
    <row r="979" customFormat="false" ht="36.5" hidden="false" customHeight="false" outlineLevel="0" collapsed="false">
      <c r="A979" s="1" t="n">
        <v>62</v>
      </c>
      <c r="B979" s="1" t="n">
        <v>2024</v>
      </c>
      <c r="C979" s="3" t="n">
        <v>45497</v>
      </c>
      <c r="D979" s="8" t="s">
        <v>38</v>
      </c>
      <c r="E979" s="9" t="s">
        <v>52</v>
      </c>
      <c r="F979" s="9" t="s">
        <v>43</v>
      </c>
      <c r="G979" s="10"/>
      <c r="H979" s="11" t="n">
        <v>40</v>
      </c>
      <c r="I979" s="11" t="n">
        <v>65</v>
      </c>
      <c r="J979" s="11" t="s">
        <v>78</v>
      </c>
      <c r="K979" s="11" t="s">
        <v>78</v>
      </c>
    </row>
    <row r="980" customFormat="false" ht="36.5" hidden="false" customHeight="false" outlineLevel="0" collapsed="false">
      <c r="A980" s="1" t="n">
        <v>62</v>
      </c>
      <c r="B980" s="1" t="n">
        <v>2024</v>
      </c>
      <c r="C980" s="3" t="n">
        <v>45497</v>
      </c>
      <c r="D980" s="4" t="s">
        <v>38</v>
      </c>
      <c r="E980" s="5" t="s">
        <v>53</v>
      </c>
      <c r="F980" s="5" t="s">
        <v>43</v>
      </c>
      <c r="G980" s="7" t="n">
        <v>40</v>
      </c>
      <c r="H980" s="7" t="n">
        <v>40</v>
      </c>
      <c r="I980" s="7" t="n">
        <v>60</v>
      </c>
      <c r="J980" s="7" t="n">
        <v>46</v>
      </c>
      <c r="K980" s="7" t="n">
        <v>40</v>
      </c>
    </row>
    <row r="981" customFormat="false" ht="36.5" hidden="false" customHeight="false" outlineLevel="0" collapsed="false">
      <c r="A981" s="1" t="n">
        <v>62</v>
      </c>
      <c r="B981" s="1" t="n">
        <v>2024</v>
      </c>
      <c r="C981" s="3" t="n">
        <v>45497</v>
      </c>
      <c r="D981" s="8" t="s">
        <v>38</v>
      </c>
      <c r="E981" s="9" t="s">
        <v>54</v>
      </c>
      <c r="F981" s="9" t="s">
        <v>40</v>
      </c>
      <c r="G981" s="10"/>
      <c r="H981" s="11" t="n">
        <v>85</v>
      </c>
      <c r="I981" s="11" t="n">
        <v>100</v>
      </c>
      <c r="J981" s="11" t="s">
        <v>230</v>
      </c>
      <c r="K981" s="11" t="n">
        <v>90</v>
      </c>
    </row>
    <row r="982" customFormat="false" ht="36.5" hidden="false" customHeight="false" outlineLevel="0" collapsed="false">
      <c r="A982" s="1" t="n">
        <v>62</v>
      </c>
      <c r="B982" s="1" t="n">
        <v>2024</v>
      </c>
      <c r="C982" s="3" t="n">
        <v>45497</v>
      </c>
      <c r="D982" s="4" t="s">
        <v>38</v>
      </c>
      <c r="E982" s="5" t="s">
        <v>56</v>
      </c>
      <c r="F982" s="5" t="s">
        <v>43</v>
      </c>
      <c r="G982" s="6"/>
      <c r="H982" s="7" t="n">
        <v>45</v>
      </c>
      <c r="I982" s="7" t="n">
        <v>60</v>
      </c>
      <c r="J982" s="7" t="s">
        <v>78</v>
      </c>
      <c r="K982" s="7" t="s">
        <v>78</v>
      </c>
    </row>
    <row r="983" customFormat="false" ht="36.5" hidden="false" customHeight="false" outlineLevel="0" collapsed="false">
      <c r="A983" s="1" t="n">
        <v>62</v>
      </c>
      <c r="B983" s="1" t="n">
        <v>2024</v>
      </c>
      <c r="C983" s="3" t="n">
        <v>45497</v>
      </c>
      <c r="D983" s="8" t="s">
        <v>38</v>
      </c>
      <c r="E983" s="9" t="s">
        <v>57</v>
      </c>
      <c r="F983" s="9" t="s">
        <v>40</v>
      </c>
      <c r="G983" s="11" t="n">
        <v>50</v>
      </c>
      <c r="H983" s="11" t="n">
        <v>50</v>
      </c>
      <c r="I983" s="11" t="n">
        <v>60</v>
      </c>
      <c r="J983" s="11" t="s">
        <v>242</v>
      </c>
      <c r="K983" s="11" t="n">
        <v>50</v>
      </c>
    </row>
    <row r="984" customFormat="false" ht="36.5" hidden="false" customHeight="false" outlineLevel="0" collapsed="false">
      <c r="A984" s="1" t="n">
        <v>62</v>
      </c>
      <c r="B984" s="1" t="n">
        <v>2024</v>
      </c>
      <c r="C984" s="3" t="n">
        <v>45497</v>
      </c>
      <c r="D984" s="4" t="s">
        <v>38</v>
      </c>
      <c r="E984" s="5" t="s">
        <v>58</v>
      </c>
      <c r="F984" s="5" t="s">
        <v>40</v>
      </c>
      <c r="G984" s="7" t="n">
        <v>80</v>
      </c>
      <c r="H984" s="7" t="n">
        <v>70</v>
      </c>
      <c r="I984" s="7" t="n">
        <v>80</v>
      </c>
      <c r="J984" s="7" t="n">
        <v>75</v>
      </c>
      <c r="K984" s="7" t="n">
        <v>75</v>
      </c>
    </row>
    <row r="985" customFormat="false" ht="36.5" hidden="false" customHeight="false" outlineLevel="0" collapsed="false">
      <c r="A985" s="1" t="n">
        <v>62</v>
      </c>
      <c r="B985" s="1" t="n">
        <v>2024</v>
      </c>
      <c r="C985" s="3" t="n">
        <v>45497</v>
      </c>
      <c r="D985" s="8" t="s">
        <v>38</v>
      </c>
      <c r="E985" s="9" t="s">
        <v>59</v>
      </c>
      <c r="F985" s="9" t="s">
        <v>45</v>
      </c>
      <c r="G985" s="10"/>
      <c r="H985" s="11" t="n">
        <v>40</v>
      </c>
      <c r="I985" s="11" t="n">
        <v>60</v>
      </c>
      <c r="J985" s="11" t="s">
        <v>254</v>
      </c>
      <c r="K985" s="11" t="s">
        <v>78</v>
      </c>
    </row>
    <row r="986" customFormat="false" ht="36.5" hidden="false" customHeight="false" outlineLevel="0" collapsed="false">
      <c r="A986" s="1" t="n">
        <v>62</v>
      </c>
      <c r="B986" s="1" t="n">
        <v>2024</v>
      </c>
      <c r="C986" s="3" t="n">
        <v>45497</v>
      </c>
      <c r="D986" s="4" t="s">
        <v>38</v>
      </c>
      <c r="E986" s="5" t="s">
        <v>60</v>
      </c>
      <c r="F986" s="5" t="s">
        <v>61</v>
      </c>
      <c r="G986" s="6"/>
      <c r="H986" s="7" t="n">
        <v>130</v>
      </c>
      <c r="I986" s="7" t="n">
        <v>150</v>
      </c>
      <c r="J986" s="7" t="n">
        <v>140</v>
      </c>
      <c r="K986" s="7" t="n">
        <v>140</v>
      </c>
    </row>
    <row r="987" customFormat="false" ht="36.5" hidden="false" customHeight="false" outlineLevel="0" collapsed="false">
      <c r="A987" s="1" t="n">
        <v>62</v>
      </c>
      <c r="B987" s="1" t="n">
        <v>2024</v>
      </c>
      <c r="C987" s="3" t="n">
        <v>45497</v>
      </c>
      <c r="D987" s="8" t="s">
        <v>38</v>
      </c>
      <c r="E987" s="9" t="s">
        <v>63</v>
      </c>
      <c r="F987" s="9" t="s">
        <v>40</v>
      </c>
      <c r="G987" s="11" t="n">
        <v>70</v>
      </c>
      <c r="H987" s="11" t="n">
        <v>70</v>
      </c>
      <c r="I987" s="11" t="n">
        <v>100</v>
      </c>
      <c r="J987" s="11" t="n">
        <v>84</v>
      </c>
      <c r="K987" s="11" t="n">
        <v>90</v>
      </c>
    </row>
    <row r="988" customFormat="false" ht="36.5" hidden="false" customHeight="false" outlineLevel="0" collapsed="false">
      <c r="A988" s="1" t="n">
        <v>62</v>
      </c>
      <c r="B988" s="1" t="n">
        <v>2024</v>
      </c>
      <c r="C988" s="3" t="n">
        <v>45497</v>
      </c>
      <c r="D988" s="4" t="s">
        <v>38</v>
      </c>
      <c r="E988" s="5" t="s">
        <v>64</v>
      </c>
      <c r="F988" s="5" t="s">
        <v>40</v>
      </c>
      <c r="G988" s="7" t="n">
        <v>140</v>
      </c>
      <c r="H988" s="7" t="n">
        <v>120</v>
      </c>
      <c r="I988" s="7" t="n">
        <v>140</v>
      </c>
      <c r="J988" s="7" t="s">
        <v>287</v>
      </c>
      <c r="K988" s="7" t="n">
        <v>140</v>
      </c>
    </row>
    <row r="989" customFormat="false" ht="14.25" hidden="false" customHeight="false" outlineLevel="0" collapsed="false">
      <c r="A989" s="1" t="n">
        <v>62</v>
      </c>
      <c r="B989" s="1" t="n">
        <v>2024</v>
      </c>
      <c r="C989" s="3" t="n">
        <v>45497</v>
      </c>
      <c r="D989" s="8" t="s">
        <v>65</v>
      </c>
      <c r="E989" s="9" t="s">
        <v>66</v>
      </c>
      <c r="F989" s="9" t="s">
        <v>45</v>
      </c>
      <c r="G989" s="10"/>
      <c r="H989" s="10"/>
      <c r="I989" s="10"/>
      <c r="J989" s="10"/>
      <c r="K989" s="10"/>
    </row>
    <row r="990" customFormat="false" ht="14.25" hidden="false" customHeight="false" outlineLevel="0" collapsed="false">
      <c r="A990" s="1" t="n">
        <v>62</v>
      </c>
      <c r="B990" s="1" t="n">
        <v>2024</v>
      </c>
      <c r="C990" s="3" t="n">
        <v>45497</v>
      </c>
      <c r="D990" s="4" t="s">
        <v>65</v>
      </c>
      <c r="E990" s="5" t="s">
        <v>67</v>
      </c>
      <c r="F990" s="5" t="s">
        <v>45</v>
      </c>
      <c r="G990" s="6"/>
      <c r="H990" s="6"/>
      <c r="I990" s="6"/>
      <c r="J990" s="6"/>
      <c r="K990" s="6"/>
    </row>
    <row r="991" customFormat="false" ht="14.25" hidden="false" customHeight="false" outlineLevel="0" collapsed="false">
      <c r="A991" s="1" t="n">
        <v>62</v>
      </c>
      <c r="B991" s="1" t="n">
        <v>2024</v>
      </c>
      <c r="C991" s="3" t="n">
        <v>45497</v>
      </c>
      <c r="D991" s="8" t="s">
        <v>65</v>
      </c>
      <c r="E991" s="9" t="s">
        <v>68</v>
      </c>
      <c r="F991" s="9" t="s">
        <v>45</v>
      </c>
      <c r="G991" s="10"/>
      <c r="H991" s="10"/>
      <c r="I991" s="10"/>
      <c r="J991" s="10"/>
      <c r="K991" s="10"/>
    </row>
    <row r="992" customFormat="false" ht="14.25" hidden="false" customHeight="false" outlineLevel="0" collapsed="false">
      <c r="A992" s="1" t="n">
        <v>62</v>
      </c>
      <c r="B992" s="1" t="n">
        <v>2024</v>
      </c>
      <c r="C992" s="3" t="n">
        <v>45497</v>
      </c>
      <c r="D992" s="4" t="s">
        <v>65</v>
      </c>
      <c r="E992" s="5" t="s">
        <v>69</v>
      </c>
      <c r="F992" s="5" t="s">
        <v>45</v>
      </c>
      <c r="G992" s="6"/>
      <c r="H992" s="7" t="n">
        <v>60</v>
      </c>
      <c r="I992" s="7" t="n">
        <v>60</v>
      </c>
      <c r="J992" s="7" t="n">
        <v>60</v>
      </c>
      <c r="K992" s="7" t="n">
        <v>60</v>
      </c>
    </row>
    <row r="993" customFormat="false" ht="14.25" hidden="false" customHeight="false" outlineLevel="0" collapsed="false">
      <c r="A993" s="1" t="n">
        <v>62</v>
      </c>
      <c r="B993" s="1" t="n">
        <v>2024</v>
      </c>
      <c r="C993" s="3" t="n">
        <v>45497</v>
      </c>
      <c r="D993" s="8" t="s">
        <v>65</v>
      </c>
      <c r="E993" s="9" t="s">
        <v>70</v>
      </c>
      <c r="F993" s="9" t="s">
        <v>71</v>
      </c>
      <c r="G993" s="10"/>
      <c r="H993" s="11" t="n">
        <v>80</v>
      </c>
      <c r="I993" s="11" t="n">
        <v>80</v>
      </c>
      <c r="J993" s="11" t="n">
        <v>80</v>
      </c>
      <c r="K993" s="11" t="n">
        <v>80</v>
      </c>
    </row>
    <row r="994" customFormat="false" ht="25" hidden="false" customHeight="false" outlineLevel="0" collapsed="false">
      <c r="A994" s="1" t="n">
        <v>63</v>
      </c>
      <c r="B994" s="1" t="n">
        <v>2024</v>
      </c>
      <c r="C994" s="3" t="n">
        <v>45505</v>
      </c>
      <c r="D994" s="4" t="s">
        <v>11</v>
      </c>
      <c r="E994" s="5" t="s">
        <v>12</v>
      </c>
      <c r="F994" s="5" t="s">
        <v>13</v>
      </c>
      <c r="G994" s="7" t="n">
        <v>60</v>
      </c>
      <c r="H994" s="7" t="n">
        <v>48</v>
      </c>
      <c r="I994" s="7" t="n">
        <v>48</v>
      </c>
      <c r="J994" s="7" t="n">
        <v>60</v>
      </c>
      <c r="K994" s="7" t="s">
        <v>288</v>
      </c>
    </row>
    <row r="995" customFormat="false" ht="25" hidden="false" customHeight="false" outlineLevel="0" collapsed="false">
      <c r="A995" s="1" t="n">
        <v>63</v>
      </c>
      <c r="B995" s="1" t="n">
        <v>2024</v>
      </c>
      <c r="C995" s="3" t="n">
        <v>45505</v>
      </c>
      <c r="D995" s="8" t="s">
        <v>11</v>
      </c>
      <c r="E995" s="9" t="s">
        <v>14</v>
      </c>
      <c r="F995" s="9" t="s">
        <v>13</v>
      </c>
      <c r="G995" s="11" t="n">
        <v>84</v>
      </c>
      <c r="H995" s="11" t="n">
        <v>72</v>
      </c>
      <c r="I995" s="11" t="n">
        <v>72</v>
      </c>
      <c r="J995" s="11" t="n">
        <v>84</v>
      </c>
      <c r="K995" s="11" t="n">
        <v>78</v>
      </c>
    </row>
    <row r="996" customFormat="false" ht="25" hidden="false" customHeight="false" outlineLevel="0" collapsed="false">
      <c r="A996" s="1" t="n">
        <v>63</v>
      </c>
      <c r="B996" s="1" t="n">
        <v>2024</v>
      </c>
      <c r="C996" s="3" t="n">
        <v>45505</v>
      </c>
      <c r="D996" s="4" t="s">
        <v>11</v>
      </c>
      <c r="E996" s="5" t="s">
        <v>15</v>
      </c>
      <c r="F996" s="5" t="s">
        <v>13</v>
      </c>
      <c r="G996" s="7" t="n">
        <v>36</v>
      </c>
      <c r="H996" s="7" t="n">
        <v>36</v>
      </c>
      <c r="I996" s="7" t="n">
        <v>30</v>
      </c>
      <c r="J996" s="7" t="n">
        <v>42</v>
      </c>
      <c r="K996" s="7" t="s">
        <v>289</v>
      </c>
    </row>
    <row r="997" customFormat="false" ht="25" hidden="false" customHeight="false" outlineLevel="0" collapsed="false">
      <c r="A997" s="1" t="n">
        <v>63</v>
      </c>
      <c r="B997" s="1" t="n">
        <v>2024</v>
      </c>
      <c r="C997" s="3" t="n">
        <v>45505</v>
      </c>
      <c r="D997" s="8" t="s">
        <v>11</v>
      </c>
      <c r="E997" s="9" t="s">
        <v>16</v>
      </c>
      <c r="F997" s="9" t="s">
        <v>13</v>
      </c>
      <c r="G997" s="11" t="n">
        <v>24</v>
      </c>
      <c r="H997" s="11" t="n">
        <v>18</v>
      </c>
      <c r="I997" s="11" t="n">
        <v>18</v>
      </c>
      <c r="J997" s="11" t="n">
        <v>24</v>
      </c>
      <c r="K997" s="11" t="s">
        <v>290</v>
      </c>
    </row>
    <row r="998" customFormat="false" ht="25" hidden="false" customHeight="false" outlineLevel="0" collapsed="false">
      <c r="A998" s="1" t="n">
        <v>63</v>
      </c>
      <c r="B998" s="1" t="n">
        <v>2024</v>
      </c>
      <c r="C998" s="3" t="n">
        <v>45505</v>
      </c>
      <c r="D998" s="4" t="s">
        <v>11</v>
      </c>
      <c r="E998" s="5" t="s">
        <v>17</v>
      </c>
      <c r="F998" s="5" t="s">
        <v>13</v>
      </c>
      <c r="G998" s="7" t="n">
        <v>30</v>
      </c>
      <c r="H998" s="7" t="n">
        <v>24</v>
      </c>
      <c r="I998" s="7" t="n">
        <v>18</v>
      </c>
      <c r="J998" s="7" t="n">
        <v>24</v>
      </c>
      <c r="K998" s="7" t="s">
        <v>72</v>
      </c>
    </row>
    <row r="999" customFormat="false" ht="25" hidden="false" customHeight="false" outlineLevel="0" collapsed="false">
      <c r="A999" s="1" t="n">
        <v>63</v>
      </c>
      <c r="B999" s="1" t="n">
        <v>2024</v>
      </c>
      <c r="C999" s="3" t="n">
        <v>45505</v>
      </c>
      <c r="D999" s="8" t="s">
        <v>11</v>
      </c>
      <c r="E999" s="9" t="s">
        <v>18</v>
      </c>
      <c r="F999" s="9" t="s">
        <v>13</v>
      </c>
      <c r="G999" s="11" t="n">
        <v>60</v>
      </c>
      <c r="H999" s="11" t="n">
        <v>60</v>
      </c>
      <c r="I999" s="11" t="n">
        <v>60</v>
      </c>
      <c r="J999" s="11" t="n">
        <v>60</v>
      </c>
      <c r="K999" s="11" t="n">
        <v>60</v>
      </c>
    </row>
    <row r="1000" customFormat="false" ht="25" hidden="false" customHeight="false" outlineLevel="0" collapsed="false">
      <c r="A1000" s="1" t="n">
        <v>63</v>
      </c>
      <c r="B1000" s="1" t="n">
        <v>2024</v>
      </c>
      <c r="C1000" s="3" t="n">
        <v>45505</v>
      </c>
      <c r="D1000" s="4" t="s">
        <v>11</v>
      </c>
      <c r="E1000" s="5" t="s">
        <v>19</v>
      </c>
      <c r="F1000" s="5" t="s">
        <v>13</v>
      </c>
      <c r="G1000" s="7" t="n">
        <v>60</v>
      </c>
      <c r="H1000" s="7" t="n">
        <v>48</v>
      </c>
      <c r="I1000" s="7" t="n">
        <v>48</v>
      </c>
      <c r="J1000" s="7" t="n">
        <v>60</v>
      </c>
      <c r="K1000" s="7" t="n">
        <v>54</v>
      </c>
    </row>
    <row r="1001" customFormat="false" ht="25" hidden="false" customHeight="false" outlineLevel="0" collapsed="false">
      <c r="A1001" s="1" t="n">
        <v>63</v>
      </c>
      <c r="B1001" s="1" t="n">
        <v>2024</v>
      </c>
      <c r="C1001" s="3" t="n">
        <v>45505</v>
      </c>
      <c r="D1001" s="8" t="s">
        <v>11</v>
      </c>
      <c r="E1001" s="9" t="s">
        <v>20</v>
      </c>
      <c r="F1001" s="9" t="s">
        <v>13</v>
      </c>
      <c r="G1001" s="11" t="n">
        <v>84</v>
      </c>
      <c r="H1001" s="11" t="n">
        <v>60</v>
      </c>
      <c r="I1001" s="11" t="n">
        <v>60</v>
      </c>
      <c r="J1001" s="11" t="n">
        <v>84</v>
      </c>
      <c r="K1001" s="11" t="n">
        <v>72</v>
      </c>
    </row>
    <row r="1002" customFormat="false" ht="25" hidden="false" customHeight="false" outlineLevel="0" collapsed="false">
      <c r="A1002" s="1" t="n">
        <v>63</v>
      </c>
      <c r="B1002" s="1" t="n">
        <v>2024</v>
      </c>
      <c r="C1002" s="3" t="n">
        <v>45505</v>
      </c>
      <c r="D1002" s="4" t="s">
        <v>11</v>
      </c>
      <c r="E1002" s="5" t="s">
        <v>21</v>
      </c>
      <c r="F1002" s="5" t="s">
        <v>13</v>
      </c>
      <c r="G1002" s="7" t="n">
        <v>24</v>
      </c>
      <c r="H1002" s="7" t="n">
        <v>18</v>
      </c>
      <c r="I1002" s="7" t="n">
        <v>18</v>
      </c>
      <c r="J1002" s="7" t="n">
        <v>25</v>
      </c>
      <c r="K1002" s="7" t="s">
        <v>291</v>
      </c>
    </row>
    <row r="1003" customFormat="false" ht="25" hidden="false" customHeight="false" outlineLevel="0" collapsed="false">
      <c r="A1003" s="1" t="n">
        <v>63</v>
      </c>
      <c r="B1003" s="1" t="n">
        <v>2024</v>
      </c>
      <c r="C1003" s="3" t="n">
        <v>45505</v>
      </c>
      <c r="D1003" s="8" t="s">
        <v>11</v>
      </c>
      <c r="E1003" s="9" t="s">
        <v>73</v>
      </c>
      <c r="F1003" s="9" t="s">
        <v>13</v>
      </c>
      <c r="G1003" s="11" t="n">
        <v>72</v>
      </c>
      <c r="H1003" s="11" t="n">
        <v>60</v>
      </c>
      <c r="I1003" s="11" t="n">
        <v>60</v>
      </c>
      <c r="J1003" s="11" t="n">
        <v>84</v>
      </c>
      <c r="K1003" s="11" t="n">
        <v>72</v>
      </c>
    </row>
    <row r="1004" customFormat="false" ht="25" hidden="false" customHeight="false" outlineLevel="0" collapsed="false">
      <c r="A1004" s="1" t="n">
        <v>63</v>
      </c>
      <c r="B1004" s="1" t="n">
        <v>2024</v>
      </c>
      <c r="C1004" s="3" t="n">
        <v>45505</v>
      </c>
      <c r="D1004" s="4" t="s">
        <v>11</v>
      </c>
      <c r="E1004" s="5" t="s">
        <v>23</v>
      </c>
      <c r="F1004" s="5" t="s">
        <v>13</v>
      </c>
      <c r="G1004" s="7" t="n">
        <v>30</v>
      </c>
      <c r="H1004" s="7" t="n">
        <v>24</v>
      </c>
      <c r="I1004" s="7" t="n">
        <v>18</v>
      </c>
      <c r="J1004" s="7" t="n">
        <v>24</v>
      </c>
      <c r="K1004" s="7" t="n">
        <v>22</v>
      </c>
    </row>
    <row r="1005" customFormat="false" ht="25" hidden="false" customHeight="false" outlineLevel="0" collapsed="false">
      <c r="A1005" s="1" t="n">
        <v>63</v>
      </c>
      <c r="B1005" s="1" t="n">
        <v>2024</v>
      </c>
      <c r="C1005" s="3" t="n">
        <v>45505</v>
      </c>
      <c r="D1005" s="8" t="s">
        <v>11</v>
      </c>
      <c r="E1005" s="9" t="s">
        <v>24</v>
      </c>
      <c r="F1005" s="9" t="s">
        <v>13</v>
      </c>
      <c r="G1005" s="11" t="n">
        <v>60</v>
      </c>
      <c r="H1005" s="11" t="n">
        <v>60</v>
      </c>
      <c r="I1005" s="11" t="n">
        <v>60</v>
      </c>
      <c r="J1005" s="11" t="n">
        <v>72</v>
      </c>
      <c r="K1005" s="11" t="n">
        <v>66</v>
      </c>
    </row>
    <row r="1006" customFormat="false" ht="25" hidden="false" customHeight="false" outlineLevel="0" collapsed="false">
      <c r="A1006" s="1" t="n">
        <v>63</v>
      </c>
      <c r="B1006" s="1" t="n">
        <v>2024</v>
      </c>
      <c r="C1006" s="3" t="n">
        <v>45505</v>
      </c>
      <c r="D1006" s="4" t="s">
        <v>11</v>
      </c>
      <c r="E1006" s="5" t="s">
        <v>25</v>
      </c>
      <c r="F1006" s="5" t="s">
        <v>26</v>
      </c>
      <c r="G1006" s="7" t="n">
        <v>60</v>
      </c>
      <c r="H1006" s="7" t="n">
        <v>60</v>
      </c>
      <c r="I1006" s="7" t="n">
        <v>48</v>
      </c>
      <c r="J1006" s="7" t="n">
        <v>60</v>
      </c>
      <c r="K1006" s="7" t="s">
        <v>292</v>
      </c>
    </row>
    <row r="1007" customFormat="false" ht="25" hidden="false" customHeight="false" outlineLevel="0" collapsed="false">
      <c r="A1007" s="1" t="n">
        <v>63</v>
      </c>
      <c r="B1007" s="1" t="n">
        <v>2024</v>
      </c>
      <c r="C1007" s="3" t="n">
        <v>45505</v>
      </c>
      <c r="D1007" s="8" t="s">
        <v>11</v>
      </c>
      <c r="E1007" s="9" t="s">
        <v>27</v>
      </c>
      <c r="F1007" s="9" t="s">
        <v>13</v>
      </c>
      <c r="G1007" s="11" t="n">
        <v>60</v>
      </c>
      <c r="H1007" s="10"/>
      <c r="I1007" s="11" t="n">
        <v>48</v>
      </c>
      <c r="J1007" s="11" t="n">
        <v>78</v>
      </c>
      <c r="K1007" s="11" t="n">
        <v>59</v>
      </c>
    </row>
    <row r="1008" customFormat="false" ht="25" hidden="false" customHeight="false" outlineLevel="0" collapsed="false">
      <c r="A1008" s="1" t="n">
        <v>63</v>
      </c>
      <c r="B1008" s="1" t="n">
        <v>2024</v>
      </c>
      <c r="C1008" s="3" t="n">
        <v>45505</v>
      </c>
      <c r="D1008" s="4" t="s">
        <v>11</v>
      </c>
      <c r="E1008" s="5" t="s">
        <v>28</v>
      </c>
      <c r="F1008" s="5" t="s">
        <v>13</v>
      </c>
      <c r="G1008" s="7" t="n">
        <v>48</v>
      </c>
      <c r="H1008" s="7" t="n">
        <v>48</v>
      </c>
      <c r="I1008" s="7" t="n">
        <v>36</v>
      </c>
      <c r="J1008" s="7" t="n">
        <v>48</v>
      </c>
      <c r="K1008" s="7" t="s">
        <v>293</v>
      </c>
    </row>
    <row r="1009" customFormat="false" ht="25" hidden="false" customHeight="false" outlineLevel="0" collapsed="false">
      <c r="A1009" s="1" t="n">
        <v>63</v>
      </c>
      <c r="B1009" s="1" t="n">
        <v>2024</v>
      </c>
      <c r="C1009" s="3" t="n">
        <v>45505</v>
      </c>
      <c r="D1009" s="8" t="s">
        <v>11</v>
      </c>
      <c r="E1009" s="9" t="s">
        <v>29</v>
      </c>
      <c r="F1009" s="9" t="s">
        <v>13</v>
      </c>
      <c r="G1009" s="11" t="n">
        <v>54</v>
      </c>
      <c r="H1009" s="11" t="n">
        <v>48</v>
      </c>
      <c r="I1009" s="11" t="n">
        <v>48</v>
      </c>
      <c r="J1009" s="11" t="n">
        <v>54</v>
      </c>
      <c r="K1009" s="11" t="s">
        <v>294</v>
      </c>
    </row>
    <row r="1010" customFormat="false" ht="25" hidden="false" customHeight="false" outlineLevel="0" collapsed="false">
      <c r="A1010" s="1" t="n">
        <v>63</v>
      </c>
      <c r="B1010" s="1" t="n">
        <v>2024</v>
      </c>
      <c r="C1010" s="3" t="n">
        <v>45505</v>
      </c>
      <c r="D1010" s="4" t="s">
        <v>30</v>
      </c>
      <c r="E1010" s="5" t="s">
        <v>31</v>
      </c>
      <c r="F1010" s="5" t="s">
        <v>32</v>
      </c>
      <c r="G1010" s="7" t="n">
        <v>5</v>
      </c>
      <c r="H1010" s="7" t="n">
        <v>4</v>
      </c>
      <c r="I1010" s="7" t="n">
        <v>5</v>
      </c>
      <c r="J1010" s="7" t="s">
        <v>295</v>
      </c>
      <c r="K1010" s="7" t="n">
        <v>5</v>
      </c>
    </row>
    <row r="1011" customFormat="false" ht="25" hidden="false" customHeight="false" outlineLevel="0" collapsed="false">
      <c r="A1011" s="1" t="n">
        <v>63</v>
      </c>
      <c r="B1011" s="1" t="n">
        <v>2024</v>
      </c>
      <c r="C1011" s="3" t="n">
        <v>45505</v>
      </c>
      <c r="D1011" s="8" t="s">
        <v>30</v>
      </c>
      <c r="E1011" s="9" t="s">
        <v>34</v>
      </c>
      <c r="F1011" s="9" t="s">
        <v>35</v>
      </c>
      <c r="G1011" s="11" t="n">
        <v>12</v>
      </c>
      <c r="H1011" s="11" t="n">
        <v>10</v>
      </c>
      <c r="I1011" s="11" t="n">
        <v>12</v>
      </c>
      <c r="J1011" s="11" t="s">
        <v>296</v>
      </c>
      <c r="K1011" s="11" t="n">
        <v>12</v>
      </c>
    </row>
    <row r="1012" customFormat="false" ht="25" hidden="false" customHeight="false" outlineLevel="0" collapsed="false">
      <c r="A1012" s="1" t="n">
        <v>63</v>
      </c>
      <c r="B1012" s="1" t="n">
        <v>2024</v>
      </c>
      <c r="C1012" s="3" t="n">
        <v>45505</v>
      </c>
      <c r="D1012" s="4" t="s">
        <v>30</v>
      </c>
      <c r="E1012" s="5" t="s">
        <v>36</v>
      </c>
      <c r="F1012" s="5" t="s">
        <v>35</v>
      </c>
      <c r="G1012" s="7" t="n">
        <v>20</v>
      </c>
      <c r="H1012" s="7" t="n">
        <v>20</v>
      </c>
      <c r="I1012" s="7" t="n">
        <v>30</v>
      </c>
      <c r="J1012" s="7" t="n">
        <v>24</v>
      </c>
      <c r="K1012" s="7" t="n">
        <v>20</v>
      </c>
    </row>
    <row r="1013" customFormat="false" ht="36.5" hidden="false" customHeight="false" outlineLevel="0" collapsed="false">
      <c r="A1013" s="1" t="n">
        <v>63</v>
      </c>
      <c r="B1013" s="1" t="n">
        <v>2024</v>
      </c>
      <c r="C1013" s="3" t="n">
        <v>45505</v>
      </c>
      <c r="D1013" s="8" t="s">
        <v>38</v>
      </c>
      <c r="E1013" s="9" t="s">
        <v>153</v>
      </c>
      <c r="F1013" s="9" t="s">
        <v>154</v>
      </c>
      <c r="G1013" s="10"/>
      <c r="H1013" s="11" t="n">
        <v>80</v>
      </c>
      <c r="I1013" s="11" t="n">
        <v>80</v>
      </c>
      <c r="J1013" s="11" t="n">
        <v>80</v>
      </c>
      <c r="K1013" s="11" t="n">
        <v>80</v>
      </c>
    </row>
    <row r="1014" customFormat="false" ht="36.5" hidden="false" customHeight="false" outlineLevel="0" collapsed="false">
      <c r="A1014" s="1" t="n">
        <v>63</v>
      </c>
      <c r="B1014" s="1" t="n">
        <v>2024</v>
      </c>
      <c r="C1014" s="3" t="n">
        <v>45505</v>
      </c>
      <c r="D1014" s="4" t="s">
        <v>38</v>
      </c>
      <c r="E1014" s="5" t="s">
        <v>39</v>
      </c>
      <c r="F1014" s="5" t="s">
        <v>40</v>
      </c>
      <c r="G1014" s="7" t="n">
        <v>60</v>
      </c>
      <c r="H1014" s="7" t="n">
        <v>40</v>
      </c>
      <c r="I1014" s="7" t="n">
        <v>75</v>
      </c>
      <c r="J1014" s="7" t="s">
        <v>258</v>
      </c>
      <c r="K1014" s="7" t="n">
        <v>60</v>
      </c>
    </row>
    <row r="1015" customFormat="false" ht="36.5" hidden="false" customHeight="false" outlineLevel="0" collapsed="false">
      <c r="A1015" s="1" t="n">
        <v>63</v>
      </c>
      <c r="B1015" s="1" t="n">
        <v>2024</v>
      </c>
      <c r="C1015" s="3" t="n">
        <v>45505</v>
      </c>
      <c r="D1015" s="8" t="s">
        <v>38</v>
      </c>
      <c r="E1015" s="9" t="s">
        <v>42</v>
      </c>
      <c r="F1015" s="9" t="s">
        <v>43</v>
      </c>
      <c r="G1015" s="11" t="n">
        <v>70</v>
      </c>
      <c r="H1015" s="11" t="n">
        <v>45</v>
      </c>
      <c r="I1015" s="11" t="n">
        <v>75</v>
      </c>
      <c r="J1015" s="11" t="s">
        <v>131</v>
      </c>
      <c r="K1015" s="11" t="n">
        <v>65</v>
      </c>
    </row>
    <row r="1016" customFormat="false" ht="36.5" hidden="false" customHeight="false" outlineLevel="0" collapsed="false">
      <c r="A1016" s="1" t="n">
        <v>63</v>
      </c>
      <c r="B1016" s="1" t="n">
        <v>2024</v>
      </c>
      <c r="C1016" s="3" t="n">
        <v>45505</v>
      </c>
      <c r="D1016" s="4" t="s">
        <v>38</v>
      </c>
      <c r="E1016" s="5" t="s">
        <v>44</v>
      </c>
      <c r="F1016" s="5" t="s">
        <v>45</v>
      </c>
      <c r="G1016" s="7" t="n">
        <v>40</v>
      </c>
      <c r="H1016" s="7" t="n">
        <v>40</v>
      </c>
      <c r="I1016" s="7" t="n">
        <v>50</v>
      </c>
      <c r="J1016" s="7" t="s">
        <v>233</v>
      </c>
      <c r="K1016" s="7" t="s">
        <v>47</v>
      </c>
    </row>
    <row r="1017" customFormat="false" ht="36.5" hidden="false" customHeight="false" outlineLevel="0" collapsed="false">
      <c r="A1017" s="1" t="n">
        <v>63</v>
      </c>
      <c r="B1017" s="1" t="n">
        <v>2024</v>
      </c>
      <c r="C1017" s="3" t="n">
        <v>45505</v>
      </c>
      <c r="D1017" s="8" t="s">
        <v>38</v>
      </c>
      <c r="E1017" s="9" t="s">
        <v>48</v>
      </c>
      <c r="F1017" s="9" t="s">
        <v>45</v>
      </c>
      <c r="G1017" s="10"/>
      <c r="H1017" s="11" t="n">
        <v>90</v>
      </c>
      <c r="I1017" s="11" t="n">
        <v>105</v>
      </c>
      <c r="J1017" s="11" t="s">
        <v>156</v>
      </c>
      <c r="K1017" s="11" t="s">
        <v>156</v>
      </c>
    </row>
    <row r="1018" customFormat="false" ht="36.5" hidden="false" customHeight="false" outlineLevel="0" collapsed="false">
      <c r="A1018" s="1" t="n">
        <v>63</v>
      </c>
      <c r="B1018" s="1" t="n">
        <v>2024</v>
      </c>
      <c r="C1018" s="3" t="n">
        <v>45505</v>
      </c>
      <c r="D1018" s="4" t="s">
        <v>38</v>
      </c>
      <c r="E1018" s="5" t="s">
        <v>49</v>
      </c>
      <c r="F1018" s="5" t="s">
        <v>50</v>
      </c>
      <c r="G1018" s="7" t="n">
        <v>55</v>
      </c>
      <c r="H1018" s="7" t="n">
        <v>55</v>
      </c>
      <c r="I1018" s="7" t="n">
        <v>60</v>
      </c>
      <c r="J1018" s="7" t="s">
        <v>55</v>
      </c>
      <c r="K1018" s="7" t="n">
        <v>55</v>
      </c>
    </row>
    <row r="1019" customFormat="false" ht="36.5" hidden="false" customHeight="false" outlineLevel="0" collapsed="false">
      <c r="A1019" s="1" t="n">
        <v>63</v>
      </c>
      <c r="B1019" s="1" t="n">
        <v>2024</v>
      </c>
      <c r="C1019" s="3" t="n">
        <v>45505</v>
      </c>
      <c r="D1019" s="8" t="s">
        <v>38</v>
      </c>
      <c r="E1019" s="9" t="s">
        <v>52</v>
      </c>
      <c r="F1019" s="9" t="s">
        <v>43</v>
      </c>
      <c r="G1019" s="11" t="n">
        <v>60</v>
      </c>
      <c r="H1019" s="11" t="n">
        <v>45</v>
      </c>
      <c r="I1019" s="11" t="n">
        <v>60</v>
      </c>
      <c r="J1019" s="11" t="s">
        <v>242</v>
      </c>
      <c r="K1019" s="11" t="n">
        <v>55</v>
      </c>
    </row>
    <row r="1020" customFormat="false" ht="36.5" hidden="false" customHeight="false" outlineLevel="0" collapsed="false">
      <c r="A1020" s="1" t="n">
        <v>63</v>
      </c>
      <c r="B1020" s="1" t="n">
        <v>2024</v>
      </c>
      <c r="C1020" s="3" t="n">
        <v>45505</v>
      </c>
      <c r="D1020" s="4" t="s">
        <v>38</v>
      </c>
      <c r="E1020" s="5" t="s">
        <v>53</v>
      </c>
      <c r="F1020" s="5" t="s">
        <v>43</v>
      </c>
      <c r="G1020" s="7" t="n">
        <v>60</v>
      </c>
      <c r="H1020" s="7" t="n">
        <v>45</v>
      </c>
      <c r="I1020" s="7" t="n">
        <v>65</v>
      </c>
      <c r="J1020" s="7" t="s">
        <v>258</v>
      </c>
      <c r="K1020" s="7" t="n">
        <v>60</v>
      </c>
    </row>
    <row r="1021" customFormat="false" ht="36.5" hidden="false" customHeight="false" outlineLevel="0" collapsed="false">
      <c r="A1021" s="1" t="n">
        <v>63</v>
      </c>
      <c r="B1021" s="1" t="n">
        <v>2024</v>
      </c>
      <c r="C1021" s="3" t="n">
        <v>45505</v>
      </c>
      <c r="D1021" s="8" t="s">
        <v>38</v>
      </c>
      <c r="E1021" s="9" t="s">
        <v>54</v>
      </c>
      <c r="F1021" s="9" t="s">
        <v>40</v>
      </c>
      <c r="G1021" s="11" t="n">
        <v>90</v>
      </c>
      <c r="H1021" s="11" t="n">
        <v>60</v>
      </c>
      <c r="I1021" s="11" t="n">
        <v>100</v>
      </c>
      <c r="J1021" s="11" t="n">
        <v>86</v>
      </c>
      <c r="K1021" s="11" t="n">
        <v>90</v>
      </c>
    </row>
    <row r="1022" customFormat="false" ht="36.5" hidden="false" customHeight="false" outlineLevel="0" collapsed="false">
      <c r="A1022" s="1" t="n">
        <v>63</v>
      </c>
      <c r="B1022" s="1" t="n">
        <v>2024</v>
      </c>
      <c r="C1022" s="3" t="n">
        <v>45505</v>
      </c>
      <c r="D1022" s="4" t="s">
        <v>38</v>
      </c>
      <c r="E1022" s="5" t="s">
        <v>56</v>
      </c>
      <c r="F1022" s="5" t="s">
        <v>43</v>
      </c>
      <c r="G1022" s="7" t="n">
        <v>60</v>
      </c>
      <c r="H1022" s="7" t="n">
        <v>60</v>
      </c>
      <c r="I1022" s="7" t="n">
        <v>60</v>
      </c>
      <c r="J1022" s="7" t="n">
        <v>60</v>
      </c>
      <c r="K1022" s="7" t="n">
        <v>60</v>
      </c>
    </row>
    <row r="1023" customFormat="false" ht="36.5" hidden="false" customHeight="false" outlineLevel="0" collapsed="false">
      <c r="A1023" s="1" t="n">
        <v>63</v>
      </c>
      <c r="B1023" s="1" t="n">
        <v>2024</v>
      </c>
      <c r="C1023" s="3" t="n">
        <v>45505</v>
      </c>
      <c r="D1023" s="8" t="s">
        <v>38</v>
      </c>
      <c r="E1023" s="9" t="s">
        <v>57</v>
      </c>
      <c r="F1023" s="9" t="s">
        <v>40</v>
      </c>
      <c r="G1023" s="11" t="n">
        <v>65</v>
      </c>
      <c r="H1023" s="11" t="n">
        <v>50</v>
      </c>
      <c r="I1023" s="11" t="n">
        <v>65</v>
      </c>
      <c r="J1023" s="11" t="n">
        <v>60</v>
      </c>
      <c r="K1023" s="11" t="s">
        <v>80</v>
      </c>
    </row>
    <row r="1024" customFormat="false" ht="36.5" hidden="false" customHeight="false" outlineLevel="0" collapsed="false">
      <c r="A1024" s="1" t="n">
        <v>63</v>
      </c>
      <c r="B1024" s="1" t="n">
        <v>2024</v>
      </c>
      <c r="C1024" s="3" t="n">
        <v>45505</v>
      </c>
      <c r="D1024" s="4" t="s">
        <v>38</v>
      </c>
      <c r="E1024" s="5" t="s">
        <v>58</v>
      </c>
      <c r="F1024" s="5" t="s">
        <v>40</v>
      </c>
      <c r="G1024" s="7" t="n">
        <v>90</v>
      </c>
      <c r="H1024" s="7" t="n">
        <v>50</v>
      </c>
      <c r="I1024" s="7" t="n">
        <v>90</v>
      </c>
      <c r="J1024" s="7" t="s">
        <v>158</v>
      </c>
      <c r="K1024" s="7" t="n">
        <v>80</v>
      </c>
    </row>
    <row r="1025" customFormat="false" ht="36.5" hidden="false" customHeight="false" outlineLevel="0" collapsed="false">
      <c r="A1025" s="1" t="n">
        <v>63</v>
      </c>
      <c r="B1025" s="1" t="n">
        <v>2024</v>
      </c>
      <c r="C1025" s="3" t="n">
        <v>45505</v>
      </c>
      <c r="D1025" s="8" t="s">
        <v>38</v>
      </c>
      <c r="E1025" s="9" t="s">
        <v>59</v>
      </c>
      <c r="F1025" s="9" t="s">
        <v>45</v>
      </c>
      <c r="G1025" s="11" t="n">
        <v>50</v>
      </c>
      <c r="H1025" s="11" t="n">
        <v>40</v>
      </c>
      <c r="I1025" s="11" t="n">
        <v>80</v>
      </c>
      <c r="J1025" s="11" t="n">
        <v>55</v>
      </c>
      <c r="K1025" s="11" t="n">
        <v>50</v>
      </c>
    </row>
    <row r="1026" customFormat="false" ht="36.5" hidden="false" customHeight="false" outlineLevel="0" collapsed="false">
      <c r="A1026" s="1" t="n">
        <v>63</v>
      </c>
      <c r="B1026" s="1" t="n">
        <v>2024</v>
      </c>
      <c r="C1026" s="3" t="n">
        <v>45505</v>
      </c>
      <c r="D1026" s="4" t="s">
        <v>38</v>
      </c>
      <c r="E1026" s="5" t="s">
        <v>60</v>
      </c>
      <c r="F1026" s="5" t="s">
        <v>61</v>
      </c>
      <c r="G1026" s="7" t="n">
        <v>120</v>
      </c>
      <c r="H1026" s="7" t="n">
        <v>100</v>
      </c>
      <c r="I1026" s="7" t="n">
        <v>150</v>
      </c>
      <c r="J1026" s="7" t="n">
        <v>125</v>
      </c>
      <c r="K1026" s="7" t="n">
        <v>125</v>
      </c>
    </row>
    <row r="1027" customFormat="false" ht="36.5" hidden="false" customHeight="false" outlineLevel="0" collapsed="false">
      <c r="A1027" s="1" t="n">
        <v>63</v>
      </c>
      <c r="B1027" s="1" t="n">
        <v>2024</v>
      </c>
      <c r="C1027" s="3" t="n">
        <v>45505</v>
      </c>
      <c r="D1027" s="8" t="s">
        <v>38</v>
      </c>
      <c r="E1027" s="9" t="s">
        <v>63</v>
      </c>
      <c r="F1027" s="9" t="s">
        <v>40</v>
      </c>
      <c r="G1027" s="11" t="n">
        <v>80</v>
      </c>
      <c r="H1027" s="11" t="n">
        <v>50</v>
      </c>
      <c r="I1027" s="11" t="n">
        <v>90</v>
      </c>
      <c r="J1027" s="11" t="s">
        <v>132</v>
      </c>
      <c r="K1027" s="11" t="n">
        <v>75</v>
      </c>
    </row>
    <row r="1028" customFormat="false" ht="36.5" hidden="false" customHeight="false" outlineLevel="0" collapsed="false">
      <c r="A1028" s="1" t="n">
        <v>63</v>
      </c>
      <c r="B1028" s="1" t="n">
        <v>2024</v>
      </c>
      <c r="C1028" s="3" t="n">
        <v>45505</v>
      </c>
      <c r="D1028" s="4" t="s">
        <v>38</v>
      </c>
      <c r="E1028" s="5" t="s">
        <v>64</v>
      </c>
      <c r="F1028" s="5" t="s">
        <v>40</v>
      </c>
      <c r="G1028" s="6"/>
      <c r="H1028" s="7" t="n">
        <v>85</v>
      </c>
      <c r="I1028" s="7" t="n">
        <v>190</v>
      </c>
      <c r="J1028" s="7" t="s">
        <v>297</v>
      </c>
      <c r="K1028" s="7" t="n">
        <v>150</v>
      </c>
    </row>
    <row r="1029" customFormat="false" ht="14.25" hidden="false" customHeight="false" outlineLevel="0" collapsed="false">
      <c r="A1029" s="1" t="n">
        <v>63</v>
      </c>
      <c r="B1029" s="1" t="n">
        <v>2024</v>
      </c>
      <c r="C1029" s="3" t="n">
        <v>45505</v>
      </c>
      <c r="D1029" s="8" t="s">
        <v>65</v>
      </c>
      <c r="E1029" s="9" t="s">
        <v>66</v>
      </c>
      <c r="F1029" s="9" t="s">
        <v>45</v>
      </c>
      <c r="G1029" s="10"/>
      <c r="H1029" s="10"/>
      <c r="I1029" s="10"/>
      <c r="J1029" s="10"/>
      <c r="K1029" s="10"/>
    </row>
    <row r="1030" customFormat="false" ht="14.25" hidden="false" customHeight="false" outlineLevel="0" collapsed="false">
      <c r="A1030" s="1" t="n">
        <v>63</v>
      </c>
      <c r="B1030" s="1" t="n">
        <v>2024</v>
      </c>
      <c r="C1030" s="3" t="n">
        <v>45505</v>
      </c>
      <c r="D1030" s="4" t="s">
        <v>65</v>
      </c>
      <c r="E1030" s="5" t="s">
        <v>67</v>
      </c>
      <c r="F1030" s="5" t="s">
        <v>45</v>
      </c>
      <c r="G1030" s="6"/>
      <c r="H1030" s="6"/>
      <c r="I1030" s="6"/>
      <c r="J1030" s="6"/>
      <c r="K1030" s="6"/>
    </row>
    <row r="1031" customFormat="false" ht="14.25" hidden="false" customHeight="false" outlineLevel="0" collapsed="false">
      <c r="A1031" s="1" t="n">
        <v>63</v>
      </c>
      <c r="B1031" s="1" t="n">
        <v>2024</v>
      </c>
      <c r="C1031" s="3" t="n">
        <v>45505</v>
      </c>
      <c r="D1031" s="8" t="s">
        <v>65</v>
      </c>
      <c r="E1031" s="9" t="s">
        <v>68</v>
      </c>
      <c r="F1031" s="9" t="s">
        <v>45</v>
      </c>
      <c r="G1031" s="10"/>
      <c r="H1031" s="10"/>
      <c r="I1031" s="10"/>
      <c r="J1031" s="10"/>
      <c r="K1031" s="10"/>
    </row>
    <row r="1032" customFormat="false" ht="14.25" hidden="false" customHeight="false" outlineLevel="0" collapsed="false">
      <c r="A1032" s="1" t="n">
        <v>63</v>
      </c>
      <c r="B1032" s="1" t="n">
        <v>2024</v>
      </c>
      <c r="C1032" s="3" t="n">
        <v>45505</v>
      </c>
      <c r="D1032" s="4" t="s">
        <v>65</v>
      </c>
      <c r="E1032" s="5" t="s">
        <v>69</v>
      </c>
      <c r="F1032" s="5" t="s">
        <v>45</v>
      </c>
      <c r="G1032" s="6"/>
      <c r="H1032" s="7" t="n">
        <v>65</v>
      </c>
      <c r="I1032" s="7" t="n">
        <v>65</v>
      </c>
      <c r="J1032" s="7" t="n">
        <v>65</v>
      </c>
      <c r="K1032" s="7" t="n">
        <v>65</v>
      </c>
    </row>
    <row r="1033" customFormat="false" ht="14.25" hidden="false" customHeight="false" outlineLevel="0" collapsed="false">
      <c r="A1033" s="1" t="n">
        <v>63</v>
      </c>
      <c r="B1033" s="1" t="n">
        <v>2024</v>
      </c>
      <c r="C1033" s="3" t="n">
        <v>45505</v>
      </c>
      <c r="D1033" s="8" t="s">
        <v>65</v>
      </c>
      <c r="E1033" s="9" t="s">
        <v>70</v>
      </c>
      <c r="F1033" s="9" t="s">
        <v>71</v>
      </c>
      <c r="G1033" s="10"/>
      <c r="H1033" s="11" t="n">
        <v>50</v>
      </c>
      <c r="I1033" s="11" t="n">
        <v>50</v>
      </c>
      <c r="J1033" s="11" t="n">
        <v>50</v>
      </c>
      <c r="K1033" s="11" t="n">
        <v>50</v>
      </c>
    </row>
    <row r="1034" customFormat="false" ht="25" hidden="false" customHeight="false" outlineLevel="0" collapsed="false">
      <c r="A1034" s="1" t="n">
        <v>64</v>
      </c>
      <c r="B1034" s="1" t="n">
        <v>2024</v>
      </c>
      <c r="C1034" s="3" t="n">
        <v>45513</v>
      </c>
      <c r="D1034" s="4" t="s">
        <v>11</v>
      </c>
      <c r="E1034" s="5" t="s">
        <v>12</v>
      </c>
      <c r="F1034" s="5" t="s">
        <v>13</v>
      </c>
      <c r="G1034" s="6"/>
      <c r="H1034" s="7" t="n">
        <v>48</v>
      </c>
      <c r="I1034" s="7" t="n">
        <v>60</v>
      </c>
      <c r="J1034" s="7" t="n">
        <v>54</v>
      </c>
      <c r="K1034" s="7" t="n">
        <v>54</v>
      </c>
    </row>
    <row r="1035" customFormat="false" ht="25" hidden="false" customHeight="false" outlineLevel="0" collapsed="false">
      <c r="A1035" s="1" t="n">
        <v>64</v>
      </c>
      <c r="B1035" s="1" t="n">
        <v>2024</v>
      </c>
      <c r="C1035" s="3" t="n">
        <v>45513</v>
      </c>
      <c r="D1035" s="8" t="s">
        <v>11</v>
      </c>
      <c r="E1035" s="9" t="s">
        <v>14</v>
      </c>
      <c r="F1035" s="9" t="s">
        <v>13</v>
      </c>
      <c r="G1035" s="10"/>
      <c r="H1035" s="11" t="n">
        <v>60</v>
      </c>
      <c r="I1035" s="11" t="n">
        <v>84</v>
      </c>
      <c r="J1035" s="11" t="n">
        <v>72</v>
      </c>
      <c r="K1035" s="11" t="n">
        <v>72</v>
      </c>
    </row>
    <row r="1036" customFormat="false" ht="25" hidden="false" customHeight="false" outlineLevel="0" collapsed="false">
      <c r="A1036" s="1" t="n">
        <v>64</v>
      </c>
      <c r="B1036" s="1" t="n">
        <v>2024</v>
      </c>
      <c r="C1036" s="3" t="n">
        <v>45513</v>
      </c>
      <c r="D1036" s="4" t="s">
        <v>11</v>
      </c>
      <c r="E1036" s="5" t="s">
        <v>15</v>
      </c>
      <c r="F1036" s="5" t="s">
        <v>13</v>
      </c>
      <c r="G1036" s="6"/>
      <c r="H1036" s="7" t="n">
        <v>30</v>
      </c>
      <c r="I1036" s="7" t="n">
        <v>36</v>
      </c>
      <c r="J1036" s="7" t="s">
        <v>208</v>
      </c>
      <c r="K1036" s="7" t="n">
        <v>35</v>
      </c>
    </row>
    <row r="1037" customFormat="false" ht="25" hidden="false" customHeight="false" outlineLevel="0" collapsed="false">
      <c r="A1037" s="1" t="n">
        <v>64</v>
      </c>
      <c r="B1037" s="1" t="n">
        <v>2024</v>
      </c>
      <c r="C1037" s="3" t="n">
        <v>45513</v>
      </c>
      <c r="D1037" s="8" t="s">
        <v>11</v>
      </c>
      <c r="E1037" s="9" t="s">
        <v>16</v>
      </c>
      <c r="F1037" s="9" t="s">
        <v>13</v>
      </c>
      <c r="G1037" s="11" t="n">
        <v>18</v>
      </c>
      <c r="H1037" s="11" t="n">
        <v>15</v>
      </c>
      <c r="I1037" s="11" t="n">
        <v>18</v>
      </c>
      <c r="J1037" s="11" t="n">
        <v>17</v>
      </c>
      <c r="K1037" s="11" t="n">
        <v>18</v>
      </c>
    </row>
    <row r="1038" customFormat="false" ht="25" hidden="false" customHeight="false" outlineLevel="0" collapsed="false">
      <c r="A1038" s="1" t="n">
        <v>64</v>
      </c>
      <c r="B1038" s="1" t="n">
        <v>2024</v>
      </c>
      <c r="C1038" s="3" t="n">
        <v>45513</v>
      </c>
      <c r="D1038" s="4" t="s">
        <v>11</v>
      </c>
      <c r="E1038" s="5" t="s">
        <v>17</v>
      </c>
      <c r="F1038" s="5" t="s">
        <v>13</v>
      </c>
      <c r="G1038" s="6"/>
      <c r="H1038" s="7" t="n">
        <v>15</v>
      </c>
      <c r="I1038" s="7" t="n">
        <v>60</v>
      </c>
      <c r="J1038" s="7" t="s">
        <v>86</v>
      </c>
      <c r="K1038" s="7" t="s">
        <v>86</v>
      </c>
    </row>
    <row r="1039" customFormat="false" ht="25" hidden="false" customHeight="false" outlineLevel="0" collapsed="false">
      <c r="A1039" s="1" t="n">
        <v>64</v>
      </c>
      <c r="B1039" s="1" t="n">
        <v>2024</v>
      </c>
      <c r="C1039" s="3" t="n">
        <v>45513</v>
      </c>
      <c r="D1039" s="8" t="s">
        <v>11</v>
      </c>
      <c r="E1039" s="9" t="s">
        <v>18</v>
      </c>
      <c r="F1039" s="9" t="s">
        <v>13</v>
      </c>
      <c r="G1039" s="11" t="n">
        <v>60</v>
      </c>
      <c r="H1039" s="11" t="n">
        <v>60</v>
      </c>
      <c r="I1039" s="11" t="n">
        <v>60</v>
      </c>
      <c r="J1039" s="11" t="n">
        <v>60</v>
      </c>
      <c r="K1039" s="11" t="n">
        <v>60</v>
      </c>
    </row>
    <row r="1040" customFormat="false" ht="25" hidden="false" customHeight="false" outlineLevel="0" collapsed="false">
      <c r="A1040" s="1" t="n">
        <v>64</v>
      </c>
      <c r="B1040" s="1" t="n">
        <v>2024</v>
      </c>
      <c r="C1040" s="3" t="n">
        <v>45513</v>
      </c>
      <c r="D1040" s="4" t="s">
        <v>11</v>
      </c>
      <c r="E1040" s="5" t="s">
        <v>19</v>
      </c>
      <c r="F1040" s="5" t="s">
        <v>13</v>
      </c>
      <c r="G1040" s="6"/>
      <c r="H1040" s="7" t="n">
        <v>60</v>
      </c>
      <c r="I1040" s="7" t="n">
        <v>72</v>
      </c>
      <c r="J1040" s="7" t="n">
        <v>66</v>
      </c>
      <c r="K1040" s="7" t="n">
        <v>66</v>
      </c>
    </row>
    <row r="1041" customFormat="false" ht="25" hidden="false" customHeight="false" outlineLevel="0" collapsed="false">
      <c r="A1041" s="1" t="n">
        <v>64</v>
      </c>
      <c r="B1041" s="1" t="n">
        <v>2024</v>
      </c>
      <c r="C1041" s="3" t="n">
        <v>45513</v>
      </c>
      <c r="D1041" s="8" t="s">
        <v>11</v>
      </c>
      <c r="E1041" s="9" t="s">
        <v>20</v>
      </c>
      <c r="F1041" s="9" t="s">
        <v>13</v>
      </c>
      <c r="G1041" s="11" t="n">
        <v>72</v>
      </c>
      <c r="H1041" s="11" t="n">
        <v>72</v>
      </c>
      <c r="I1041" s="11" t="n">
        <v>72</v>
      </c>
      <c r="J1041" s="11" t="n">
        <v>72</v>
      </c>
      <c r="K1041" s="11" t="n">
        <v>72</v>
      </c>
    </row>
    <row r="1042" customFormat="false" ht="25" hidden="false" customHeight="false" outlineLevel="0" collapsed="false">
      <c r="A1042" s="1" t="n">
        <v>64</v>
      </c>
      <c r="B1042" s="1" t="n">
        <v>2024</v>
      </c>
      <c r="C1042" s="3" t="n">
        <v>45513</v>
      </c>
      <c r="D1042" s="4" t="s">
        <v>11</v>
      </c>
      <c r="E1042" s="5" t="s">
        <v>21</v>
      </c>
      <c r="F1042" s="5" t="s">
        <v>13</v>
      </c>
      <c r="G1042" s="7" t="n">
        <v>18</v>
      </c>
      <c r="H1042" s="7" t="n">
        <v>18</v>
      </c>
      <c r="I1042" s="7" t="n">
        <v>24</v>
      </c>
      <c r="J1042" s="7" t="n">
        <v>20</v>
      </c>
      <c r="K1042" s="7" t="n">
        <v>18</v>
      </c>
    </row>
    <row r="1043" customFormat="false" ht="25" hidden="false" customHeight="false" outlineLevel="0" collapsed="false">
      <c r="A1043" s="1" t="n">
        <v>64</v>
      </c>
      <c r="B1043" s="1" t="n">
        <v>2024</v>
      </c>
      <c r="C1043" s="3" t="n">
        <v>45513</v>
      </c>
      <c r="D1043" s="8" t="s">
        <v>11</v>
      </c>
      <c r="E1043" s="9" t="s">
        <v>73</v>
      </c>
      <c r="F1043" s="9" t="s">
        <v>13</v>
      </c>
      <c r="G1043" s="10"/>
      <c r="H1043" s="11" t="n">
        <v>72</v>
      </c>
      <c r="I1043" s="11" t="n">
        <v>84</v>
      </c>
      <c r="J1043" s="11" t="n">
        <v>78</v>
      </c>
      <c r="K1043" s="11" t="n">
        <v>78</v>
      </c>
    </row>
    <row r="1044" customFormat="false" ht="25" hidden="false" customHeight="false" outlineLevel="0" collapsed="false">
      <c r="A1044" s="1" t="n">
        <v>64</v>
      </c>
      <c r="B1044" s="1" t="n">
        <v>2024</v>
      </c>
      <c r="C1044" s="3" t="n">
        <v>45513</v>
      </c>
      <c r="D1044" s="4" t="s">
        <v>11</v>
      </c>
      <c r="E1044" s="5" t="s">
        <v>23</v>
      </c>
      <c r="F1044" s="5" t="s">
        <v>13</v>
      </c>
      <c r="G1044" s="6"/>
      <c r="H1044" s="7" t="n">
        <v>15</v>
      </c>
      <c r="I1044" s="7" t="n">
        <v>24</v>
      </c>
      <c r="J1044" s="7" t="n">
        <v>19</v>
      </c>
      <c r="K1044" s="7" t="n">
        <v>18</v>
      </c>
    </row>
    <row r="1045" customFormat="false" ht="25" hidden="false" customHeight="false" outlineLevel="0" collapsed="false">
      <c r="A1045" s="1" t="n">
        <v>64</v>
      </c>
      <c r="B1045" s="1" t="n">
        <v>2024</v>
      </c>
      <c r="C1045" s="3" t="n">
        <v>45513</v>
      </c>
      <c r="D1045" s="8" t="s">
        <v>11</v>
      </c>
      <c r="E1045" s="9" t="s">
        <v>24</v>
      </c>
      <c r="F1045" s="9" t="s">
        <v>13</v>
      </c>
      <c r="G1045" s="10"/>
      <c r="H1045" s="11" t="n">
        <v>48</v>
      </c>
      <c r="I1045" s="11" t="n">
        <v>72</v>
      </c>
      <c r="J1045" s="11" t="n">
        <v>60</v>
      </c>
      <c r="K1045" s="11" t="n">
        <v>60</v>
      </c>
    </row>
    <row r="1046" customFormat="false" ht="25" hidden="false" customHeight="false" outlineLevel="0" collapsed="false">
      <c r="A1046" s="1" t="n">
        <v>64</v>
      </c>
      <c r="B1046" s="1" t="n">
        <v>2024</v>
      </c>
      <c r="C1046" s="3" t="n">
        <v>45513</v>
      </c>
      <c r="D1046" s="4" t="s">
        <v>11</v>
      </c>
      <c r="E1046" s="5" t="s">
        <v>25</v>
      </c>
      <c r="F1046" s="5" t="s">
        <v>26</v>
      </c>
      <c r="G1046" s="7" t="n">
        <v>60</v>
      </c>
      <c r="H1046" s="7" t="n">
        <v>48</v>
      </c>
      <c r="I1046" s="7" t="n">
        <v>60</v>
      </c>
      <c r="J1046" s="7" t="n">
        <v>56</v>
      </c>
      <c r="K1046" s="7" t="n">
        <v>60</v>
      </c>
    </row>
    <row r="1047" customFormat="false" ht="25" hidden="false" customHeight="false" outlineLevel="0" collapsed="false">
      <c r="A1047" s="1" t="n">
        <v>64</v>
      </c>
      <c r="B1047" s="1" t="n">
        <v>2024</v>
      </c>
      <c r="C1047" s="3" t="n">
        <v>45513</v>
      </c>
      <c r="D1047" s="8" t="s">
        <v>11</v>
      </c>
      <c r="E1047" s="9" t="s">
        <v>27</v>
      </c>
      <c r="F1047" s="9" t="s">
        <v>13</v>
      </c>
      <c r="G1047" s="10"/>
      <c r="H1047" s="11" t="n">
        <v>45</v>
      </c>
      <c r="I1047" s="11" t="n">
        <v>60</v>
      </c>
      <c r="J1047" s="11" t="s">
        <v>78</v>
      </c>
      <c r="K1047" s="11" t="s">
        <v>78</v>
      </c>
    </row>
    <row r="1048" customFormat="false" ht="25" hidden="false" customHeight="false" outlineLevel="0" collapsed="false">
      <c r="A1048" s="1" t="n">
        <v>64</v>
      </c>
      <c r="B1048" s="1" t="n">
        <v>2024</v>
      </c>
      <c r="C1048" s="3" t="n">
        <v>45513</v>
      </c>
      <c r="D1048" s="4" t="s">
        <v>11</v>
      </c>
      <c r="E1048" s="5" t="s">
        <v>28</v>
      </c>
      <c r="F1048" s="5" t="s">
        <v>13</v>
      </c>
      <c r="G1048" s="6"/>
      <c r="H1048" s="7" t="n">
        <v>36</v>
      </c>
      <c r="I1048" s="7" t="n">
        <v>40</v>
      </c>
      <c r="J1048" s="7" t="n">
        <v>38</v>
      </c>
      <c r="K1048" s="7" t="n">
        <v>38</v>
      </c>
    </row>
    <row r="1049" customFormat="false" ht="25" hidden="false" customHeight="false" outlineLevel="0" collapsed="false">
      <c r="A1049" s="1" t="n">
        <v>64</v>
      </c>
      <c r="B1049" s="1" t="n">
        <v>2024</v>
      </c>
      <c r="C1049" s="3" t="n">
        <v>45513</v>
      </c>
      <c r="D1049" s="8" t="s">
        <v>11</v>
      </c>
      <c r="E1049" s="9" t="s">
        <v>29</v>
      </c>
      <c r="F1049" s="9" t="s">
        <v>13</v>
      </c>
      <c r="G1049" s="10"/>
      <c r="H1049" s="11" t="n">
        <v>42</v>
      </c>
      <c r="I1049" s="11" t="n">
        <v>54</v>
      </c>
      <c r="J1049" s="11" t="n">
        <v>48</v>
      </c>
      <c r="K1049" s="11" t="n">
        <v>48</v>
      </c>
    </row>
    <row r="1050" customFormat="false" ht="25" hidden="false" customHeight="false" outlineLevel="0" collapsed="false">
      <c r="A1050" s="1" t="n">
        <v>64</v>
      </c>
      <c r="B1050" s="1" t="n">
        <v>2024</v>
      </c>
      <c r="C1050" s="3" t="n">
        <v>45513</v>
      </c>
      <c r="D1050" s="4" t="s">
        <v>30</v>
      </c>
      <c r="E1050" s="5" t="s">
        <v>31</v>
      </c>
      <c r="F1050" s="5" t="s">
        <v>32</v>
      </c>
      <c r="G1050" s="7" t="n">
        <v>5</v>
      </c>
      <c r="H1050" s="7" t="n">
        <v>5</v>
      </c>
      <c r="I1050" s="7" t="n">
        <v>5</v>
      </c>
      <c r="J1050" s="7" t="n">
        <v>5</v>
      </c>
      <c r="K1050" s="7" t="n">
        <v>5</v>
      </c>
    </row>
    <row r="1051" customFormat="false" ht="25" hidden="false" customHeight="false" outlineLevel="0" collapsed="false">
      <c r="A1051" s="1" t="n">
        <v>64</v>
      </c>
      <c r="B1051" s="1" t="n">
        <v>2024</v>
      </c>
      <c r="C1051" s="3" t="n">
        <v>45513</v>
      </c>
      <c r="D1051" s="8" t="s">
        <v>30</v>
      </c>
      <c r="E1051" s="9" t="s">
        <v>34</v>
      </c>
      <c r="F1051" s="9" t="s">
        <v>35</v>
      </c>
      <c r="G1051" s="11" t="n">
        <v>12</v>
      </c>
      <c r="H1051" s="11" t="n">
        <v>10</v>
      </c>
      <c r="I1051" s="11" t="n">
        <v>12</v>
      </c>
      <c r="J1051" s="11" t="s">
        <v>298</v>
      </c>
      <c r="K1051" s="11" t="n">
        <v>12</v>
      </c>
    </row>
    <row r="1052" customFormat="false" ht="25" hidden="false" customHeight="false" outlineLevel="0" collapsed="false">
      <c r="A1052" s="1" t="n">
        <v>64</v>
      </c>
      <c r="B1052" s="1" t="n">
        <v>2024</v>
      </c>
      <c r="C1052" s="3" t="n">
        <v>45513</v>
      </c>
      <c r="D1052" s="4" t="s">
        <v>30</v>
      </c>
      <c r="E1052" s="5" t="s">
        <v>36</v>
      </c>
      <c r="F1052" s="5" t="s">
        <v>35</v>
      </c>
      <c r="G1052" s="6"/>
      <c r="H1052" s="7" t="n">
        <v>15</v>
      </c>
      <c r="I1052" s="7" t="n">
        <v>30</v>
      </c>
      <c r="J1052" s="7" t="s">
        <v>299</v>
      </c>
      <c r="K1052" s="7" t="n">
        <v>20</v>
      </c>
    </row>
    <row r="1053" customFormat="false" ht="36.5" hidden="false" customHeight="false" outlineLevel="0" collapsed="false">
      <c r="A1053" s="1" t="n">
        <v>64</v>
      </c>
      <c r="B1053" s="1" t="n">
        <v>2024</v>
      </c>
      <c r="C1053" s="3" t="n">
        <v>45513</v>
      </c>
      <c r="D1053" s="8" t="s">
        <v>38</v>
      </c>
      <c r="E1053" s="9" t="s">
        <v>153</v>
      </c>
      <c r="F1053" s="9" t="s">
        <v>154</v>
      </c>
      <c r="G1053" s="10"/>
      <c r="H1053" s="11" t="n">
        <v>75</v>
      </c>
      <c r="I1053" s="11" t="n">
        <v>80</v>
      </c>
      <c r="J1053" s="11" t="s">
        <v>134</v>
      </c>
      <c r="K1053" s="11" t="s">
        <v>134</v>
      </c>
    </row>
    <row r="1054" customFormat="false" ht="36.5" hidden="false" customHeight="false" outlineLevel="0" collapsed="false">
      <c r="A1054" s="1" t="n">
        <v>64</v>
      </c>
      <c r="B1054" s="1" t="n">
        <v>2024</v>
      </c>
      <c r="C1054" s="3" t="n">
        <v>45513</v>
      </c>
      <c r="D1054" s="4" t="s">
        <v>38</v>
      </c>
      <c r="E1054" s="5" t="s">
        <v>39</v>
      </c>
      <c r="F1054" s="5" t="s">
        <v>40</v>
      </c>
      <c r="G1054" s="7" t="n">
        <v>50</v>
      </c>
      <c r="H1054" s="7" t="n">
        <v>40</v>
      </c>
      <c r="I1054" s="7" t="n">
        <v>60</v>
      </c>
      <c r="J1054" s="7" t="n">
        <v>51</v>
      </c>
      <c r="K1054" s="7" t="n">
        <v>50</v>
      </c>
    </row>
    <row r="1055" customFormat="false" ht="36.5" hidden="false" customHeight="false" outlineLevel="0" collapsed="false">
      <c r="A1055" s="1" t="n">
        <v>64</v>
      </c>
      <c r="B1055" s="1" t="n">
        <v>2024</v>
      </c>
      <c r="C1055" s="3" t="n">
        <v>45513</v>
      </c>
      <c r="D1055" s="8" t="s">
        <v>38</v>
      </c>
      <c r="E1055" s="9" t="s">
        <v>42</v>
      </c>
      <c r="F1055" s="9" t="s">
        <v>43</v>
      </c>
      <c r="G1055" s="11" t="n">
        <v>70</v>
      </c>
      <c r="H1055" s="11" t="n">
        <v>40</v>
      </c>
      <c r="I1055" s="11" t="n">
        <v>70</v>
      </c>
      <c r="J1055" s="11" t="n">
        <v>55</v>
      </c>
      <c r="K1055" s="11" t="n">
        <v>50</v>
      </c>
    </row>
    <row r="1056" customFormat="false" ht="36.5" hidden="false" customHeight="false" outlineLevel="0" collapsed="false">
      <c r="A1056" s="1" t="n">
        <v>64</v>
      </c>
      <c r="B1056" s="1" t="n">
        <v>2024</v>
      </c>
      <c r="C1056" s="3" t="n">
        <v>45513</v>
      </c>
      <c r="D1056" s="4" t="s">
        <v>38</v>
      </c>
      <c r="E1056" s="5" t="s">
        <v>44</v>
      </c>
      <c r="F1056" s="5" t="s">
        <v>45</v>
      </c>
      <c r="G1056" s="7" t="n">
        <v>50</v>
      </c>
      <c r="H1056" s="7" t="n">
        <v>35</v>
      </c>
      <c r="I1056" s="7" t="n">
        <v>50</v>
      </c>
      <c r="J1056" s="7" t="n">
        <v>44</v>
      </c>
      <c r="K1056" s="7" t="n">
        <v>45</v>
      </c>
    </row>
    <row r="1057" customFormat="false" ht="36.5" hidden="false" customHeight="false" outlineLevel="0" collapsed="false">
      <c r="A1057" s="1" t="n">
        <v>64</v>
      </c>
      <c r="B1057" s="1" t="n">
        <v>2024</v>
      </c>
      <c r="C1057" s="3" t="n">
        <v>45513</v>
      </c>
      <c r="D1057" s="8" t="s">
        <v>38</v>
      </c>
      <c r="E1057" s="9" t="s">
        <v>48</v>
      </c>
      <c r="F1057" s="9" t="s">
        <v>45</v>
      </c>
      <c r="G1057" s="10"/>
      <c r="H1057" s="11" t="n">
        <v>90</v>
      </c>
      <c r="I1057" s="11" t="n">
        <v>100</v>
      </c>
      <c r="J1057" s="11" t="n">
        <v>95</v>
      </c>
      <c r="K1057" s="11" t="n">
        <v>95</v>
      </c>
    </row>
    <row r="1058" customFormat="false" ht="36.5" hidden="false" customHeight="false" outlineLevel="0" collapsed="false">
      <c r="A1058" s="1" t="n">
        <v>64</v>
      </c>
      <c r="B1058" s="1" t="n">
        <v>2024</v>
      </c>
      <c r="C1058" s="3" t="n">
        <v>45513</v>
      </c>
      <c r="D1058" s="4" t="s">
        <v>38</v>
      </c>
      <c r="E1058" s="5" t="s">
        <v>49</v>
      </c>
      <c r="F1058" s="5" t="s">
        <v>50</v>
      </c>
      <c r="G1058" s="7" t="n">
        <v>60</v>
      </c>
      <c r="H1058" s="7" t="n">
        <v>57</v>
      </c>
      <c r="I1058" s="7" t="n">
        <v>60</v>
      </c>
      <c r="J1058" s="7" t="s">
        <v>300</v>
      </c>
      <c r="K1058" s="7" t="n">
        <v>60</v>
      </c>
    </row>
    <row r="1059" customFormat="false" ht="36.5" hidden="false" customHeight="false" outlineLevel="0" collapsed="false">
      <c r="A1059" s="1" t="n">
        <v>64</v>
      </c>
      <c r="B1059" s="1" t="n">
        <v>2024</v>
      </c>
      <c r="C1059" s="3" t="n">
        <v>45513</v>
      </c>
      <c r="D1059" s="8" t="s">
        <v>38</v>
      </c>
      <c r="E1059" s="9" t="s">
        <v>52</v>
      </c>
      <c r="F1059" s="9" t="s">
        <v>43</v>
      </c>
      <c r="G1059" s="11" t="n">
        <v>60</v>
      </c>
      <c r="H1059" s="11" t="n">
        <v>40</v>
      </c>
      <c r="I1059" s="11" t="n">
        <v>60</v>
      </c>
      <c r="J1059" s="11" t="n">
        <v>55</v>
      </c>
      <c r="K1059" s="11" t="n">
        <v>60</v>
      </c>
    </row>
    <row r="1060" customFormat="false" ht="36.5" hidden="false" customHeight="false" outlineLevel="0" collapsed="false">
      <c r="A1060" s="1" t="n">
        <v>64</v>
      </c>
      <c r="B1060" s="1" t="n">
        <v>2024</v>
      </c>
      <c r="C1060" s="3" t="n">
        <v>45513</v>
      </c>
      <c r="D1060" s="4" t="s">
        <v>38</v>
      </c>
      <c r="E1060" s="5" t="s">
        <v>53</v>
      </c>
      <c r="F1060" s="5" t="s">
        <v>43</v>
      </c>
      <c r="G1060" s="7" t="n">
        <v>45</v>
      </c>
      <c r="H1060" s="7" t="n">
        <v>45</v>
      </c>
      <c r="I1060" s="7" t="n">
        <v>75</v>
      </c>
      <c r="J1060" s="7" t="n">
        <v>57</v>
      </c>
      <c r="K1060" s="7" t="n">
        <v>60</v>
      </c>
    </row>
    <row r="1061" customFormat="false" ht="36.5" hidden="false" customHeight="false" outlineLevel="0" collapsed="false">
      <c r="A1061" s="1" t="n">
        <v>64</v>
      </c>
      <c r="B1061" s="1" t="n">
        <v>2024</v>
      </c>
      <c r="C1061" s="3" t="n">
        <v>45513</v>
      </c>
      <c r="D1061" s="8" t="s">
        <v>38</v>
      </c>
      <c r="E1061" s="9" t="s">
        <v>54</v>
      </c>
      <c r="F1061" s="9" t="s">
        <v>40</v>
      </c>
      <c r="G1061" s="10"/>
      <c r="H1061" s="11" t="n">
        <v>70</v>
      </c>
      <c r="I1061" s="11" t="n">
        <v>100</v>
      </c>
      <c r="J1061" s="11" t="n">
        <v>85</v>
      </c>
      <c r="K1061" s="11" t="n">
        <v>85</v>
      </c>
    </row>
    <row r="1062" customFormat="false" ht="36.5" hidden="false" customHeight="false" outlineLevel="0" collapsed="false">
      <c r="A1062" s="1" t="n">
        <v>64</v>
      </c>
      <c r="B1062" s="1" t="n">
        <v>2024</v>
      </c>
      <c r="C1062" s="3" t="n">
        <v>45513</v>
      </c>
      <c r="D1062" s="4" t="s">
        <v>38</v>
      </c>
      <c r="E1062" s="5" t="s">
        <v>56</v>
      </c>
      <c r="F1062" s="5" t="s">
        <v>43</v>
      </c>
      <c r="G1062" s="6"/>
      <c r="H1062" s="7" t="n">
        <v>60</v>
      </c>
      <c r="I1062" s="7" t="n">
        <v>65</v>
      </c>
      <c r="J1062" s="7" t="s">
        <v>80</v>
      </c>
      <c r="K1062" s="7" t="s">
        <v>80</v>
      </c>
    </row>
    <row r="1063" customFormat="false" ht="36.5" hidden="false" customHeight="false" outlineLevel="0" collapsed="false">
      <c r="A1063" s="1" t="n">
        <v>64</v>
      </c>
      <c r="B1063" s="1" t="n">
        <v>2024</v>
      </c>
      <c r="C1063" s="3" t="n">
        <v>45513</v>
      </c>
      <c r="D1063" s="8" t="s">
        <v>38</v>
      </c>
      <c r="E1063" s="9" t="s">
        <v>57</v>
      </c>
      <c r="F1063" s="9" t="s">
        <v>40</v>
      </c>
      <c r="G1063" s="11" t="n">
        <v>50</v>
      </c>
      <c r="H1063" s="11" t="n">
        <v>50</v>
      </c>
      <c r="I1063" s="11" t="n">
        <v>60</v>
      </c>
      <c r="J1063" s="11" t="s">
        <v>92</v>
      </c>
      <c r="K1063" s="11" t="s">
        <v>78</v>
      </c>
    </row>
    <row r="1064" customFormat="false" ht="36.5" hidden="false" customHeight="false" outlineLevel="0" collapsed="false">
      <c r="A1064" s="1" t="n">
        <v>64</v>
      </c>
      <c r="B1064" s="1" t="n">
        <v>2024</v>
      </c>
      <c r="C1064" s="3" t="n">
        <v>45513</v>
      </c>
      <c r="D1064" s="4" t="s">
        <v>38</v>
      </c>
      <c r="E1064" s="5" t="s">
        <v>58</v>
      </c>
      <c r="F1064" s="5" t="s">
        <v>40</v>
      </c>
      <c r="G1064" s="7" t="n">
        <v>80</v>
      </c>
      <c r="H1064" s="7" t="n">
        <v>70</v>
      </c>
      <c r="I1064" s="7" t="n">
        <v>80</v>
      </c>
      <c r="J1064" s="7" t="n">
        <v>77</v>
      </c>
      <c r="K1064" s="7" t="n">
        <v>80</v>
      </c>
    </row>
    <row r="1065" customFormat="false" ht="36.5" hidden="false" customHeight="false" outlineLevel="0" collapsed="false">
      <c r="A1065" s="1" t="n">
        <v>64</v>
      </c>
      <c r="B1065" s="1" t="n">
        <v>2024</v>
      </c>
      <c r="C1065" s="3" t="n">
        <v>45513</v>
      </c>
      <c r="D1065" s="8" t="s">
        <v>38</v>
      </c>
      <c r="E1065" s="9" t="s">
        <v>59</v>
      </c>
      <c r="F1065" s="9" t="s">
        <v>45</v>
      </c>
      <c r="G1065" s="11" t="n">
        <v>50</v>
      </c>
      <c r="H1065" s="11" t="n">
        <v>45</v>
      </c>
      <c r="I1065" s="11" t="n">
        <v>70</v>
      </c>
      <c r="J1065" s="11" t="n">
        <v>54</v>
      </c>
      <c r="K1065" s="11" t="n">
        <v>50</v>
      </c>
    </row>
    <row r="1066" customFormat="false" ht="36.5" hidden="false" customHeight="false" outlineLevel="0" collapsed="false">
      <c r="A1066" s="1" t="n">
        <v>64</v>
      </c>
      <c r="B1066" s="1" t="n">
        <v>2024</v>
      </c>
      <c r="C1066" s="3" t="n">
        <v>45513</v>
      </c>
      <c r="D1066" s="4" t="s">
        <v>38</v>
      </c>
      <c r="E1066" s="5" t="s">
        <v>60</v>
      </c>
      <c r="F1066" s="5" t="s">
        <v>61</v>
      </c>
      <c r="G1066" s="7" t="n">
        <v>110</v>
      </c>
      <c r="H1066" s="7" t="n">
        <v>100</v>
      </c>
      <c r="I1066" s="7" t="n">
        <v>155</v>
      </c>
      <c r="J1066" s="7" t="s">
        <v>301</v>
      </c>
      <c r="K1066" s="7" t="n">
        <v>110</v>
      </c>
    </row>
    <row r="1067" customFormat="false" ht="36.5" hidden="false" customHeight="false" outlineLevel="0" collapsed="false">
      <c r="A1067" s="1" t="n">
        <v>64</v>
      </c>
      <c r="B1067" s="1" t="n">
        <v>2024</v>
      </c>
      <c r="C1067" s="3" t="n">
        <v>45513</v>
      </c>
      <c r="D1067" s="8" t="s">
        <v>38</v>
      </c>
      <c r="E1067" s="9" t="s">
        <v>63</v>
      </c>
      <c r="F1067" s="9" t="s">
        <v>40</v>
      </c>
      <c r="G1067" s="11" t="n">
        <v>60</v>
      </c>
      <c r="H1067" s="11" t="n">
        <v>60</v>
      </c>
      <c r="I1067" s="11" t="n">
        <v>80</v>
      </c>
      <c r="J1067" s="11" t="n">
        <v>66</v>
      </c>
      <c r="K1067" s="11" t="n">
        <v>60</v>
      </c>
    </row>
    <row r="1068" customFormat="false" ht="36.5" hidden="false" customHeight="false" outlineLevel="0" collapsed="false">
      <c r="A1068" s="1" t="n">
        <v>64</v>
      </c>
      <c r="B1068" s="1" t="n">
        <v>2024</v>
      </c>
      <c r="C1068" s="3" t="n">
        <v>45513</v>
      </c>
      <c r="D1068" s="4" t="s">
        <v>38</v>
      </c>
      <c r="E1068" s="5" t="s">
        <v>64</v>
      </c>
      <c r="F1068" s="5" t="s">
        <v>40</v>
      </c>
      <c r="G1068" s="6"/>
      <c r="H1068" s="7" t="n">
        <v>150</v>
      </c>
      <c r="I1068" s="7" t="n">
        <v>160</v>
      </c>
      <c r="J1068" s="7" t="n">
        <v>155</v>
      </c>
      <c r="K1068" s="7" t="n">
        <v>155</v>
      </c>
    </row>
    <row r="1069" customFormat="false" ht="14.25" hidden="false" customHeight="false" outlineLevel="0" collapsed="false">
      <c r="A1069" s="1" t="n">
        <v>64</v>
      </c>
      <c r="B1069" s="1" t="n">
        <v>2024</v>
      </c>
      <c r="C1069" s="3" t="n">
        <v>45513</v>
      </c>
      <c r="D1069" s="8" t="s">
        <v>65</v>
      </c>
      <c r="E1069" s="9" t="s">
        <v>66</v>
      </c>
      <c r="F1069" s="9" t="s">
        <v>45</v>
      </c>
      <c r="G1069" s="10"/>
      <c r="H1069" s="10"/>
      <c r="I1069" s="10"/>
      <c r="J1069" s="10"/>
      <c r="K1069" s="10"/>
    </row>
    <row r="1070" customFormat="false" ht="14.25" hidden="false" customHeight="false" outlineLevel="0" collapsed="false">
      <c r="A1070" s="1" t="n">
        <v>64</v>
      </c>
      <c r="B1070" s="1" t="n">
        <v>2024</v>
      </c>
      <c r="C1070" s="3" t="n">
        <v>45513</v>
      </c>
      <c r="D1070" s="4" t="s">
        <v>65</v>
      </c>
      <c r="E1070" s="5" t="s">
        <v>67</v>
      </c>
      <c r="F1070" s="5" t="s">
        <v>45</v>
      </c>
      <c r="G1070" s="6"/>
      <c r="H1070" s="6"/>
      <c r="I1070" s="6"/>
      <c r="J1070" s="6"/>
      <c r="K1070" s="6"/>
    </row>
    <row r="1071" customFormat="false" ht="14.25" hidden="false" customHeight="false" outlineLevel="0" collapsed="false">
      <c r="A1071" s="1" t="n">
        <v>64</v>
      </c>
      <c r="B1071" s="1" t="n">
        <v>2024</v>
      </c>
      <c r="C1071" s="3" t="n">
        <v>45513</v>
      </c>
      <c r="D1071" s="8" t="s">
        <v>65</v>
      </c>
      <c r="E1071" s="9" t="s">
        <v>68</v>
      </c>
      <c r="F1071" s="9" t="s">
        <v>45</v>
      </c>
      <c r="G1071" s="10"/>
      <c r="H1071" s="10"/>
      <c r="I1071" s="10"/>
      <c r="J1071" s="10"/>
      <c r="K1071" s="10"/>
    </row>
    <row r="1072" customFormat="false" ht="14.25" hidden="false" customHeight="false" outlineLevel="0" collapsed="false">
      <c r="A1072" s="1" t="n">
        <v>64</v>
      </c>
      <c r="B1072" s="1" t="n">
        <v>2024</v>
      </c>
      <c r="C1072" s="3" t="n">
        <v>45513</v>
      </c>
      <c r="D1072" s="4" t="s">
        <v>65</v>
      </c>
      <c r="E1072" s="5" t="s">
        <v>69</v>
      </c>
      <c r="F1072" s="5" t="s">
        <v>45</v>
      </c>
      <c r="G1072" s="6"/>
      <c r="H1072" s="7" t="n">
        <v>60</v>
      </c>
      <c r="I1072" s="7" t="n">
        <v>60</v>
      </c>
      <c r="J1072" s="7" t="n">
        <v>60</v>
      </c>
      <c r="K1072" s="7" t="n">
        <v>60</v>
      </c>
    </row>
    <row r="1073" customFormat="false" ht="14.25" hidden="false" customHeight="false" outlineLevel="0" collapsed="false">
      <c r="A1073" s="1" t="n">
        <v>64</v>
      </c>
      <c r="B1073" s="1" t="n">
        <v>2024</v>
      </c>
      <c r="C1073" s="3" t="n">
        <v>45513</v>
      </c>
      <c r="D1073" s="8" t="s">
        <v>65</v>
      </c>
      <c r="E1073" s="9" t="s">
        <v>70</v>
      </c>
      <c r="F1073" s="9" t="s">
        <v>71</v>
      </c>
      <c r="G1073" s="10"/>
      <c r="H1073" s="10"/>
      <c r="I1073" s="10"/>
      <c r="J1073" s="10"/>
      <c r="K1073" s="10"/>
    </row>
    <row r="1074" customFormat="false" ht="25" hidden="false" customHeight="false" outlineLevel="0" collapsed="false">
      <c r="A1074" s="1" t="n">
        <v>65</v>
      </c>
      <c r="B1074" s="1" t="n">
        <v>2024</v>
      </c>
      <c r="C1074" s="3" t="n">
        <v>45520</v>
      </c>
      <c r="D1074" s="4" t="s">
        <v>11</v>
      </c>
      <c r="E1074" s="5" t="s">
        <v>12</v>
      </c>
      <c r="F1074" s="5" t="s">
        <v>13</v>
      </c>
      <c r="G1074" s="7" t="n">
        <v>48</v>
      </c>
      <c r="H1074" s="7" t="n">
        <v>48</v>
      </c>
      <c r="I1074" s="7" t="n">
        <v>80</v>
      </c>
      <c r="J1074" s="7" t="n">
        <v>56</v>
      </c>
      <c r="K1074" s="7" t="n">
        <v>48</v>
      </c>
    </row>
    <row r="1075" customFormat="false" ht="25" hidden="false" customHeight="false" outlineLevel="0" collapsed="false">
      <c r="A1075" s="1" t="n">
        <v>65</v>
      </c>
      <c r="B1075" s="1" t="n">
        <v>2024</v>
      </c>
      <c r="C1075" s="3" t="n">
        <v>45520</v>
      </c>
      <c r="D1075" s="8" t="s">
        <v>11</v>
      </c>
      <c r="E1075" s="9" t="s">
        <v>14</v>
      </c>
      <c r="F1075" s="9" t="s">
        <v>13</v>
      </c>
      <c r="G1075" s="11" t="n">
        <v>72</v>
      </c>
      <c r="H1075" s="11" t="n">
        <v>72</v>
      </c>
      <c r="I1075" s="11" t="n">
        <v>84</v>
      </c>
      <c r="J1075" s="11" t="n">
        <v>77</v>
      </c>
      <c r="K1075" s="11" t="n">
        <v>76</v>
      </c>
    </row>
    <row r="1076" customFormat="false" ht="25" hidden="false" customHeight="false" outlineLevel="0" collapsed="false">
      <c r="A1076" s="1" t="n">
        <v>65</v>
      </c>
      <c r="B1076" s="1" t="n">
        <v>2024</v>
      </c>
      <c r="C1076" s="3" t="n">
        <v>45520</v>
      </c>
      <c r="D1076" s="4" t="s">
        <v>11</v>
      </c>
      <c r="E1076" s="5" t="s">
        <v>15</v>
      </c>
      <c r="F1076" s="5" t="s">
        <v>13</v>
      </c>
      <c r="G1076" s="7" t="n">
        <v>36</v>
      </c>
      <c r="H1076" s="7" t="n">
        <v>30</v>
      </c>
      <c r="I1076" s="7" t="n">
        <v>142</v>
      </c>
      <c r="J1076" s="7" t="s">
        <v>302</v>
      </c>
      <c r="K1076" s="7" t="n">
        <v>36</v>
      </c>
    </row>
    <row r="1077" customFormat="false" ht="25" hidden="false" customHeight="false" outlineLevel="0" collapsed="false">
      <c r="A1077" s="1" t="n">
        <v>65</v>
      </c>
      <c r="B1077" s="1" t="n">
        <v>2024</v>
      </c>
      <c r="C1077" s="3" t="n">
        <v>45520</v>
      </c>
      <c r="D1077" s="8" t="s">
        <v>11</v>
      </c>
      <c r="E1077" s="9" t="s">
        <v>16</v>
      </c>
      <c r="F1077" s="9" t="s">
        <v>13</v>
      </c>
      <c r="G1077" s="11" t="n">
        <v>24</v>
      </c>
      <c r="H1077" s="11" t="n">
        <v>18</v>
      </c>
      <c r="I1077" s="11" t="n">
        <v>36</v>
      </c>
      <c r="J1077" s="11" t="s">
        <v>282</v>
      </c>
      <c r="K1077" s="11" t="n">
        <v>24</v>
      </c>
    </row>
    <row r="1078" customFormat="false" ht="25" hidden="false" customHeight="false" outlineLevel="0" collapsed="false">
      <c r="A1078" s="1" t="n">
        <v>65</v>
      </c>
      <c r="B1078" s="1" t="n">
        <v>2024</v>
      </c>
      <c r="C1078" s="3" t="n">
        <v>45520</v>
      </c>
      <c r="D1078" s="4" t="s">
        <v>11</v>
      </c>
      <c r="E1078" s="5" t="s">
        <v>17</v>
      </c>
      <c r="F1078" s="5" t="s">
        <v>13</v>
      </c>
      <c r="G1078" s="7" t="n">
        <v>24</v>
      </c>
      <c r="H1078" s="7" t="n">
        <v>18</v>
      </c>
      <c r="I1078" s="7" t="n">
        <v>24</v>
      </c>
      <c r="J1078" s="7" t="s">
        <v>281</v>
      </c>
      <c r="K1078" s="7" t="n">
        <v>24</v>
      </c>
    </row>
    <row r="1079" customFormat="false" ht="25" hidden="false" customHeight="false" outlineLevel="0" collapsed="false">
      <c r="A1079" s="1" t="n">
        <v>65</v>
      </c>
      <c r="B1079" s="1" t="n">
        <v>2024</v>
      </c>
      <c r="C1079" s="3" t="n">
        <v>45520</v>
      </c>
      <c r="D1079" s="8" t="s">
        <v>11</v>
      </c>
      <c r="E1079" s="9" t="s">
        <v>18</v>
      </c>
      <c r="F1079" s="9" t="s">
        <v>13</v>
      </c>
      <c r="G1079" s="11" t="n">
        <v>60</v>
      </c>
      <c r="H1079" s="11" t="n">
        <v>60</v>
      </c>
      <c r="I1079" s="11" t="n">
        <v>60</v>
      </c>
      <c r="J1079" s="11" t="n">
        <v>60</v>
      </c>
      <c r="K1079" s="11" t="n">
        <v>60</v>
      </c>
    </row>
    <row r="1080" customFormat="false" ht="25" hidden="false" customHeight="false" outlineLevel="0" collapsed="false">
      <c r="A1080" s="1" t="n">
        <v>65</v>
      </c>
      <c r="B1080" s="1" t="n">
        <v>2024</v>
      </c>
      <c r="C1080" s="3" t="n">
        <v>45520</v>
      </c>
      <c r="D1080" s="4" t="s">
        <v>11</v>
      </c>
      <c r="E1080" s="5" t="s">
        <v>19</v>
      </c>
      <c r="F1080" s="5" t="s">
        <v>13</v>
      </c>
      <c r="G1080" s="7" t="n">
        <v>72</v>
      </c>
      <c r="H1080" s="7" t="n">
        <v>60</v>
      </c>
      <c r="I1080" s="7" t="n">
        <v>84</v>
      </c>
      <c r="J1080" s="7" t="n">
        <v>72</v>
      </c>
      <c r="K1080" s="7" t="n">
        <v>72</v>
      </c>
    </row>
    <row r="1081" customFormat="false" ht="25" hidden="false" customHeight="false" outlineLevel="0" collapsed="false">
      <c r="A1081" s="1" t="n">
        <v>65</v>
      </c>
      <c r="B1081" s="1" t="n">
        <v>2024</v>
      </c>
      <c r="C1081" s="3" t="n">
        <v>45520</v>
      </c>
      <c r="D1081" s="8" t="s">
        <v>11</v>
      </c>
      <c r="E1081" s="9" t="s">
        <v>20</v>
      </c>
      <c r="F1081" s="9" t="s">
        <v>13</v>
      </c>
      <c r="G1081" s="11" t="n">
        <v>84</v>
      </c>
      <c r="H1081" s="11" t="n">
        <v>60</v>
      </c>
      <c r="I1081" s="11" t="n">
        <v>84</v>
      </c>
      <c r="J1081" s="11" t="s">
        <v>280</v>
      </c>
      <c r="K1081" s="11" t="n">
        <v>72</v>
      </c>
    </row>
    <row r="1082" customFormat="false" ht="25" hidden="false" customHeight="false" outlineLevel="0" collapsed="false">
      <c r="A1082" s="1" t="n">
        <v>65</v>
      </c>
      <c r="B1082" s="1" t="n">
        <v>2024</v>
      </c>
      <c r="C1082" s="3" t="n">
        <v>45520</v>
      </c>
      <c r="D1082" s="4" t="s">
        <v>11</v>
      </c>
      <c r="E1082" s="5" t="s">
        <v>21</v>
      </c>
      <c r="F1082" s="5" t="s">
        <v>13</v>
      </c>
      <c r="G1082" s="7" t="n">
        <v>24</v>
      </c>
      <c r="H1082" s="7" t="n">
        <v>18</v>
      </c>
      <c r="I1082" s="7" t="n">
        <v>25</v>
      </c>
      <c r="J1082" s="7" t="s">
        <v>291</v>
      </c>
      <c r="K1082" s="7" t="n">
        <v>24</v>
      </c>
    </row>
    <row r="1083" customFormat="false" ht="25" hidden="false" customHeight="false" outlineLevel="0" collapsed="false">
      <c r="A1083" s="1" t="n">
        <v>65</v>
      </c>
      <c r="B1083" s="1" t="n">
        <v>2024</v>
      </c>
      <c r="C1083" s="3" t="n">
        <v>45520</v>
      </c>
      <c r="D1083" s="8" t="s">
        <v>11</v>
      </c>
      <c r="E1083" s="9" t="s">
        <v>73</v>
      </c>
      <c r="F1083" s="9" t="s">
        <v>13</v>
      </c>
      <c r="G1083" s="11" t="n">
        <v>72</v>
      </c>
      <c r="H1083" s="11" t="n">
        <v>72</v>
      </c>
      <c r="I1083" s="11" t="n">
        <v>84</v>
      </c>
      <c r="J1083" s="11" t="n">
        <v>75</v>
      </c>
      <c r="K1083" s="11" t="n">
        <v>72</v>
      </c>
    </row>
    <row r="1084" customFormat="false" ht="25" hidden="false" customHeight="false" outlineLevel="0" collapsed="false">
      <c r="A1084" s="1" t="n">
        <v>65</v>
      </c>
      <c r="B1084" s="1" t="n">
        <v>2024</v>
      </c>
      <c r="C1084" s="3" t="n">
        <v>45520</v>
      </c>
      <c r="D1084" s="4" t="s">
        <v>11</v>
      </c>
      <c r="E1084" s="5" t="s">
        <v>23</v>
      </c>
      <c r="F1084" s="5" t="s">
        <v>13</v>
      </c>
      <c r="G1084" s="7" t="n">
        <v>24</v>
      </c>
      <c r="H1084" s="7" t="n">
        <v>18</v>
      </c>
      <c r="I1084" s="7" t="n">
        <v>24</v>
      </c>
      <c r="J1084" s="7" t="s">
        <v>281</v>
      </c>
      <c r="K1084" s="7" t="n">
        <v>24</v>
      </c>
    </row>
    <row r="1085" customFormat="false" ht="25" hidden="false" customHeight="false" outlineLevel="0" collapsed="false">
      <c r="A1085" s="1" t="n">
        <v>65</v>
      </c>
      <c r="B1085" s="1" t="n">
        <v>2024</v>
      </c>
      <c r="C1085" s="3" t="n">
        <v>45520</v>
      </c>
      <c r="D1085" s="8" t="s">
        <v>11</v>
      </c>
      <c r="E1085" s="9" t="s">
        <v>24</v>
      </c>
      <c r="F1085" s="9" t="s">
        <v>13</v>
      </c>
      <c r="G1085" s="11" t="n">
        <v>60</v>
      </c>
      <c r="H1085" s="11" t="n">
        <v>60</v>
      </c>
      <c r="I1085" s="11" t="n">
        <v>72</v>
      </c>
      <c r="J1085" s="11" t="n">
        <v>63</v>
      </c>
      <c r="K1085" s="11" t="n">
        <v>60</v>
      </c>
    </row>
    <row r="1086" customFormat="false" ht="25" hidden="false" customHeight="false" outlineLevel="0" collapsed="false">
      <c r="A1086" s="1" t="n">
        <v>65</v>
      </c>
      <c r="B1086" s="1" t="n">
        <v>2024</v>
      </c>
      <c r="C1086" s="3" t="n">
        <v>45520</v>
      </c>
      <c r="D1086" s="4" t="s">
        <v>11</v>
      </c>
      <c r="E1086" s="5" t="s">
        <v>25</v>
      </c>
      <c r="F1086" s="5" t="s">
        <v>26</v>
      </c>
      <c r="G1086" s="7" t="n">
        <v>60</v>
      </c>
      <c r="H1086" s="7" t="n">
        <v>48</v>
      </c>
      <c r="I1086" s="7" t="n">
        <v>60</v>
      </c>
      <c r="J1086" s="7" t="s">
        <v>292</v>
      </c>
      <c r="K1086" s="7" t="n">
        <v>60</v>
      </c>
    </row>
    <row r="1087" customFormat="false" ht="25" hidden="false" customHeight="false" outlineLevel="0" collapsed="false">
      <c r="A1087" s="1" t="n">
        <v>65</v>
      </c>
      <c r="B1087" s="1" t="n">
        <v>2024</v>
      </c>
      <c r="C1087" s="3" t="n">
        <v>45520</v>
      </c>
      <c r="D1087" s="8" t="s">
        <v>11</v>
      </c>
      <c r="E1087" s="9" t="s">
        <v>27</v>
      </c>
      <c r="F1087" s="9" t="s">
        <v>13</v>
      </c>
      <c r="G1087" s="11" t="n">
        <v>48</v>
      </c>
      <c r="H1087" s="11" t="n">
        <v>45</v>
      </c>
      <c r="I1087" s="11" t="n">
        <v>72</v>
      </c>
      <c r="J1087" s="11" t="s">
        <v>303</v>
      </c>
      <c r="K1087" s="11" t="n">
        <v>48</v>
      </c>
    </row>
    <row r="1088" customFormat="false" ht="25" hidden="false" customHeight="false" outlineLevel="0" collapsed="false">
      <c r="A1088" s="1" t="n">
        <v>65</v>
      </c>
      <c r="B1088" s="1" t="n">
        <v>2024</v>
      </c>
      <c r="C1088" s="3" t="n">
        <v>45520</v>
      </c>
      <c r="D1088" s="4" t="s">
        <v>11</v>
      </c>
      <c r="E1088" s="5" t="s">
        <v>28</v>
      </c>
      <c r="F1088" s="5" t="s">
        <v>13</v>
      </c>
      <c r="G1088" s="7" t="n">
        <v>40</v>
      </c>
      <c r="H1088" s="7" t="n">
        <v>36</v>
      </c>
      <c r="I1088" s="7" t="n">
        <v>42</v>
      </c>
      <c r="J1088" s="7" t="s">
        <v>304</v>
      </c>
      <c r="K1088" s="7" t="n">
        <v>40</v>
      </c>
    </row>
    <row r="1089" customFormat="false" ht="25" hidden="false" customHeight="false" outlineLevel="0" collapsed="false">
      <c r="A1089" s="1" t="n">
        <v>65</v>
      </c>
      <c r="B1089" s="1" t="n">
        <v>2024</v>
      </c>
      <c r="C1089" s="3" t="n">
        <v>45520</v>
      </c>
      <c r="D1089" s="8" t="s">
        <v>11</v>
      </c>
      <c r="E1089" s="9" t="s">
        <v>29</v>
      </c>
      <c r="F1089" s="9" t="s">
        <v>13</v>
      </c>
      <c r="G1089" s="11" t="n">
        <v>48</v>
      </c>
      <c r="H1089" s="11" t="n">
        <v>48</v>
      </c>
      <c r="I1089" s="11" t="n">
        <v>54</v>
      </c>
      <c r="J1089" s="11" t="s">
        <v>305</v>
      </c>
      <c r="K1089" s="11" t="n">
        <v>48</v>
      </c>
    </row>
    <row r="1090" customFormat="false" ht="25" hidden="false" customHeight="false" outlineLevel="0" collapsed="false">
      <c r="A1090" s="1" t="n">
        <v>65</v>
      </c>
      <c r="B1090" s="1" t="n">
        <v>2024</v>
      </c>
      <c r="C1090" s="3" t="n">
        <v>45520</v>
      </c>
      <c r="D1090" s="4" t="s">
        <v>11</v>
      </c>
      <c r="E1090" s="5" t="s">
        <v>31</v>
      </c>
      <c r="F1090" s="5" t="s">
        <v>32</v>
      </c>
      <c r="G1090" s="7" t="n">
        <v>48</v>
      </c>
      <c r="H1090" s="7" t="n">
        <v>48</v>
      </c>
      <c r="I1090" s="7" t="n">
        <v>80</v>
      </c>
      <c r="J1090" s="7" t="n">
        <v>56</v>
      </c>
      <c r="K1090" s="7" t="n">
        <v>48</v>
      </c>
    </row>
    <row r="1091" customFormat="false" ht="25" hidden="false" customHeight="false" outlineLevel="0" collapsed="false">
      <c r="A1091" s="1" t="n">
        <v>65</v>
      </c>
      <c r="B1091" s="1" t="n">
        <v>2024</v>
      </c>
      <c r="C1091" s="3" t="n">
        <v>45520</v>
      </c>
      <c r="D1091" s="8" t="s">
        <v>11</v>
      </c>
      <c r="E1091" s="9" t="s">
        <v>34</v>
      </c>
      <c r="F1091" s="9" t="s">
        <v>35</v>
      </c>
      <c r="G1091" s="11" t="n">
        <v>72</v>
      </c>
      <c r="H1091" s="11" t="n">
        <v>72</v>
      </c>
      <c r="I1091" s="11" t="n">
        <v>84</v>
      </c>
      <c r="J1091" s="11" t="n">
        <v>77</v>
      </c>
      <c r="K1091" s="11" t="n">
        <v>76</v>
      </c>
    </row>
    <row r="1092" customFormat="false" ht="25" hidden="false" customHeight="false" outlineLevel="0" collapsed="false">
      <c r="A1092" s="1" t="n">
        <v>65</v>
      </c>
      <c r="B1092" s="1" t="n">
        <v>2024</v>
      </c>
      <c r="C1092" s="3" t="n">
        <v>45520</v>
      </c>
      <c r="D1092" s="4" t="s">
        <v>11</v>
      </c>
      <c r="E1092" s="5" t="s">
        <v>36</v>
      </c>
      <c r="F1092" s="5" t="s">
        <v>35</v>
      </c>
      <c r="G1092" s="7" t="n">
        <v>36</v>
      </c>
      <c r="H1092" s="7" t="n">
        <v>30</v>
      </c>
      <c r="I1092" s="7" t="n">
        <v>142</v>
      </c>
      <c r="J1092" s="7" t="s">
        <v>302</v>
      </c>
      <c r="K1092" s="7" t="n">
        <v>36</v>
      </c>
    </row>
    <row r="1093" customFormat="false" ht="36.5" hidden="false" customHeight="false" outlineLevel="0" collapsed="false">
      <c r="A1093" s="1" t="n">
        <v>65</v>
      </c>
      <c r="B1093" s="1" t="n">
        <v>2024</v>
      </c>
      <c r="C1093" s="3" t="n">
        <v>45520</v>
      </c>
      <c r="D1093" s="8" t="s">
        <v>38</v>
      </c>
      <c r="E1093" s="9" t="s">
        <v>153</v>
      </c>
      <c r="F1093" s="9" t="s">
        <v>154</v>
      </c>
      <c r="G1093" s="10"/>
      <c r="H1093" s="11" t="n">
        <v>70</v>
      </c>
      <c r="I1093" s="11" t="n">
        <v>70</v>
      </c>
      <c r="J1093" s="11" t="n">
        <v>70</v>
      </c>
      <c r="K1093" s="11" t="n">
        <v>70</v>
      </c>
    </row>
    <row r="1094" customFormat="false" ht="36.5" hidden="false" customHeight="false" outlineLevel="0" collapsed="false">
      <c r="A1094" s="1" t="n">
        <v>65</v>
      </c>
      <c r="B1094" s="1" t="n">
        <v>2024</v>
      </c>
      <c r="C1094" s="3" t="n">
        <v>45520</v>
      </c>
      <c r="D1094" s="4" t="s">
        <v>38</v>
      </c>
      <c r="E1094" s="5" t="s">
        <v>39</v>
      </c>
      <c r="F1094" s="5" t="s">
        <v>40</v>
      </c>
      <c r="G1094" s="7" t="n">
        <v>80</v>
      </c>
      <c r="H1094" s="7" t="n">
        <v>70</v>
      </c>
      <c r="I1094" s="7" t="n">
        <v>80</v>
      </c>
      <c r="J1094" s="7" t="n">
        <v>75</v>
      </c>
      <c r="K1094" s="7" t="n">
        <v>75</v>
      </c>
    </row>
    <row r="1095" customFormat="false" ht="36.5" hidden="false" customHeight="false" outlineLevel="0" collapsed="false">
      <c r="A1095" s="1" t="n">
        <v>65</v>
      </c>
      <c r="B1095" s="1" t="n">
        <v>2024</v>
      </c>
      <c r="C1095" s="3" t="n">
        <v>45520</v>
      </c>
      <c r="D1095" s="8" t="s">
        <v>38</v>
      </c>
      <c r="E1095" s="9" t="s">
        <v>42</v>
      </c>
      <c r="F1095" s="9" t="s">
        <v>43</v>
      </c>
      <c r="G1095" s="11" t="n">
        <v>70</v>
      </c>
      <c r="H1095" s="11" t="n">
        <v>30</v>
      </c>
      <c r="I1095" s="11" t="n">
        <v>70</v>
      </c>
      <c r="J1095" s="11" t="n">
        <v>53</v>
      </c>
      <c r="K1095" s="11" t="n">
        <v>50</v>
      </c>
    </row>
    <row r="1096" customFormat="false" ht="36.5" hidden="false" customHeight="false" outlineLevel="0" collapsed="false">
      <c r="A1096" s="1" t="n">
        <v>65</v>
      </c>
      <c r="B1096" s="1" t="n">
        <v>2024</v>
      </c>
      <c r="C1096" s="3" t="n">
        <v>45520</v>
      </c>
      <c r="D1096" s="4" t="s">
        <v>38</v>
      </c>
      <c r="E1096" s="5" t="s">
        <v>44</v>
      </c>
      <c r="F1096" s="5" t="s">
        <v>45</v>
      </c>
      <c r="G1096" s="7" t="n">
        <v>50</v>
      </c>
      <c r="H1096" s="7" t="n">
        <v>45</v>
      </c>
      <c r="I1096" s="7" t="n">
        <v>60</v>
      </c>
      <c r="J1096" s="7" t="s">
        <v>254</v>
      </c>
      <c r="K1096" s="7" t="n">
        <v>50</v>
      </c>
    </row>
    <row r="1097" customFormat="false" ht="36.5" hidden="false" customHeight="false" outlineLevel="0" collapsed="false">
      <c r="A1097" s="1" t="n">
        <v>65</v>
      </c>
      <c r="B1097" s="1" t="n">
        <v>2024</v>
      </c>
      <c r="C1097" s="3" t="n">
        <v>45520</v>
      </c>
      <c r="D1097" s="8" t="s">
        <v>38</v>
      </c>
      <c r="E1097" s="9" t="s">
        <v>48</v>
      </c>
      <c r="F1097" s="9" t="s">
        <v>45</v>
      </c>
      <c r="G1097" s="10"/>
      <c r="H1097" s="11" t="n">
        <v>90</v>
      </c>
      <c r="I1097" s="11" t="n">
        <v>100</v>
      </c>
      <c r="J1097" s="11" t="n">
        <v>95</v>
      </c>
      <c r="K1097" s="11" t="n">
        <v>95</v>
      </c>
    </row>
    <row r="1098" customFormat="false" ht="36.5" hidden="false" customHeight="false" outlineLevel="0" collapsed="false">
      <c r="A1098" s="1" t="n">
        <v>65</v>
      </c>
      <c r="B1098" s="1" t="n">
        <v>2024</v>
      </c>
      <c r="C1098" s="3" t="n">
        <v>45520</v>
      </c>
      <c r="D1098" s="4" t="s">
        <v>38</v>
      </c>
      <c r="E1098" s="5" t="s">
        <v>49</v>
      </c>
      <c r="F1098" s="5" t="s">
        <v>50</v>
      </c>
      <c r="G1098" s="7" t="n">
        <v>70</v>
      </c>
      <c r="H1098" s="7" t="n">
        <v>60</v>
      </c>
      <c r="I1098" s="7" t="n">
        <v>70</v>
      </c>
      <c r="J1098" s="7" t="n">
        <v>65</v>
      </c>
      <c r="K1098" s="7" t="n">
        <v>65</v>
      </c>
    </row>
    <row r="1099" customFormat="false" ht="36.5" hidden="false" customHeight="false" outlineLevel="0" collapsed="false">
      <c r="A1099" s="1" t="n">
        <v>65</v>
      </c>
      <c r="B1099" s="1" t="n">
        <v>2024</v>
      </c>
      <c r="C1099" s="3" t="n">
        <v>45520</v>
      </c>
      <c r="D1099" s="8" t="s">
        <v>38</v>
      </c>
      <c r="E1099" s="9" t="s">
        <v>52</v>
      </c>
      <c r="F1099" s="9" t="s">
        <v>43</v>
      </c>
      <c r="G1099" s="11" t="n">
        <v>60</v>
      </c>
      <c r="H1099" s="11" t="n">
        <v>45</v>
      </c>
      <c r="I1099" s="11" t="n">
        <v>60</v>
      </c>
      <c r="J1099" s="11" t="s">
        <v>92</v>
      </c>
      <c r="K1099" s="11" t="n">
        <v>55</v>
      </c>
    </row>
    <row r="1100" customFormat="false" ht="36.5" hidden="false" customHeight="false" outlineLevel="0" collapsed="false">
      <c r="A1100" s="1" t="n">
        <v>65</v>
      </c>
      <c r="B1100" s="1" t="n">
        <v>2024</v>
      </c>
      <c r="C1100" s="3" t="n">
        <v>45520</v>
      </c>
      <c r="D1100" s="4" t="s">
        <v>38</v>
      </c>
      <c r="E1100" s="5" t="s">
        <v>53</v>
      </c>
      <c r="F1100" s="5" t="s">
        <v>43</v>
      </c>
      <c r="G1100" s="6"/>
      <c r="H1100" s="7" t="n">
        <v>50</v>
      </c>
      <c r="I1100" s="7" t="n">
        <v>70</v>
      </c>
      <c r="J1100" s="7" t="s">
        <v>225</v>
      </c>
      <c r="K1100" s="7" t="s">
        <v>80</v>
      </c>
    </row>
    <row r="1101" customFormat="false" ht="36.5" hidden="false" customHeight="false" outlineLevel="0" collapsed="false">
      <c r="A1101" s="1" t="n">
        <v>65</v>
      </c>
      <c r="B1101" s="1" t="n">
        <v>2024</v>
      </c>
      <c r="C1101" s="3" t="n">
        <v>45520</v>
      </c>
      <c r="D1101" s="8" t="s">
        <v>38</v>
      </c>
      <c r="E1101" s="9" t="s">
        <v>54</v>
      </c>
      <c r="F1101" s="9" t="s">
        <v>40</v>
      </c>
      <c r="G1101" s="10"/>
      <c r="H1101" s="11" t="n">
        <v>70</v>
      </c>
      <c r="I1101" s="11" t="n">
        <v>100</v>
      </c>
      <c r="J1101" s="11" t="s">
        <v>244</v>
      </c>
      <c r="K1101" s="11" t="n">
        <v>90</v>
      </c>
    </row>
    <row r="1102" customFormat="false" ht="36.5" hidden="false" customHeight="false" outlineLevel="0" collapsed="false">
      <c r="A1102" s="1" t="n">
        <v>65</v>
      </c>
      <c r="B1102" s="1" t="n">
        <v>2024</v>
      </c>
      <c r="C1102" s="3" t="n">
        <v>45520</v>
      </c>
      <c r="D1102" s="4" t="s">
        <v>38</v>
      </c>
      <c r="E1102" s="5" t="s">
        <v>56</v>
      </c>
      <c r="F1102" s="5" t="s">
        <v>43</v>
      </c>
      <c r="G1102" s="6"/>
      <c r="H1102" s="7" t="n">
        <v>60</v>
      </c>
      <c r="I1102" s="7" t="n">
        <v>65</v>
      </c>
      <c r="J1102" s="7" t="s">
        <v>80</v>
      </c>
      <c r="K1102" s="7" t="s">
        <v>80</v>
      </c>
    </row>
    <row r="1103" customFormat="false" ht="36.5" hidden="false" customHeight="false" outlineLevel="0" collapsed="false">
      <c r="A1103" s="1" t="n">
        <v>65</v>
      </c>
      <c r="B1103" s="1" t="n">
        <v>2024</v>
      </c>
      <c r="C1103" s="3" t="n">
        <v>45520</v>
      </c>
      <c r="D1103" s="8" t="s">
        <v>38</v>
      </c>
      <c r="E1103" s="9" t="s">
        <v>57</v>
      </c>
      <c r="F1103" s="9" t="s">
        <v>40</v>
      </c>
      <c r="G1103" s="10"/>
      <c r="H1103" s="11" t="n">
        <v>55</v>
      </c>
      <c r="I1103" s="11" t="n">
        <v>80</v>
      </c>
      <c r="J1103" s="11" t="s">
        <v>265</v>
      </c>
      <c r="K1103" s="11" t="n">
        <v>65</v>
      </c>
    </row>
    <row r="1104" customFormat="false" ht="36.5" hidden="false" customHeight="false" outlineLevel="0" collapsed="false">
      <c r="A1104" s="1" t="n">
        <v>65</v>
      </c>
      <c r="B1104" s="1" t="n">
        <v>2024</v>
      </c>
      <c r="C1104" s="3" t="n">
        <v>45520</v>
      </c>
      <c r="D1104" s="4" t="s">
        <v>38</v>
      </c>
      <c r="E1104" s="5" t="s">
        <v>58</v>
      </c>
      <c r="F1104" s="5" t="s">
        <v>40</v>
      </c>
      <c r="G1104" s="7" t="n">
        <v>90</v>
      </c>
      <c r="H1104" s="7" t="n">
        <v>70</v>
      </c>
      <c r="I1104" s="7" t="n">
        <v>100</v>
      </c>
      <c r="J1104" s="7" t="n">
        <v>86</v>
      </c>
      <c r="K1104" s="7" t="n">
        <v>90</v>
      </c>
    </row>
    <row r="1105" customFormat="false" ht="36.5" hidden="false" customHeight="false" outlineLevel="0" collapsed="false">
      <c r="A1105" s="1" t="n">
        <v>65</v>
      </c>
      <c r="B1105" s="1" t="n">
        <v>2024</v>
      </c>
      <c r="C1105" s="3" t="n">
        <v>45520</v>
      </c>
      <c r="D1105" s="8" t="s">
        <v>38</v>
      </c>
      <c r="E1105" s="9" t="s">
        <v>59</v>
      </c>
      <c r="F1105" s="9" t="s">
        <v>45</v>
      </c>
      <c r="G1105" s="11" t="n">
        <v>50</v>
      </c>
      <c r="H1105" s="11" t="n">
        <v>30</v>
      </c>
      <c r="I1105" s="11" t="n">
        <v>50</v>
      </c>
      <c r="J1105" s="11" t="n">
        <v>45</v>
      </c>
      <c r="K1105" s="11" t="n">
        <v>50</v>
      </c>
    </row>
    <row r="1106" customFormat="false" ht="36.5" hidden="false" customHeight="false" outlineLevel="0" collapsed="false">
      <c r="A1106" s="1" t="n">
        <v>65</v>
      </c>
      <c r="B1106" s="1" t="n">
        <v>2024</v>
      </c>
      <c r="C1106" s="3" t="n">
        <v>45520</v>
      </c>
      <c r="D1106" s="4" t="s">
        <v>38</v>
      </c>
      <c r="E1106" s="5" t="s">
        <v>60</v>
      </c>
      <c r="F1106" s="5" t="s">
        <v>61</v>
      </c>
      <c r="G1106" s="6"/>
      <c r="H1106" s="7" t="n">
        <v>100</v>
      </c>
      <c r="I1106" s="7" t="n">
        <v>200</v>
      </c>
      <c r="J1106" s="7" t="s">
        <v>306</v>
      </c>
      <c r="K1106" s="7" t="n">
        <v>165</v>
      </c>
    </row>
    <row r="1107" customFormat="false" ht="36.5" hidden="false" customHeight="false" outlineLevel="0" collapsed="false">
      <c r="A1107" s="1" t="n">
        <v>65</v>
      </c>
      <c r="B1107" s="1" t="n">
        <v>2024</v>
      </c>
      <c r="C1107" s="3" t="n">
        <v>45520</v>
      </c>
      <c r="D1107" s="8" t="s">
        <v>38</v>
      </c>
      <c r="E1107" s="9" t="s">
        <v>63</v>
      </c>
      <c r="F1107" s="9" t="s">
        <v>40</v>
      </c>
      <c r="G1107" s="11" t="n">
        <v>90</v>
      </c>
      <c r="H1107" s="11" t="n">
        <v>50</v>
      </c>
      <c r="I1107" s="11" t="n">
        <v>90</v>
      </c>
      <c r="J1107" s="11" t="n">
        <v>70</v>
      </c>
      <c r="K1107" s="11" t="n">
        <v>60</v>
      </c>
    </row>
    <row r="1108" customFormat="false" ht="36.5" hidden="false" customHeight="false" outlineLevel="0" collapsed="false">
      <c r="A1108" s="1" t="n">
        <v>65</v>
      </c>
      <c r="B1108" s="1" t="n">
        <v>2024</v>
      </c>
      <c r="C1108" s="3" t="n">
        <v>45520</v>
      </c>
      <c r="D1108" s="4" t="s">
        <v>38</v>
      </c>
      <c r="E1108" s="5" t="s">
        <v>64</v>
      </c>
      <c r="F1108" s="5" t="s">
        <v>40</v>
      </c>
      <c r="G1108" s="7" t="n">
        <v>150</v>
      </c>
      <c r="H1108" s="7" t="n">
        <v>100</v>
      </c>
      <c r="I1108" s="7" t="n">
        <v>200</v>
      </c>
      <c r="J1108" s="7" t="n">
        <v>150</v>
      </c>
      <c r="K1108" s="7" t="n">
        <v>150</v>
      </c>
    </row>
    <row r="1109" customFormat="false" ht="14.25" hidden="false" customHeight="false" outlineLevel="0" collapsed="false">
      <c r="A1109" s="1" t="n">
        <v>65</v>
      </c>
      <c r="B1109" s="1" t="n">
        <v>2024</v>
      </c>
      <c r="C1109" s="3" t="n">
        <v>45520</v>
      </c>
      <c r="D1109" s="8" t="s">
        <v>65</v>
      </c>
      <c r="E1109" s="9" t="s">
        <v>66</v>
      </c>
      <c r="F1109" s="9" t="s">
        <v>45</v>
      </c>
      <c r="G1109" s="10"/>
      <c r="H1109" s="10"/>
      <c r="I1109" s="10"/>
      <c r="J1109" s="10"/>
      <c r="K1109" s="10"/>
    </row>
    <row r="1110" customFormat="false" ht="14.25" hidden="false" customHeight="false" outlineLevel="0" collapsed="false">
      <c r="A1110" s="1" t="n">
        <v>65</v>
      </c>
      <c r="B1110" s="1" t="n">
        <v>2024</v>
      </c>
      <c r="C1110" s="3" t="n">
        <v>45520</v>
      </c>
      <c r="D1110" s="4" t="s">
        <v>65</v>
      </c>
      <c r="E1110" s="5" t="s">
        <v>67</v>
      </c>
      <c r="F1110" s="5" t="s">
        <v>45</v>
      </c>
      <c r="G1110" s="6"/>
      <c r="H1110" s="6"/>
      <c r="I1110" s="6"/>
      <c r="J1110" s="6"/>
      <c r="K1110" s="6"/>
    </row>
    <row r="1111" customFormat="false" ht="14.25" hidden="false" customHeight="false" outlineLevel="0" collapsed="false">
      <c r="A1111" s="1" t="n">
        <v>65</v>
      </c>
      <c r="B1111" s="1" t="n">
        <v>2024</v>
      </c>
      <c r="C1111" s="3" t="n">
        <v>45520</v>
      </c>
      <c r="D1111" s="8" t="s">
        <v>65</v>
      </c>
      <c r="E1111" s="9" t="s">
        <v>68</v>
      </c>
      <c r="F1111" s="9" t="s">
        <v>45</v>
      </c>
      <c r="G1111" s="10"/>
      <c r="H1111" s="10"/>
      <c r="I1111" s="10"/>
      <c r="J1111" s="10"/>
      <c r="K1111" s="10"/>
    </row>
    <row r="1112" customFormat="false" ht="14.25" hidden="false" customHeight="false" outlineLevel="0" collapsed="false">
      <c r="A1112" s="1" t="n">
        <v>65</v>
      </c>
      <c r="B1112" s="1" t="n">
        <v>2024</v>
      </c>
      <c r="C1112" s="3" t="n">
        <v>45520</v>
      </c>
      <c r="D1112" s="4" t="s">
        <v>65</v>
      </c>
      <c r="E1112" s="5" t="s">
        <v>69</v>
      </c>
      <c r="F1112" s="5" t="s">
        <v>45</v>
      </c>
      <c r="G1112" s="6"/>
      <c r="H1112" s="7" t="n">
        <v>60</v>
      </c>
      <c r="I1112" s="7" t="n">
        <v>60</v>
      </c>
      <c r="J1112" s="7" t="n">
        <v>60</v>
      </c>
      <c r="K1112" s="7" t="n">
        <v>60</v>
      </c>
    </row>
    <row r="1113" customFormat="false" ht="14.25" hidden="false" customHeight="false" outlineLevel="0" collapsed="false">
      <c r="A1113" s="1" t="n">
        <v>65</v>
      </c>
      <c r="B1113" s="1" t="n">
        <v>2024</v>
      </c>
      <c r="C1113" s="3" t="n">
        <v>45520</v>
      </c>
      <c r="D1113" s="8" t="s">
        <v>65</v>
      </c>
      <c r="E1113" s="9" t="s">
        <v>70</v>
      </c>
      <c r="F1113" s="9" t="s">
        <v>71</v>
      </c>
      <c r="G1113" s="10"/>
      <c r="H1113" s="10"/>
      <c r="I1113" s="10"/>
      <c r="J1113" s="10"/>
      <c r="K1113" s="10"/>
    </row>
    <row r="1114" customFormat="false" ht="25" hidden="false" customHeight="false" outlineLevel="0" collapsed="false">
      <c r="A1114" s="1" t="n">
        <v>66</v>
      </c>
      <c r="B1114" s="1" t="n">
        <v>2024</v>
      </c>
      <c r="C1114" s="3" t="n">
        <v>45527</v>
      </c>
      <c r="D1114" s="4" t="s">
        <v>11</v>
      </c>
      <c r="E1114" s="5" t="s">
        <v>12</v>
      </c>
      <c r="F1114" s="5" t="s">
        <v>13</v>
      </c>
      <c r="G1114" s="6"/>
      <c r="H1114" s="7" t="n">
        <v>36</v>
      </c>
      <c r="I1114" s="7" t="n">
        <v>60</v>
      </c>
      <c r="J1114" s="7" t="n">
        <v>48</v>
      </c>
      <c r="K1114" s="7" t="n">
        <v>48</v>
      </c>
    </row>
    <row r="1115" customFormat="false" ht="25" hidden="false" customHeight="false" outlineLevel="0" collapsed="false">
      <c r="A1115" s="1" t="n">
        <v>66</v>
      </c>
      <c r="B1115" s="1" t="n">
        <v>2024</v>
      </c>
      <c r="C1115" s="3" t="n">
        <v>45527</v>
      </c>
      <c r="D1115" s="8" t="s">
        <v>11</v>
      </c>
      <c r="E1115" s="9" t="s">
        <v>14</v>
      </c>
      <c r="F1115" s="9" t="s">
        <v>13</v>
      </c>
      <c r="G1115" s="11" t="n">
        <v>72</v>
      </c>
      <c r="H1115" s="11" t="n">
        <v>72</v>
      </c>
      <c r="I1115" s="11" t="n">
        <v>84</v>
      </c>
      <c r="J1115" s="11" t="n">
        <v>76</v>
      </c>
      <c r="K1115" s="11" t="n">
        <v>72</v>
      </c>
    </row>
    <row r="1116" customFormat="false" ht="25" hidden="false" customHeight="false" outlineLevel="0" collapsed="false">
      <c r="A1116" s="1" t="n">
        <v>66</v>
      </c>
      <c r="B1116" s="1" t="n">
        <v>2024</v>
      </c>
      <c r="C1116" s="3" t="n">
        <v>45527</v>
      </c>
      <c r="D1116" s="4" t="s">
        <v>11</v>
      </c>
      <c r="E1116" s="5" t="s">
        <v>15</v>
      </c>
      <c r="F1116" s="5" t="s">
        <v>13</v>
      </c>
      <c r="G1116" s="7" t="n">
        <v>36</v>
      </c>
      <c r="H1116" s="7" t="n">
        <v>30</v>
      </c>
      <c r="I1116" s="7" t="n">
        <v>42</v>
      </c>
      <c r="J1116" s="7" t="n">
        <v>36</v>
      </c>
      <c r="K1116" s="7" t="n">
        <v>36</v>
      </c>
    </row>
    <row r="1117" customFormat="false" ht="25" hidden="false" customHeight="false" outlineLevel="0" collapsed="false">
      <c r="A1117" s="1" t="n">
        <v>66</v>
      </c>
      <c r="B1117" s="1" t="n">
        <v>2024</v>
      </c>
      <c r="C1117" s="3" t="n">
        <v>45527</v>
      </c>
      <c r="D1117" s="8" t="s">
        <v>11</v>
      </c>
      <c r="E1117" s="9" t="s">
        <v>16</v>
      </c>
      <c r="F1117" s="9" t="s">
        <v>13</v>
      </c>
      <c r="G1117" s="11" t="n">
        <v>18</v>
      </c>
      <c r="H1117" s="11" t="n">
        <v>18</v>
      </c>
      <c r="I1117" s="11" t="n">
        <v>24</v>
      </c>
      <c r="J1117" s="11" t="n">
        <v>21</v>
      </c>
      <c r="K1117" s="11" t="n">
        <v>21</v>
      </c>
    </row>
    <row r="1118" customFormat="false" ht="25" hidden="false" customHeight="false" outlineLevel="0" collapsed="false">
      <c r="A1118" s="1" t="n">
        <v>66</v>
      </c>
      <c r="B1118" s="1" t="n">
        <v>2024</v>
      </c>
      <c r="C1118" s="3" t="n">
        <v>45527</v>
      </c>
      <c r="D1118" s="4" t="s">
        <v>11</v>
      </c>
      <c r="E1118" s="5" t="s">
        <v>17</v>
      </c>
      <c r="F1118" s="5" t="s">
        <v>13</v>
      </c>
      <c r="G1118" s="7" t="n">
        <v>24</v>
      </c>
      <c r="H1118" s="7" t="n">
        <v>18</v>
      </c>
      <c r="I1118" s="7" t="n">
        <v>24</v>
      </c>
      <c r="J1118" s="7" t="n">
        <v>22</v>
      </c>
      <c r="K1118" s="7" t="n">
        <v>24</v>
      </c>
    </row>
    <row r="1119" customFormat="false" ht="25" hidden="false" customHeight="false" outlineLevel="0" collapsed="false">
      <c r="A1119" s="1" t="n">
        <v>66</v>
      </c>
      <c r="B1119" s="1" t="n">
        <v>2024</v>
      </c>
      <c r="C1119" s="3" t="n">
        <v>45527</v>
      </c>
      <c r="D1119" s="8" t="s">
        <v>11</v>
      </c>
      <c r="E1119" s="9" t="s">
        <v>18</v>
      </c>
      <c r="F1119" s="9" t="s">
        <v>13</v>
      </c>
      <c r="G1119" s="11" t="n">
        <v>60</v>
      </c>
      <c r="H1119" s="11" t="n">
        <v>60</v>
      </c>
      <c r="I1119" s="11" t="n">
        <v>60</v>
      </c>
      <c r="J1119" s="11" t="n">
        <v>60</v>
      </c>
      <c r="K1119" s="11" t="n">
        <v>60</v>
      </c>
    </row>
    <row r="1120" customFormat="false" ht="25" hidden="false" customHeight="false" outlineLevel="0" collapsed="false">
      <c r="A1120" s="1" t="n">
        <v>66</v>
      </c>
      <c r="B1120" s="1" t="n">
        <v>2024</v>
      </c>
      <c r="C1120" s="3" t="n">
        <v>45527</v>
      </c>
      <c r="D1120" s="4" t="s">
        <v>11</v>
      </c>
      <c r="E1120" s="5" t="s">
        <v>19</v>
      </c>
      <c r="F1120" s="5" t="s">
        <v>13</v>
      </c>
      <c r="G1120" s="7" t="n">
        <v>60</v>
      </c>
      <c r="H1120" s="7" t="n">
        <v>48</v>
      </c>
      <c r="I1120" s="7" t="n">
        <v>66</v>
      </c>
      <c r="J1120" s="7" t="s">
        <v>246</v>
      </c>
      <c r="K1120" s="7" t="n">
        <v>60</v>
      </c>
    </row>
    <row r="1121" customFormat="false" ht="25" hidden="false" customHeight="false" outlineLevel="0" collapsed="false">
      <c r="A1121" s="1" t="n">
        <v>66</v>
      </c>
      <c r="B1121" s="1" t="n">
        <v>2024</v>
      </c>
      <c r="C1121" s="3" t="n">
        <v>45527</v>
      </c>
      <c r="D1121" s="8" t="s">
        <v>11</v>
      </c>
      <c r="E1121" s="9" t="s">
        <v>20</v>
      </c>
      <c r="F1121" s="9" t="s">
        <v>13</v>
      </c>
      <c r="G1121" s="11" t="n">
        <v>60</v>
      </c>
      <c r="H1121" s="11" t="n">
        <v>60</v>
      </c>
      <c r="I1121" s="11" t="n">
        <v>72</v>
      </c>
      <c r="J1121" s="11" t="n">
        <v>66</v>
      </c>
      <c r="K1121" s="11" t="n">
        <v>66</v>
      </c>
    </row>
    <row r="1122" customFormat="false" ht="25" hidden="false" customHeight="false" outlineLevel="0" collapsed="false">
      <c r="A1122" s="1" t="n">
        <v>66</v>
      </c>
      <c r="B1122" s="1" t="n">
        <v>2024</v>
      </c>
      <c r="C1122" s="3" t="n">
        <v>45527</v>
      </c>
      <c r="D1122" s="4" t="s">
        <v>11</v>
      </c>
      <c r="E1122" s="5" t="s">
        <v>21</v>
      </c>
      <c r="F1122" s="5" t="s">
        <v>13</v>
      </c>
      <c r="G1122" s="7" t="n">
        <v>18</v>
      </c>
      <c r="H1122" s="7" t="n">
        <v>18</v>
      </c>
      <c r="I1122" s="7" t="n">
        <v>24</v>
      </c>
      <c r="J1122" s="7" t="n">
        <v>20</v>
      </c>
      <c r="K1122" s="7" t="n">
        <v>19</v>
      </c>
    </row>
    <row r="1123" customFormat="false" ht="25" hidden="false" customHeight="false" outlineLevel="0" collapsed="false">
      <c r="A1123" s="1" t="n">
        <v>66</v>
      </c>
      <c r="B1123" s="1" t="n">
        <v>2024</v>
      </c>
      <c r="C1123" s="3" t="n">
        <v>45527</v>
      </c>
      <c r="D1123" s="8" t="s">
        <v>11</v>
      </c>
      <c r="E1123" s="9" t="s">
        <v>73</v>
      </c>
      <c r="F1123" s="9" t="s">
        <v>13</v>
      </c>
      <c r="G1123" s="10"/>
      <c r="H1123" s="11" t="n">
        <v>48</v>
      </c>
      <c r="I1123" s="11" t="n">
        <v>72</v>
      </c>
      <c r="J1123" s="11" t="s">
        <v>55</v>
      </c>
      <c r="K1123" s="11" t="n">
        <v>50</v>
      </c>
    </row>
    <row r="1124" customFormat="false" ht="25" hidden="false" customHeight="false" outlineLevel="0" collapsed="false">
      <c r="A1124" s="1" t="n">
        <v>66</v>
      </c>
      <c r="B1124" s="1" t="n">
        <v>2024</v>
      </c>
      <c r="C1124" s="3" t="n">
        <v>45527</v>
      </c>
      <c r="D1124" s="4" t="s">
        <v>11</v>
      </c>
      <c r="E1124" s="5" t="s">
        <v>23</v>
      </c>
      <c r="F1124" s="5" t="s">
        <v>13</v>
      </c>
      <c r="G1124" s="7" t="n">
        <v>18</v>
      </c>
      <c r="H1124" s="7" t="n">
        <v>18</v>
      </c>
      <c r="I1124" s="7" t="n">
        <v>24</v>
      </c>
      <c r="J1124" s="7" t="n">
        <v>21</v>
      </c>
      <c r="K1124" s="7" t="n">
        <v>21</v>
      </c>
    </row>
    <row r="1125" customFormat="false" ht="25" hidden="false" customHeight="false" outlineLevel="0" collapsed="false">
      <c r="A1125" s="1" t="n">
        <v>66</v>
      </c>
      <c r="B1125" s="1" t="n">
        <v>2024</v>
      </c>
      <c r="C1125" s="3" t="n">
        <v>45527</v>
      </c>
      <c r="D1125" s="8" t="s">
        <v>11</v>
      </c>
      <c r="E1125" s="9" t="s">
        <v>24</v>
      </c>
      <c r="F1125" s="9" t="s">
        <v>13</v>
      </c>
      <c r="G1125" s="11" t="n">
        <v>60</v>
      </c>
      <c r="H1125" s="11" t="n">
        <v>48</v>
      </c>
      <c r="I1125" s="11" t="n">
        <v>60</v>
      </c>
      <c r="J1125" s="11" t="n">
        <v>56</v>
      </c>
      <c r="K1125" s="11" t="n">
        <v>60</v>
      </c>
    </row>
    <row r="1126" customFormat="false" ht="25" hidden="false" customHeight="false" outlineLevel="0" collapsed="false">
      <c r="A1126" s="1" t="n">
        <v>66</v>
      </c>
      <c r="B1126" s="1" t="n">
        <v>2024</v>
      </c>
      <c r="C1126" s="3" t="n">
        <v>45527</v>
      </c>
      <c r="D1126" s="4" t="s">
        <v>11</v>
      </c>
      <c r="E1126" s="5" t="s">
        <v>25</v>
      </c>
      <c r="F1126" s="5" t="s">
        <v>26</v>
      </c>
      <c r="G1126" s="7" t="n">
        <v>48</v>
      </c>
      <c r="H1126" s="7" t="n">
        <v>48</v>
      </c>
      <c r="I1126" s="7" t="n">
        <v>60</v>
      </c>
      <c r="J1126" s="7" t="n">
        <v>54</v>
      </c>
      <c r="K1126" s="7" t="n">
        <v>54</v>
      </c>
    </row>
    <row r="1127" customFormat="false" ht="25" hidden="false" customHeight="false" outlineLevel="0" collapsed="false">
      <c r="A1127" s="1" t="n">
        <v>66</v>
      </c>
      <c r="B1127" s="1" t="n">
        <v>2024</v>
      </c>
      <c r="C1127" s="3" t="n">
        <v>45527</v>
      </c>
      <c r="D1127" s="8" t="s">
        <v>11</v>
      </c>
      <c r="E1127" s="9" t="s">
        <v>27</v>
      </c>
      <c r="F1127" s="9" t="s">
        <v>13</v>
      </c>
      <c r="G1127" s="11" t="n">
        <v>60</v>
      </c>
      <c r="H1127" s="11" t="n">
        <v>48</v>
      </c>
      <c r="I1127" s="11" t="n">
        <v>60</v>
      </c>
      <c r="J1127" s="11" t="n">
        <v>56</v>
      </c>
      <c r="K1127" s="11" t="n">
        <v>60</v>
      </c>
    </row>
    <row r="1128" customFormat="false" ht="25" hidden="false" customHeight="false" outlineLevel="0" collapsed="false">
      <c r="A1128" s="1" t="n">
        <v>66</v>
      </c>
      <c r="B1128" s="1" t="n">
        <v>2024</v>
      </c>
      <c r="C1128" s="3" t="n">
        <v>45527</v>
      </c>
      <c r="D1128" s="4" t="s">
        <v>11</v>
      </c>
      <c r="E1128" s="5" t="s">
        <v>28</v>
      </c>
      <c r="F1128" s="5" t="s">
        <v>13</v>
      </c>
      <c r="G1128" s="7" t="n">
        <v>36</v>
      </c>
      <c r="H1128" s="7" t="n">
        <v>36</v>
      </c>
      <c r="I1128" s="7" t="n">
        <v>45</v>
      </c>
      <c r="J1128" s="7" t="s">
        <v>307</v>
      </c>
      <c r="K1128" s="7" t="n">
        <v>38</v>
      </c>
    </row>
    <row r="1129" customFormat="false" ht="25" hidden="false" customHeight="false" outlineLevel="0" collapsed="false">
      <c r="A1129" s="1" t="n">
        <v>66</v>
      </c>
      <c r="B1129" s="1" t="n">
        <v>2024</v>
      </c>
      <c r="C1129" s="3" t="n">
        <v>45527</v>
      </c>
      <c r="D1129" s="8" t="s">
        <v>11</v>
      </c>
      <c r="E1129" s="9" t="s">
        <v>29</v>
      </c>
      <c r="F1129" s="9" t="s">
        <v>13</v>
      </c>
      <c r="G1129" s="11" t="n">
        <v>48</v>
      </c>
      <c r="H1129" s="11" t="n">
        <v>42</v>
      </c>
      <c r="I1129" s="11" t="n">
        <v>48</v>
      </c>
      <c r="J1129" s="11" t="s">
        <v>174</v>
      </c>
      <c r="K1129" s="11" t="n">
        <v>48</v>
      </c>
    </row>
    <row r="1130" customFormat="false" ht="25" hidden="false" customHeight="false" outlineLevel="0" collapsed="false">
      <c r="A1130" s="1" t="n">
        <v>66</v>
      </c>
      <c r="B1130" s="1" t="n">
        <v>2024</v>
      </c>
      <c r="C1130" s="3" t="n">
        <v>45527</v>
      </c>
      <c r="D1130" s="4" t="s">
        <v>11</v>
      </c>
      <c r="E1130" s="5" t="s">
        <v>31</v>
      </c>
      <c r="F1130" s="5" t="s">
        <v>32</v>
      </c>
      <c r="G1130" s="7" t="n">
        <v>5</v>
      </c>
      <c r="H1130" s="7" t="n">
        <v>5</v>
      </c>
      <c r="I1130" s="7" t="s">
        <v>212</v>
      </c>
      <c r="J1130" s="7" t="s">
        <v>308</v>
      </c>
      <c r="K1130" s="7" t="n">
        <v>5</v>
      </c>
    </row>
    <row r="1131" customFormat="false" ht="25" hidden="false" customHeight="false" outlineLevel="0" collapsed="false">
      <c r="A1131" s="1" t="n">
        <v>66</v>
      </c>
      <c r="B1131" s="1" t="n">
        <v>2024</v>
      </c>
      <c r="C1131" s="3" t="n">
        <v>45527</v>
      </c>
      <c r="D1131" s="8" t="s">
        <v>11</v>
      </c>
      <c r="E1131" s="9" t="s">
        <v>34</v>
      </c>
      <c r="F1131" s="9" t="s">
        <v>35</v>
      </c>
      <c r="G1131" s="11" t="n">
        <v>12</v>
      </c>
      <c r="H1131" s="11" t="n">
        <v>10</v>
      </c>
      <c r="I1131" s="11" t="n">
        <v>12</v>
      </c>
      <c r="J1131" s="11" t="n">
        <v>11</v>
      </c>
      <c r="K1131" s="11" t="n">
        <v>11</v>
      </c>
    </row>
    <row r="1132" customFormat="false" ht="25" hidden="false" customHeight="false" outlineLevel="0" collapsed="false">
      <c r="A1132" s="1" t="n">
        <v>66</v>
      </c>
      <c r="B1132" s="1" t="n">
        <v>2024</v>
      </c>
      <c r="C1132" s="3" t="n">
        <v>45527</v>
      </c>
      <c r="D1132" s="4" t="s">
        <v>11</v>
      </c>
      <c r="E1132" s="5" t="s">
        <v>36</v>
      </c>
      <c r="F1132" s="5" t="s">
        <v>35</v>
      </c>
      <c r="G1132" s="6"/>
      <c r="H1132" s="7" t="n">
        <v>10</v>
      </c>
      <c r="I1132" s="7" t="n">
        <v>30</v>
      </c>
      <c r="J1132" s="7" t="s">
        <v>309</v>
      </c>
      <c r="K1132" s="7" t="s">
        <v>310</v>
      </c>
    </row>
    <row r="1133" customFormat="false" ht="36.5" hidden="false" customHeight="false" outlineLevel="0" collapsed="false">
      <c r="A1133" s="1" t="n">
        <v>66</v>
      </c>
      <c r="B1133" s="1" t="n">
        <v>2024</v>
      </c>
      <c r="C1133" s="3" t="n">
        <v>45527</v>
      </c>
      <c r="D1133" s="8" t="s">
        <v>38</v>
      </c>
      <c r="E1133" s="9" t="s">
        <v>153</v>
      </c>
      <c r="F1133" s="9" t="s">
        <v>154</v>
      </c>
      <c r="G1133" s="10"/>
      <c r="H1133" s="11" t="n">
        <v>75</v>
      </c>
      <c r="I1133" s="11" t="n">
        <v>75</v>
      </c>
      <c r="J1133" s="11" t="n">
        <v>75</v>
      </c>
      <c r="K1133" s="11" t="n">
        <v>75</v>
      </c>
    </row>
    <row r="1134" customFormat="false" ht="36.5" hidden="false" customHeight="false" outlineLevel="0" collapsed="false">
      <c r="A1134" s="1" t="n">
        <v>66</v>
      </c>
      <c r="B1134" s="1" t="n">
        <v>2024</v>
      </c>
      <c r="C1134" s="3" t="n">
        <v>45527</v>
      </c>
      <c r="D1134" s="4" t="s">
        <v>38</v>
      </c>
      <c r="E1134" s="5" t="s">
        <v>39</v>
      </c>
      <c r="F1134" s="5" t="s">
        <v>40</v>
      </c>
      <c r="G1134" s="7" t="n">
        <v>60</v>
      </c>
      <c r="H1134" s="7" t="n">
        <v>50</v>
      </c>
      <c r="I1134" s="7" t="n">
        <v>60</v>
      </c>
      <c r="J1134" s="7" t="n">
        <v>57</v>
      </c>
      <c r="K1134" s="7" t="n">
        <v>60</v>
      </c>
    </row>
    <row r="1135" customFormat="false" ht="36.5" hidden="false" customHeight="false" outlineLevel="0" collapsed="false">
      <c r="A1135" s="1" t="n">
        <v>66</v>
      </c>
      <c r="B1135" s="1" t="n">
        <v>2024</v>
      </c>
      <c r="C1135" s="3" t="n">
        <v>45527</v>
      </c>
      <c r="D1135" s="8" t="s">
        <v>38</v>
      </c>
      <c r="E1135" s="9" t="s">
        <v>42</v>
      </c>
      <c r="F1135" s="9" t="s">
        <v>43</v>
      </c>
      <c r="G1135" s="11" t="n">
        <v>70</v>
      </c>
      <c r="H1135" s="11" t="n">
        <v>45</v>
      </c>
      <c r="I1135" s="11" t="n">
        <v>70</v>
      </c>
      <c r="J1135" s="11" t="n">
        <v>63</v>
      </c>
      <c r="K1135" s="11" t="n">
        <v>70</v>
      </c>
    </row>
    <row r="1136" customFormat="false" ht="36.5" hidden="false" customHeight="false" outlineLevel="0" collapsed="false">
      <c r="A1136" s="1" t="n">
        <v>66</v>
      </c>
      <c r="B1136" s="1" t="n">
        <v>2024</v>
      </c>
      <c r="C1136" s="3" t="n">
        <v>45527</v>
      </c>
      <c r="D1136" s="4" t="s">
        <v>38</v>
      </c>
      <c r="E1136" s="5" t="s">
        <v>44</v>
      </c>
      <c r="F1136" s="5" t="s">
        <v>45</v>
      </c>
      <c r="G1136" s="7" t="n">
        <v>50</v>
      </c>
      <c r="H1136" s="7" t="n">
        <v>45</v>
      </c>
      <c r="I1136" s="7" t="n">
        <v>60</v>
      </c>
      <c r="J1136" s="7" t="n">
        <v>52</v>
      </c>
      <c r="K1136" s="7" t="n">
        <v>50</v>
      </c>
    </row>
    <row r="1137" customFormat="false" ht="36.5" hidden="false" customHeight="false" outlineLevel="0" collapsed="false">
      <c r="A1137" s="1" t="n">
        <v>66</v>
      </c>
      <c r="B1137" s="1" t="n">
        <v>2024</v>
      </c>
      <c r="C1137" s="3" t="n">
        <v>45527</v>
      </c>
      <c r="D1137" s="8" t="s">
        <v>38</v>
      </c>
      <c r="E1137" s="9" t="s">
        <v>48</v>
      </c>
      <c r="F1137" s="9" t="s">
        <v>45</v>
      </c>
      <c r="G1137" s="10"/>
      <c r="H1137" s="11" t="n">
        <v>90</v>
      </c>
      <c r="I1137" s="11" t="n">
        <v>90</v>
      </c>
      <c r="J1137" s="11" t="n">
        <v>90</v>
      </c>
      <c r="K1137" s="11" t="n">
        <v>90</v>
      </c>
    </row>
    <row r="1138" customFormat="false" ht="36.5" hidden="false" customHeight="false" outlineLevel="0" collapsed="false">
      <c r="A1138" s="1" t="n">
        <v>66</v>
      </c>
      <c r="B1138" s="1" t="n">
        <v>2024</v>
      </c>
      <c r="C1138" s="3" t="n">
        <v>45527</v>
      </c>
      <c r="D1138" s="4" t="s">
        <v>38</v>
      </c>
      <c r="E1138" s="5" t="s">
        <v>49</v>
      </c>
      <c r="F1138" s="5" t="s">
        <v>50</v>
      </c>
      <c r="G1138" s="7" t="n">
        <v>70</v>
      </c>
      <c r="H1138" s="7" t="n">
        <v>60</v>
      </c>
      <c r="I1138" s="7" t="n">
        <v>70</v>
      </c>
      <c r="J1138" s="7" t="n">
        <v>65</v>
      </c>
      <c r="K1138" s="7" t="n">
        <v>65</v>
      </c>
    </row>
    <row r="1139" customFormat="false" ht="36.5" hidden="false" customHeight="false" outlineLevel="0" collapsed="false">
      <c r="A1139" s="1" t="n">
        <v>66</v>
      </c>
      <c r="B1139" s="1" t="n">
        <v>2024</v>
      </c>
      <c r="C1139" s="3" t="n">
        <v>45527</v>
      </c>
      <c r="D1139" s="8" t="s">
        <v>38</v>
      </c>
      <c r="E1139" s="9" t="s">
        <v>52</v>
      </c>
      <c r="F1139" s="9" t="s">
        <v>43</v>
      </c>
      <c r="G1139" s="11" t="n">
        <v>60</v>
      </c>
      <c r="H1139" s="11" t="n">
        <v>45</v>
      </c>
      <c r="I1139" s="11" t="n">
        <v>65</v>
      </c>
      <c r="J1139" s="11" t="n">
        <v>57</v>
      </c>
      <c r="K1139" s="11" t="n">
        <v>60</v>
      </c>
    </row>
    <row r="1140" customFormat="false" ht="36.5" hidden="false" customHeight="false" outlineLevel="0" collapsed="false">
      <c r="A1140" s="1" t="n">
        <v>66</v>
      </c>
      <c r="B1140" s="1" t="n">
        <v>2024</v>
      </c>
      <c r="C1140" s="3" t="n">
        <v>45527</v>
      </c>
      <c r="D1140" s="4" t="s">
        <v>38</v>
      </c>
      <c r="E1140" s="5" t="s">
        <v>53</v>
      </c>
      <c r="F1140" s="5" t="s">
        <v>43</v>
      </c>
      <c r="G1140" s="7" t="n">
        <v>60</v>
      </c>
      <c r="H1140" s="7" t="n">
        <v>55</v>
      </c>
      <c r="I1140" s="7" t="n">
        <v>80</v>
      </c>
      <c r="J1140" s="7" t="n">
        <v>66</v>
      </c>
      <c r="K1140" s="7" t="n">
        <v>60</v>
      </c>
    </row>
    <row r="1141" customFormat="false" ht="36.5" hidden="false" customHeight="false" outlineLevel="0" collapsed="false">
      <c r="A1141" s="1" t="n">
        <v>66</v>
      </c>
      <c r="B1141" s="1" t="n">
        <v>2024</v>
      </c>
      <c r="C1141" s="3" t="n">
        <v>45527</v>
      </c>
      <c r="D1141" s="8" t="s">
        <v>38</v>
      </c>
      <c r="E1141" s="9" t="s">
        <v>54</v>
      </c>
      <c r="F1141" s="9" t="s">
        <v>40</v>
      </c>
      <c r="G1141" s="11" t="n">
        <v>90</v>
      </c>
      <c r="H1141" s="11" t="n">
        <v>90</v>
      </c>
      <c r="I1141" s="11" t="n">
        <v>100</v>
      </c>
      <c r="J1141" s="11" t="s">
        <v>311</v>
      </c>
      <c r="K1141" s="11" t="s">
        <v>312</v>
      </c>
    </row>
    <row r="1142" customFormat="false" ht="36.5" hidden="false" customHeight="false" outlineLevel="0" collapsed="false">
      <c r="A1142" s="1" t="n">
        <v>66</v>
      </c>
      <c r="B1142" s="1" t="n">
        <v>2024</v>
      </c>
      <c r="C1142" s="3" t="n">
        <v>45527</v>
      </c>
      <c r="D1142" s="4" t="s">
        <v>38</v>
      </c>
      <c r="E1142" s="5" t="s">
        <v>56</v>
      </c>
      <c r="F1142" s="5" t="s">
        <v>43</v>
      </c>
      <c r="G1142" s="6"/>
      <c r="H1142" s="7" t="n">
        <v>50</v>
      </c>
      <c r="I1142" s="7" t="n">
        <v>65</v>
      </c>
      <c r="J1142" s="7" t="s">
        <v>41</v>
      </c>
      <c r="K1142" s="7" t="s">
        <v>41</v>
      </c>
    </row>
    <row r="1143" customFormat="false" ht="36.5" hidden="false" customHeight="false" outlineLevel="0" collapsed="false">
      <c r="A1143" s="1" t="n">
        <v>66</v>
      </c>
      <c r="B1143" s="1" t="n">
        <v>2024</v>
      </c>
      <c r="C1143" s="3" t="n">
        <v>45527</v>
      </c>
      <c r="D1143" s="8" t="s">
        <v>38</v>
      </c>
      <c r="E1143" s="9" t="s">
        <v>57</v>
      </c>
      <c r="F1143" s="9" t="s">
        <v>40</v>
      </c>
      <c r="G1143" s="10"/>
      <c r="H1143" s="11" t="n">
        <v>60</v>
      </c>
      <c r="I1143" s="11" t="n">
        <v>85</v>
      </c>
      <c r="J1143" s="11" t="s">
        <v>274</v>
      </c>
      <c r="K1143" s="11" t="n">
        <v>70</v>
      </c>
    </row>
    <row r="1144" customFormat="false" ht="36.5" hidden="false" customHeight="false" outlineLevel="0" collapsed="false">
      <c r="A1144" s="1" t="n">
        <v>66</v>
      </c>
      <c r="B1144" s="1" t="n">
        <v>2024</v>
      </c>
      <c r="C1144" s="3" t="n">
        <v>45527</v>
      </c>
      <c r="D1144" s="4" t="s">
        <v>38</v>
      </c>
      <c r="E1144" s="5" t="s">
        <v>58</v>
      </c>
      <c r="F1144" s="5" t="s">
        <v>40</v>
      </c>
      <c r="G1144" s="7" t="n">
        <v>90</v>
      </c>
      <c r="H1144" s="7" t="n">
        <v>80</v>
      </c>
      <c r="I1144" s="7" t="n">
        <v>100</v>
      </c>
      <c r="J1144" s="7" t="n">
        <v>90</v>
      </c>
      <c r="K1144" s="7" t="n">
        <v>90</v>
      </c>
    </row>
    <row r="1145" customFormat="false" ht="36.5" hidden="false" customHeight="false" outlineLevel="0" collapsed="false">
      <c r="A1145" s="1" t="n">
        <v>66</v>
      </c>
      <c r="B1145" s="1" t="n">
        <v>2024</v>
      </c>
      <c r="C1145" s="3" t="n">
        <v>45527</v>
      </c>
      <c r="D1145" s="8" t="s">
        <v>38</v>
      </c>
      <c r="E1145" s="9" t="s">
        <v>59</v>
      </c>
      <c r="F1145" s="9" t="s">
        <v>45</v>
      </c>
      <c r="G1145" s="11" t="n">
        <v>55</v>
      </c>
      <c r="H1145" s="11" t="n">
        <v>50</v>
      </c>
      <c r="I1145" s="11" t="n">
        <v>70</v>
      </c>
      <c r="J1145" s="11" t="n">
        <v>56</v>
      </c>
      <c r="K1145" s="11" t="n">
        <v>55</v>
      </c>
    </row>
    <row r="1146" customFormat="false" ht="36.5" hidden="false" customHeight="false" outlineLevel="0" collapsed="false">
      <c r="A1146" s="1" t="n">
        <v>66</v>
      </c>
      <c r="B1146" s="1" t="n">
        <v>2024</v>
      </c>
      <c r="C1146" s="3" t="n">
        <v>45527</v>
      </c>
      <c r="D1146" s="4" t="s">
        <v>38</v>
      </c>
      <c r="E1146" s="5" t="s">
        <v>60</v>
      </c>
      <c r="F1146" s="5" t="s">
        <v>61</v>
      </c>
      <c r="G1146" s="7" t="n">
        <v>130</v>
      </c>
      <c r="H1146" s="7" t="n">
        <v>130</v>
      </c>
      <c r="I1146" s="7" t="n">
        <v>150</v>
      </c>
      <c r="J1146" s="7" t="s">
        <v>170</v>
      </c>
      <c r="K1146" s="7" t="n">
        <v>135</v>
      </c>
    </row>
    <row r="1147" customFormat="false" ht="36.5" hidden="false" customHeight="false" outlineLevel="0" collapsed="false">
      <c r="A1147" s="1" t="n">
        <v>66</v>
      </c>
      <c r="B1147" s="1" t="n">
        <v>2024</v>
      </c>
      <c r="C1147" s="3" t="n">
        <v>45527</v>
      </c>
      <c r="D1147" s="8" t="s">
        <v>38</v>
      </c>
      <c r="E1147" s="9" t="s">
        <v>63</v>
      </c>
      <c r="F1147" s="9" t="s">
        <v>40</v>
      </c>
      <c r="G1147" s="11" t="n">
        <v>60</v>
      </c>
      <c r="H1147" s="11" t="n">
        <v>45</v>
      </c>
      <c r="I1147" s="11" t="n">
        <v>65</v>
      </c>
      <c r="J1147" s="11" t="n">
        <v>58</v>
      </c>
      <c r="K1147" s="11" t="n">
        <v>60</v>
      </c>
    </row>
    <row r="1148" customFormat="false" ht="36.5" hidden="false" customHeight="false" outlineLevel="0" collapsed="false">
      <c r="A1148" s="1" t="n">
        <v>66</v>
      </c>
      <c r="B1148" s="1" t="n">
        <v>2024</v>
      </c>
      <c r="C1148" s="3" t="n">
        <v>45527</v>
      </c>
      <c r="D1148" s="4" t="s">
        <v>38</v>
      </c>
      <c r="E1148" s="5" t="s">
        <v>64</v>
      </c>
      <c r="F1148" s="5" t="s">
        <v>40</v>
      </c>
      <c r="G1148" s="7" t="n">
        <v>150</v>
      </c>
      <c r="H1148" s="7" t="n">
        <v>140</v>
      </c>
      <c r="I1148" s="7" t="n">
        <v>150</v>
      </c>
      <c r="J1148" s="7" t="s">
        <v>313</v>
      </c>
      <c r="K1148" s="7" t="n">
        <v>150</v>
      </c>
    </row>
    <row r="1149" customFormat="false" ht="14.25" hidden="false" customHeight="false" outlineLevel="0" collapsed="false">
      <c r="A1149" s="1" t="n">
        <v>66</v>
      </c>
      <c r="B1149" s="1" t="n">
        <v>2024</v>
      </c>
      <c r="C1149" s="3" t="n">
        <v>45527</v>
      </c>
      <c r="D1149" s="8" t="s">
        <v>65</v>
      </c>
      <c r="E1149" s="9" t="s">
        <v>66</v>
      </c>
      <c r="F1149" s="9" t="s">
        <v>45</v>
      </c>
      <c r="G1149" s="10"/>
      <c r="H1149" s="10"/>
      <c r="I1149" s="10"/>
      <c r="J1149" s="10"/>
      <c r="K1149" s="10"/>
    </row>
    <row r="1150" customFormat="false" ht="14.25" hidden="false" customHeight="false" outlineLevel="0" collapsed="false">
      <c r="A1150" s="1" t="n">
        <v>66</v>
      </c>
      <c r="B1150" s="1" t="n">
        <v>2024</v>
      </c>
      <c r="C1150" s="3" t="n">
        <v>45527</v>
      </c>
      <c r="D1150" s="4" t="s">
        <v>65</v>
      </c>
      <c r="E1150" s="5" t="s">
        <v>67</v>
      </c>
      <c r="F1150" s="5" t="s">
        <v>45</v>
      </c>
      <c r="G1150" s="6"/>
      <c r="H1150" s="6"/>
      <c r="I1150" s="6"/>
      <c r="J1150" s="6"/>
      <c r="K1150" s="6"/>
    </row>
    <row r="1151" customFormat="false" ht="14.25" hidden="false" customHeight="false" outlineLevel="0" collapsed="false">
      <c r="A1151" s="1" t="n">
        <v>66</v>
      </c>
      <c r="B1151" s="1" t="n">
        <v>2024</v>
      </c>
      <c r="C1151" s="3" t="n">
        <v>45527</v>
      </c>
      <c r="D1151" s="8" t="s">
        <v>65</v>
      </c>
      <c r="E1151" s="9" t="s">
        <v>68</v>
      </c>
      <c r="F1151" s="9" t="s">
        <v>45</v>
      </c>
      <c r="G1151" s="10"/>
      <c r="H1151" s="10"/>
      <c r="I1151" s="10"/>
      <c r="J1151" s="10"/>
      <c r="K1151" s="10"/>
    </row>
    <row r="1152" customFormat="false" ht="14.25" hidden="false" customHeight="false" outlineLevel="0" collapsed="false">
      <c r="A1152" s="1" t="n">
        <v>66</v>
      </c>
      <c r="B1152" s="1" t="n">
        <v>2024</v>
      </c>
      <c r="C1152" s="3" t="n">
        <v>45527</v>
      </c>
      <c r="D1152" s="4" t="s">
        <v>65</v>
      </c>
      <c r="E1152" s="5" t="s">
        <v>69</v>
      </c>
      <c r="F1152" s="5" t="s">
        <v>45</v>
      </c>
      <c r="G1152" s="6"/>
      <c r="H1152" s="7" t="n">
        <v>60</v>
      </c>
      <c r="I1152" s="7" t="n">
        <v>60</v>
      </c>
      <c r="J1152" s="7" t="n">
        <v>60</v>
      </c>
      <c r="K1152" s="7" t="n">
        <v>60</v>
      </c>
    </row>
    <row r="1153" customFormat="false" ht="14.25" hidden="false" customHeight="false" outlineLevel="0" collapsed="false">
      <c r="A1153" s="1" t="n">
        <v>66</v>
      </c>
      <c r="B1153" s="1" t="n">
        <v>2024</v>
      </c>
      <c r="C1153" s="3" t="n">
        <v>45527</v>
      </c>
      <c r="D1153" s="8" t="s">
        <v>65</v>
      </c>
      <c r="E1153" s="9" t="s">
        <v>70</v>
      </c>
      <c r="F1153" s="9" t="s">
        <v>71</v>
      </c>
      <c r="G1153" s="10"/>
      <c r="H1153" s="10"/>
      <c r="I1153" s="10"/>
      <c r="J1153" s="10"/>
      <c r="K1153" s="10"/>
    </row>
    <row r="1154" customFormat="false" ht="25" hidden="false" customHeight="false" outlineLevel="0" collapsed="false">
      <c r="A1154" s="1" t="n">
        <v>67</v>
      </c>
      <c r="B1154" s="1" t="n">
        <v>2024</v>
      </c>
      <c r="C1154" s="3" t="n">
        <v>45534</v>
      </c>
      <c r="D1154" s="4" t="s">
        <v>11</v>
      </c>
      <c r="E1154" s="5" t="s">
        <v>12</v>
      </c>
      <c r="F1154" s="5" t="s">
        <v>13</v>
      </c>
      <c r="G1154" s="7" t="n">
        <v>48</v>
      </c>
      <c r="H1154" s="7" t="n">
        <v>48</v>
      </c>
      <c r="I1154" s="7" t="n">
        <v>48</v>
      </c>
      <c r="J1154" s="7" t="n">
        <v>48</v>
      </c>
      <c r="K1154" s="7" t="n">
        <v>48</v>
      </c>
    </row>
    <row r="1155" customFormat="false" ht="25" hidden="false" customHeight="false" outlineLevel="0" collapsed="false">
      <c r="A1155" s="1" t="n">
        <v>67</v>
      </c>
      <c r="B1155" s="1" t="n">
        <v>2024</v>
      </c>
      <c r="C1155" s="3" t="n">
        <v>45534</v>
      </c>
      <c r="D1155" s="8" t="s">
        <v>11</v>
      </c>
      <c r="E1155" s="9" t="s">
        <v>14</v>
      </c>
      <c r="F1155" s="9" t="s">
        <v>13</v>
      </c>
      <c r="G1155" s="10"/>
      <c r="H1155" s="11" t="n">
        <v>60</v>
      </c>
      <c r="I1155" s="11" t="n">
        <v>84</v>
      </c>
      <c r="J1155" s="11" t="n">
        <v>72</v>
      </c>
      <c r="K1155" s="11" t="n">
        <v>72</v>
      </c>
    </row>
    <row r="1156" customFormat="false" ht="25" hidden="false" customHeight="false" outlineLevel="0" collapsed="false">
      <c r="A1156" s="1" t="n">
        <v>67</v>
      </c>
      <c r="B1156" s="1" t="n">
        <v>2024</v>
      </c>
      <c r="C1156" s="3" t="n">
        <v>45534</v>
      </c>
      <c r="D1156" s="4" t="s">
        <v>11</v>
      </c>
      <c r="E1156" s="5" t="s">
        <v>15</v>
      </c>
      <c r="F1156" s="5" t="s">
        <v>13</v>
      </c>
      <c r="G1156" s="7" t="n">
        <v>30</v>
      </c>
      <c r="H1156" s="7" t="n">
        <v>30</v>
      </c>
      <c r="I1156" s="7" t="n">
        <v>42</v>
      </c>
      <c r="J1156" s="7" t="s">
        <v>314</v>
      </c>
      <c r="K1156" s="7" t="n">
        <v>33</v>
      </c>
    </row>
    <row r="1157" customFormat="false" ht="25" hidden="false" customHeight="false" outlineLevel="0" collapsed="false">
      <c r="A1157" s="1" t="n">
        <v>67</v>
      </c>
      <c r="B1157" s="1" t="n">
        <v>2024</v>
      </c>
      <c r="C1157" s="3" t="n">
        <v>45534</v>
      </c>
      <c r="D1157" s="8" t="s">
        <v>11</v>
      </c>
      <c r="E1157" s="9" t="s">
        <v>16</v>
      </c>
      <c r="F1157" s="9" t="s">
        <v>13</v>
      </c>
      <c r="G1157" s="11" t="n">
        <v>24</v>
      </c>
      <c r="H1157" s="11" t="n">
        <v>18</v>
      </c>
      <c r="I1157" s="11" t="n">
        <v>24</v>
      </c>
      <c r="J1157" s="11" t="n">
        <v>21</v>
      </c>
      <c r="K1157" s="11" t="n">
        <v>21</v>
      </c>
    </row>
    <row r="1158" customFormat="false" ht="25" hidden="false" customHeight="false" outlineLevel="0" collapsed="false">
      <c r="A1158" s="1" t="n">
        <v>67</v>
      </c>
      <c r="B1158" s="1" t="n">
        <v>2024</v>
      </c>
      <c r="C1158" s="3" t="n">
        <v>45534</v>
      </c>
      <c r="D1158" s="4" t="s">
        <v>11</v>
      </c>
      <c r="E1158" s="5" t="s">
        <v>17</v>
      </c>
      <c r="F1158" s="5" t="s">
        <v>13</v>
      </c>
      <c r="G1158" s="7" t="n">
        <v>24</v>
      </c>
      <c r="H1158" s="7" t="n">
        <v>18</v>
      </c>
      <c r="I1158" s="7" t="n">
        <v>24</v>
      </c>
      <c r="J1158" s="7" t="n">
        <v>22</v>
      </c>
      <c r="K1158" s="7" t="n">
        <v>24</v>
      </c>
    </row>
    <row r="1159" customFormat="false" ht="25" hidden="false" customHeight="false" outlineLevel="0" collapsed="false">
      <c r="A1159" s="1" t="n">
        <v>67</v>
      </c>
      <c r="B1159" s="1" t="n">
        <v>2024</v>
      </c>
      <c r="C1159" s="3" t="n">
        <v>45534</v>
      </c>
      <c r="D1159" s="8" t="s">
        <v>11</v>
      </c>
      <c r="E1159" s="9" t="s">
        <v>18</v>
      </c>
      <c r="F1159" s="9" t="s">
        <v>13</v>
      </c>
      <c r="G1159" s="11" t="n">
        <v>60</v>
      </c>
      <c r="H1159" s="11" t="n">
        <v>48</v>
      </c>
      <c r="I1159" s="11" t="n">
        <v>60</v>
      </c>
      <c r="J1159" s="11" t="n">
        <v>56</v>
      </c>
      <c r="K1159" s="11" t="n">
        <v>60</v>
      </c>
    </row>
    <row r="1160" customFormat="false" ht="25" hidden="false" customHeight="false" outlineLevel="0" collapsed="false">
      <c r="A1160" s="1" t="n">
        <v>67</v>
      </c>
      <c r="B1160" s="1" t="n">
        <v>2024</v>
      </c>
      <c r="C1160" s="3" t="n">
        <v>45534</v>
      </c>
      <c r="D1160" s="4" t="s">
        <v>11</v>
      </c>
      <c r="E1160" s="5" t="s">
        <v>19</v>
      </c>
      <c r="F1160" s="5" t="s">
        <v>13</v>
      </c>
      <c r="G1160" s="7" t="n">
        <v>60</v>
      </c>
      <c r="H1160" s="7" t="n">
        <v>60</v>
      </c>
      <c r="I1160" s="7" t="n">
        <v>60</v>
      </c>
      <c r="J1160" s="7" t="n">
        <v>60</v>
      </c>
      <c r="K1160" s="7" t="n">
        <v>60</v>
      </c>
    </row>
    <row r="1161" customFormat="false" ht="25" hidden="false" customHeight="false" outlineLevel="0" collapsed="false">
      <c r="A1161" s="1" t="n">
        <v>67</v>
      </c>
      <c r="B1161" s="1" t="n">
        <v>2024</v>
      </c>
      <c r="C1161" s="3" t="n">
        <v>45534</v>
      </c>
      <c r="D1161" s="8" t="s">
        <v>11</v>
      </c>
      <c r="E1161" s="9" t="s">
        <v>20</v>
      </c>
      <c r="F1161" s="9" t="s">
        <v>13</v>
      </c>
      <c r="G1161" s="11" t="n">
        <v>72</v>
      </c>
      <c r="H1161" s="11" t="n">
        <v>40</v>
      </c>
      <c r="I1161" s="11" t="n">
        <v>72</v>
      </c>
      <c r="J1161" s="11" t="n">
        <v>64</v>
      </c>
      <c r="K1161" s="11" t="n">
        <v>72</v>
      </c>
    </row>
    <row r="1162" customFormat="false" ht="25" hidden="false" customHeight="false" outlineLevel="0" collapsed="false">
      <c r="A1162" s="1" t="n">
        <v>67</v>
      </c>
      <c r="B1162" s="1" t="n">
        <v>2024</v>
      </c>
      <c r="C1162" s="3" t="n">
        <v>45534</v>
      </c>
      <c r="D1162" s="4" t="s">
        <v>11</v>
      </c>
      <c r="E1162" s="5" t="s">
        <v>21</v>
      </c>
      <c r="F1162" s="5" t="s">
        <v>13</v>
      </c>
      <c r="G1162" s="7" t="n">
        <v>24</v>
      </c>
      <c r="H1162" s="7" t="n">
        <v>15</v>
      </c>
      <c r="I1162" s="7" t="n">
        <v>24</v>
      </c>
      <c r="J1162" s="7" t="s">
        <v>120</v>
      </c>
      <c r="K1162" s="7" t="n">
        <v>21</v>
      </c>
    </row>
    <row r="1163" customFormat="false" ht="25" hidden="false" customHeight="false" outlineLevel="0" collapsed="false">
      <c r="A1163" s="1" t="n">
        <v>67</v>
      </c>
      <c r="B1163" s="1" t="n">
        <v>2024</v>
      </c>
      <c r="C1163" s="3" t="n">
        <v>45534</v>
      </c>
      <c r="D1163" s="8" t="s">
        <v>11</v>
      </c>
      <c r="E1163" s="9" t="s">
        <v>73</v>
      </c>
      <c r="F1163" s="9" t="s">
        <v>13</v>
      </c>
      <c r="G1163" s="11" t="n">
        <v>60</v>
      </c>
      <c r="H1163" s="11" t="n">
        <v>60</v>
      </c>
      <c r="I1163" s="11" t="n">
        <v>72</v>
      </c>
      <c r="J1163" s="11" t="n">
        <v>64</v>
      </c>
      <c r="K1163" s="11" t="n">
        <v>60</v>
      </c>
    </row>
    <row r="1164" customFormat="false" ht="25" hidden="false" customHeight="false" outlineLevel="0" collapsed="false">
      <c r="A1164" s="1" t="n">
        <v>67</v>
      </c>
      <c r="B1164" s="1" t="n">
        <v>2024</v>
      </c>
      <c r="C1164" s="3" t="n">
        <v>45534</v>
      </c>
      <c r="D1164" s="4" t="s">
        <v>11</v>
      </c>
      <c r="E1164" s="5" t="s">
        <v>23</v>
      </c>
      <c r="F1164" s="5" t="s">
        <v>13</v>
      </c>
      <c r="G1164" s="7" t="n">
        <v>24</v>
      </c>
      <c r="H1164" s="7" t="n">
        <v>18</v>
      </c>
      <c r="I1164" s="7" t="n">
        <v>24</v>
      </c>
      <c r="J1164" s="7" t="s">
        <v>37</v>
      </c>
      <c r="K1164" s="7" t="n">
        <v>24</v>
      </c>
    </row>
    <row r="1165" customFormat="false" ht="25" hidden="false" customHeight="false" outlineLevel="0" collapsed="false">
      <c r="A1165" s="1" t="n">
        <v>67</v>
      </c>
      <c r="B1165" s="1" t="n">
        <v>2024</v>
      </c>
      <c r="C1165" s="3" t="n">
        <v>45534</v>
      </c>
      <c r="D1165" s="8" t="s">
        <v>11</v>
      </c>
      <c r="E1165" s="9" t="s">
        <v>24</v>
      </c>
      <c r="F1165" s="9" t="s">
        <v>13</v>
      </c>
      <c r="G1165" s="11" t="n">
        <v>60</v>
      </c>
      <c r="H1165" s="11" t="n">
        <v>48</v>
      </c>
      <c r="I1165" s="11" t="n">
        <v>60</v>
      </c>
      <c r="J1165" s="11" t="n">
        <v>56</v>
      </c>
      <c r="K1165" s="11" t="n">
        <v>60</v>
      </c>
    </row>
    <row r="1166" customFormat="false" ht="25" hidden="false" customHeight="false" outlineLevel="0" collapsed="false">
      <c r="A1166" s="1" t="n">
        <v>67</v>
      </c>
      <c r="B1166" s="1" t="n">
        <v>2024</v>
      </c>
      <c r="C1166" s="3" t="n">
        <v>45534</v>
      </c>
      <c r="D1166" s="4" t="s">
        <v>11</v>
      </c>
      <c r="E1166" s="5" t="s">
        <v>25</v>
      </c>
      <c r="F1166" s="5" t="s">
        <v>26</v>
      </c>
      <c r="G1166" s="7" t="n">
        <v>48</v>
      </c>
      <c r="H1166" s="7" t="n">
        <v>42</v>
      </c>
      <c r="I1166" s="7" t="n">
        <v>48</v>
      </c>
      <c r="J1166" s="7" t="s">
        <v>174</v>
      </c>
      <c r="K1166" s="7" t="n">
        <v>48</v>
      </c>
    </row>
    <row r="1167" customFormat="false" ht="25" hidden="false" customHeight="false" outlineLevel="0" collapsed="false">
      <c r="A1167" s="1" t="n">
        <v>67</v>
      </c>
      <c r="B1167" s="1" t="n">
        <v>2024</v>
      </c>
      <c r="C1167" s="3" t="n">
        <v>45534</v>
      </c>
      <c r="D1167" s="8" t="s">
        <v>11</v>
      </c>
      <c r="E1167" s="9" t="s">
        <v>27</v>
      </c>
      <c r="F1167" s="9" t="s">
        <v>13</v>
      </c>
      <c r="G1167" s="11" t="n">
        <v>60</v>
      </c>
      <c r="H1167" s="11" t="n">
        <v>60</v>
      </c>
      <c r="I1167" s="11" t="n">
        <v>60</v>
      </c>
      <c r="J1167" s="11" t="n">
        <v>60</v>
      </c>
      <c r="K1167" s="11" t="n">
        <v>60</v>
      </c>
    </row>
    <row r="1168" customFormat="false" ht="25" hidden="false" customHeight="false" outlineLevel="0" collapsed="false">
      <c r="A1168" s="1" t="n">
        <v>67</v>
      </c>
      <c r="B1168" s="1" t="n">
        <v>2024</v>
      </c>
      <c r="C1168" s="3" t="n">
        <v>45534</v>
      </c>
      <c r="D1168" s="4" t="s">
        <v>11</v>
      </c>
      <c r="E1168" s="5" t="s">
        <v>28</v>
      </c>
      <c r="F1168" s="5" t="s">
        <v>13</v>
      </c>
      <c r="G1168" s="7" t="n">
        <v>36</v>
      </c>
      <c r="H1168" s="7" t="n">
        <v>30</v>
      </c>
      <c r="I1168" s="7" t="n">
        <v>36</v>
      </c>
      <c r="J1168" s="7" t="s">
        <v>106</v>
      </c>
      <c r="K1168" s="7" t="s">
        <v>145</v>
      </c>
    </row>
    <row r="1169" customFormat="false" ht="25" hidden="false" customHeight="false" outlineLevel="0" collapsed="false">
      <c r="A1169" s="1" t="n">
        <v>67</v>
      </c>
      <c r="B1169" s="1" t="n">
        <v>2024</v>
      </c>
      <c r="C1169" s="3" t="n">
        <v>45534</v>
      </c>
      <c r="D1169" s="8" t="s">
        <v>11</v>
      </c>
      <c r="E1169" s="9" t="s">
        <v>29</v>
      </c>
      <c r="F1169" s="9" t="s">
        <v>13</v>
      </c>
      <c r="G1169" s="11" t="n">
        <v>48</v>
      </c>
      <c r="H1169" s="11" t="n">
        <v>48</v>
      </c>
      <c r="I1169" s="11" t="n">
        <v>54</v>
      </c>
      <c r="J1169" s="11" t="s">
        <v>173</v>
      </c>
      <c r="K1169" s="11" t="n">
        <v>48</v>
      </c>
    </row>
    <row r="1170" customFormat="false" ht="25" hidden="false" customHeight="false" outlineLevel="0" collapsed="false">
      <c r="A1170" s="1" t="n">
        <v>67</v>
      </c>
      <c r="B1170" s="1" t="n">
        <v>2024</v>
      </c>
      <c r="C1170" s="3" t="n">
        <v>45534</v>
      </c>
      <c r="D1170" s="4" t="s">
        <v>11</v>
      </c>
      <c r="E1170" s="5" t="s">
        <v>31</v>
      </c>
      <c r="F1170" s="5" t="s">
        <v>32</v>
      </c>
      <c r="G1170" s="7" t="n">
        <v>5</v>
      </c>
      <c r="H1170" s="7" t="n">
        <v>5</v>
      </c>
      <c r="I1170" s="7" t="n">
        <v>5</v>
      </c>
      <c r="J1170" s="7" t="n">
        <v>5</v>
      </c>
      <c r="K1170" s="7" t="n">
        <v>5</v>
      </c>
    </row>
    <row r="1171" customFormat="false" ht="25" hidden="false" customHeight="false" outlineLevel="0" collapsed="false">
      <c r="A1171" s="1" t="n">
        <v>67</v>
      </c>
      <c r="B1171" s="1" t="n">
        <v>2024</v>
      </c>
      <c r="C1171" s="3" t="n">
        <v>45534</v>
      </c>
      <c r="D1171" s="8" t="s">
        <v>11</v>
      </c>
      <c r="E1171" s="9" t="s">
        <v>34</v>
      </c>
      <c r="F1171" s="9" t="s">
        <v>35</v>
      </c>
      <c r="G1171" s="11" t="n">
        <v>10</v>
      </c>
      <c r="H1171" s="11" t="n">
        <v>10</v>
      </c>
      <c r="I1171" s="11" t="n">
        <v>10</v>
      </c>
      <c r="J1171" s="11" t="n">
        <v>10</v>
      </c>
      <c r="K1171" s="11" t="n">
        <v>10</v>
      </c>
    </row>
    <row r="1172" customFormat="false" ht="25" hidden="false" customHeight="false" outlineLevel="0" collapsed="false">
      <c r="A1172" s="1" t="n">
        <v>67</v>
      </c>
      <c r="B1172" s="1" t="n">
        <v>2024</v>
      </c>
      <c r="C1172" s="3" t="n">
        <v>45534</v>
      </c>
      <c r="D1172" s="4" t="s">
        <v>11</v>
      </c>
      <c r="E1172" s="5" t="s">
        <v>36</v>
      </c>
      <c r="F1172" s="5" t="s">
        <v>35</v>
      </c>
      <c r="G1172" s="7" t="n">
        <v>20</v>
      </c>
      <c r="H1172" s="7" t="n">
        <v>20</v>
      </c>
      <c r="I1172" s="7" t="n">
        <v>30</v>
      </c>
      <c r="J1172" s="7" t="s">
        <v>315</v>
      </c>
      <c r="K1172" s="7" t="s">
        <v>37</v>
      </c>
    </row>
    <row r="1173" customFormat="false" ht="36.5" hidden="false" customHeight="false" outlineLevel="0" collapsed="false">
      <c r="A1173" s="1" t="n">
        <v>67</v>
      </c>
      <c r="B1173" s="1" t="n">
        <v>2024</v>
      </c>
      <c r="C1173" s="3" t="n">
        <v>45534</v>
      </c>
      <c r="D1173" s="8" t="s">
        <v>38</v>
      </c>
      <c r="E1173" s="9" t="s">
        <v>153</v>
      </c>
      <c r="F1173" s="9" t="s">
        <v>154</v>
      </c>
      <c r="G1173" s="10"/>
      <c r="H1173" s="11" t="n">
        <v>70</v>
      </c>
      <c r="I1173" s="11" t="n">
        <v>80</v>
      </c>
      <c r="J1173" s="11" t="n">
        <v>75</v>
      </c>
      <c r="K1173" s="11" t="n">
        <v>75</v>
      </c>
    </row>
    <row r="1174" customFormat="false" ht="36.5" hidden="false" customHeight="false" outlineLevel="0" collapsed="false">
      <c r="A1174" s="1" t="n">
        <v>67</v>
      </c>
      <c r="B1174" s="1" t="n">
        <v>2024</v>
      </c>
      <c r="C1174" s="3" t="n">
        <v>45534</v>
      </c>
      <c r="D1174" s="4" t="s">
        <v>38</v>
      </c>
      <c r="E1174" s="5" t="s">
        <v>39</v>
      </c>
      <c r="F1174" s="5" t="s">
        <v>40</v>
      </c>
      <c r="G1174" s="7" t="n">
        <v>60</v>
      </c>
      <c r="H1174" s="7" t="n">
        <v>50</v>
      </c>
      <c r="I1174" s="7" t="n">
        <v>60</v>
      </c>
      <c r="J1174" s="7" t="s">
        <v>41</v>
      </c>
      <c r="K1174" s="7" t="n">
        <v>60</v>
      </c>
    </row>
    <row r="1175" customFormat="false" ht="36.5" hidden="false" customHeight="false" outlineLevel="0" collapsed="false">
      <c r="A1175" s="1" t="n">
        <v>67</v>
      </c>
      <c r="B1175" s="1" t="n">
        <v>2024</v>
      </c>
      <c r="C1175" s="3" t="n">
        <v>45534</v>
      </c>
      <c r="D1175" s="8" t="s">
        <v>38</v>
      </c>
      <c r="E1175" s="9" t="s">
        <v>42</v>
      </c>
      <c r="F1175" s="9" t="s">
        <v>43</v>
      </c>
      <c r="G1175" s="10"/>
      <c r="H1175" s="11" t="n">
        <v>35</v>
      </c>
      <c r="I1175" s="11" t="n">
        <v>80</v>
      </c>
      <c r="J1175" s="11" t="n">
        <v>56</v>
      </c>
      <c r="K1175" s="11" t="n">
        <v>50</v>
      </c>
    </row>
    <row r="1176" customFormat="false" ht="36.5" hidden="false" customHeight="false" outlineLevel="0" collapsed="false">
      <c r="A1176" s="1" t="n">
        <v>67</v>
      </c>
      <c r="B1176" s="1" t="n">
        <v>2024</v>
      </c>
      <c r="C1176" s="3" t="n">
        <v>45534</v>
      </c>
      <c r="D1176" s="4" t="s">
        <v>38</v>
      </c>
      <c r="E1176" s="5" t="s">
        <v>44</v>
      </c>
      <c r="F1176" s="5" t="s">
        <v>45</v>
      </c>
      <c r="G1176" s="7" t="n">
        <v>45</v>
      </c>
      <c r="H1176" s="7" t="n">
        <v>45</v>
      </c>
      <c r="I1176" s="7" t="n">
        <v>60</v>
      </c>
      <c r="J1176" s="7" t="n">
        <v>50</v>
      </c>
      <c r="K1176" s="7" t="s">
        <v>91</v>
      </c>
    </row>
    <row r="1177" customFormat="false" ht="36.5" hidden="false" customHeight="false" outlineLevel="0" collapsed="false">
      <c r="A1177" s="1" t="n">
        <v>67</v>
      </c>
      <c r="B1177" s="1" t="n">
        <v>2024</v>
      </c>
      <c r="C1177" s="3" t="n">
        <v>45534</v>
      </c>
      <c r="D1177" s="8" t="s">
        <v>38</v>
      </c>
      <c r="E1177" s="9" t="s">
        <v>48</v>
      </c>
      <c r="F1177" s="9" t="s">
        <v>45</v>
      </c>
      <c r="G1177" s="10"/>
      <c r="H1177" s="10"/>
      <c r="I1177" s="10"/>
      <c r="J1177" s="10"/>
      <c r="K1177" s="10"/>
    </row>
    <row r="1178" customFormat="false" ht="36.5" hidden="false" customHeight="false" outlineLevel="0" collapsed="false">
      <c r="A1178" s="1" t="n">
        <v>67</v>
      </c>
      <c r="B1178" s="1" t="n">
        <v>2024</v>
      </c>
      <c r="C1178" s="3" t="n">
        <v>45534</v>
      </c>
      <c r="D1178" s="4" t="s">
        <v>38</v>
      </c>
      <c r="E1178" s="5" t="s">
        <v>49</v>
      </c>
      <c r="F1178" s="5" t="s">
        <v>50</v>
      </c>
      <c r="G1178" s="7" t="n">
        <v>60</v>
      </c>
      <c r="H1178" s="7" t="n">
        <v>35</v>
      </c>
      <c r="I1178" s="7" t="n">
        <v>70</v>
      </c>
      <c r="J1178" s="7" t="n">
        <v>57</v>
      </c>
      <c r="K1178" s="7" t="n">
        <v>60</v>
      </c>
    </row>
    <row r="1179" customFormat="false" ht="36.5" hidden="false" customHeight="false" outlineLevel="0" collapsed="false">
      <c r="A1179" s="1" t="n">
        <v>67</v>
      </c>
      <c r="B1179" s="1" t="n">
        <v>2024</v>
      </c>
      <c r="C1179" s="3" t="n">
        <v>45534</v>
      </c>
      <c r="D1179" s="8" t="s">
        <v>38</v>
      </c>
      <c r="E1179" s="9" t="s">
        <v>52</v>
      </c>
      <c r="F1179" s="9" t="s">
        <v>43</v>
      </c>
      <c r="G1179" s="11" t="n">
        <v>60</v>
      </c>
      <c r="H1179" s="11" t="n">
        <v>35</v>
      </c>
      <c r="I1179" s="11" t="n">
        <v>60</v>
      </c>
      <c r="J1179" s="11" t="n">
        <v>46</v>
      </c>
      <c r="K1179" s="11" t="n">
        <v>40</v>
      </c>
    </row>
    <row r="1180" customFormat="false" ht="36.5" hidden="false" customHeight="false" outlineLevel="0" collapsed="false">
      <c r="A1180" s="1" t="n">
        <v>67</v>
      </c>
      <c r="B1180" s="1" t="n">
        <v>2024</v>
      </c>
      <c r="C1180" s="3" t="n">
        <v>45534</v>
      </c>
      <c r="D1180" s="4" t="s">
        <v>38</v>
      </c>
      <c r="E1180" s="5" t="s">
        <v>53</v>
      </c>
      <c r="F1180" s="5" t="s">
        <v>43</v>
      </c>
      <c r="G1180" s="6"/>
      <c r="H1180" s="7" t="n">
        <v>50</v>
      </c>
      <c r="I1180" s="7" t="n">
        <v>80</v>
      </c>
      <c r="J1180" s="7" t="n">
        <v>65</v>
      </c>
      <c r="K1180" s="7" t="n">
        <v>65</v>
      </c>
    </row>
    <row r="1181" customFormat="false" ht="36.5" hidden="false" customHeight="false" outlineLevel="0" collapsed="false">
      <c r="A1181" s="1" t="n">
        <v>67</v>
      </c>
      <c r="B1181" s="1" t="n">
        <v>2024</v>
      </c>
      <c r="C1181" s="3" t="n">
        <v>45534</v>
      </c>
      <c r="D1181" s="8" t="s">
        <v>38</v>
      </c>
      <c r="E1181" s="9" t="s">
        <v>54</v>
      </c>
      <c r="F1181" s="9" t="s">
        <v>40</v>
      </c>
      <c r="G1181" s="10"/>
      <c r="H1181" s="11" t="n">
        <v>80</v>
      </c>
      <c r="I1181" s="11" t="n">
        <v>110</v>
      </c>
      <c r="J1181" s="11" t="n">
        <v>95</v>
      </c>
      <c r="K1181" s="11" t="n">
        <v>95</v>
      </c>
    </row>
    <row r="1182" customFormat="false" ht="36.5" hidden="false" customHeight="false" outlineLevel="0" collapsed="false">
      <c r="A1182" s="1" t="n">
        <v>67</v>
      </c>
      <c r="B1182" s="1" t="n">
        <v>2024</v>
      </c>
      <c r="C1182" s="3" t="n">
        <v>45534</v>
      </c>
      <c r="D1182" s="4" t="s">
        <v>38</v>
      </c>
      <c r="E1182" s="5" t="s">
        <v>56</v>
      </c>
      <c r="F1182" s="5" t="s">
        <v>43</v>
      </c>
      <c r="G1182" s="6"/>
      <c r="H1182" s="6"/>
      <c r="I1182" s="6"/>
      <c r="J1182" s="6"/>
      <c r="K1182" s="6"/>
    </row>
    <row r="1183" customFormat="false" ht="36.5" hidden="false" customHeight="false" outlineLevel="0" collapsed="false">
      <c r="A1183" s="1" t="n">
        <v>67</v>
      </c>
      <c r="B1183" s="1" t="n">
        <v>2024</v>
      </c>
      <c r="C1183" s="3" t="n">
        <v>45534</v>
      </c>
      <c r="D1183" s="8" t="s">
        <v>38</v>
      </c>
      <c r="E1183" s="9" t="s">
        <v>57</v>
      </c>
      <c r="F1183" s="9" t="s">
        <v>40</v>
      </c>
      <c r="G1183" s="10"/>
      <c r="H1183" s="11" t="n">
        <v>25</v>
      </c>
      <c r="I1183" s="11" t="n">
        <v>80</v>
      </c>
      <c r="J1183" s="11" t="s">
        <v>258</v>
      </c>
      <c r="K1183" s="11" t="n">
        <v>70</v>
      </c>
    </row>
    <row r="1184" customFormat="false" ht="36.5" hidden="false" customHeight="false" outlineLevel="0" collapsed="false">
      <c r="A1184" s="1" t="n">
        <v>67</v>
      </c>
      <c r="B1184" s="1" t="n">
        <v>2024</v>
      </c>
      <c r="C1184" s="3" t="n">
        <v>45534</v>
      </c>
      <c r="D1184" s="4" t="s">
        <v>38</v>
      </c>
      <c r="E1184" s="5" t="s">
        <v>58</v>
      </c>
      <c r="F1184" s="5" t="s">
        <v>40</v>
      </c>
      <c r="G1184" s="6"/>
      <c r="H1184" s="7" t="n">
        <v>70</v>
      </c>
      <c r="I1184" s="7" t="n">
        <v>120</v>
      </c>
      <c r="J1184" s="7" t="n">
        <v>90</v>
      </c>
      <c r="K1184" s="7" t="n">
        <v>80</v>
      </c>
    </row>
    <row r="1185" customFormat="false" ht="36.5" hidden="false" customHeight="false" outlineLevel="0" collapsed="false">
      <c r="A1185" s="1" t="n">
        <v>67</v>
      </c>
      <c r="B1185" s="1" t="n">
        <v>2024</v>
      </c>
      <c r="C1185" s="3" t="n">
        <v>45534</v>
      </c>
      <c r="D1185" s="8" t="s">
        <v>38</v>
      </c>
      <c r="E1185" s="9" t="s">
        <v>59</v>
      </c>
      <c r="F1185" s="9" t="s">
        <v>45</v>
      </c>
      <c r="G1185" s="11" t="n">
        <v>50</v>
      </c>
      <c r="H1185" s="11" t="n">
        <v>25</v>
      </c>
      <c r="I1185" s="11" t="n">
        <v>60</v>
      </c>
      <c r="J1185" s="11" t="n">
        <v>48</v>
      </c>
      <c r="K1185" s="11" t="n">
        <v>50</v>
      </c>
    </row>
    <row r="1186" customFormat="false" ht="36.5" hidden="false" customHeight="false" outlineLevel="0" collapsed="false">
      <c r="A1186" s="1" t="n">
        <v>67</v>
      </c>
      <c r="B1186" s="1" t="n">
        <v>2024</v>
      </c>
      <c r="C1186" s="3" t="n">
        <v>45534</v>
      </c>
      <c r="D1186" s="4" t="s">
        <v>38</v>
      </c>
      <c r="E1186" s="5" t="s">
        <v>60</v>
      </c>
      <c r="F1186" s="5" t="s">
        <v>61</v>
      </c>
      <c r="G1186" s="6"/>
      <c r="H1186" s="7" t="n">
        <v>120</v>
      </c>
      <c r="I1186" s="7" t="n">
        <v>140</v>
      </c>
      <c r="J1186" s="7" t="n">
        <v>130</v>
      </c>
      <c r="K1186" s="7" t="n">
        <v>130</v>
      </c>
    </row>
    <row r="1187" customFormat="false" ht="36.5" hidden="false" customHeight="false" outlineLevel="0" collapsed="false">
      <c r="A1187" s="1" t="n">
        <v>67</v>
      </c>
      <c r="B1187" s="1" t="n">
        <v>2024</v>
      </c>
      <c r="C1187" s="3" t="n">
        <v>45534</v>
      </c>
      <c r="D1187" s="8" t="s">
        <v>38</v>
      </c>
      <c r="E1187" s="9" t="s">
        <v>63</v>
      </c>
      <c r="F1187" s="9" t="s">
        <v>40</v>
      </c>
      <c r="G1187" s="11" t="n">
        <v>60</v>
      </c>
      <c r="H1187" s="11" t="n">
        <v>45</v>
      </c>
      <c r="I1187" s="11" t="n">
        <v>60</v>
      </c>
      <c r="J1187" s="11" t="s">
        <v>92</v>
      </c>
      <c r="K1187" s="11" t="n">
        <v>55</v>
      </c>
    </row>
    <row r="1188" customFormat="false" ht="36.5" hidden="false" customHeight="false" outlineLevel="0" collapsed="false">
      <c r="A1188" s="1" t="n">
        <v>67</v>
      </c>
      <c r="B1188" s="1" t="n">
        <v>2024</v>
      </c>
      <c r="C1188" s="3" t="n">
        <v>45534</v>
      </c>
      <c r="D1188" s="4" t="s">
        <v>38</v>
      </c>
      <c r="E1188" s="5" t="s">
        <v>64</v>
      </c>
      <c r="F1188" s="5" t="s">
        <v>40</v>
      </c>
      <c r="G1188" s="6"/>
      <c r="H1188" s="7" t="n">
        <v>120</v>
      </c>
      <c r="I1188" s="7" t="n">
        <v>120</v>
      </c>
      <c r="J1188" s="7" t="n">
        <v>120</v>
      </c>
      <c r="K1188" s="7" t="n">
        <v>120</v>
      </c>
    </row>
    <row r="1189" customFormat="false" ht="14.25" hidden="false" customHeight="false" outlineLevel="0" collapsed="false">
      <c r="A1189" s="1" t="n">
        <v>67</v>
      </c>
      <c r="B1189" s="1" t="n">
        <v>2024</v>
      </c>
      <c r="C1189" s="3" t="n">
        <v>45534</v>
      </c>
      <c r="D1189" s="8" t="s">
        <v>65</v>
      </c>
      <c r="E1189" s="9" t="s">
        <v>66</v>
      </c>
      <c r="F1189" s="9" t="s">
        <v>45</v>
      </c>
      <c r="G1189" s="10"/>
      <c r="H1189" s="10"/>
      <c r="I1189" s="10"/>
      <c r="J1189" s="10"/>
      <c r="K1189" s="10"/>
    </row>
    <row r="1190" customFormat="false" ht="14.25" hidden="false" customHeight="false" outlineLevel="0" collapsed="false">
      <c r="A1190" s="1" t="n">
        <v>67</v>
      </c>
      <c r="B1190" s="1" t="n">
        <v>2024</v>
      </c>
      <c r="C1190" s="3" t="n">
        <v>45534</v>
      </c>
      <c r="D1190" s="4" t="s">
        <v>65</v>
      </c>
      <c r="E1190" s="5" t="s">
        <v>67</v>
      </c>
      <c r="F1190" s="5" t="s">
        <v>45</v>
      </c>
      <c r="G1190" s="6"/>
      <c r="H1190" s="6"/>
      <c r="I1190" s="6"/>
      <c r="J1190" s="6"/>
      <c r="K1190" s="6"/>
    </row>
    <row r="1191" customFormat="false" ht="14.25" hidden="false" customHeight="false" outlineLevel="0" collapsed="false">
      <c r="A1191" s="1" t="n">
        <v>67</v>
      </c>
      <c r="B1191" s="1" t="n">
        <v>2024</v>
      </c>
      <c r="C1191" s="3" t="n">
        <v>45534</v>
      </c>
      <c r="D1191" s="8" t="s">
        <v>65</v>
      </c>
      <c r="E1191" s="9" t="s">
        <v>68</v>
      </c>
      <c r="F1191" s="9" t="s">
        <v>45</v>
      </c>
      <c r="G1191" s="10"/>
      <c r="H1191" s="10"/>
      <c r="I1191" s="10"/>
      <c r="J1191" s="10"/>
      <c r="K1191" s="10"/>
    </row>
    <row r="1192" customFormat="false" ht="14.25" hidden="false" customHeight="false" outlineLevel="0" collapsed="false">
      <c r="A1192" s="1" t="n">
        <v>67</v>
      </c>
      <c r="B1192" s="1" t="n">
        <v>2024</v>
      </c>
      <c r="C1192" s="3" t="n">
        <v>45534</v>
      </c>
      <c r="D1192" s="4" t="s">
        <v>65</v>
      </c>
      <c r="E1192" s="5" t="s">
        <v>69</v>
      </c>
      <c r="F1192" s="5" t="s">
        <v>45</v>
      </c>
      <c r="G1192" s="6"/>
      <c r="H1192" s="7" t="n">
        <v>60</v>
      </c>
      <c r="I1192" s="7" t="n">
        <v>60</v>
      </c>
      <c r="J1192" s="7" t="n">
        <v>60</v>
      </c>
      <c r="K1192" s="7" t="n">
        <v>60</v>
      </c>
    </row>
    <row r="1193" customFormat="false" ht="14.25" hidden="false" customHeight="false" outlineLevel="0" collapsed="false">
      <c r="A1193" s="1" t="n">
        <v>67</v>
      </c>
      <c r="B1193" s="1" t="n">
        <v>2024</v>
      </c>
      <c r="C1193" s="3" t="n">
        <v>45534</v>
      </c>
      <c r="D1193" s="8" t="s">
        <v>65</v>
      </c>
      <c r="E1193" s="9" t="s">
        <v>70</v>
      </c>
      <c r="F1193" s="9" t="s">
        <v>71</v>
      </c>
      <c r="G1193" s="10"/>
      <c r="H1193" s="11" t="n">
        <v>80</v>
      </c>
      <c r="I1193" s="11" t="n">
        <v>80</v>
      </c>
      <c r="J1193" s="11" t="n">
        <v>80</v>
      </c>
      <c r="K1193" s="11" t="n">
        <v>80</v>
      </c>
    </row>
    <row r="1194" customFormat="false" ht="25" hidden="false" customHeight="false" outlineLevel="0" collapsed="false">
      <c r="A1194" s="1" t="n">
        <v>68</v>
      </c>
      <c r="B1194" s="1" t="n">
        <v>2024</v>
      </c>
      <c r="C1194" s="3" t="n">
        <v>45541</v>
      </c>
      <c r="D1194" s="4" t="s">
        <v>11</v>
      </c>
      <c r="E1194" s="5" t="s">
        <v>12</v>
      </c>
      <c r="F1194" s="5" t="s">
        <v>13</v>
      </c>
      <c r="G1194" s="7" t="n">
        <v>48</v>
      </c>
      <c r="H1194" s="7" t="n">
        <v>48</v>
      </c>
      <c r="I1194" s="7" t="n">
        <v>60</v>
      </c>
      <c r="J1194" s="7" t="s">
        <v>294</v>
      </c>
      <c r="K1194" s="7" t="n">
        <v>48</v>
      </c>
    </row>
    <row r="1195" customFormat="false" ht="25" hidden="false" customHeight="false" outlineLevel="0" collapsed="false">
      <c r="A1195" s="1" t="n">
        <v>68</v>
      </c>
      <c r="B1195" s="1" t="n">
        <v>2024</v>
      </c>
      <c r="C1195" s="3" t="n">
        <v>45541</v>
      </c>
      <c r="D1195" s="8" t="s">
        <v>11</v>
      </c>
      <c r="E1195" s="9" t="s">
        <v>14</v>
      </c>
      <c r="F1195" s="9" t="s">
        <v>13</v>
      </c>
      <c r="G1195" s="11" t="n">
        <v>72</v>
      </c>
      <c r="H1195" s="11" t="n">
        <v>72</v>
      </c>
      <c r="I1195" s="11" t="n">
        <v>96</v>
      </c>
      <c r="J1195" s="11" t="n">
        <v>81</v>
      </c>
      <c r="K1195" s="11" t="n">
        <v>78</v>
      </c>
    </row>
    <row r="1196" customFormat="false" ht="25" hidden="false" customHeight="false" outlineLevel="0" collapsed="false">
      <c r="A1196" s="1" t="n">
        <v>68</v>
      </c>
      <c r="B1196" s="1" t="n">
        <v>2024</v>
      </c>
      <c r="C1196" s="3" t="n">
        <v>45541</v>
      </c>
      <c r="D1196" s="4" t="s">
        <v>11</v>
      </c>
      <c r="E1196" s="5" t="s">
        <v>15</v>
      </c>
      <c r="F1196" s="5" t="s">
        <v>13</v>
      </c>
      <c r="G1196" s="7" t="n">
        <v>36</v>
      </c>
      <c r="H1196" s="7" t="n">
        <v>25</v>
      </c>
      <c r="I1196" s="7" t="n">
        <v>42</v>
      </c>
      <c r="J1196" s="7" t="n">
        <v>35</v>
      </c>
      <c r="K1196" s="7" t="n">
        <v>36</v>
      </c>
    </row>
    <row r="1197" customFormat="false" ht="25" hidden="false" customHeight="false" outlineLevel="0" collapsed="false">
      <c r="A1197" s="1" t="n">
        <v>68</v>
      </c>
      <c r="B1197" s="1" t="n">
        <v>2024</v>
      </c>
      <c r="C1197" s="3" t="n">
        <v>45541</v>
      </c>
      <c r="D1197" s="8" t="s">
        <v>11</v>
      </c>
      <c r="E1197" s="9" t="s">
        <v>16</v>
      </c>
      <c r="F1197" s="9" t="s">
        <v>13</v>
      </c>
      <c r="G1197" s="11" t="n">
        <v>24</v>
      </c>
      <c r="H1197" s="11" t="n">
        <v>18</v>
      </c>
      <c r="I1197" s="11" t="n">
        <v>24</v>
      </c>
      <c r="J1197" s="11" t="s">
        <v>118</v>
      </c>
      <c r="K1197" s="11" t="n">
        <v>24</v>
      </c>
    </row>
    <row r="1198" customFormat="false" ht="25" hidden="false" customHeight="false" outlineLevel="0" collapsed="false">
      <c r="A1198" s="1" t="n">
        <v>68</v>
      </c>
      <c r="B1198" s="1" t="n">
        <v>2024</v>
      </c>
      <c r="C1198" s="3" t="n">
        <v>45541</v>
      </c>
      <c r="D1198" s="4" t="s">
        <v>11</v>
      </c>
      <c r="E1198" s="5" t="s">
        <v>17</v>
      </c>
      <c r="F1198" s="5" t="s">
        <v>13</v>
      </c>
      <c r="G1198" s="7" t="n">
        <v>24</v>
      </c>
      <c r="H1198" s="7" t="n">
        <v>18</v>
      </c>
      <c r="I1198" s="7" t="n">
        <v>24</v>
      </c>
      <c r="J1198" s="7" t="n">
        <v>21</v>
      </c>
      <c r="K1198" s="7" t="n">
        <v>21</v>
      </c>
    </row>
    <row r="1199" customFormat="false" ht="25" hidden="false" customHeight="false" outlineLevel="0" collapsed="false">
      <c r="A1199" s="1" t="n">
        <v>68</v>
      </c>
      <c r="B1199" s="1" t="n">
        <v>2024</v>
      </c>
      <c r="C1199" s="3" t="n">
        <v>45541</v>
      </c>
      <c r="D1199" s="8" t="s">
        <v>11</v>
      </c>
      <c r="E1199" s="9" t="s">
        <v>18</v>
      </c>
      <c r="F1199" s="9" t="s">
        <v>13</v>
      </c>
      <c r="G1199" s="11" t="n">
        <v>60</v>
      </c>
      <c r="H1199" s="11" t="n">
        <v>48</v>
      </c>
      <c r="I1199" s="11" t="n">
        <v>60</v>
      </c>
      <c r="J1199" s="11" t="n">
        <v>54</v>
      </c>
      <c r="K1199" s="11" t="n">
        <v>54</v>
      </c>
    </row>
    <row r="1200" customFormat="false" ht="25" hidden="false" customHeight="false" outlineLevel="0" collapsed="false">
      <c r="A1200" s="1" t="n">
        <v>68</v>
      </c>
      <c r="B1200" s="1" t="n">
        <v>2024</v>
      </c>
      <c r="C1200" s="3" t="n">
        <v>45541</v>
      </c>
      <c r="D1200" s="4" t="s">
        <v>11</v>
      </c>
      <c r="E1200" s="5" t="s">
        <v>19</v>
      </c>
      <c r="F1200" s="5" t="s">
        <v>13</v>
      </c>
      <c r="G1200" s="7" t="n">
        <v>60</v>
      </c>
      <c r="H1200" s="7" t="n">
        <v>48</v>
      </c>
      <c r="I1200" s="7" t="n">
        <v>72</v>
      </c>
      <c r="J1200" s="7" t="n">
        <v>60</v>
      </c>
      <c r="K1200" s="7" t="n">
        <v>60</v>
      </c>
    </row>
    <row r="1201" customFormat="false" ht="25" hidden="false" customHeight="false" outlineLevel="0" collapsed="false">
      <c r="A1201" s="1" t="n">
        <v>68</v>
      </c>
      <c r="B1201" s="1" t="n">
        <v>2024</v>
      </c>
      <c r="C1201" s="3" t="n">
        <v>45541</v>
      </c>
      <c r="D1201" s="8" t="s">
        <v>11</v>
      </c>
      <c r="E1201" s="9" t="s">
        <v>20</v>
      </c>
      <c r="F1201" s="9" t="s">
        <v>13</v>
      </c>
      <c r="G1201" s="11" t="n">
        <v>72</v>
      </c>
      <c r="H1201" s="11" t="n">
        <v>60</v>
      </c>
      <c r="I1201" s="11" t="n">
        <v>72</v>
      </c>
      <c r="J1201" s="11" t="s">
        <v>316</v>
      </c>
      <c r="K1201" s="11" t="n">
        <v>72</v>
      </c>
    </row>
    <row r="1202" customFormat="false" ht="25" hidden="false" customHeight="false" outlineLevel="0" collapsed="false">
      <c r="A1202" s="1" t="n">
        <v>68</v>
      </c>
      <c r="B1202" s="1" t="n">
        <v>2024</v>
      </c>
      <c r="C1202" s="3" t="n">
        <v>45541</v>
      </c>
      <c r="D1202" s="4" t="s">
        <v>11</v>
      </c>
      <c r="E1202" s="5" t="s">
        <v>21</v>
      </c>
      <c r="F1202" s="5" t="s">
        <v>13</v>
      </c>
      <c r="G1202" s="7" t="n">
        <v>18</v>
      </c>
      <c r="H1202" s="7" t="n">
        <v>18</v>
      </c>
      <c r="I1202" s="7" t="n">
        <v>24</v>
      </c>
      <c r="J1202" s="7" t="s">
        <v>317</v>
      </c>
      <c r="K1202" s="7" t="n">
        <v>18</v>
      </c>
    </row>
    <row r="1203" customFormat="false" ht="25" hidden="false" customHeight="false" outlineLevel="0" collapsed="false">
      <c r="A1203" s="1" t="n">
        <v>68</v>
      </c>
      <c r="B1203" s="1" t="n">
        <v>2024</v>
      </c>
      <c r="C1203" s="3" t="n">
        <v>45541</v>
      </c>
      <c r="D1203" s="8" t="s">
        <v>11</v>
      </c>
      <c r="E1203" s="9" t="s">
        <v>73</v>
      </c>
      <c r="F1203" s="9" t="s">
        <v>13</v>
      </c>
      <c r="G1203" s="11" t="n">
        <v>60</v>
      </c>
      <c r="H1203" s="11" t="n">
        <v>60</v>
      </c>
      <c r="I1203" s="11" t="n">
        <v>78</v>
      </c>
      <c r="J1203" s="11" t="s">
        <v>178</v>
      </c>
      <c r="K1203" s="11" t="n">
        <v>60</v>
      </c>
    </row>
    <row r="1204" customFormat="false" ht="25" hidden="false" customHeight="false" outlineLevel="0" collapsed="false">
      <c r="A1204" s="1" t="n">
        <v>68</v>
      </c>
      <c r="B1204" s="1" t="n">
        <v>2024</v>
      </c>
      <c r="C1204" s="3" t="n">
        <v>45541</v>
      </c>
      <c r="D1204" s="4" t="s">
        <v>11</v>
      </c>
      <c r="E1204" s="5" t="s">
        <v>23</v>
      </c>
      <c r="F1204" s="5" t="s">
        <v>13</v>
      </c>
      <c r="G1204" s="7" t="n">
        <v>24</v>
      </c>
      <c r="H1204" s="7" t="n">
        <v>18</v>
      </c>
      <c r="I1204" s="7" t="n">
        <v>24</v>
      </c>
      <c r="J1204" s="7" t="s">
        <v>281</v>
      </c>
      <c r="K1204" s="7" t="n">
        <v>24</v>
      </c>
    </row>
    <row r="1205" customFormat="false" ht="25" hidden="false" customHeight="false" outlineLevel="0" collapsed="false">
      <c r="A1205" s="1" t="n">
        <v>68</v>
      </c>
      <c r="B1205" s="1" t="n">
        <v>2024</v>
      </c>
      <c r="C1205" s="3" t="n">
        <v>45541</v>
      </c>
      <c r="D1205" s="8" t="s">
        <v>11</v>
      </c>
      <c r="E1205" s="9" t="s">
        <v>24</v>
      </c>
      <c r="F1205" s="9" t="s">
        <v>13</v>
      </c>
      <c r="G1205" s="11" t="n">
        <v>60</v>
      </c>
      <c r="H1205" s="11" t="n">
        <v>48</v>
      </c>
      <c r="I1205" s="11" t="n">
        <v>60</v>
      </c>
      <c r="J1205" s="11" t="n">
        <v>54</v>
      </c>
      <c r="K1205" s="11" t="n">
        <v>54</v>
      </c>
    </row>
    <row r="1206" customFormat="false" ht="25" hidden="false" customHeight="false" outlineLevel="0" collapsed="false">
      <c r="A1206" s="1" t="n">
        <v>68</v>
      </c>
      <c r="B1206" s="1" t="n">
        <v>2024</v>
      </c>
      <c r="C1206" s="3" t="n">
        <v>45541</v>
      </c>
      <c r="D1206" s="4" t="s">
        <v>11</v>
      </c>
      <c r="E1206" s="5" t="s">
        <v>25</v>
      </c>
      <c r="F1206" s="5" t="s">
        <v>26</v>
      </c>
      <c r="G1206" s="7" t="n">
        <v>48</v>
      </c>
      <c r="H1206" s="7" t="n">
        <v>42</v>
      </c>
      <c r="I1206" s="7" t="n">
        <v>60</v>
      </c>
      <c r="J1206" s="7" t="s">
        <v>305</v>
      </c>
      <c r="K1206" s="7" t="n">
        <v>48</v>
      </c>
    </row>
    <row r="1207" customFormat="false" ht="25" hidden="false" customHeight="false" outlineLevel="0" collapsed="false">
      <c r="A1207" s="1" t="n">
        <v>68</v>
      </c>
      <c r="B1207" s="1" t="n">
        <v>2024</v>
      </c>
      <c r="C1207" s="3" t="n">
        <v>45541</v>
      </c>
      <c r="D1207" s="8" t="s">
        <v>11</v>
      </c>
      <c r="E1207" s="9" t="s">
        <v>27</v>
      </c>
      <c r="F1207" s="9" t="s">
        <v>13</v>
      </c>
      <c r="G1207" s="11" t="n">
        <v>48</v>
      </c>
      <c r="H1207" s="11" t="n">
        <v>48</v>
      </c>
      <c r="I1207" s="11" t="n">
        <v>84</v>
      </c>
      <c r="J1207" s="11" t="n">
        <v>60</v>
      </c>
      <c r="K1207" s="11" t="n">
        <v>54</v>
      </c>
    </row>
    <row r="1208" customFormat="false" ht="25" hidden="false" customHeight="false" outlineLevel="0" collapsed="false">
      <c r="A1208" s="1" t="n">
        <v>68</v>
      </c>
      <c r="B1208" s="1" t="n">
        <v>2024</v>
      </c>
      <c r="C1208" s="3" t="n">
        <v>45541</v>
      </c>
      <c r="D1208" s="4" t="s">
        <v>11</v>
      </c>
      <c r="E1208" s="5" t="s">
        <v>28</v>
      </c>
      <c r="F1208" s="5" t="s">
        <v>13</v>
      </c>
      <c r="G1208" s="7" t="n">
        <v>36</v>
      </c>
      <c r="H1208" s="7" t="n">
        <v>20</v>
      </c>
      <c r="I1208" s="7" t="n">
        <v>40</v>
      </c>
      <c r="J1208" s="7" t="s">
        <v>318</v>
      </c>
      <c r="K1208" s="7" t="n">
        <v>36</v>
      </c>
    </row>
    <row r="1209" customFormat="false" ht="25" hidden="false" customHeight="false" outlineLevel="0" collapsed="false">
      <c r="A1209" s="1" t="n">
        <v>68</v>
      </c>
      <c r="B1209" s="1" t="n">
        <v>2024</v>
      </c>
      <c r="C1209" s="3" t="n">
        <v>45541</v>
      </c>
      <c r="D1209" s="8" t="s">
        <v>11</v>
      </c>
      <c r="E1209" s="9" t="s">
        <v>29</v>
      </c>
      <c r="F1209" s="9" t="s">
        <v>13</v>
      </c>
      <c r="G1209" s="11" t="n">
        <v>48</v>
      </c>
      <c r="H1209" s="11" t="n">
        <v>48</v>
      </c>
      <c r="I1209" s="11" t="n">
        <v>54</v>
      </c>
      <c r="J1209" s="11" t="s">
        <v>305</v>
      </c>
      <c r="K1209" s="11" t="n">
        <v>48</v>
      </c>
    </row>
    <row r="1210" customFormat="false" ht="25" hidden="false" customHeight="false" outlineLevel="0" collapsed="false">
      <c r="A1210" s="1" t="n">
        <v>68</v>
      </c>
      <c r="B1210" s="1" t="n">
        <v>2024</v>
      </c>
      <c r="C1210" s="3" t="n">
        <v>45541</v>
      </c>
      <c r="D1210" s="4" t="s">
        <v>11</v>
      </c>
      <c r="E1210" s="5" t="s">
        <v>31</v>
      </c>
      <c r="F1210" s="5" t="s">
        <v>32</v>
      </c>
      <c r="G1210" s="7" t="n">
        <v>5</v>
      </c>
      <c r="H1210" s="7" t="n">
        <v>5</v>
      </c>
      <c r="I1210" s="7" t="n">
        <v>5</v>
      </c>
      <c r="J1210" s="7" t="n">
        <v>5</v>
      </c>
      <c r="K1210" s="7" t="n">
        <v>5</v>
      </c>
    </row>
    <row r="1211" customFormat="false" ht="25" hidden="false" customHeight="false" outlineLevel="0" collapsed="false">
      <c r="A1211" s="1" t="n">
        <v>68</v>
      </c>
      <c r="B1211" s="1" t="n">
        <v>2024</v>
      </c>
      <c r="C1211" s="3" t="n">
        <v>45541</v>
      </c>
      <c r="D1211" s="8" t="s">
        <v>11</v>
      </c>
      <c r="E1211" s="9" t="s">
        <v>34</v>
      </c>
      <c r="F1211" s="9" t="s">
        <v>35</v>
      </c>
      <c r="G1211" s="11" t="n">
        <v>10</v>
      </c>
      <c r="H1211" s="11" t="n">
        <v>10</v>
      </c>
      <c r="I1211" s="11" t="n">
        <v>10</v>
      </c>
      <c r="J1211" s="11" t="n">
        <v>10</v>
      </c>
      <c r="K1211" s="11" t="n">
        <v>10</v>
      </c>
    </row>
    <row r="1212" customFormat="false" ht="25" hidden="false" customHeight="false" outlineLevel="0" collapsed="false">
      <c r="A1212" s="1" t="n">
        <v>68</v>
      </c>
      <c r="B1212" s="1" t="n">
        <v>2024</v>
      </c>
      <c r="C1212" s="3" t="n">
        <v>45541</v>
      </c>
      <c r="D1212" s="4" t="s">
        <v>11</v>
      </c>
      <c r="E1212" s="5" t="s">
        <v>36</v>
      </c>
      <c r="F1212" s="5" t="s">
        <v>35</v>
      </c>
      <c r="G1212" s="7" t="n">
        <v>15</v>
      </c>
      <c r="H1212" s="7" t="n">
        <v>15</v>
      </c>
      <c r="I1212" s="7" t="n">
        <v>30</v>
      </c>
      <c r="J1212" s="7" t="n">
        <v>21</v>
      </c>
      <c r="K1212" s="7" t="n">
        <v>20</v>
      </c>
    </row>
    <row r="1213" customFormat="false" ht="36.5" hidden="false" customHeight="false" outlineLevel="0" collapsed="false">
      <c r="A1213" s="1" t="n">
        <v>68</v>
      </c>
      <c r="B1213" s="1" t="n">
        <v>2024</v>
      </c>
      <c r="C1213" s="3" t="n">
        <v>45541</v>
      </c>
      <c r="D1213" s="8" t="s">
        <v>38</v>
      </c>
      <c r="E1213" s="9" t="s">
        <v>153</v>
      </c>
      <c r="F1213" s="9" t="s">
        <v>154</v>
      </c>
      <c r="G1213" s="11" t="n">
        <v>75</v>
      </c>
      <c r="H1213" s="11" t="n">
        <v>75</v>
      </c>
      <c r="I1213" s="11" t="n">
        <v>75</v>
      </c>
      <c r="J1213" s="11" t="n">
        <v>75</v>
      </c>
      <c r="K1213" s="11" t="n">
        <v>75</v>
      </c>
    </row>
    <row r="1214" customFormat="false" ht="36.5" hidden="false" customHeight="false" outlineLevel="0" collapsed="false">
      <c r="A1214" s="1" t="n">
        <v>68</v>
      </c>
      <c r="B1214" s="1" t="n">
        <v>2024</v>
      </c>
      <c r="C1214" s="3" t="n">
        <v>45541</v>
      </c>
      <c r="D1214" s="4" t="s">
        <v>38</v>
      </c>
      <c r="E1214" s="5" t="s">
        <v>39</v>
      </c>
      <c r="F1214" s="5" t="s">
        <v>40</v>
      </c>
      <c r="G1214" s="7" t="n">
        <v>45</v>
      </c>
      <c r="H1214" s="7" t="n">
        <v>30</v>
      </c>
      <c r="I1214" s="7" t="n">
        <v>50</v>
      </c>
      <c r="J1214" s="7" t="n">
        <v>42</v>
      </c>
      <c r="K1214" s="7" t="n">
        <v>45</v>
      </c>
    </row>
    <row r="1215" customFormat="false" ht="36.5" hidden="false" customHeight="false" outlineLevel="0" collapsed="false">
      <c r="A1215" s="1" t="n">
        <v>68</v>
      </c>
      <c r="B1215" s="1" t="n">
        <v>2024</v>
      </c>
      <c r="C1215" s="3" t="n">
        <v>45541</v>
      </c>
      <c r="D1215" s="8" t="s">
        <v>38</v>
      </c>
      <c r="E1215" s="9" t="s">
        <v>42</v>
      </c>
      <c r="F1215" s="9" t="s">
        <v>43</v>
      </c>
      <c r="G1215" s="11" t="n">
        <v>70</v>
      </c>
      <c r="H1215" s="11" t="n">
        <v>45</v>
      </c>
      <c r="I1215" s="11" t="n">
        <v>70</v>
      </c>
      <c r="J1215" s="11" t="n">
        <v>60</v>
      </c>
      <c r="K1215" s="11" t="n">
        <v>65</v>
      </c>
    </row>
    <row r="1216" customFormat="false" ht="36.5" hidden="false" customHeight="false" outlineLevel="0" collapsed="false">
      <c r="A1216" s="1" t="n">
        <v>68</v>
      </c>
      <c r="B1216" s="1" t="n">
        <v>2024</v>
      </c>
      <c r="C1216" s="3" t="n">
        <v>45541</v>
      </c>
      <c r="D1216" s="4" t="s">
        <v>38</v>
      </c>
      <c r="E1216" s="5" t="s">
        <v>44</v>
      </c>
      <c r="F1216" s="5" t="s">
        <v>45</v>
      </c>
      <c r="G1216" s="7" t="n">
        <v>50</v>
      </c>
      <c r="H1216" s="7" t="n">
        <v>40</v>
      </c>
      <c r="I1216" s="7" t="n">
        <v>50</v>
      </c>
      <c r="J1216" s="7" t="n">
        <v>46</v>
      </c>
      <c r="K1216" s="7" t="n">
        <v>50</v>
      </c>
    </row>
    <row r="1217" customFormat="false" ht="36.5" hidden="false" customHeight="false" outlineLevel="0" collapsed="false">
      <c r="A1217" s="1" t="n">
        <v>68</v>
      </c>
      <c r="B1217" s="1" t="n">
        <v>2024</v>
      </c>
      <c r="C1217" s="3" t="n">
        <v>45541</v>
      </c>
      <c r="D1217" s="8" t="s">
        <v>38</v>
      </c>
      <c r="E1217" s="9" t="s">
        <v>48</v>
      </c>
      <c r="F1217" s="9" t="s">
        <v>45</v>
      </c>
      <c r="G1217" s="10"/>
      <c r="H1217" s="11" t="n">
        <v>90</v>
      </c>
      <c r="I1217" s="11" t="n">
        <v>100</v>
      </c>
      <c r="J1217" s="11" t="n">
        <v>95</v>
      </c>
      <c r="K1217" s="11" t="n">
        <v>95</v>
      </c>
    </row>
    <row r="1218" customFormat="false" ht="36.5" hidden="false" customHeight="false" outlineLevel="0" collapsed="false">
      <c r="A1218" s="1" t="n">
        <v>68</v>
      </c>
      <c r="B1218" s="1" t="n">
        <v>2024</v>
      </c>
      <c r="C1218" s="3" t="n">
        <v>45541</v>
      </c>
      <c r="D1218" s="4" t="s">
        <v>38</v>
      </c>
      <c r="E1218" s="5" t="s">
        <v>49</v>
      </c>
      <c r="F1218" s="5" t="s">
        <v>50</v>
      </c>
      <c r="G1218" s="7" t="n">
        <v>60</v>
      </c>
      <c r="H1218" s="7" t="n">
        <v>60</v>
      </c>
      <c r="I1218" s="7" t="n">
        <v>65</v>
      </c>
      <c r="J1218" s="7" t="n">
        <v>62</v>
      </c>
      <c r="K1218" s="7" t="n">
        <v>60</v>
      </c>
    </row>
    <row r="1219" customFormat="false" ht="36.5" hidden="false" customHeight="false" outlineLevel="0" collapsed="false">
      <c r="A1219" s="1" t="n">
        <v>68</v>
      </c>
      <c r="B1219" s="1" t="n">
        <v>2024</v>
      </c>
      <c r="C1219" s="3" t="n">
        <v>45541</v>
      </c>
      <c r="D1219" s="8" t="s">
        <v>38</v>
      </c>
      <c r="E1219" s="9" t="s">
        <v>52</v>
      </c>
      <c r="F1219" s="9" t="s">
        <v>43</v>
      </c>
      <c r="G1219" s="11" t="n">
        <v>55</v>
      </c>
      <c r="H1219" s="11" t="n">
        <v>35</v>
      </c>
      <c r="I1219" s="11" t="n">
        <v>60</v>
      </c>
      <c r="J1219" s="11" t="n">
        <v>51</v>
      </c>
      <c r="K1219" s="11" t="n">
        <v>55</v>
      </c>
    </row>
    <row r="1220" customFormat="false" ht="36.5" hidden="false" customHeight="false" outlineLevel="0" collapsed="false">
      <c r="A1220" s="1" t="n">
        <v>68</v>
      </c>
      <c r="B1220" s="1" t="n">
        <v>2024</v>
      </c>
      <c r="C1220" s="3" t="n">
        <v>45541</v>
      </c>
      <c r="D1220" s="4" t="s">
        <v>38</v>
      </c>
      <c r="E1220" s="5" t="s">
        <v>53</v>
      </c>
      <c r="F1220" s="5" t="s">
        <v>43</v>
      </c>
      <c r="G1220" s="7" t="n">
        <v>65</v>
      </c>
      <c r="H1220" s="7" t="n">
        <v>50</v>
      </c>
      <c r="I1220" s="7" t="n">
        <v>65</v>
      </c>
      <c r="J1220" s="7" t="n">
        <v>58</v>
      </c>
      <c r="K1220" s="7" t="n">
        <v>60</v>
      </c>
    </row>
    <row r="1221" customFormat="false" ht="36.5" hidden="false" customHeight="false" outlineLevel="0" collapsed="false">
      <c r="A1221" s="1" t="n">
        <v>68</v>
      </c>
      <c r="B1221" s="1" t="n">
        <v>2024</v>
      </c>
      <c r="C1221" s="3" t="n">
        <v>45541</v>
      </c>
      <c r="D1221" s="8" t="s">
        <v>38</v>
      </c>
      <c r="E1221" s="9" t="s">
        <v>54</v>
      </c>
      <c r="F1221" s="9" t="s">
        <v>40</v>
      </c>
      <c r="G1221" s="11" t="n">
        <v>90</v>
      </c>
      <c r="H1221" s="11" t="n">
        <v>70</v>
      </c>
      <c r="I1221" s="11" t="n">
        <v>100</v>
      </c>
      <c r="J1221" s="11" t="s">
        <v>239</v>
      </c>
      <c r="K1221" s="11" t="n">
        <v>90</v>
      </c>
    </row>
    <row r="1222" customFormat="false" ht="36.5" hidden="false" customHeight="false" outlineLevel="0" collapsed="false">
      <c r="A1222" s="1" t="n">
        <v>68</v>
      </c>
      <c r="B1222" s="1" t="n">
        <v>2024</v>
      </c>
      <c r="C1222" s="3" t="n">
        <v>45541</v>
      </c>
      <c r="D1222" s="4" t="s">
        <v>38</v>
      </c>
      <c r="E1222" s="5" t="s">
        <v>56</v>
      </c>
      <c r="F1222" s="5" t="s">
        <v>43</v>
      </c>
      <c r="G1222" s="6"/>
      <c r="H1222" s="7" t="n">
        <v>60</v>
      </c>
      <c r="I1222" s="7" t="n">
        <v>60</v>
      </c>
      <c r="J1222" s="7" t="n">
        <v>60</v>
      </c>
      <c r="K1222" s="7" t="n">
        <v>60</v>
      </c>
    </row>
    <row r="1223" customFormat="false" ht="36.5" hidden="false" customHeight="false" outlineLevel="0" collapsed="false">
      <c r="A1223" s="1" t="n">
        <v>68</v>
      </c>
      <c r="B1223" s="1" t="n">
        <v>2024</v>
      </c>
      <c r="C1223" s="3" t="n">
        <v>45541</v>
      </c>
      <c r="D1223" s="8" t="s">
        <v>38</v>
      </c>
      <c r="E1223" s="9" t="s">
        <v>57</v>
      </c>
      <c r="F1223" s="9" t="s">
        <v>40</v>
      </c>
      <c r="G1223" s="10"/>
      <c r="H1223" s="11" t="n">
        <v>70</v>
      </c>
      <c r="I1223" s="11" t="n">
        <v>85</v>
      </c>
      <c r="J1223" s="11" t="s">
        <v>134</v>
      </c>
      <c r="K1223" s="11" t="s">
        <v>134</v>
      </c>
    </row>
    <row r="1224" customFormat="false" ht="36.5" hidden="false" customHeight="false" outlineLevel="0" collapsed="false">
      <c r="A1224" s="1" t="n">
        <v>68</v>
      </c>
      <c r="B1224" s="1" t="n">
        <v>2024</v>
      </c>
      <c r="C1224" s="3" t="n">
        <v>45541</v>
      </c>
      <c r="D1224" s="4" t="s">
        <v>38</v>
      </c>
      <c r="E1224" s="5" t="s">
        <v>58</v>
      </c>
      <c r="F1224" s="5" t="s">
        <v>40</v>
      </c>
      <c r="G1224" s="7" t="n">
        <v>120</v>
      </c>
      <c r="H1224" s="7" t="n">
        <v>80</v>
      </c>
      <c r="I1224" s="7" t="n">
        <v>120</v>
      </c>
      <c r="J1224" s="7" t="n">
        <v>103</v>
      </c>
      <c r="K1224" s="7" t="n">
        <v>110</v>
      </c>
    </row>
    <row r="1225" customFormat="false" ht="36.5" hidden="false" customHeight="false" outlineLevel="0" collapsed="false">
      <c r="A1225" s="1" t="n">
        <v>68</v>
      </c>
      <c r="B1225" s="1" t="n">
        <v>2024</v>
      </c>
      <c r="C1225" s="3" t="n">
        <v>45541</v>
      </c>
      <c r="D1225" s="8" t="s">
        <v>38</v>
      </c>
      <c r="E1225" s="9" t="s">
        <v>59</v>
      </c>
      <c r="F1225" s="9" t="s">
        <v>45</v>
      </c>
      <c r="G1225" s="11" t="n">
        <v>50</v>
      </c>
      <c r="H1225" s="11" t="n">
        <v>50</v>
      </c>
      <c r="I1225" s="11" t="n">
        <v>60</v>
      </c>
      <c r="J1225" s="11" t="n">
        <v>53</v>
      </c>
      <c r="K1225" s="11" t="n">
        <v>50</v>
      </c>
    </row>
    <row r="1226" customFormat="false" ht="36.5" hidden="false" customHeight="false" outlineLevel="0" collapsed="false">
      <c r="A1226" s="1" t="n">
        <v>68</v>
      </c>
      <c r="B1226" s="1" t="n">
        <v>2024</v>
      </c>
      <c r="C1226" s="3" t="n">
        <v>45541</v>
      </c>
      <c r="D1226" s="4" t="s">
        <v>38</v>
      </c>
      <c r="E1226" s="5" t="s">
        <v>60</v>
      </c>
      <c r="F1226" s="5" t="s">
        <v>61</v>
      </c>
      <c r="G1226" s="6"/>
      <c r="H1226" s="7" t="n">
        <v>110</v>
      </c>
      <c r="I1226" s="7" t="n">
        <v>160</v>
      </c>
      <c r="J1226" s="7" t="n">
        <v>137</v>
      </c>
      <c r="K1226" s="7" t="n">
        <v>140</v>
      </c>
    </row>
    <row r="1227" customFormat="false" ht="36.5" hidden="false" customHeight="false" outlineLevel="0" collapsed="false">
      <c r="A1227" s="1" t="n">
        <v>68</v>
      </c>
      <c r="B1227" s="1" t="n">
        <v>2024</v>
      </c>
      <c r="C1227" s="3" t="n">
        <v>45541</v>
      </c>
      <c r="D1227" s="8" t="s">
        <v>38</v>
      </c>
      <c r="E1227" s="9" t="s">
        <v>63</v>
      </c>
      <c r="F1227" s="9" t="s">
        <v>40</v>
      </c>
      <c r="G1227" s="11" t="n">
        <v>60</v>
      </c>
      <c r="H1227" s="11" t="n">
        <v>45</v>
      </c>
      <c r="I1227" s="11" t="n">
        <v>60</v>
      </c>
      <c r="J1227" s="11" t="n">
        <v>53</v>
      </c>
      <c r="K1227" s="11" t="n">
        <v>50</v>
      </c>
    </row>
    <row r="1228" customFormat="false" ht="36.5" hidden="false" customHeight="false" outlineLevel="0" collapsed="false">
      <c r="A1228" s="1" t="n">
        <v>68</v>
      </c>
      <c r="B1228" s="1" t="n">
        <v>2024</v>
      </c>
      <c r="C1228" s="3" t="n">
        <v>45541</v>
      </c>
      <c r="D1228" s="4" t="s">
        <v>38</v>
      </c>
      <c r="E1228" s="5" t="s">
        <v>64</v>
      </c>
      <c r="F1228" s="5" t="s">
        <v>40</v>
      </c>
      <c r="G1228" s="6"/>
      <c r="H1228" s="7" t="n">
        <v>120</v>
      </c>
      <c r="I1228" s="7" t="n">
        <v>150</v>
      </c>
      <c r="J1228" s="7" t="n">
        <v>135</v>
      </c>
      <c r="K1228" s="7" t="n">
        <v>135</v>
      </c>
    </row>
    <row r="1229" customFormat="false" ht="14.25" hidden="false" customHeight="false" outlineLevel="0" collapsed="false">
      <c r="A1229" s="1" t="n">
        <v>68</v>
      </c>
      <c r="B1229" s="1" t="n">
        <v>2024</v>
      </c>
      <c r="C1229" s="3" t="n">
        <v>45541</v>
      </c>
      <c r="D1229" s="8" t="s">
        <v>65</v>
      </c>
      <c r="E1229" s="9" t="s">
        <v>66</v>
      </c>
      <c r="F1229" s="9" t="s">
        <v>45</v>
      </c>
      <c r="G1229" s="10"/>
      <c r="H1229" s="10"/>
      <c r="I1229" s="10"/>
      <c r="J1229" s="10"/>
      <c r="K1229" s="10"/>
    </row>
    <row r="1230" customFormat="false" ht="14.25" hidden="false" customHeight="false" outlineLevel="0" collapsed="false">
      <c r="A1230" s="1" t="n">
        <v>68</v>
      </c>
      <c r="B1230" s="1" t="n">
        <v>2024</v>
      </c>
      <c r="C1230" s="3" t="n">
        <v>45541</v>
      </c>
      <c r="D1230" s="4" t="s">
        <v>65</v>
      </c>
      <c r="E1230" s="5" t="s">
        <v>67</v>
      </c>
      <c r="F1230" s="5" t="s">
        <v>45</v>
      </c>
      <c r="G1230" s="6"/>
      <c r="H1230" s="6"/>
      <c r="I1230" s="6"/>
      <c r="J1230" s="6"/>
      <c r="K1230" s="6"/>
    </row>
    <row r="1231" customFormat="false" ht="14.25" hidden="false" customHeight="false" outlineLevel="0" collapsed="false">
      <c r="A1231" s="1" t="n">
        <v>68</v>
      </c>
      <c r="B1231" s="1" t="n">
        <v>2024</v>
      </c>
      <c r="C1231" s="3" t="n">
        <v>45541</v>
      </c>
      <c r="D1231" s="8" t="s">
        <v>65</v>
      </c>
      <c r="E1231" s="9" t="s">
        <v>68</v>
      </c>
      <c r="F1231" s="9" t="s">
        <v>45</v>
      </c>
      <c r="G1231" s="10"/>
      <c r="H1231" s="10"/>
      <c r="I1231" s="10"/>
      <c r="J1231" s="10"/>
      <c r="K1231" s="10"/>
    </row>
    <row r="1232" customFormat="false" ht="14.25" hidden="false" customHeight="false" outlineLevel="0" collapsed="false">
      <c r="A1232" s="1" t="n">
        <v>68</v>
      </c>
      <c r="B1232" s="1" t="n">
        <v>2024</v>
      </c>
      <c r="C1232" s="3" t="n">
        <v>45541</v>
      </c>
      <c r="D1232" s="4" t="s">
        <v>65</v>
      </c>
      <c r="E1232" s="5" t="s">
        <v>69</v>
      </c>
      <c r="F1232" s="5" t="s">
        <v>45</v>
      </c>
      <c r="G1232" s="6"/>
      <c r="H1232" s="7" t="n">
        <v>60</v>
      </c>
      <c r="I1232" s="7" t="n">
        <v>60</v>
      </c>
      <c r="J1232" s="7" t="n">
        <v>60</v>
      </c>
      <c r="K1232" s="7" t="n">
        <v>60</v>
      </c>
    </row>
    <row r="1233" customFormat="false" ht="14.25" hidden="false" customHeight="false" outlineLevel="0" collapsed="false">
      <c r="A1233" s="1" t="n">
        <v>68</v>
      </c>
      <c r="B1233" s="1" t="n">
        <v>2024</v>
      </c>
      <c r="C1233" s="3" t="n">
        <v>45541</v>
      </c>
      <c r="D1233" s="8" t="s">
        <v>65</v>
      </c>
      <c r="E1233" s="9" t="s">
        <v>70</v>
      </c>
      <c r="F1233" s="9" t="s">
        <v>71</v>
      </c>
      <c r="G1233" s="10"/>
      <c r="H1233" s="10"/>
      <c r="I1233" s="10"/>
      <c r="J1233" s="10"/>
      <c r="K1233" s="10"/>
    </row>
    <row r="1234" customFormat="false" ht="25" hidden="false" customHeight="false" outlineLevel="0" collapsed="false">
      <c r="A1234" s="1" t="n">
        <v>69</v>
      </c>
      <c r="B1234" s="1" t="n">
        <v>2024</v>
      </c>
      <c r="C1234" s="3" t="n">
        <v>45548</v>
      </c>
      <c r="D1234" s="4" t="s">
        <v>11</v>
      </c>
      <c r="E1234" s="5" t="s">
        <v>12</v>
      </c>
      <c r="F1234" s="5" t="s">
        <v>13</v>
      </c>
      <c r="G1234" s="7" t="n">
        <v>48</v>
      </c>
      <c r="H1234" s="7" t="n">
        <v>5</v>
      </c>
      <c r="I1234" s="7" t="n">
        <v>48</v>
      </c>
      <c r="J1234" s="7" t="s">
        <v>319</v>
      </c>
      <c r="K1234" s="7" t="n">
        <v>36</v>
      </c>
    </row>
    <row r="1235" customFormat="false" ht="25" hidden="false" customHeight="false" outlineLevel="0" collapsed="false">
      <c r="A1235" s="1" t="n">
        <v>69</v>
      </c>
      <c r="B1235" s="1" t="n">
        <v>2024</v>
      </c>
      <c r="C1235" s="3" t="n">
        <v>45548</v>
      </c>
      <c r="D1235" s="8" t="s">
        <v>11</v>
      </c>
      <c r="E1235" s="9" t="s">
        <v>14</v>
      </c>
      <c r="F1235" s="9" t="s">
        <v>13</v>
      </c>
      <c r="G1235" s="11" t="n">
        <v>60</v>
      </c>
      <c r="H1235" s="11" t="n">
        <v>7</v>
      </c>
      <c r="I1235" s="11" t="n">
        <v>72</v>
      </c>
      <c r="J1235" s="11" t="s">
        <v>320</v>
      </c>
      <c r="K1235" s="11" t="n">
        <v>60</v>
      </c>
    </row>
    <row r="1236" customFormat="false" ht="25" hidden="false" customHeight="false" outlineLevel="0" collapsed="false">
      <c r="A1236" s="1" t="n">
        <v>69</v>
      </c>
      <c r="B1236" s="1" t="n">
        <v>2024</v>
      </c>
      <c r="C1236" s="3" t="n">
        <v>45548</v>
      </c>
      <c r="D1236" s="4" t="s">
        <v>11</v>
      </c>
      <c r="E1236" s="5" t="s">
        <v>15</v>
      </c>
      <c r="F1236" s="5" t="s">
        <v>13</v>
      </c>
      <c r="G1236" s="7" t="n">
        <v>30</v>
      </c>
      <c r="H1236" s="7" t="n">
        <v>30</v>
      </c>
      <c r="I1236" s="7" t="n">
        <v>36</v>
      </c>
      <c r="J1236" s="7" t="n">
        <v>31</v>
      </c>
      <c r="K1236" s="7" t="n">
        <v>30</v>
      </c>
    </row>
    <row r="1237" customFormat="false" ht="25" hidden="false" customHeight="false" outlineLevel="0" collapsed="false">
      <c r="A1237" s="1" t="n">
        <v>69</v>
      </c>
      <c r="B1237" s="1" t="n">
        <v>2024</v>
      </c>
      <c r="C1237" s="3" t="n">
        <v>45548</v>
      </c>
      <c r="D1237" s="8" t="s">
        <v>11</v>
      </c>
      <c r="E1237" s="9" t="s">
        <v>16</v>
      </c>
      <c r="F1237" s="9" t="s">
        <v>13</v>
      </c>
      <c r="G1237" s="11" t="n">
        <v>18</v>
      </c>
      <c r="H1237" s="11" t="n">
        <v>15</v>
      </c>
      <c r="I1237" s="11" t="n">
        <v>24</v>
      </c>
      <c r="J1237" s="11" t="n">
        <v>19</v>
      </c>
      <c r="K1237" s="11" t="n">
        <v>18</v>
      </c>
    </row>
    <row r="1238" customFormat="false" ht="25" hidden="false" customHeight="false" outlineLevel="0" collapsed="false">
      <c r="A1238" s="1" t="n">
        <v>69</v>
      </c>
      <c r="B1238" s="1" t="n">
        <v>2024</v>
      </c>
      <c r="C1238" s="3" t="n">
        <v>45548</v>
      </c>
      <c r="D1238" s="4" t="s">
        <v>11</v>
      </c>
      <c r="E1238" s="5" t="s">
        <v>17</v>
      </c>
      <c r="F1238" s="5" t="s">
        <v>13</v>
      </c>
      <c r="G1238" s="7" t="n">
        <v>24</v>
      </c>
      <c r="H1238" s="7" t="n">
        <v>15</v>
      </c>
      <c r="I1238" s="7" t="n">
        <v>24</v>
      </c>
      <c r="J1238" s="7" t="s">
        <v>317</v>
      </c>
      <c r="K1238" s="7" t="n">
        <v>24</v>
      </c>
    </row>
    <row r="1239" customFormat="false" ht="25" hidden="false" customHeight="false" outlineLevel="0" collapsed="false">
      <c r="A1239" s="1" t="n">
        <v>69</v>
      </c>
      <c r="B1239" s="1" t="n">
        <v>2024</v>
      </c>
      <c r="C1239" s="3" t="n">
        <v>45548</v>
      </c>
      <c r="D1239" s="8" t="s">
        <v>11</v>
      </c>
      <c r="E1239" s="9" t="s">
        <v>18</v>
      </c>
      <c r="F1239" s="9" t="s">
        <v>13</v>
      </c>
      <c r="G1239" s="11" t="n">
        <v>60</v>
      </c>
      <c r="H1239" s="11" t="n">
        <v>5</v>
      </c>
      <c r="I1239" s="11" t="n">
        <v>60</v>
      </c>
      <c r="J1239" s="11" t="s">
        <v>321</v>
      </c>
      <c r="K1239" s="11" t="n">
        <v>60</v>
      </c>
    </row>
    <row r="1240" customFormat="false" ht="25" hidden="false" customHeight="false" outlineLevel="0" collapsed="false">
      <c r="A1240" s="1" t="n">
        <v>69</v>
      </c>
      <c r="B1240" s="1" t="n">
        <v>2024</v>
      </c>
      <c r="C1240" s="3" t="n">
        <v>45548</v>
      </c>
      <c r="D1240" s="4" t="s">
        <v>11</v>
      </c>
      <c r="E1240" s="5" t="s">
        <v>19</v>
      </c>
      <c r="F1240" s="5" t="s">
        <v>13</v>
      </c>
      <c r="G1240" s="6"/>
      <c r="H1240" s="7" t="n">
        <v>6</v>
      </c>
      <c r="I1240" s="7" t="n">
        <v>60</v>
      </c>
      <c r="J1240" s="7" t="n">
        <v>42</v>
      </c>
      <c r="K1240" s="7" t="n">
        <v>48</v>
      </c>
    </row>
    <row r="1241" customFormat="false" ht="25" hidden="false" customHeight="false" outlineLevel="0" collapsed="false">
      <c r="A1241" s="1" t="n">
        <v>69</v>
      </c>
      <c r="B1241" s="1" t="n">
        <v>2024</v>
      </c>
      <c r="C1241" s="3" t="n">
        <v>45548</v>
      </c>
      <c r="D1241" s="8" t="s">
        <v>11</v>
      </c>
      <c r="E1241" s="9" t="s">
        <v>20</v>
      </c>
      <c r="F1241" s="9" t="s">
        <v>13</v>
      </c>
      <c r="G1241" s="11" t="n">
        <v>72</v>
      </c>
      <c r="H1241" s="11" t="n">
        <v>7</v>
      </c>
      <c r="I1241" s="11" t="n">
        <v>96</v>
      </c>
      <c r="J1241" s="11" t="s">
        <v>322</v>
      </c>
      <c r="K1241" s="11" t="n">
        <v>66</v>
      </c>
    </row>
    <row r="1242" customFormat="false" ht="25" hidden="false" customHeight="false" outlineLevel="0" collapsed="false">
      <c r="A1242" s="1" t="n">
        <v>69</v>
      </c>
      <c r="B1242" s="1" t="n">
        <v>2024</v>
      </c>
      <c r="C1242" s="3" t="n">
        <v>45548</v>
      </c>
      <c r="D1242" s="4" t="s">
        <v>11</v>
      </c>
      <c r="E1242" s="5" t="s">
        <v>21</v>
      </c>
      <c r="F1242" s="5" t="s">
        <v>13</v>
      </c>
      <c r="G1242" s="7" t="n">
        <v>24</v>
      </c>
      <c r="H1242" s="7" t="n">
        <v>2</v>
      </c>
      <c r="I1242" s="7" t="n">
        <v>24</v>
      </c>
      <c r="J1242" s="7" t="s">
        <v>323</v>
      </c>
      <c r="K1242" s="7" t="n">
        <v>21</v>
      </c>
    </row>
    <row r="1243" customFormat="false" ht="25" hidden="false" customHeight="false" outlineLevel="0" collapsed="false">
      <c r="A1243" s="1" t="n">
        <v>69</v>
      </c>
      <c r="B1243" s="1" t="n">
        <v>2024</v>
      </c>
      <c r="C1243" s="3" t="n">
        <v>45548</v>
      </c>
      <c r="D1243" s="8" t="s">
        <v>11</v>
      </c>
      <c r="E1243" s="9" t="s">
        <v>73</v>
      </c>
      <c r="F1243" s="9" t="s">
        <v>13</v>
      </c>
      <c r="G1243" s="11" t="n">
        <v>60</v>
      </c>
      <c r="H1243" s="11" t="n">
        <v>15</v>
      </c>
      <c r="I1243" s="11" t="n">
        <v>60</v>
      </c>
      <c r="J1243" s="11" t="s">
        <v>324</v>
      </c>
      <c r="K1243" s="11" t="n">
        <v>48</v>
      </c>
    </row>
    <row r="1244" customFormat="false" ht="25" hidden="false" customHeight="false" outlineLevel="0" collapsed="false">
      <c r="A1244" s="1" t="n">
        <v>69</v>
      </c>
      <c r="B1244" s="1" t="n">
        <v>2024</v>
      </c>
      <c r="C1244" s="3" t="n">
        <v>45548</v>
      </c>
      <c r="D1244" s="4" t="s">
        <v>11</v>
      </c>
      <c r="E1244" s="5" t="s">
        <v>23</v>
      </c>
      <c r="F1244" s="5" t="s">
        <v>13</v>
      </c>
      <c r="G1244" s="7" t="n">
        <v>24</v>
      </c>
      <c r="H1244" s="7" t="n">
        <v>6</v>
      </c>
      <c r="I1244" s="7" t="n">
        <v>60</v>
      </c>
      <c r="J1244" s="7" t="n">
        <v>27</v>
      </c>
      <c r="K1244" s="7" t="n">
        <v>24</v>
      </c>
    </row>
    <row r="1245" customFormat="false" ht="25" hidden="false" customHeight="false" outlineLevel="0" collapsed="false">
      <c r="A1245" s="1" t="n">
        <v>69</v>
      </c>
      <c r="B1245" s="1" t="n">
        <v>2024</v>
      </c>
      <c r="C1245" s="3" t="n">
        <v>45548</v>
      </c>
      <c r="D1245" s="8" t="s">
        <v>11</v>
      </c>
      <c r="E1245" s="9" t="s">
        <v>24</v>
      </c>
      <c r="F1245" s="9" t="s">
        <v>13</v>
      </c>
      <c r="G1245" s="11" t="n">
        <v>48</v>
      </c>
      <c r="H1245" s="11" t="n">
        <v>5</v>
      </c>
      <c r="I1245" s="11" t="n">
        <v>60</v>
      </c>
      <c r="J1245" s="11" t="s">
        <v>325</v>
      </c>
      <c r="K1245" s="11" t="n">
        <v>48</v>
      </c>
    </row>
    <row r="1246" customFormat="false" ht="25" hidden="false" customHeight="false" outlineLevel="0" collapsed="false">
      <c r="A1246" s="1" t="n">
        <v>69</v>
      </c>
      <c r="B1246" s="1" t="n">
        <v>2024</v>
      </c>
      <c r="C1246" s="3" t="n">
        <v>45548</v>
      </c>
      <c r="D1246" s="4" t="s">
        <v>11</v>
      </c>
      <c r="E1246" s="5" t="s">
        <v>25</v>
      </c>
      <c r="F1246" s="5" t="s">
        <v>26</v>
      </c>
      <c r="G1246" s="7" t="n">
        <v>48</v>
      </c>
      <c r="H1246" s="7" t="n">
        <v>7</v>
      </c>
      <c r="I1246" s="7" t="n">
        <v>60</v>
      </c>
      <c r="J1246" s="7" t="s">
        <v>326</v>
      </c>
      <c r="K1246" s="7" t="n">
        <v>48</v>
      </c>
    </row>
    <row r="1247" customFormat="false" ht="25" hidden="false" customHeight="false" outlineLevel="0" collapsed="false">
      <c r="A1247" s="1" t="n">
        <v>69</v>
      </c>
      <c r="B1247" s="1" t="n">
        <v>2024</v>
      </c>
      <c r="C1247" s="3" t="n">
        <v>45548</v>
      </c>
      <c r="D1247" s="8" t="s">
        <v>11</v>
      </c>
      <c r="E1247" s="9" t="s">
        <v>27</v>
      </c>
      <c r="F1247" s="9" t="s">
        <v>13</v>
      </c>
      <c r="G1247" s="11" t="n">
        <v>48</v>
      </c>
      <c r="H1247" s="11" t="n">
        <v>20</v>
      </c>
      <c r="I1247" s="11" t="n">
        <v>60</v>
      </c>
      <c r="J1247" s="11" t="s">
        <v>327</v>
      </c>
      <c r="K1247" s="11" t="n">
        <v>48</v>
      </c>
    </row>
    <row r="1248" customFormat="false" ht="25" hidden="false" customHeight="false" outlineLevel="0" collapsed="false">
      <c r="A1248" s="1" t="n">
        <v>69</v>
      </c>
      <c r="B1248" s="1" t="n">
        <v>2024</v>
      </c>
      <c r="C1248" s="3" t="n">
        <v>45548</v>
      </c>
      <c r="D1248" s="4" t="s">
        <v>11</v>
      </c>
      <c r="E1248" s="5" t="s">
        <v>28</v>
      </c>
      <c r="F1248" s="5" t="s">
        <v>13</v>
      </c>
      <c r="G1248" s="7" t="n">
        <v>36</v>
      </c>
      <c r="H1248" s="7" t="n">
        <v>4</v>
      </c>
      <c r="I1248" s="7" t="n">
        <v>50</v>
      </c>
      <c r="J1248" s="7" t="n">
        <v>33</v>
      </c>
      <c r="K1248" s="7" t="n">
        <v>36</v>
      </c>
    </row>
    <row r="1249" customFormat="false" ht="25" hidden="false" customHeight="false" outlineLevel="0" collapsed="false">
      <c r="A1249" s="1" t="n">
        <v>69</v>
      </c>
      <c r="B1249" s="1" t="n">
        <v>2024</v>
      </c>
      <c r="C1249" s="3" t="n">
        <v>45548</v>
      </c>
      <c r="D1249" s="8" t="s">
        <v>11</v>
      </c>
      <c r="E1249" s="9" t="s">
        <v>29</v>
      </c>
      <c r="F1249" s="9" t="s">
        <v>13</v>
      </c>
      <c r="G1249" s="11" t="n">
        <v>48</v>
      </c>
      <c r="H1249" s="11" t="s">
        <v>97</v>
      </c>
      <c r="I1249" s="11" t="n">
        <v>60</v>
      </c>
      <c r="J1249" s="11" t="s">
        <v>328</v>
      </c>
      <c r="K1249" s="11" t="n">
        <v>48</v>
      </c>
    </row>
    <row r="1250" customFormat="false" ht="25" hidden="false" customHeight="false" outlineLevel="0" collapsed="false">
      <c r="A1250" s="1" t="n">
        <v>69</v>
      </c>
      <c r="B1250" s="1" t="n">
        <v>2024</v>
      </c>
      <c r="C1250" s="3" t="n">
        <v>45548</v>
      </c>
      <c r="D1250" s="4" t="s">
        <v>11</v>
      </c>
      <c r="E1250" s="5" t="s">
        <v>31</v>
      </c>
      <c r="F1250" s="5" t="s">
        <v>32</v>
      </c>
      <c r="G1250" s="7" t="n">
        <v>5</v>
      </c>
      <c r="H1250" s="7" t="n">
        <v>4</v>
      </c>
      <c r="I1250" s="7" t="n">
        <v>5</v>
      </c>
      <c r="J1250" s="7" t="s">
        <v>295</v>
      </c>
      <c r="K1250" s="7" t="n">
        <v>5</v>
      </c>
    </row>
    <row r="1251" customFormat="false" ht="25" hidden="false" customHeight="false" outlineLevel="0" collapsed="false">
      <c r="A1251" s="1" t="n">
        <v>69</v>
      </c>
      <c r="B1251" s="1" t="n">
        <v>2024</v>
      </c>
      <c r="C1251" s="3" t="n">
        <v>45548</v>
      </c>
      <c r="D1251" s="8" t="s">
        <v>11</v>
      </c>
      <c r="E1251" s="9" t="s">
        <v>34</v>
      </c>
      <c r="F1251" s="9" t="s">
        <v>35</v>
      </c>
      <c r="G1251" s="11" t="n">
        <v>10</v>
      </c>
      <c r="H1251" s="11" t="n">
        <v>8</v>
      </c>
      <c r="I1251" s="11" t="n">
        <v>12</v>
      </c>
      <c r="J1251" s="11" t="n">
        <v>10</v>
      </c>
      <c r="K1251" s="11" t="n">
        <v>10</v>
      </c>
    </row>
    <row r="1252" customFormat="false" ht="25" hidden="false" customHeight="false" outlineLevel="0" collapsed="false">
      <c r="A1252" s="1" t="n">
        <v>69</v>
      </c>
      <c r="B1252" s="1" t="n">
        <v>2024</v>
      </c>
      <c r="C1252" s="3" t="n">
        <v>45548</v>
      </c>
      <c r="D1252" s="4" t="s">
        <v>11</v>
      </c>
      <c r="E1252" s="5" t="s">
        <v>36</v>
      </c>
      <c r="F1252" s="5" t="s">
        <v>35</v>
      </c>
      <c r="G1252" s="7" t="n">
        <v>30</v>
      </c>
      <c r="H1252" s="7" t="n">
        <v>10</v>
      </c>
      <c r="I1252" s="7" t="n">
        <v>30</v>
      </c>
      <c r="J1252" s="7" t="n">
        <v>21</v>
      </c>
      <c r="K1252" s="7" t="n">
        <v>20</v>
      </c>
    </row>
    <row r="1253" customFormat="false" ht="36.5" hidden="false" customHeight="false" outlineLevel="0" collapsed="false">
      <c r="A1253" s="1" t="n">
        <v>69</v>
      </c>
      <c r="B1253" s="1" t="n">
        <v>2024</v>
      </c>
      <c r="C1253" s="3" t="n">
        <v>45548</v>
      </c>
      <c r="D1253" s="8" t="s">
        <v>38</v>
      </c>
      <c r="E1253" s="9" t="s">
        <v>153</v>
      </c>
      <c r="F1253" s="9" t="s">
        <v>154</v>
      </c>
      <c r="G1253" s="11" t="n">
        <v>70</v>
      </c>
      <c r="H1253" s="11" t="n">
        <v>65</v>
      </c>
      <c r="I1253" s="11" t="n">
        <v>70</v>
      </c>
      <c r="J1253" s="11" t="s">
        <v>62</v>
      </c>
      <c r="K1253" s="11" t="n">
        <v>70</v>
      </c>
    </row>
    <row r="1254" customFormat="false" ht="36.5" hidden="false" customHeight="false" outlineLevel="0" collapsed="false">
      <c r="A1254" s="1" t="n">
        <v>69</v>
      </c>
      <c r="B1254" s="1" t="n">
        <v>2024</v>
      </c>
      <c r="C1254" s="3" t="n">
        <v>45548</v>
      </c>
      <c r="D1254" s="4" t="s">
        <v>38</v>
      </c>
      <c r="E1254" s="5" t="s">
        <v>39</v>
      </c>
      <c r="F1254" s="5" t="s">
        <v>40</v>
      </c>
      <c r="G1254" s="7" t="n">
        <v>50</v>
      </c>
      <c r="H1254" s="7" t="n">
        <v>25</v>
      </c>
      <c r="I1254" s="7" t="n">
        <v>50</v>
      </c>
      <c r="J1254" s="7" t="n">
        <v>40</v>
      </c>
      <c r="K1254" s="7" t="n">
        <v>40</v>
      </c>
    </row>
    <row r="1255" customFormat="false" ht="36.5" hidden="false" customHeight="false" outlineLevel="0" collapsed="false">
      <c r="A1255" s="1" t="n">
        <v>69</v>
      </c>
      <c r="B1255" s="1" t="n">
        <v>2024</v>
      </c>
      <c r="C1255" s="3" t="n">
        <v>45548</v>
      </c>
      <c r="D1255" s="8" t="s">
        <v>38</v>
      </c>
      <c r="E1255" s="9" t="s">
        <v>42</v>
      </c>
      <c r="F1255" s="9" t="s">
        <v>43</v>
      </c>
      <c r="G1255" s="11" t="n">
        <v>80</v>
      </c>
      <c r="H1255" s="11" t="n">
        <v>45</v>
      </c>
      <c r="I1255" s="11" t="n">
        <v>80</v>
      </c>
      <c r="J1255" s="11" t="n">
        <v>68</v>
      </c>
      <c r="K1255" s="11" t="n">
        <v>70</v>
      </c>
    </row>
    <row r="1256" customFormat="false" ht="36.5" hidden="false" customHeight="false" outlineLevel="0" collapsed="false">
      <c r="A1256" s="1" t="n">
        <v>69</v>
      </c>
      <c r="B1256" s="1" t="n">
        <v>2024</v>
      </c>
      <c r="C1256" s="3" t="n">
        <v>45548</v>
      </c>
      <c r="D1256" s="4" t="s">
        <v>38</v>
      </c>
      <c r="E1256" s="5" t="s">
        <v>44</v>
      </c>
      <c r="F1256" s="5" t="s">
        <v>45</v>
      </c>
      <c r="G1256" s="7" t="n">
        <v>50</v>
      </c>
      <c r="H1256" s="7" t="n">
        <v>45</v>
      </c>
      <c r="I1256" s="7" t="n">
        <v>60</v>
      </c>
      <c r="J1256" s="7" t="n">
        <v>51</v>
      </c>
      <c r="K1256" s="7" t="n">
        <v>50</v>
      </c>
    </row>
    <row r="1257" customFormat="false" ht="36.5" hidden="false" customHeight="false" outlineLevel="0" collapsed="false">
      <c r="A1257" s="1" t="n">
        <v>69</v>
      </c>
      <c r="B1257" s="1" t="n">
        <v>2024</v>
      </c>
      <c r="C1257" s="3" t="n">
        <v>45548</v>
      </c>
      <c r="D1257" s="8" t="s">
        <v>38</v>
      </c>
      <c r="E1257" s="9" t="s">
        <v>48</v>
      </c>
      <c r="F1257" s="9" t="s">
        <v>45</v>
      </c>
      <c r="G1257" s="11" t="n">
        <v>90</v>
      </c>
      <c r="H1257" s="11" t="n">
        <v>90</v>
      </c>
      <c r="I1257" s="11" t="n">
        <v>100</v>
      </c>
      <c r="J1257" s="11" t="s">
        <v>196</v>
      </c>
      <c r="K1257" s="11" t="n">
        <v>90</v>
      </c>
    </row>
    <row r="1258" customFormat="false" ht="36.5" hidden="false" customHeight="false" outlineLevel="0" collapsed="false">
      <c r="A1258" s="1" t="n">
        <v>69</v>
      </c>
      <c r="B1258" s="1" t="n">
        <v>2024</v>
      </c>
      <c r="C1258" s="3" t="n">
        <v>45548</v>
      </c>
      <c r="D1258" s="4" t="s">
        <v>38</v>
      </c>
      <c r="E1258" s="5" t="s">
        <v>49</v>
      </c>
      <c r="F1258" s="5" t="s">
        <v>50</v>
      </c>
      <c r="G1258" s="7" t="n">
        <v>60</v>
      </c>
      <c r="H1258" s="7" t="n">
        <v>60</v>
      </c>
      <c r="I1258" s="7" t="n">
        <v>80</v>
      </c>
      <c r="J1258" s="7" t="n">
        <v>68</v>
      </c>
      <c r="K1258" s="7" t="n">
        <v>70</v>
      </c>
    </row>
    <row r="1259" customFormat="false" ht="36.5" hidden="false" customHeight="false" outlineLevel="0" collapsed="false">
      <c r="A1259" s="1" t="n">
        <v>69</v>
      </c>
      <c r="B1259" s="1" t="n">
        <v>2024</v>
      </c>
      <c r="C1259" s="3" t="n">
        <v>45548</v>
      </c>
      <c r="D1259" s="8" t="s">
        <v>38</v>
      </c>
      <c r="E1259" s="9" t="s">
        <v>52</v>
      </c>
      <c r="F1259" s="9" t="s">
        <v>43</v>
      </c>
      <c r="G1259" s="11" t="n">
        <v>55</v>
      </c>
      <c r="H1259" s="11" t="n">
        <v>40</v>
      </c>
      <c r="I1259" s="11" t="n">
        <v>55</v>
      </c>
      <c r="J1259" s="11" t="n">
        <v>48</v>
      </c>
      <c r="K1259" s="11" t="n">
        <v>50</v>
      </c>
    </row>
    <row r="1260" customFormat="false" ht="36.5" hidden="false" customHeight="false" outlineLevel="0" collapsed="false">
      <c r="A1260" s="1" t="n">
        <v>69</v>
      </c>
      <c r="B1260" s="1" t="n">
        <v>2024</v>
      </c>
      <c r="C1260" s="3" t="n">
        <v>45548</v>
      </c>
      <c r="D1260" s="4" t="s">
        <v>38</v>
      </c>
      <c r="E1260" s="5" t="s">
        <v>53</v>
      </c>
      <c r="F1260" s="5" t="s">
        <v>43</v>
      </c>
      <c r="G1260" s="7" t="n">
        <v>50</v>
      </c>
      <c r="H1260" s="7" t="n">
        <v>50</v>
      </c>
      <c r="I1260" s="7" t="n">
        <v>80</v>
      </c>
      <c r="J1260" s="7" t="n">
        <v>57</v>
      </c>
      <c r="K1260" s="7" t="n">
        <v>50</v>
      </c>
    </row>
    <row r="1261" customFormat="false" ht="36.5" hidden="false" customHeight="false" outlineLevel="0" collapsed="false">
      <c r="A1261" s="1" t="n">
        <v>69</v>
      </c>
      <c r="B1261" s="1" t="n">
        <v>2024</v>
      </c>
      <c r="C1261" s="3" t="n">
        <v>45548</v>
      </c>
      <c r="D1261" s="8" t="s">
        <v>38</v>
      </c>
      <c r="E1261" s="9" t="s">
        <v>54</v>
      </c>
      <c r="F1261" s="9" t="s">
        <v>40</v>
      </c>
      <c r="G1261" s="11" t="n">
        <v>90</v>
      </c>
      <c r="H1261" s="11" t="n">
        <v>70</v>
      </c>
      <c r="I1261" s="11" t="n">
        <v>100</v>
      </c>
      <c r="J1261" s="11" t="s">
        <v>239</v>
      </c>
      <c r="K1261" s="11" t="n">
        <v>90</v>
      </c>
    </row>
    <row r="1262" customFormat="false" ht="36.5" hidden="false" customHeight="false" outlineLevel="0" collapsed="false">
      <c r="A1262" s="1" t="n">
        <v>69</v>
      </c>
      <c r="B1262" s="1" t="n">
        <v>2024</v>
      </c>
      <c r="C1262" s="3" t="n">
        <v>45548</v>
      </c>
      <c r="D1262" s="4" t="s">
        <v>38</v>
      </c>
      <c r="E1262" s="5" t="s">
        <v>56</v>
      </c>
      <c r="F1262" s="5" t="s">
        <v>43</v>
      </c>
      <c r="G1262" s="6"/>
      <c r="H1262" s="7" t="n">
        <v>35</v>
      </c>
      <c r="I1262" s="7" t="n">
        <v>50</v>
      </c>
      <c r="J1262" s="7" t="s">
        <v>329</v>
      </c>
      <c r="K1262" s="7" t="n">
        <v>40</v>
      </c>
    </row>
    <row r="1263" customFormat="false" ht="36.5" hidden="false" customHeight="false" outlineLevel="0" collapsed="false">
      <c r="A1263" s="1" t="n">
        <v>69</v>
      </c>
      <c r="B1263" s="1" t="n">
        <v>2024</v>
      </c>
      <c r="C1263" s="3" t="n">
        <v>45548</v>
      </c>
      <c r="D1263" s="8" t="s">
        <v>38</v>
      </c>
      <c r="E1263" s="9" t="s">
        <v>57</v>
      </c>
      <c r="F1263" s="9" t="s">
        <v>40</v>
      </c>
      <c r="G1263" s="10"/>
      <c r="H1263" s="11" t="n">
        <v>85</v>
      </c>
      <c r="I1263" s="11" t="n">
        <v>100</v>
      </c>
      <c r="J1263" s="11" t="s">
        <v>230</v>
      </c>
      <c r="K1263" s="11" t="n">
        <v>90</v>
      </c>
    </row>
    <row r="1264" customFormat="false" ht="36.5" hidden="false" customHeight="false" outlineLevel="0" collapsed="false">
      <c r="A1264" s="1" t="n">
        <v>69</v>
      </c>
      <c r="B1264" s="1" t="n">
        <v>2024</v>
      </c>
      <c r="C1264" s="3" t="n">
        <v>45548</v>
      </c>
      <c r="D1264" s="4" t="s">
        <v>38</v>
      </c>
      <c r="E1264" s="5" t="s">
        <v>58</v>
      </c>
      <c r="F1264" s="5" t="s">
        <v>40</v>
      </c>
      <c r="G1264" s="7" t="n">
        <v>100</v>
      </c>
      <c r="H1264" s="7" t="n">
        <v>100</v>
      </c>
      <c r="I1264" s="7" t="n">
        <v>135</v>
      </c>
      <c r="J1264" s="7" t="n">
        <v>117</v>
      </c>
      <c r="K1264" s="7" t="n">
        <v>120</v>
      </c>
    </row>
    <row r="1265" customFormat="false" ht="36.5" hidden="false" customHeight="false" outlineLevel="0" collapsed="false">
      <c r="A1265" s="1" t="n">
        <v>69</v>
      </c>
      <c r="B1265" s="1" t="n">
        <v>2024</v>
      </c>
      <c r="C1265" s="3" t="n">
        <v>45548</v>
      </c>
      <c r="D1265" s="8" t="s">
        <v>38</v>
      </c>
      <c r="E1265" s="9" t="s">
        <v>59</v>
      </c>
      <c r="F1265" s="9" t="s">
        <v>45</v>
      </c>
      <c r="G1265" s="11" t="n">
        <v>60</v>
      </c>
      <c r="H1265" s="11" t="n">
        <v>40</v>
      </c>
      <c r="I1265" s="11" t="n">
        <v>60</v>
      </c>
      <c r="J1265" s="11" t="n">
        <v>53</v>
      </c>
      <c r="K1265" s="11" t="n">
        <v>55</v>
      </c>
    </row>
    <row r="1266" customFormat="false" ht="36.5" hidden="false" customHeight="false" outlineLevel="0" collapsed="false">
      <c r="A1266" s="1" t="n">
        <v>69</v>
      </c>
      <c r="B1266" s="1" t="n">
        <v>2024</v>
      </c>
      <c r="C1266" s="3" t="n">
        <v>45548</v>
      </c>
      <c r="D1266" s="4" t="s">
        <v>38</v>
      </c>
      <c r="E1266" s="5" t="s">
        <v>60</v>
      </c>
      <c r="F1266" s="5" t="s">
        <v>61</v>
      </c>
      <c r="G1266" s="7" t="n">
        <v>150</v>
      </c>
      <c r="H1266" s="7" t="n">
        <v>140</v>
      </c>
      <c r="I1266" s="7" t="n">
        <v>150</v>
      </c>
      <c r="J1266" s="7" t="n">
        <v>146</v>
      </c>
      <c r="K1266" s="7" t="n">
        <v>150</v>
      </c>
    </row>
    <row r="1267" customFormat="false" ht="36.5" hidden="false" customHeight="false" outlineLevel="0" collapsed="false">
      <c r="A1267" s="1" t="n">
        <v>69</v>
      </c>
      <c r="B1267" s="1" t="n">
        <v>2024</v>
      </c>
      <c r="C1267" s="3" t="n">
        <v>45548</v>
      </c>
      <c r="D1267" s="8" t="s">
        <v>38</v>
      </c>
      <c r="E1267" s="9" t="s">
        <v>63</v>
      </c>
      <c r="F1267" s="9" t="s">
        <v>40</v>
      </c>
      <c r="G1267" s="11" t="n">
        <v>70</v>
      </c>
      <c r="H1267" s="11" t="n">
        <v>60</v>
      </c>
      <c r="I1267" s="11" t="n">
        <v>80</v>
      </c>
      <c r="J1267" s="11" t="n">
        <v>69</v>
      </c>
      <c r="K1267" s="11" t="n">
        <v>70</v>
      </c>
    </row>
    <row r="1268" customFormat="false" ht="36.5" hidden="false" customHeight="false" outlineLevel="0" collapsed="false">
      <c r="A1268" s="1" t="n">
        <v>69</v>
      </c>
      <c r="B1268" s="1" t="n">
        <v>2024</v>
      </c>
      <c r="C1268" s="3" t="n">
        <v>45548</v>
      </c>
      <c r="D1268" s="4" t="s">
        <v>38</v>
      </c>
      <c r="E1268" s="5" t="s">
        <v>64</v>
      </c>
      <c r="F1268" s="5" t="s">
        <v>40</v>
      </c>
      <c r="G1268" s="7" t="n">
        <v>150</v>
      </c>
      <c r="H1268" s="7" t="n">
        <v>120</v>
      </c>
      <c r="I1268" s="7" t="n">
        <v>150</v>
      </c>
      <c r="J1268" s="7" t="n">
        <v>140</v>
      </c>
      <c r="K1268" s="7" t="n">
        <v>150</v>
      </c>
    </row>
    <row r="1269" customFormat="false" ht="14.25" hidden="false" customHeight="false" outlineLevel="0" collapsed="false">
      <c r="A1269" s="1" t="n">
        <v>69</v>
      </c>
      <c r="B1269" s="1" t="n">
        <v>2024</v>
      </c>
      <c r="C1269" s="3" t="n">
        <v>45548</v>
      </c>
      <c r="D1269" s="8" t="s">
        <v>65</v>
      </c>
      <c r="E1269" s="9" t="s">
        <v>66</v>
      </c>
      <c r="F1269" s="9" t="s">
        <v>45</v>
      </c>
      <c r="G1269" s="10"/>
      <c r="H1269" s="10"/>
      <c r="I1269" s="10"/>
      <c r="J1269" s="10"/>
      <c r="K1269" s="10"/>
    </row>
    <row r="1270" customFormat="false" ht="14.25" hidden="false" customHeight="false" outlineLevel="0" collapsed="false">
      <c r="A1270" s="1" t="n">
        <v>69</v>
      </c>
      <c r="B1270" s="1" t="n">
        <v>2024</v>
      </c>
      <c r="C1270" s="3" t="n">
        <v>45548</v>
      </c>
      <c r="D1270" s="4" t="s">
        <v>65</v>
      </c>
      <c r="E1270" s="5" t="s">
        <v>67</v>
      </c>
      <c r="F1270" s="5" t="s">
        <v>45</v>
      </c>
      <c r="G1270" s="6"/>
      <c r="H1270" s="6"/>
      <c r="I1270" s="6"/>
      <c r="J1270" s="6"/>
      <c r="K1270" s="6"/>
    </row>
    <row r="1271" customFormat="false" ht="14.25" hidden="false" customHeight="false" outlineLevel="0" collapsed="false">
      <c r="A1271" s="1" t="n">
        <v>69</v>
      </c>
      <c r="B1271" s="1" t="n">
        <v>2024</v>
      </c>
      <c r="C1271" s="3" t="n">
        <v>45548</v>
      </c>
      <c r="D1271" s="8" t="s">
        <v>65</v>
      </c>
      <c r="E1271" s="9" t="s">
        <v>68</v>
      </c>
      <c r="F1271" s="9" t="s">
        <v>45</v>
      </c>
      <c r="G1271" s="10"/>
      <c r="H1271" s="10"/>
      <c r="I1271" s="10"/>
      <c r="J1271" s="10"/>
      <c r="K1271" s="10"/>
    </row>
    <row r="1272" customFormat="false" ht="14.25" hidden="false" customHeight="false" outlineLevel="0" collapsed="false">
      <c r="A1272" s="1" t="n">
        <v>69</v>
      </c>
      <c r="B1272" s="1" t="n">
        <v>2024</v>
      </c>
      <c r="C1272" s="3" t="n">
        <v>45548</v>
      </c>
      <c r="D1272" s="4" t="s">
        <v>65</v>
      </c>
      <c r="E1272" s="5" t="s">
        <v>69</v>
      </c>
      <c r="F1272" s="5" t="s">
        <v>45</v>
      </c>
      <c r="G1272" s="6"/>
      <c r="H1272" s="7" t="n">
        <v>50</v>
      </c>
      <c r="I1272" s="7" t="n">
        <v>50</v>
      </c>
      <c r="J1272" s="7" t="n">
        <v>50</v>
      </c>
      <c r="K1272" s="7" t="n">
        <v>50</v>
      </c>
    </row>
    <row r="1273" customFormat="false" ht="14.25" hidden="false" customHeight="false" outlineLevel="0" collapsed="false">
      <c r="A1273" s="1" t="n">
        <v>69</v>
      </c>
      <c r="B1273" s="1" t="n">
        <v>2024</v>
      </c>
      <c r="C1273" s="3" t="n">
        <v>45548</v>
      </c>
      <c r="D1273" s="8" t="s">
        <v>65</v>
      </c>
      <c r="E1273" s="9" t="s">
        <v>70</v>
      </c>
      <c r="F1273" s="9" t="s">
        <v>71</v>
      </c>
      <c r="G1273" s="10"/>
      <c r="H1273" s="10"/>
      <c r="I1273" s="10"/>
      <c r="J1273" s="10"/>
      <c r="K1273" s="10"/>
    </row>
    <row r="1274" customFormat="false" ht="25" hidden="false" customHeight="false" outlineLevel="0" collapsed="false">
      <c r="A1274" s="1" t="n">
        <v>70</v>
      </c>
      <c r="B1274" s="1" t="n">
        <v>2024</v>
      </c>
      <c r="C1274" s="3" t="n">
        <v>45555</v>
      </c>
      <c r="D1274" s="4" t="s">
        <v>11</v>
      </c>
      <c r="E1274" s="5" t="s">
        <v>12</v>
      </c>
      <c r="F1274" s="5" t="s">
        <v>13</v>
      </c>
      <c r="G1274" s="7" t="n">
        <v>48</v>
      </c>
      <c r="H1274" s="7" t="n">
        <v>48</v>
      </c>
      <c r="I1274" s="7" t="n">
        <v>60</v>
      </c>
      <c r="J1274" s="7" t="n">
        <v>51</v>
      </c>
      <c r="K1274" s="7" t="n">
        <v>48</v>
      </c>
    </row>
    <row r="1275" customFormat="false" ht="25" hidden="false" customHeight="false" outlineLevel="0" collapsed="false">
      <c r="A1275" s="1" t="n">
        <v>70</v>
      </c>
      <c r="B1275" s="1" t="n">
        <v>2024</v>
      </c>
      <c r="C1275" s="3" t="n">
        <v>45555</v>
      </c>
      <c r="D1275" s="8" t="s">
        <v>11</v>
      </c>
      <c r="E1275" s="9" t="s">
        <v>14</v>
      </c>
      <c r="F1275" s="9" t="s">
        <v>13</v>
      </c>
      <c r="G1275" s="11" t="n">
        <v>84</v>
      </c>
      <c r="H1275" s="11" t="n">
        <v>60</v>
      </c>
      <c r="I1275" s="11" t="n">
        <v>84</v>
      </c>
      <c r="J1275" s="11" t="n">
        <v>75</v>
      </c>
      <c r="K1275" s="11" t="n">
        <v>78</v>
      </c>
    </row>
    <row r="1276" customFormat="false" ht="25" hidden="false" customHeight="false" outlineLevel="0" collapsed="false">
      <c r="A1276" s="1" t="n">
        <v>70</v>
      </c>
      <c r="B1276" s="1" t="n">
        <v>2024</v>
      </c>
      <c r="C1276" s="3" t="n">
        <v>45555</v>
      </c>
      <c r="D1276" s="4" t="s">
        <v>11</v>
      </c>
      <c r="E1276" s="5" t="s">
        <v>15</v>
      </c>
      <c r="F1276" s="5" t="s">
        <v>13</v>
      </c>
      <c r="G1276" s="7" t="n">
        <v>36</v>
      </c>
      <c r="H1276" s="7" t="n">
        <v>36</v>
      </c>
      <c r="I1276" s="7" t="n">
        <v>48</v>
      </c>
      <c r="J1276" s="7" t="s">
        <v>330</v>
      </c>
      <c r="K1276" s="7" t="n">
        <v>36</v>
      </c>
    </row>
    <row r="1277" customFormat="false" ht="25" hidden="false" customHeight="false" outlineLevel="0" collapsed="false">
      <c r="A1277" s="1" t="n">
        <v>70</v>
      </c>
      <c r="B1277" s="1" t="n">
        <v>2024</v>
      </c>
      <c r="C1277" s="3" t="n">
        <v>45555</v>
      </c>
      <c r="D1277" s="8" t="s">
        <v>11</v>
      </c>
      <c r="E1277" s="9" t="s">
        <v>16</v>
      </c>
      <c r="F1277" s="9" t="s">
        <v>13</v>
      </c>
      <c r="G1277" s="11" t="n">
        <v>24</v>
      </c>
      <c r="H1277" s="11" t="n">
        <v>15</v>
      </c>
      <c r="I1277" s="11" t="n">
        <v>36</v>
      </c>
      <c r="J1277" s="11" t="s">
        <v>331</v>
      </c>
      <c r="K1277" s="11" t="n">
        <v>24</v>
      </c>
    </row>
    <row r="1278" customFormat="false" ht="25" hidden="false" customHeight="false" outlineLevel="0" collapsed="false">
      <c r="A1278" s="1" t="n">
        <v>70</v>
      </c>
      <c r="B1278" s="1" t="n">
        <v>2024</v>
      </c>
      <c r="C1278" s="3" t="n">
        <v>45555</v>
      </c>
      <c r="D1278" s="4" t="s">
        <v>11</v>
      </c>
      <c r="E1278" s="5" t="s">
        <v>17</v>
      </c>
      <c r="F1278" s="5" t="s">
        <v>13</v>
      </c>
      <c r="G1278" s="7" t="n">
        <v>24</v>
      </c>
      <c r="H1278" s="7" t="n">
        <v>15</v>
      </c>
      <c r="I1278" s="7" t="n">
        <v>36</v>
      </c>
      <c r="J1278" s="7" t="s">
        <v>119</v>
      </c>
      <c r="K1278" s="7" t="n">
        <v>24</v>
      </c>
    </row>
    <row r="1279" customFormat="false" ht="25" hidden="false" customHeight="false" outlineLevel="0" collapsed="false">
      <c r="A1279" s="1" t="n">
        <v>70</v>
      </c>
      <c r="B1279" s="1" t="n">
        <v>2024</v>
      </c>
      <c r="C1279" s="3" t="n">
        <v>45555</v>
      </c>
      <c r="D1279" s="8" t="s">
        <v>11</v>
      </c>
      <c r="E1279" s="9" t="s">
        <v>18</v>
      </c>
      <c r="F1279" s="9" t="s">
        <v>13</v>
      </c>
      <c r="G1279" s="11" t="n">
        <v>60</v>
      </c>
      <c r="H1279" s="11" t="n">
        <v>60</v>
      </c>
      <c r="I1279" s="11" t="n">
        <v>60</v>
      </c>
      <c r="J1279" s="11" t="n">
        <v>60</v>
      </c>
      <c r="K1279" s="11" t="n">
        <v>60</v>
      </c>
    </row>
    <row r="1280" customFormat="false" ht="25" hidden="false" customHeight="false" outlineLevel="0" collapsed="false">
      <c r="A1280" s="1" t="n">
        <v>70</v>
      </c>
      <c r="B1280" s="1" t="n">
        <v>2024</v>
      </c>
      <c r="C1280" s="3" t="n">
        <v>45555</v>
      </c>
      <c r="D1280" s="4" t="s">
        <v>11</v>
      </c>
      <c r="E1280" s="5" t="s">
        <v>19</v>
      </c>
      <c r="F1280" s="5" t="s">
        <v>13</v>
      </c>
      <c r="G1280" s="7" t="n">
        <v>48</v>
      </c>
      <c r="H1280" s="7" t="n">
        <v>48</v>
      </c>
      <c r="I1280" s="7" t="n">
        <v>72</v>
      </c>
      <c r="J1280" s="7" t="n">
        <v>57</v>
      </c>
      <c r="K1280" s="7" t="n">
        <v>54</v>
      </c>
    </row>
    <row r="1281" customFormat="false" ht="25" hidden="false" customHeight="false" outlineLevel="0" collapsed="false">
      <c r="A1281" s="1" t="n">
        <v>70</v>
      </c>
      <c r="B1281" s="1" t="n">
        <v>2024</v>
      </c>
      <c r="C1281" s="3" t="n">
        <v>45555</v>
      </c>
      <c r="D1281" s="8" t="s">
        <v>11</v>
      </c>
      <c r="E1281" s="9" t="s">
        <v>20</v>
      </c>
      <c r="F1281" s="9" t="s">
        <v>13</v>
      </c>
      <c r="G1281" s="11" t="n">
        <v>72</v>
      </c>
      <c r="H1281" s="11" t="n">
        <v>60</v>
      </c>
      <c r="I1281" s="11" t="n">
        <v>72</v>
      </c>
      <c r="J1281" s="11" t="s">
        <v>332</v>
      </c>
      <c r="K1281" s="11" t="n">
        <v>72</v>
      </c>
    </row>
    <row r="1282" customFormat="false" ht="25" hidden="false" customHeight="false" outlineLevel="0" collapsed="false">
      <c r="A1282" s="1" t="n">
        <v>70</v>
      </c>
      <c r="B1282" s="1" t="n">
        <v>2024</v>
      </c>
      <c r="C1282" s="3" t="n">
        <v>45555</v>
      </c>
      <c r="D1282" s="4" t="s">
        <v>11</v>
      </c>
      <c r="E1282" s="5" t="s">
        <v>21</v>
      </c>
      <c r="F1282" s="5" t="s">
        <v>13</v>
      </c>
      <c r="G1282" s="7" t="n">
        <v>24</v>
      </c>
      <c r="H1282" s="7" t="n">
        <v>18</v>
      </c>
      <c r="I1282" s="7" t="n">
        <v>24</v>
      </c>
      <c r="J1282" s="7" t="s">
        <v>118</v>
      </c>
      <c r="K1282" s="7" t="n">
        <v>24</v>
      </c>
    </row>
    <row r="1283" customFormat="false" ht="25" hidden="false" customHeight="false" outlineLevel="0" collapsed="false">
      <c r="A1283" s="1" t="n">
        <v>70</v>
      </c>
      <c r="B1283" s="1" t="n">
        <v>2024</v>
      </c>
      <c r="C1283" s="3" t="n">
        <v>45555</v>
      </c>
      <c r="D1283" s="8" t="s">
        <v>11</v>
      </c>
      <c r="E1283" s="9" t="s">
        <v>73</v>
      </c>
      <c r="F1283" s="9" t="s">
        <v>13</v>
      </c>
      <c r="G1283" s="11" t="n">
        <v>60</v>
      </c>
      <c r="H1283" s="11" t="n">
        <v>60</v>
      </c>
      <c r="I1283" s="11" t="n">
        <v>72</v>
      </c>
      <c r="J1283" s="11" t="s">
        <v>333</v>
      </c>
      <c r="K1283" s="11" t="n">
        <v>65</v>
      </c>
    </row>
    <row r="1284" customFormat="false" ht="25" hidden="false" customHeight="false" outlineLevel="0" collapsed="false">
      <c r="A1284" s="1" t="n">
        <v>70</v>
      </c>
      <c r="B1284" s="1" t="n">
        <v>2024</v>
      </c>
      <c r="C1284" s="3" t="n">
        <v>45555</v>
      </c>
      <c r="D1284" s="4" t="s">
        <v>11</v>
      </c>
      <c r="E1284" s="5" t="s">
        <v>23</v>
      </c>
      <c r="F1284" s="5" t="s">
        <v>13</v>
      </c>
      <c r="G1284" s="7" t="n">
        <v>24</v>
      </c>
      <c r="H1284" s="7" t="n">
        <v>15</v>
      </c>
      <c r="I1284" s="7" t="n">
        <v>24</v>
      </c>
      <c r="J1284" s="7" t="n">
        <v>21</v>
      </c>
      <c r="K1284" s="7" t="n">
        <v>24</v>
      </c>
    </row>
    <row r="1285" customFormat="false" ht="25" hidden="false" customHeight="false" outlineLevel="0" collapsed="false">
      <c r="A1285" s="1" t="n">
        <v>70</v>
      </c>
      <c r="B1285" s="1" t="n">
        <v>2024</v>
      </c>
      <c r="C1285" s="3" t="n">
        <v>45555</v>
      </c>
      <c r="D1285" s="8" t="s">
        <v>11</v>
      </c>
      <c r="E1285" s="9" t="s">
        <v>24</v>
      </c>
      <c r="F1285" s="9" t="s">
        <v>13</v>
      </c>
      <c r="G1285" s="11" t="n">
        <v>48</v>
      </c>
      <c r="H1285" s="11" t="n">
        <v>48</v>
      </c>
      <c r="I1285" s="11" t="n">
        <v>72</v>
      </c>
      <c r="J1285" s="11" t="n">
        <v>57</v>
      </c>
      <c r="K1285" s="11" t="n">
        <v>54</v>
      </c>
    </row>
    <row r="1286" customFormat="false" ht="25" hidden="false" customHeight="false" outlineLevel="0" collapsed="false">
      <c r="A1286" s="1" t="n">
        <v>70</v>
      </c>
      <c r="B1286" s="1" t="n">
        <v>2024</v>
      </c>
      <c r="C1286" s="3" t="n">
        <v>45555</v>
      </c>
      <c r="D1286" s="4" t="s">
        <v>11</v>
      </c>
      <c r="E1286" s="5" t="s">
        <v>25</v>
      </c>
      <c r="F1286" s="5" t="s">
        <v>26</v>
      </c>
      <c r="G1286" s="7" t="n">
        <v>48</v>
      </c>
      <c r="H1286" s="7" t="n">
        <v>36</v>
      </c>
      <c r="I1286" s="7" t="n">
        <v>60</v>
      </c>
      <c r="J1286" s="7" t="s">
        <v>294</v>
      </c>
      <c r="K1286" s="7" t="n">
        <v>48</v>
      </c>
    </row>
    <row r="1287" customFormat="false" ht="25" hidden="false" customHeight="false" outlineLevel="0" collapsed="false">
      <c r="A1287" s="1" t="n">
        <v>70</v>
      </c>
      <c r="B1287" s="1" t="n">
        <v>2024</v>
      </c>
      <c r="C1287" s="3" t="n">
        <v>45555</v>
      </c>
      <c r="D1287" s="8" t="s">
        <v>11</v>
      </c>
      <c r="E1287" s="9" t="s">
        <v>27</v>
      </c>
      <c r="F1287" s="9" t="s">
        <v>13</v>
      </c>
      <c r="G1287" s="11" t="n">
        <v>60</v>
      </c>
      <c r="H1287" s="11" t="n">
        <v>48</v>
      </c>
      <c r="I1287" s="11" t="n">
        <v>60</v>
      </c>
      <c r="J1287" s="11" t="n">
        <v>54</v>
      </c>
      <c r="K1287" s="11" t="n">
        <v>54</v>
      </c>
    </row>
    <row r="1288" customFormat="false" ht="25" hidden="false" customHeight="false" outlineLevel="0" collapsed="false">
      <c r="A1288" s="1" t="n">
        <v>70</v>
      </c>
      <c r="B1288" s="1" t="n">
        <v>2024</v>
      </c>
      <c r="C1288" s="3" t="n">
        <v>45555</v>
      </c>
      <c r="D1288" s="4" t="s">
        <v>11</v>
      </c>
      <c r="E1288" s="5" t="s">
        <v>28</v>
      </c>
      <c r="F1288" s="5" t="s">
        <v>13</v>
      </c>
      <c r="G1288" s="7" t="n">
        <v>36</v>
      </c>
      <c r="H1288" s="7" t="n">
        <v>20</v>
      </c>
      <c r="I1288" s="7" t="n">
        <v>36</v>
      </c>
      <c r="J1288" s="7" t="s">
        <v>334</v>
      </c>
      <c r="K1288" s="7" t="n">
        <v>36</v>
      </c>
    </row>
    <row r="1289" customFormat="false" ht="25" hidden="false" customHeight="false" outlineLevel="0" collapsed="false">
      <c r="A1289" s="1" t="n">
        <v>70</v>
      </c>
      <c r="B1289" s="1" t="n">
        <v>2024</v>
      </c>
      <c r="C1289" s="3" t="n">
        <v>45555</v>
      </c>
      <c r="D1289" s="8" t="s">
        <v>11</v>
      </c>
      <c r="E1289" s="9" t="s">
        <v>29</v>
      </c>
      <c r="F1289" s="9" t="s">
        <v>13</v>
      </c>
      <c r="G1289" s="11" t="n">
        <v>48</v>
      </c>
      <c r="H1289" s="11" t="n">
        <v>48</v>
      </c>
      <c r="I1289" s="11" t="n">
        <v>54</v>
      </c>
      <c r="J1289" s="11" t="s">
        <v>305</v>
      </c>
      <c r="K1289" s="11" t="n">
        <v>48</v>
      </c>
    </row>
    <row r="1290" customFormat="false" ht="25" hidden="false" customHeight="false" outlineLevel="0" collapsed="false">
      <c r="A1290" s="1" t="n">
        <v>70</v>
      </c>
      <c r="B1290" s="1" t="n">
        <v>2024</v>
      </c>
      <c r="C1290" s="3" t="n">
        <v>45555</v>
      </c>
      <c r="D1290" s="4" t="s">
        <v>11</v>
      </c>
      <c r="E1290" s="5" t="s">
        <v>31</v>
      </c>
      <c r="F1290" s="5" t="s">
        <v>32</v>
      </c>
      <c r="G1290" s="7" t="n">
        <v>5</v>
      </c>
      <c r="H1290" s="7" t="n">
        <v>5</v>
      </c>
      <c r="I1290" s="7" t="n">
        <v>5</v>
      </c>
      <c r="J1290" s="7" t="n">
        <v>5</v>
      </c>
      <c r="K1290" s="7" t="n">
        <v>5</v>
      </c>
    </row>
    <row r="1291" customFormat="false" ht="25" hidden="false" customHeight="false" outlineLevel="0" collapsed="false">
      <c r="A1291" s="1" t="n">
        <v>70</v>
      </c>
      <c r="B1291" s="1" t="n">
        <v>2024</v>
      </c>
      <c r="C1291" s="3" t="n">
        <v>45555</v>
      </c>
      <c r="D1291" s="8" t="s">
        <v>11</v>
      </c>
      <c r="E1291" s="9" t="s">
        <v>34</v>
      </c>
      <c r="F1291" s="9" t="s">
        <v>35</v>
      </c>
      <c r="G1291" s="11" t="n">
        <v>10</v>
      </c>
      <c r="H1291" s="11" t="n">
        <v>10</v>
      </c>
      <c r="I1291" s="11" t="n">
        <v>12</v>
      </c>
      <c r="J1291" s="11" t="s">
        <v>335</v>
      </c>
      <c r="K1291" s="11" t="n">
        <v>10</v>
      </c>
    </row>
    <row r="1292" customFormat="false" ht="25" hidden="false" customHeight="false" outlineLevel="0" collapsed="false">
      <c r="A1292" s="1" t="n">
        <v>70</v>
      </c>
      <c r="B1292" s="1" t="n">
        <v>2024</v>
      </c>
      <c r="C1292" s="3" t="n">
        <v>45555</v>
      </c>
      <c r="D1292" s="4" t="s">
        <v>11</v>
      </c>
      <c r="E1292" s="5" t="s">
        <v>36</v>
      </c>
      <c r="F1292" s="5" t="s">
        <v>35</v>
      </c>
      <c r="G1292" s="7" t="n">
        <v>30</v>
      </c>
      <c r="H1292" s="7" t="n">
        <v>15</v>
      </c>
      <c r="I1292" s="7" t="n">
        <v>30</v>
      </c>
      <c r="J1292" s="7" t="n">
        <v>25</v>
      </c>
      <c r="K1292" s="7" t="n">
        <v>30</v>
      </c>
    </row>
    <row r="1293" customFormat="false" ht="36.5" hidden="false" customHeight="false" outlineLevel="0" collapsed="false">
      <c r="A1293" s="1" t="n">
        <v>70</v>
      </c>
      <c r="B1293" s="1" t="n">
        <v>2024</v>
      </c>
      <c r="C1293" s="3" t="n">
        <v>45555</v>
      </c>
      <c r="D1293" s="8" t="s">
        <v>38</v>
      </c>
      <c r="E1293" s="9" t="s">
        <v>153</v>
      </c>
      <c r="F1293" s="9" t="s">
        <v>154</v>
      </c>
      <c r="G1293" s="10"/>
      <c r="H1293" s="11" t="n">
        <v>70</v>
      </c>
      <c r="I1293" s="11" t="n">
        <v>80</v>
      </c>
      <c r="J1293" s="11" t="n">
        <v>75</v>
      </c>
      <c r="K1293" s="11" t="n">
        <v>75</v>
      </c>
    </row>
    <row r="1294" customFormat="false" ht="36.5" hidden="false" customHeight="false" outlineLevel="0" collapsed="false">
      <c r="A1294" s="1" t="n">
        <v>70</v>
      </c>
      <c r="B1294" s="1" t="n">
        <v>2024</v>
      </c>
      <c r="C1294" s="3" t="n">
        <v>45555</v>
      </c>
      <c r="D1294" s="4" t="s">
        <v>38</v>
      </c>
      <c r="E1294" s="5" t="s">
        <v>39</v>
      </c>
      <c r="F1294" s="5" t="s">
        <v>40</v>
      </c>
      <c r="G1294" s="7" t="n">
        <v>40</v>
      </c>
      <c r="H1294" s="7" t="n">
        <v>40</v>
      </c>
      <c r="I1294" s="7" t="n">
        <v>50</v>
      </c>
      <c r="J1294" s="7" t="n">
        <v>45</v>
      </c>
      <c r="K1294" s="7" t="n">
        <v>45</v>
      </c>
    </row>
    <row r="1295" customFormat="false" ht="36.5" hidden="false" customHeight="false" outlineLevel="0" collapsed="false">
      <c r="A1295" s="1" t="n">
        <v>70</v>
      </c>
      <c r="B1295" s="1" t="n">
        <v>2024</v>
      </c>
      <c r="C1295" s="3" t="n">
        <v>45555</v>
      </c>
      <c r="D1295" s="8" t="s">
        <v>38</v>
      </c>
      <c r="E1295" s="9" t="s">
        <v>42</v>
      </c>
      <c r="F1295" s="9" t="s">
        <v>43</v>
      </c>
      <c r="G1295" s="11" t="n">
        <v>70</v>
      </c>
      <c r="H1295" s="11" t="n">
        <v>45</v>
      </c>
      <c r="I1295" s="11" t="n">
        <v>70</v>
      </c>
      <c r="J1295" s="11" t="s">
        <v>258</v>
      </c>
      <c r="K1295" s="11" t="s">
        <v>41</v>
      </c>
    </row>
    <row r="1296" customFormat="false" ht="36.5" hidden="false" customHeight="false" outlineLevel="0" collapsed="false">
      <c r="A1296" s="1" t="n">
        <v>70</v>
      </c>
      <c r="B1296" s="1" t="n">
        <v>2024</v>
      </c>
      <c r="C1296" s="3" t="n">
        <v>45555</v>
      </c>
      <c r="D1296" s="4" t="s">
        <v>38</v>
      </c>
      <c r="E1296" s="5" t="s">
        <v>44</v>
      </c>
      <c r="F1296" s="5" t="s">
        <v>45</v>
      </c>
      <c r="G1296" s="7" t="n">
        <v>50</v>
      </c>
      <c r="H1296" s="7" t="n">
        <v>50</v>
      </c>
      <c r="I1296" s="7" t="n">
        <v>90</v>
      </c>
      <c r="J1296" s="7" t="n">
        <v>59</v>
      </c>
      <c r="K1296" s="7" t="n">
        <v>50</v>
      </c>
    </row>
    <row r="1297" customFormat="false" ht="36.5" hidden="false" customHeight="false" outlineLevel="0" collapsed="false">
      <c r="A1297" s="1" t="n">
        <v>70</v>
      </c>
      <c r="B1297" s="1" t="n">
        <v>2024</v>
      </c>
      <c r="C1297" s="3" t="n">
        <v>45555</v>
      </c>
      <c r="D1297" s="8" t="s">
        <v>38</v>
      </c>
      <c r="E1297" s="9" t="s">
        <v>48</v>
      </c>
      <c r="F1297" s="9" t="s">
        <v>45</v>
      </c>
      <c r="G1297" s="10"/>
      <c r="H1297" s="11" t="n">
        <v>45</v>
      </c>
      <c r="I1297" s="11" t="n">
        <v>100</v>
      </c>
      <c r="J1297" s="11" t="s">
        <v>262</v>
      </c>
      <c r="K1297" s="11" t="n">
        <v>90</v>
      </c>
    </row>
    <row r="1298" customFormat="false" ht="36.5" hidden="false" customHeight="false" outlineLevel="0" collapsed="false">
      <c r="A1298" s="1" t="n">
        <v>70</v>
      </c>
      <c r="B1298" s="1" t="n">
        <v>2024</v>
      </c>
      <c r="C1298" s="3" t="n">
        <v>45555</v>
      </c>
      <c r="D1298" s="4" t="s">
        <v>38</v>
      </c>
      <c r="E1298" s="5" t="s">
        <v>49</v>
      </c>
      <c r="F1298" s="5" t="s">
        <v>50</v>
      </c>
      <c r="G1298" s="7" t="n">
        <v>60</v>
      </c>
      <c r="H1298" s="7" t="n">
        <v>60</v>
      </c>
      <c r="I1298" s="7" t="n">
        <v>70</v>
      </c>
      <c r="J1298" s="7" t="s">
        <v>336</v>
      </c>
      <c r="K1298" s="7" t="s">
        <v>80</v>
      </c>
    </row>
    <row r="1299" customFormat="false" ht="36.5" hidden="false" customHeight="false" outlineLevel="0" collapsed="false">
      <c r="A1299" s="1" t="n">
        <v>70</v>
      </c>
      <c r="B1299" s="1" t="n">
        <v>2024</v>
      </c>
      <c r="C1299" s="3" t="n">
        <v>45555</v>
      </c>
      <c r="D1299" s="8" t="s">
        <v>38</v>
      </c>
      <c r="E1299" s="9" t="s">
        <v>52</v>
      </c>
      <c r="F1299" s="9" t="s">
        <v>43</v>
      </c>
      <c r="G1299" s="11" t="n">
        <v>55</v>
      </c>
      <c r="H1299" s="11" t="n">
        <v>40</v>
      </c>
      <c r="I1299" s="11" t="n">
        <v>60</v>
      </c>
      <c r="J1299" s="11" t="s">
        <v>337</v>
      </c>
      <c r="K1299" s="11" t="s">
        <v>78</v>
      </c>
    </row>
    <row r="1300" customFormat="false" ht="36.5" hidden="false" customHeight="false" outlineLevel="0" collapsed="false">
      <c r="A1300" s="1" t="n">
        <v>70</v>
      </c>
      <c r="B1300" s="1" t="n">
        <v>2024</v>
      </c>
      <c r="C1300" s="3" t="n">
        <v>45555</v>
      </c>
      <c r="D1300" s="4" t="s">
        <v>38</v>
      </c>
      <c r="E1300" s="5" t="s">
        <v>53</v>
      </c>
      <c r="F1300" s="5" t="s">
        <v>43</v>
      </c>
      <c r="G1300" s="7" t="n">
        <v>60</v>
      </c>
      <c r="H1300" s="7" t="n">
        <v>50</v>
      </c>
      <c r="I1300" s="7" t="n">
        <v>70</v>
      </c>
      <c r="J1300" s="7" t="s">
        <v>80</v>
      </c>
      <c r="K1300" s="7" t="s">
        <v>80</v>
      </c>
    </row>
    <row r="1301" customFormat="false" ht="36.5" hidden="false" customHeight="false" outlineLevel="0" collapsed="false">
      <c r="A1301" s="1" t="n">
        <v>70</v>
      </c>
      <c r="B1301" s="1" t="n">
        <v>2024</v>
      </c>
      <c r="C1301" s="3" t="n">
        <v>45555</v>
      </c>
      <c r="D1301" s="8" t="s">
        <v>38</v>
      </c>
      <c r="E1301" s="9" t="s">
        <v>54</v>
      </c>
      <c r="F1301" s="9" t="s">
        <v>40</v>
      </c>
      <c r="G1301" s="11" t="n">
        <v>100</v>
      </c>
      <c r="H1301" s="11" t="n">
        <v>80</v>
      </c>
      <c r="I1301" s="11" t="n">
        <v>120</v>
      </c>
      <c r="J1301" s="11" t="n">
        <v>98</v>
      </c>
      <c r="K1301" s="11" t="n">
        <v>100</v>
      </c>
    </row>
    <row r="1302" customFormat="false" ht="36.5" hidden="false" customHeight="false" outlineLevel="0" collapsed="false">
      <c r="A1302" s="1" t="n">
        <v>70</v>
      </c>
      <c r="B1302" s="1" t="n">
        <v>2024</v>
      </c>
      <c r="C1302" s="3" t="n">
        <v>45555</v>
      </c>
      <c r="D1302" s="4" t="s">
        <v>38</v>
      </c>
      <c r="E1302" s="5" t="s">
        <v>56</v>
      </c>
      <c r="F1302" s="5" t="s">
        <v>43</v>
      </c>
      <c r="G1302" s="6"/>
      <c r="H1302" s="7" t="n">
        <v>40</v>
      </c>
      <c r="I1302" s="7" t="n">
        <v>50</v>
      </c>
      <c r="J1302" s="7" t="n">
        <v>45</v>
      </c>
      <c r="K1302" s="7" t="n">
        <v>45</v>
      </c>
    </row>
    <row r="1303" customFormat="false" ht="36.5" hidden="false" customHeight="false" outlineLevel="0" collapsed="false">
      <c r="A1303" s="1" t="n">
        <v>70</v>
      </c>
      <c r="B1303" s="1" t="n">
        <v>2024</v>
      </c>
      <c r="C1303" s="3" t="n">
        <v>45555</v>
      </c>
      <c r="D1303" s="8" t="s">
        <v>38</v>
      </c>
      <c r="E1303" s="9" t="s">
        <v>57</v>
      </c>
      <c r="F1303" s="9" t="s">
        <v>40</v>
      </c>
      <c r="G1303" s="11" t="n">
        <v>100</v>
      </c>
      <c r="H1303" s="11" t="n">
        <v>90</v>
      </c>
      <c r="I1303" s="11" t="n">
        <v>100</v>
      </c>
      <c r="J1303" s="11" t="s">
        <v>184</v>
      </c>
      <c r="K1303" s="11" t="n">
        <v>100</v>
      </c>
    </row>
    <row r="1304" customFormat="false" ht="36.5" hidden="false" customHeight="false" outlineLevel="0" collapsed="false">
      <c r="A1304" s="1" t="n">
        <v>70</v>
      </c>
      <c r="B1304" s="1" t="n">
        <v>2024</v>
      </c>
      <c r="C1304" s="3" t="n">
        <v>45555</v>
      </c>
      <c r="D1304" s="4" t="s">
        <v>38</v>
      </c>
      <c r="E1304" s="5" t="s">
        <v>58</v>
      </c>
      <c r="F1304" s="5" t="s">
        <v>40</v>
      </c>
      <c r="G1304" s="7" t="n">
        <v>140</v>
      </c>
      <c r="H1304" s="7" t="n">
        <v>80</v>
      </c>
      <c r="I1304" s="7" t="n">
        <v>140</v>
      </c>
      <c r="J1304" s="7" t="s">
        <v>338</v>
      </c>
      <c r="K1304" s="7" t="n">
        <v>135</v>
      </c>
    </row>
    <row r="1305" customFormat="false" ht="36.5" hidden="false" customHeight="false" outlineLevel="0" collapsed="false">
      <c r="A1305" s="1" t="n">
        <v>70</v>
      </c>
      <c r="B1305" s="1" t="n">
        <v>2024</v>
      </c>
      <c r="C1305" s="3" t="n">
        <v>45555</v>
      </c>
      <c r="D1305" s="8" t="s">
        <v>38</v>
      </c>
      <c r="E1305" s="9" t="s">
        <v>59</v>
      </c>
      <c r="F1305" s="9" t="s">
        <v>45</v>
      </c>
      <c r="G1305" s="11" t="n">
        <v>50</v>
      </c>
      <c r="H1305" s="11" t="n">
        <v>50</v>
      </c>
      <c r="I1305" s="11" t="n">
        <v>80</v>
      </c>
      <c r="J1305" s="11" t="s">
        <v>89</v>
      </c>
      <c r="K1305" s="11" t="n">
        <v>50</v>
      </c>
    </row>
    <row r="1306" customFormat="false" ht="36.5" hidden="false" customHeight="false" outlineLevel="0" collapsed="false">
      <c r="A1306" s="1" t="n">
        <v>70</v>
      </c>
      <c r="B1306" s="1" t="n">
        <v>2024</v>
      </c>
      <c r="C1306" s="3" t="n">
        <v>45555</v>
      </c>
      <c r="D1306" s="4" t="s">
        <v>38</v>
      </c>
      <c r="E1306" s="5" t="s">
        <v>60</v>
      </c>
      <c r="F1306" s="5" t="s">
        <v>61</v>
      </c>
      <c r="G1306" s="7" t="n">
        <v>140</v>
      </c>
      <c r="H1306" s="7" t="n">
        <v>50</v>
      </c>
      <c r="I1306" s="7" t="n">
        <v>150</v>
      </c>
      <c r="J1306" s="7" t="s">
        <v>251</v>
      </c>
      <c r="K1306" s="7" t="n">
        <v>135</v>
      </c>
    </row>
    <row r="1307" customFormat="false" ht="36.5" hidden="false" customHeight="false" outlineLevel="0" collapsed="false">
      <c r="A1307" s="1" t="n">
        <v>70</v>
      </c>
      <c r="B1307" s="1" t="n">
        <v>2024</v>
      </c>
      <c r="C1307" s="3" t="n">
        <v>45555</v>
      </c>
      <c r="D1307" s="8" t="s">
        <v>38</v>
      </c>
      <c r="E1307" s="9" t="s">
        <v>63</v>
      </c>
      <c r="F1307" s="9" t="s">
        <v>40</v>
      </c>
      <c r="G1307" s="11" t="n">
        <v>70</v>
      </c>
      <c r="H1307" s="11" t="n">
        <v>50</v>
      </c>
      <c r="I1307" s="11" t="n">
        <v>80</v>
      </c>
      <c r="J1307" s="11" t="n">
        <v>65</v>
      </c>
      <c r="K1307" s="11" t="s">
        <v>84</v>
      </c>
    </row>
    <row r="1308" customFormat="false" ht="36.5" hidden="false" customHeight="false" outlineLevel="0" collapsed="false">
      <c r="A1308" s="1" t="n">
        <v>70</v>
      </c>
      <c r="B1308" s="1" t="n">
        <v>2024</v>
      </c>
      <c r="C1308" s="3" t="n">
        <v>45555</v>
      </c>
      <c r="D1308" s="4" t="s">
        <v>38</v>
      </c>
      <c r="E1308" s="5" t="s">
        <v>64</v>
      </c>
      <c r="F1308" s="5" t="s">
        <v>40</v>
      </c>
      <c r="G1308" s="7" t="n">
        <v>130</v>
      </c>
      <c r="H1308" s="7" t="n">
        <v>120</v>
      </c>
      <c r="I1308" s="7" t="n">
        <v>150</v>
      </c>
      <c r="J1308" s="7" t="n">
        <v>130</v>
      </c>
      <c r="K1308" s="7" t="n">
        <v>130</v>
      </c>
    </row>
    <row r="1309" customFormat="false" ht="14.25" hidden="false" customHeight="false" outlineLevel="0" collapsed="false">
      <c r="A1309" s="1" t="n">
        <v>70</v>
      </c>
      <c r="B1309" s="1" t="n">
        <v>2024</v>
      </c>
      <c r="C1309" s="3" t="n">
        <v>45555</v>
      </c>
      <c r="D1309" s="8" t="s">
        <v>65</v>
      </c>
      <c r="E1309" s="9" t="s">
        <v>66</v>
      </c>
      <c r="F1309" s="9" t="s">
        <v>45</v>
      </c>
      <c r="G1309" s="10"/>
      <c r="H1309" s="10"/>
      <c r="I1309" s="10"/>
      <c r="J1309" s="10"/>
      <c r="K1309" s="10"/>
    </row>
    <row r="1310" customFormat="false" ht="14.25" hidden="false" customHeight="false" outlineLevel="0" collapsed="false">
      <c r="A1310" s="1" t="n">
        <v>70</v>
      </c>
      <c r="B1310" s="1" t="n">
        <v>2024</v>
      </c>
      <c r="C1310" s="3" t="n">
        <v>45555</v>
      </c>
      <c r="D1310" s="4" t="s">
        <v>65</v>
      </c>
      <c r="E1310" s="5" t="s">
        <v>67</v>
      </c>
      <c r="F1310" s="5" t="s">
        <v>45</v>
      </c>
      <c r="G1310" s="6"/>
      <c r="H1310" s="6"/>
      <c r="I1310" s="6"/>
      <c r="J1310" s="6"/>
      <c r="K1310" s="6"/>
    </row>
    <row r="1311" customFormat="false" ht="14.25" hidden="false" customHeight="false" outlineLevel="0" collapsed="false">
      <c r="A1311" s="1" t="n">
        <v>70</v>
      </c>
      <c r="B1311" s="1" t="n">
        <v>2024</v>
      </c>
      <c r="C1311" s="3" t="n">
        <v>45555</v>
      </c>
      <c r="D1311" s="8" t="s">
        <v>65</v>
      </c>
      <c r="E1311" s="9" t="s">
        <v>68</v>
      </c>
      <c r="F1311" s="9" t="s">
        <v>45</v>
      </c>
      <c r="G1311" s="10"/>
      <c r="H1311" s="10"/>
      <c r="I1311" s="10"/>
      <c r="J1311" s="10"/>
      <c r="K1311" s="10"/>
    </row>
    <row r="1312" customFormat="false" ht="14.25" hidden="false" customHeight="false" outlineLevel="0" collapsed="false">
      <c r="A1312" s="1" t="n">
        <v>70</v>
      </c>
      <c r="B1312" s="1" t="n">
        <v>2024</v>
      </c>
      <c r="C1312" s="3" t="n">
        <v>45555</v>
      </c>
      <c r="D1312" s="4" t="s">
        <v>65</v>
      </c>
      <c r="E1312" s="5" t="s">
        <v>69</v>
      </c>
      <c r="F1312" s="5" t="s">
        <v>45</v>
      </c>
      <c r="G1312" s="6"/>
      <c r="H1312" s="7" t="n">
        <v>50</v>
      </c>
      <c r="I1312" s="7" t="n">
        <v>50</v>
      </c>
      <c r="J1312" s="7" t="n">
        <v>50</v>
      </c>
      <c r="K1312" s="7" t="n">
        <v>50</v>
      </c>
    </row>
    <row r="1313" customFormat="false" ht="14.25" hidden="false" customHeight="false" outlineLevel="0" collapsed="false">
      <c r="A1313" s="1" t="n">
        <v>70</v>
      </c>
      <c r="B1313" s="1" t="n">
        <v>2024</v>
      </c>
      <c r="C1313" s="3" t="n">
        <v>45555</v>
      </c>
      <c r="D1313" s="8" t="s">
        <v>65</v>
      </c>
      <c r="E1313" s="9" t="s">
        <v>70</v>
      </c>
      <c r="F1313" s="9" t="s">
        <v>71</v>
      </c>
      <c r="G1313" s="10"/>
      <c r="H1313" s="10"/>
      <c r="I1313" s="10"/>
      <c r="J1313" s="10"/>
      <c r="K1313" s="10"/>
    </row>
    <row r="1314" customFormat="false" ht="25" hidden="false" customHeight="false" outlineLevel="0" collapsed="false">
      <c r="A1314" s="1" t="n">
        <v>71</v>
      </c>
      <c r="B1314" s="1" t="n">
        <v>2024</v>
      </c>
      <c r="C1314" s="3" t="n">
        <v>45562</v>
      </c>
      <c r="D1314" s="4" t="s">
        <v>11</v>
      </c>
      <c r="E1314" s="5" t="s">
        <v>12</v>
      </c>
      <c r="F1314" s="5" t="s">
        <v>13</v>
      </c>
      <c r="G1314" s="7" t="n">
        <v>36</v>
      </c>
      <c r="H1314" s="7" t="n">
        <v>30</v>
      </c>
      <c r="I1314" s="7" t="n">
        <v>48</v>
      </c>
      <c r="J1314" s="7" t="s">
        <v>339</v>
      </c>
      <c r="K1314" s="7" t="n">
        <v>36</v>
      </c>
    </row>
    <row r="1315" customFormat="false" ht="25" hidden="false" customHeight="false" outlineLevel="0" collapsed="false">
      <c r="A1315" s="1" t="n">
        <v>71</v>
      </c>
      <c r="B1315" s="1" t="n">
        <v>2024</v>
      </c>
      <c r="C1315" s="3" t="n">
        <v>45562</v>
      </c>
      <c r="D1315" s="8" t="s">
        <v>11</v>
      </c>
      <c r="E1315" s="9" t="s">
        <v>14</v>
      </c>
      <c r="F1315" s="9" t="s">
        <v>13</v>
      </c>
      <c r="G1315" s="11" t="n">
        <v>60</v>
      </c>
      <c r="H1315" s="11" t="n">
        <v>60</v>
      </c>
      <c r="I1315" s="11" t="n">
        <v>72</v>
      </c>
      <c r="J1315" s="11" t="n">
        <v>64</v>
      </c>
      <c r="K1315" s="11" t="n">
        <v>60</v>
      </c>
    </row>
    <row r="1316" customFormat="false" ht="25" hidden="false" customHeight="false" outlineLevel="0" collapsed="false">
      <c r="A1316" s="1" t="n">
        <v>71</v>
      </c>
      <c r="B1316" s="1" t="n">
        <v>2024</v>
      </c>
      <c r="C1316" s="3" t="n">
        <v>45562</v>
      </c>
      <c r="D1316" s="4" t="s">
        <v>11</v>
      </c>
      <c r="E1316" s="5" t="s">
        <v>15</v>
      </c>
      <c r="F1316" s="5" t="s">
        <v>13</v>
      </c>
      <c r="G1316" s="7" t="n">
        <v>30</v>
      </c>
      <c r="H1316" s="7" t="n">
        <v>25</v>
      </c>
      <c r="I1316" s="7" t="n">
        <v>36</v>
      </c>
      <c r="J1316" s="7" t="s">
        <v>340</v>
      </c>
      <c r="K1316" s="7" t="n">
        <v>30</v>
      </c>
    </row>
    <row r="1317" customFormat="false" ht="25" hidden="false" customHeight="false" outlineLevel="0" collapsed="false">
      <c r="A1317" s="1" t="n">
        <v>71</v>
      </c>
      <c r="B1317" s="1" t="n">
        <v>2024</v>
      </c>
      <c r="C1317" s="3" t="n">
        <v>45562</v>
      </c>
      <c r="D1317" s="8" t="s">
        <v>11</v>
      </c>
      <c r="E1317" s="9" t="s">
        <v>16</v>
      </c>
      <c r="F1317" s="9" t="s">
        <v>13</v>
      </c>
      <c r="G1317" s="11" t="n">
        <v>18</v>
      </c>
      <c r="H1317" s="11" t="n">
        <v>18</v>
      </c>
      <c r="I1317" s="11" t="n">
        <v>30</v>
      </c>
      <c r="J1317" s="11" t="s">
        <v>37</v>
      </c>
      <c r="K1317" s="11" t="n">
        <v>21</v>
      </c>
    </row>
    <row r="1318" customFormat="false" ht="25" hidden="false" customHeight="false" outlineLevel="0" collapsed="false">
      <c r="A1318" s="1" t="n">
        <v>71</v>
      </c>
      <c r="B1318" s="1" t="n">
        <v>2024</v>
      </c>
      <c r="C1318" s="3" t="n">
        <v>45562</v>
      </c>
      <c r="D1318" s="4" t="s">
        <v>11</v>
      </c>
      <c r="E1318" s="5" t="s">
        <v>17</v>
      </c>
      <c r="F1318" s="5" t="s">
        <v>13</v>
      </c>
      <c r="G1318" s="7" t="n">
        <v>18</v>
      </c>
      <c r="H1318" s="7" t="n">
        <v>18</v>
      </c>
      <c r="I1318" s="7" t="n">
        <v>30</v>
      </c>
      <c r="J1318" s="7" t="s">
        <v>37</v>
      </c>
      <c r="K1318" s="7" t="n">
        <v>21</v>
      </c>
    </row>
    <row r="1319" customFormat="false" ht="25" hidden="false" customHeight="false" outlineLevel="0" collapsed="false">
      <c r="A1319" s="1" t="n">
        <v>71</v>
      </c>
      <c r="B1319" s="1" t="n">
        <v>2024</v>
      </c>
      <c r="C1319" s="3" t="n">
        <v>45562</v>
      </c>
      <c r="D1319" s="8" t="s">
        <v>11</v>
      </c>
      <c r="E1319" s="9" t="s">
        <v>18</v>
      </c>
      <c r="F1319" s="9" t="s">
        <v>13</v>
      </c>
      <c r="G1319" s="11" t="n">
        <v>60</v>
      </c>
      <c r="H1319" s="11" t="n">
        <v>48</v>
      </c>
      <c r="I1319" s="11" t="n">
        <v>60</v>
      </c>
      <c r="J1319" s="11" t="n">
        <v>54</v>
      </c>
      <c r="K1319" s="11" t="n">
        <v>54</v>
      </c>
    </row>
    <row r="1320" customFormat="false" ht="25" hidden="false" customHeight="false" outlineLevel="0" collapsed="false">
      <c r="A1320" s="1" t="n">
        <v>71</v>
      </c>
      <c r="B1320" s="1" t="n">
        <v>2024</v>
      </c>
      <c r="C1320" s="3" t="n">
        <v>45562</v>
      </c>
      <c r="D1320" s="4" t="s">
        <v>11</v>
      </c>
      <c r="E1320" s="5" t="s">
        <v>19</v>
      </c>
      <c r="F1320" s="5" t="s">
        <v>13</v>
      </c>
      <c r="G1320" s="6"/>
      <c r="H1320" s="7" t="n">
        <v>48</v>
      </c>
      <c r="I1320" s="7" t="n">
        <v>72</v>
      </c>
      <c r="J1320" s="7" t="n">
        <v>58</v>
      </c>
      <c r="K1320" s="7" t="n">
        <v>54</v>
      </c>
    </row>
    <row r="1321" customFormat="false" ht="25" hidden="false" customHeight="false" outlineLevel="0" collapsed="false">
      <c r="A1321" s="1" t="n">
        <v>71</v>
      </c>
      <c r="B1321" s="1" t="n">
        <v>2024</v>
      </c>
      <c r="C1321" s="3" t="n">
        <v>45562</v>
      </c>
      <c r="D1321" s="8" t="s">
        <v>11</v>
      </c>
      <c r="E1321" s="9" t="s">
        <v>20</v>
      </c>
      <c r="F1321" s="9" t="s">
        <v>13</v>
      </c>
      <c r="G1321" s="11" t="n">
        <v>60</v>
      </c>
      <c r="H1321" s="11" t="n">
        <v>60</v>
      </c>
      <c r="I1321" s="11" t="n">
        <v>60</v>
      </c>
      <c r="J1321" s="11" t="n">
        <v>60</v>
      </c>
      <c r="K1321" s="11" t="n">
        <v>60</v>
      </c>
    </row>
    <row r="1322" customFormat="false" ht="25" hidden="false" customHeight="false" outlineLevel="0" collapsed="false">
      <c r="A1322" s="1" t="n">
        <v>71</v>
      </c>
      <c r="B1322" s="1" t="n">
        <v>2024</v>
      </c>
      <c r="C1322" s="3" t="n">
        <v>45562</v>
      </c>
      <c r="D1322" s="4" t="s">
        <v>11</v>
      </c>
      <c r="E1322" s="5" t="s">
        <v>21</v>
      </c>
      <c r="F1322" s="5" t="s">
        <v>13</v>
      </c>
      <c r="G1322" s="7" t="n">
        <v>18</v>
      </c>
      <c r="H1322" s="7" t="n">
        <v>18</v>
      </c>
      <c r="I1322" s="7" t="n">
        <v>48</v>
      </c>
      <c r="J1322" s="7" t="s">
        <v>341</v>
      </c>
      <c r="K1322" s="7" t="n">
        <v>20</v>
      </c>
    </row>
    <row r="1323" customFormat="false" ht="25" hidden="false" customHeight="false" outlineLevel="0" collapsed="false">
      <c r="A1323" s="1" t="n">
        <v>71</v>
      </c>
      <c r="B1323" s="1" t="n">
        <v>2024</v>
      </c>
      <c r="C1323" s="3" t="n">
        <v>45562</v>
      </c>
      <c r="D1323" s="8" t="s">
        <v>11</v>
      </c>
      <c r="E1323" s="9" t="s">
        <v>73</v>
      </c>
      <c r="F1323" s="9" t="s">
        <v>13</v>
      </c>
      <c r="G1323" s="11" t="n">
        <v>60</v>
      </c>
      <c r="H1323" s="11" t="n">
        <v>60</v>
      </c>
      <c r="I1323" s="11" t="n">
        <v>60</v>
      </c>
      <c r="J1323" s="11" t="n">
        <v>60</v>
      </c>
      <c r="K1323" s="11" t="n">
        <v>60</v>
      </c>
    </row>
    <row r="1324" customFormat="false" ht="25" hidden="false" customHeight="false" outlineLevel="0" collapsed="false">
      <c r="A1324" s="1" t="n">
        <v>71</v>
      </c>
      <c r="B1324" s="1" t="n">
        <v>2024</v>
      </c>
      <c r="C1324" s="3" t="n">
        <v>45562</v>
      </c>
      <c r="D1324" s="4" t="s">
        <v>11</v>
      </c>
      <c r="E1324" s="5" t="s">
        <v>23</v>
      </c>
      <c r="F1324" s="5" t="s">
        <v>13</v>
      </c>
      <c r="G1324" s="7" t="n">
        <v>18</v>
      </c>
      <c r="H1324" s="7" t="n">
        <v>18</v>
      </c>
      <c r="I1324" s="7" t="n">
        <v>24</v>
      </c>
      <c r="J1324" s="7" t="s">
        <v>342</v>
      </c>
      <c r="K1324" s="7" t="n">
        <v>18</v>
      </c>
    </row>
    <row r="1325" customFormat="false" ht="25" hidden="false" customHeight="false" outlineLevel="0" collapsed="false">
      <c r="A1325" s="1" t="n">
        <v>71</v>
      </c>
      <c r="B1325" s="1" t="n">
        <v>2024</v>
      </c>
      <c r="C1325" s="3" t="n">
        <v>45562</v>
      </c>
      <c r="D1325" s="8" t="s">
        <v>11</v>
      </c>
      <c r="E1325" s="9" t="s">
        <v>24</v>
      </c>
      <c r="F1325" s="9" t="s">
        <v>13</v>
      </c>
      <c r="G1325" s="11" t="n">
        <v>48</v>
      </c>
      <c r="H1325" s="11" t="n">
        <v>48</v>
      </c>
      <c r="I1325" s="11" t="n">
        <v>72</v>
      </c>
      <c r="J1325" s="11" t="n">
        <v>56</v>
      </c>
      <c r="K1325" s="11" t="n">
        <v>48</v>
      </c>
    </row>
    <row r="1326" customFormat="false" ht="25" hidden="false" customHeight="false" outlineLevel="0" collapsed="false">
      <c r="A1326" s="1" t="n">
        <v>71</v>
      </c>
      <c r="B1326" s="1" t="n">
        <v>2024</v>
      </c>
      <c r="C1326" s="3" t="n">
        <v>45562</v>
      </c>
      <c r="D1326" s="4" t="s">
        <v>11</v>
      </c>
      <c r="E1326" s="5" t="s">
        <v>25</v>
      </c>
      <c r="F1326" s="5" t="s">
        <v>26</v>
      </c>
      <c r="G1326" s="7" t="n">
        <v>48</v>
      </c>
      <c r="H1326" s="7" t="n">
        <v>48</v>
      </c>
      <c r="I1326" s="7" t="n">
        <v>60</v>
      </c>
      <c r="J1326" s="7" t="n">
        <v>51</v>
      </c>
      <c r="K1326" s="7" t="n">
        <v>48</v>
      </c>
    </row>
    <row r="1327" customFormat="false" ht="25" hidden="false" customHeight="false" outlineLevel="0" collapsed="false">
      <c r="A1327" s="1" t="n">
        <v>71</v>
      </c>
      <c r="B1327" s="1" t="n">
        <v>2024</v>
      </c>
      <c r="C1327" s="3" t="n">
        <v>45562</v>
      </c>
      <c r="D1327" s="8" t="s">
        <v>11</v>
      </c>
      <c r="E1327" s="9" t="s">
        <v>27</v>
      </c>
      <c r="F1327" s="9" t="s">
        <v>13</v>
      </c>
      <c r="G1327" s="11" t="n">
        <v>48</v>
      </c>
      <c r="H1327" s="11" t="n">
        <v>48</v>
      </c>
      <c r="I1327" s="11" t="n">
        <v>72</v>
      </c>
      <c r="J1327" s="11" t="n">
        <v>57</v>
      </c>
      <c r="K1327" s="11" t="n">
        <v>54</v>
      </c>
    </row>
    <row r="1328" customFormat="false" ht="25" hidden="false" customHeight="false" outlineLevel="0" collapsed="false">
      <c r="A1328" s="1" t="n">
        <v>71</v>
      </c>
      <c r="B1328" s="1" t="n">
        <v>2024</v>
      </c>
      <c r="C1328" s="3" t="n">
        <v>45562</v>
      </c>
      <c r="D1328" s="4" t="s">
        <v>11</v>
      </c>
      <c r="E1328" s="5" t="s">
        <v>28</v>
      </c>
      <c r="F1328" s="5" t="s">
        <v>13</v>
      </c>
      <c r="G1328" s="7" t="n">
        <v>36</v>
      </c>
      <c r="H1328" s="7" t="n">
        <v>24</v>
      </c>
      <c r="I1328" s="7" t="n">
        <v>40</v>
      </c>
      <c r="J1328" s="7" t="n">
        <v>32</v>
      </c>
      <c r="K1328" s="7" t="n">
        <v>36</v>
      </c>
    </row>
    <row r="1329" customFormat="false" ht="25" hidden="false" customHeight="false" outlineLevel="0" collapsed="false">
      <c r="A1329" s="1" t="n">
        <v>71</v>
      </c>
      <c r="B1329" s="1" t="n">
        <v>2024</v>
      </c>
      <c r="C1329" s="3" t="n">
        <v>45562</v>
      </c>
      <c r="D1329" s="8" t="s">
        <v>11</v>
      </c>
      <c r="E1329" s="9" t="s">
        <v>29</v>
      </c>
      <c r="F1329" s="9" t="s">
        <v>13</v>
      </c>
      <c r="G1329" s="11" t="n">
        <v>48</v>
      </c>
      <c r="H1329" s="11" t="n">
        <v>42</v>
      </c>
      <c r="I1329" s="11" t="n">
        <v>48</v>
      </c>
      <c r="J1329" s="11" t="s">
        <v>174</v>
      </c>
      <c r="K1329" s="11" t="n">
        <v>48</v>
      </c>
    </row>
    <row r="1330" customFormat="false" ht="25" hidden="false" customHeight="false" outlineLevel="0" collapsed="false">
      <c r="A1330" s="1" t="n">
        <v>71</v>
      </c>
      <c r="B1330" s="1" t="n">
        <v>2024</v>
      </c>
      <c r="C1330" s="3" t="n">
        <v>45562</v>
      </c>
      <c r="D1330" s="4" t="s">
        <v>11</v>
      </c>
      <c r="E1330" s="5" t="s">
        <v>31</v>
      </c>
      <c r="F1330" s="5" t="s">
        <v>32</v>
      </c>
      <c r="G1330" s="7" t="n">
        <v>5</v>
      </c>
      <c r="H1330" s="7" t="n">
        <v>4</v>
      </c>
      <c r="I1330" s="7" t="n">
        <v>5</v>
      </c>
      <c r="J1330" s="7" t="s">
        <v>343</v>
      </c>
      <c r="K1330" s="7" t="n">
        <v>5</v>
      </c>
    </row>
    <row r="1331" customFormat="false" ht="25" hidden="false" customHeight="false" outlineLevel="0" collapsed="false">
      <c r="A1331" s="1" t="n">
        <v>71</v>
      </c>
      <c r="B1331" s="1" t="n">
        <v>2024</v>
      </c>
      <c r="C1331" s="3" t="n">
        <v>45562</v>
      </c>
      <c r="D1331" s="8" t="s">
        <v>11</v>
      </c>
      <c r="E1331" s="9" t="s">
        <v>34</v>
      </c>
      <c r="F1331" s="9" t="s">
        <v>35</v>
      </c>
      <c r="G1331" s="11" t="n">
        <v>10</v>
      </c>
      <c r="H1331" s="11" t="n">
        <v>10</v>
      </c>
      <c r="I1331" s="11" t="n">
        <v>15</v>
      </c>
      <c r="J1331" s="11" t="s">
        <v>344</v>
      </c>
      <c r="K1331" s="11" t="n">
        <v>11</v>
      </c>
    </row>
    <row r="1332" customFormat="false" ht="25" hidden="false" customHeight="false" outlineLevel="0" collapsed="false">
      <c r="A1332" s="1" t="n">
        <v>71</v>
      </c>
      <c r="B1332" s="1" t="n">
        <v>2024</v>
      </c>
      <c r="C1332" s="3" t="n">
        <v>45562</v>
      </c>
      <c r="D1332" s="4" t="s">
        <v>11</v>
      </c>
      <c r="E1332" s="5" t="s">
        <v>36</v>
      </c>
      <c r="F1332" s="5" t="s">
        <v>35</v>
      </c>
      <c r="G1332" s="7" t="n">
        <v>20</v>
      </c>
      <c r="H1332" s="7" t="n">
        <v>20</v>
      </c>
      <c r="I1332" s="7" t="n">
        <v>25</v>
      </c>
      <c r="J1332" s="7" t="s">
        <v>345</v>
      </c>
      <c r="K1332" s="7" t="n">
        <v>20</v>
      </c>
    </row>
    <row r="1333" customFormat="false" ht="36.5" hidden="false" customHeight="false" outlineLevel="0" collapsed="false">
      <c r="A1333" s="1" t="n">
        <v>71</v>
      </c>
      <c r="B1333" s="1" t="n">
        <v>2024</v>
      </c>
      <c r="C1333" s="3" t="n">
        <v>45562</v>
      </c>
      <c r="D1333" s="8" t="s">
        <v>38</v>
      </c>
      <c r="E1333" s="9" t="s">
        <v>153</v>
      </c>
      <c r="F1333" s="9" t="s">
        <v>154</v>
      </c>
      <c r="G1333" s="10"/>
      <c r="H1333" s="11" t="n">
        <v>80</v>
      </c>
      <c r="I1333" s="11" t="n">
        <v>85</v>
      </c>
      <c r="J1333" s="11" t="s">
        <v>168</v>
      </c>
      <c r="K1333" s="11" t="s">
        <v>168</v>
      </c>
    </row>
    <row r="1334" customFormat="false" ht="36.5" hidden="false" customHeight="false" outlineLevel="0" collapsed="false">
      <c r="A1334" s="1" t="n">
        <v>71</v>
      </c>
      <c r="B1334" s="1" t="n">
        <v>2024</v>
      </c>
      <c r="C1334" s="3" t="n">
        <v>45562</v>
      </c>
      <c r="D1334" s="4" t="s">
        <v>38</v>
      </c>
      <c r="E1334" s="5" t="s">
        <v>39</v>
      </c>
      <c r="F1334" s="5" t="s">
        <v>40</v>
      </c>
      <c r="G1334" s="7" t="n">
        <v>35</v>
      </c>
      <c r="H1334" s="7" t="n">
        <v>35</v>
      </c>
      <c r="I1334" s="7" t="n">
        <v>50</v>
      </c>
      <c r="J1334" s="7" t="n">
        <v>42</v>
      </c>
      <c r="K1334" s="7" t="n">
        <v>45</v>
      </c>
    </row>
    <row r="1335" customFormat="false" ht="36.5" hidden="false" customHeight="false" outlineLevel="0" collapsed="false">
      <c r="A1335" s="1" t="n">
        <v>71</v>
      </c>
      <c r="B1335" s="1" t="n">
        <v>2024</v>
      </c>
      <c r="C1335" s="3" t="n">
        <v>45562</v>
      </c>
      <c r="D1335" s="8" t="s">
        <v>38</v>
      </c>
      <c r="E1335" s="9" t="s">
        <v>42</v>
      </c>
      <c r="F1335" s="9" t="s">
        <v>43</v>
      </c>
      <c r="G1335" s="11" t="n">
        <v>70</v>
      </c>
      <c r="H1335" s="11" t="n">
        <v>45</v>
      </c>
      <c r="I1335" s="11" t="n">
        <v>70</v>
      </c>
      <c r="J1335" s="11" t="n">
        <v>64</v>
      </c>
      <c r="K1335" s="11" t="n">
        <v>70</v>
      </c>
    </row>
    <row r="1336" customFormat="false" ht="36.5" hidden="false" customHeight="false" outlineLevel="0" collapsed="false">
      <c r="A1336" s="1" t="n">
        <v>71</v>
      </c>
      <c r="B1336" s="1" t="n">
        <v>2024</v>
      </c>
      <c r="C1336" s="3" t="n">
        <v>45562</v>
      </c>
      <c r="D1336" s="4" t="s">
        <v>38</v>
      </c>
      <c r="E1336" s="5" t="s">
        <v>44</v>
      </c>
      <c r="F1336" s="5" t="s">
        <v>45</v>
      </c>
      <c r="G1336" s="6"/>
      <c r="H1336" s="7" t="n">
        <v>45</v>
      </c>
      <c r="I1336" s="7" t="n">
        <v>60</v>
      </c>
      <c r="J1336" s="7" t="s">
        <v>138</v>
      </c>
      <c r="K1336" s="7" t="n">
        <v>50</v>
      </c>
    </row>
    <row r="1337" customFormat="false" ht="36.5" hidden="false" customHeight="false" outlineLevel="0" collapsed="false">
      <c r="A1337" s="1" t="n">
        <v>71</v>
      </c>
      <c r="B1337" s="1" t="n">
        <v>2024</v>
      </c>
      <c r="C1337" s="3" t="n">
        <v>45562</v>
      </c>
      <c r="D1337" s="8" t="s">
        <v>38</v>
      </c>
      <c r="E1337" s="9" t="s">
        <v>48</v>
      </c>
      <c r="F1337" s="9" t="s">
        <v>45</v>
      </c>
      <c r="G1337" s="10"/>
      <c r="H1337" s="11" t="n">
        <v>50</v>
      </c>
      <c r="I1337" s="11" t="n">
        <v>110</v>
      </c>
      <c r="J1337" s="11" t="s">
        <v>270</v>
      </c>
      <c r="K1337" s="11" t="n">
        <v>90</v>
      </c>
    </row>
    <row r="1338" customFormat="false" ht="36.5" hidden="false" customHeight="false" outlineLevel="0" collapsed="false">
      <c r="A1338" s="1" t="n">
        <v>71</v>
      </c>
      <c r="B1338" s="1" t="n">
        <v>2024</v>
      </c>
      <c r="C1338" s="3" t="n">
        <v>45562</v>
      </c>
      <c r="D1338" s="4" t="s">
        <v>38</v>
      </c>
      <c r="E1338" s="5" t="s">
        <v>49</v>
      </c>
      <c r="F1338" s="5" t="s">
        <v>50</v>
      </c>
      <c r="G1338" s="7" t="n">
        <v>70</v>
      </c>
      <c r="H1338" s="7" t="n">
        <v>60</v>
      </c>
      <c r="I1338" s="7" t="n">
        <v>70</v>
      </c>
      <c r="J1338" s="7" t="n">
        <v>65</v>
      </c>
      <c r="K1338" s="7" t="n">
        <v>65</v>
      </c>
    </row>
    <row r="1339" customFormat="false" ht="36.5" hidden="false" customHeight="false" outlineLevel="0" collapsed="false">
      <c r="A1339" s="1" t="n">
        <v>71</v>
      </c>
      <c r="B1339" s="1" t="n">
        <v>2024</v>
      </c>
      <c r="C1339" s="3" t="n">
        <v>45562</v>
      </c>
      <c r="D1339" s="8" t="s">
        <v>38</v>
      </c>
      <c r="E1339" s="9" t="s">
        <v>52</v>
      </c>
      <c r="F1339" s="9" t="s">
        <v>43</v>
      </c>
      <c r="G1339" s="11" t="n">
        <v>60</v>
      </c>
      <c r="H1339" s="11" t="n">
        <v>35</v>
      </c>
      <c r="I1339" s="11" t="n">
        <v>60</v>
      </c>
      <c r="J1339" s="11" t="n">
        <v>50</v>
      </c>
      <c r="K1339" s="11" t="n">
        <v>55</v>
      </c>
    </row>
    <row r="1340" customFormat="false" ht="36.5" hidden="false" customHeight="false" outlineLevel="0" collapsed="false">
      <c r="A1340" s="1" t="n">
        <v>71</v>
      </c>
      <c r="B1340" s="1" t="n">
        <v>2024</v>
      </c>
      <c r="C1340" s="3" t="n">
        <v>45562</v>
      </c>
      <c r="D1340" s="4" t="s">
        <v>38</v>
      </c>
      <c r="E1340" s="5" t="s">
        <v>53</v>
      </c>
      <c r="F1340" s="5" t="s">
        <v>43</v>
      </c>
      <c r="G1340" s="7" t="n">
        <v>60</v>
      </c>
      <c r="H1340" s="7" t="n">
        <v>60</v>
      </c>
      <c r="I1340" s="7" t="n">
        <v>80</v>
      </c>
      <c r="J1340" s="7" t="n">
        <v>68</v>
      </c>
      <c r="K1340" s="7" t="n">
        <v>70</v>
      </c>
    </row>
    <row r="1341" customFormat="false" ht="36.5" hidden="false" customHeight="false" outlineLevel="0" collapsed="false">
      <c r="A1341" s="1" t="n">
        <v>71</v>
      </c>
      <c r="B1341" s="1" t="n">
        <v>2024</v>
      </c>
      <c r="C1341" s="3" t="n">
        <v>45562</v>
      </c>
      <c r="D1341" s="8" t="s">
        <v>38</v>
      </c>
      <c r="E1341" s="9" t="s">
        <v>54</v>
      </c>
      <c r="F1341" s="9" t="s">
        <v>40</v>
      </c>
      <c r="G1341" s="10"/>
      <c r="H1341" s="11" t="n">
        <v>90</v>
      </c>
      <c r="I1341" s="11" t="n">
        <v>120</v>
      </c>
      <c r="J1341" s="11" t="n">
        <v>105</v>
      </c>
      <c r="K1341" s="11" t="n">
        <v>105</v>
      </c>
    </row>
    <row r="1342" customFormat="false" ht="36.5" hidden="false" customHeight="false" outlineLevel="0" collapsed="false">
      <c r="A1342" s="1" t="n">
        <v>71</v>
      </c>
      <c r="B1342" s="1" t="n">
        <v>2024</v>
      </c>
      <c r="C1342" s="3" t="n">
        <v>45562</v>
      </c>
      <c r="D1342" s="4" t="s">
        <v>38</v>
      </c>
      <c r="E1342" s="5" t="s">
        <v>56</v>
      </c>
      <c r="F1342" s="5" t="s">
        <v>43</v>
      </c>
      <c r="G1342" s="6"/>
      <c r="H1342" s="7" t="n">
        <v>65</v>
      </c>
      <c r="I1342" s="7" t="n">
        <v>65</v>
      </c>
      <c r="J1342" s="7" t="n">
        <v>65</v>
      </c>
      <c r="K1342" s="7" t="n">
        <v>65</v>
      </c>
    </row>
    <row r="1343" customFormat="false" ht="36.5" hidden="false" customHeight="false" outlineLevel="0" collapsed="false">
      <c r="A1343" s="1" t="n">
        <v>71</v>
      </c>
      <c r="B1343" s="1" t="n">
        <v>2024</v>
      </c>
      <c r="C1343" s="3" t="n">
        <v>45562</v>
      </c>
      <c r="D1343" s="8" t="s">
        <v>38</v>
      </c>
      <c r="E1343" s="9" t="s">
        <v>57</v>
      </c>
      <c r="F1343" s="9" t="s">
        <v>40</v>
      </c>
      <c r="G1343" s="11" t="n">
        <v>100</v>
      </c>
      <c r="H1343" s="11" t="n">
        <v>80</v>
      </c>
      <c r="I1343" s="11" t="n">
        <v>100</v>
      </c>
      <c r="J1343" s="11" t="s">
        <v>196</v>
      </c>
      <c r="K1343" s="11" t="n">
        <v>100</v>
      </c>
    </row>
    <row r="1344" customFormat="false" ht="36.5" hidden="false" customHeight="false" outlineLevel="0" collapsed="false">
      <c r="A1344" s="1" t="n">
        <v>71</v>
      </c>
      <c r="B1344" s="1" t="n">
        <v>2024</v>
      </c>
      <c r="C1344" s="3" t="n">
        <v>45562</v>
      </c>
      <c r="D1344" s="4" t="s">
        <v>38</v>
      </c>
      <c r="E1344" s="5" t="s">
        <v>58</v>
      </c>
      <c r="F1344" s="5" t="s">
        <v>40</v>
      </c>
      <c r="G1344" s="6"/>
      <c r="H1344" s="7" t="n">
        <v>100</v>
      </c>
      <c r="I1344" s="7" t="n">
        <v>145</v>
      </c>
      <c r="J1344" s="7" t="s">
        <v>346</v>
      </c>
      <c r="K1344" s="7" t="n">
        <v>130</v>
      </c>
    </row>
    <row r="1345" customFormat="false" ht="36.5" hidden="false" customHeight="false" outlineLevel="0" collapsed="false">
      <c r="A1345" s="1" t="n">
        <v>71</v>
      </c>
      <c r="B1345" s="1" t="n">
        <v>2024</v>
      </c>
      <c r="C1345" s="3" t="n">
        <v>45562</v>
      </c>
      <c r="D1345" s="8" t="s">
        <v>38</v>
      </c>
      <c r="E1345" s="9" t="s">
        <v>59</v>
      </c>
      <c r="F1345" s="9" t="s">
        <v>45</v>
      </c>
      <c r="G1345" s="11" t="n">
        <v>55</v>
      </c>
      <c r="H1345" s="11" t="n">
        <v>40</v>
      </c>
      <c r="I1345" s="11" t="n">
        <v>55</v>
      </c>
      <c r="J1345" s="11" t="n">
        <v>49</v>
      </c>
      <c r="K1345" s="11" t="n">
        <v>50</v>
      </c>
    </row>
    <row r="1346" customFormat="false" ht="36.5" hidden="false" customHeight="false" outlineLevel="0" collapsed="false">
      <c r="A1346" s="1" t="n">
        <v>71</v>
      </c>
      <c r="B1346" s="1" t="n">
        <v>2024</v>
      </c>
      <c r="C1346" s="3" t="n">
        <v>45562</v>
      </c>
      <c r="D1346" s="4" t="s">
        <v>38</v>
      </c>
      <c r="E1346" s="5" t="s">
        <v>60</v>
      </c>
      <c r="F1346" s="5" t="s">
        <v>61</v>
      </c>
      <c r="G1346" s="7" t="n">
        <v>140</v>
      </c>
      <c r="H1346" s="7" t="n">
        <v>140</v>
      </c>
      <c r="I1346" s="7" t="n">
        <v>150</v>
      </c>
      <c r="J1346" s="7" t="n">
        <v>144</v>
      </c>
      <c r="K1346" s="7" t="n">
        <v>140</v>
      </c>
    </row>
    <row r="1347" customFormat="false" ht="36.5" hidden="false" customHeight="false" outlineLevel="0" collapsed="false">
      <c r="A1347" s="1" t="n">
        <v>71</v>
      </c>
      <c r="B1347" s="1" t="n">
        <v>2024</v>
      </c>
      <c r="C1347" s="3" t="n">
        <v>45562</v>
      </c>
      <c r="D1347" s="8" t="s">
        <v>38</v>
      </c>
      <c r="E1347" s="9" t="s">
        <v>63</v>
      </c>
      <c r="F1347" s="9" t="s">
        <v>40</v>
      </c>
      <c r="G1347" s="11" t="n">
        <v>60</v>
      </c>
      <c r="H1347" s="11" t="n">
        <v>50</v>
      </c>
      <c r="I1347" s="11" t="n">
        <v>90</v>
      </c>
      <c r="J1347" s="11" t="n">
        <v>66</v>
      </c>
      <c r="K1347" s="11" t="n">
        <v>60</v>
      </c>
    </row>
    <row r="1348" customFormat="false" ht="36.5" hidden="false" customHeight="false" outlineLevel="0" collapsed="false">
      <c r="A1348" s="1" t="n">
        <v>71</v>
      </c>
      <c r="B1348" s="1" t="n">
        <v>2024</v>
      </c>
      <c r="C1348" s="3" t="n">
        <v>45562</v>
      </c>
      <c r="D1348" s="4" t="s">
        <v>38</v>
      </c>
      <c r="E1348" s="5" t="s">
        <v>64</v>
      </c>
      <c r="F1348" s="5" t="s">
        <v>40</v>
      </c>
      <c r="G1348" s="6"/>
      <c r="H1348" s="7" t="n">
        <v>100</v>
      </c>
      <c r="I1348" s="7" t="n">
        <v>130</v>
      </c>
      <c r="J1348" s="7" t="s">
        <v>201</v>
      </c>
      <c r="K1348" s="7" t="n">
        <v>120</v>
      </c>
    </row>
    <row r="1349" customFormat="false" ht="14.25" hidden="false" customHeight="false" outlineLevel="0" collapsed="false">
      <c r="A1349" s="1" t="n">
        <v>71</v>
      </c>
      <c r="B1349" s="1" t="n">
        <v>2024</v>
      </c>
      <c r="C1349" s="3" t="n">
        <v>45562</v>
      </c>
      <c r="D1349" s="8" t="s">
        <v>65</v>
      </c>
      <c r="E1349" s="9" t="s">
        <v>66</v>
      </c>
      <c r="F1349" s="9" t="s">
        <v>45</v>
      </c>
      <c r="G1349" s="10"/>
      <c r="H1349" s="10"/>
      <c r="I1349" s="10"/>
      <c r="J1349" s="10"/>
      <c r="K1349" s="10"/>
    </row>
    <row r="1350" customFormat="false" ht="14.25" hidden="false" customHeight="false" outlineLevel="0" collapsed="false">
      <c r="A1350" s="1" t="n">
        <v>71</v>
      </c>
      <c r="B1350" s="1" t="n">
        <v>2024</v>
      </c>
      <c r="C1350" s="3" t="n">
        <v>45562</v>
      </c>
      <c r="D1350" s="4" t="s">
        <v>65</v>
      </c>
      <c r="E1350" s="5" t="s">
        <v>67</v>
      </c>
      <c r="F1350" s="5" t="s">
        <v>45</v>
      </c>
      <c r="G1350" s="6"/>
      <c r="H1350" s="6"/>
      <c r="I1350" s="6"/>
      <c r="J1350" s="6"/>
      <c r="K1350" s="6"/>
    </row>
    <row r="1351" customFormat="false" ht="14.25" hidden="false" customHeight="false" outlineLevel="0" collapsed="false">
      <c r="A1351" s="1" t="n">
        <v>71</v>
      </c>
      <c r="B1351" s="1" t="n">
        <v>2024</v>
      </c>
      <c r="C1351" s="3" t="n">
        <v>45562</v>
      </c>
      <c r="D1351" s="8" t="s">
        <v>65</v>
      </c>
      <c r="E1351" s="9" t="s">
        <v>68</v>
      </c>
      <c r="F1351" s="9" t="s">
        <v>45</v>
      </c>
      <c r="G1351" s="10"/>
      <c r="H1351" s="10"/>
      <c r="I1351" s="10"/>
      <c r="J1351" s="10"/>
      <c r="K1351" s="10"/>
    </row>
    <row r="1352" customFormat="false" ht="14.25" hidden="false" customHeight="false" outlineLevel="0" collapsed="false">
      <c r="A1352" s="1" t="n">
        <v>71</v>
      </c>
      <c r="B1352" s="1" t="n">
        <v>2024</v>
      </c>
      <c r="C1352" s="3" t="n">
        <v>45562</v>
      </c>
      <c r="D1352" s="4" t="s">
        <v>65</v>
      </c>
      <c r="E1352" s="5" t="s">
        <v>69</v>
      </c>
      <c r="F1352" s="5" t="s">
        <v>45</v>
      </c>
      <c r="G1352" s="6"/>
      <c r="H1352" s="7" t="n">
        <v>50</v>
      </c>
      <c r="I1352" s="7" t="n">
        <v>50</v>
      </c>
      <c r="J1352" s="7" t="n">
        <v>50</v>
      </c>
      <c r="K1352" s="7" t="n">
        <v>50</v>
      </c>
    </row>
    <row r="1353" customFormat="false" ht="14.25" hidden="false" customHeight="false" outlineLevel="0" collapsed="false">
      <c r="A1353" s="1" t="n">
        <v>71</v>
      </c>
      <c r="B1353" s="1" t="n">
        <v>2024</v>
      </c>
      <c r="C1353" s="3" t="n">
        <v>45562</v>
      </c>
      <c r="D1353" s="8" t="s">
        <v>65</v>
      </c>
      <c r="E1353" s="9" t="s">
        <v>70</v>
      </c>
      <c r="F1353" s="9" t="s">
        <v>71</v>
      </c>
      <c r="G1353" s="10"/>
      <c r="H1353" s="10"/>
      <c r="I1353" s="10"/>
      <c r="J1353" s="10"/>
      <c r="K1353" s="10"/>
    </row>
    <row r="1354" customFormat="false" ht="25" hidden="false" customHeight="false" outlineLevel="0" collapsed="false">
      <c r="A1354" s="1" t="n">
        <v>72</v>
      </c>
      <c r="B1354" s="1" t="n">
        <v>2024</v>
      </c>
      <c r="C1354" s="3" t="n">
        <v>45569</v>
      </c>
      <c r="D1354" s="4" t="s">
        <v>11</v>
      </c>
      <c r="E1354" s="5" t="s">
        <v>12</v>
      </c>
      <c r="F1354" s="5" t="s">
        <v>13</v>
      </c>
      <c r="G1354" s="7" t="n">
        <v>48</v>
      </c>
      <c r="H1354" s="7" t="n">
        <v>48</v>
      </c>
      <c r="I1354" s="7" t="n">
        <v>60</v>
      </c>
      <c r="J1354" s="7" t="n">
        <v>51</v>
      </c>
      <c r="K1354" s="7" t="n">
        <v>48</v>
      </c>
    </row>
    <row r="1355" customFormat="false" ht="25" hidden="false" customHeight="false" outlineLevel="0" collapsed="false">
      <c r="A1355" s="1" t="n">
        <v>72</v>
      </c>
      <c r="B1355" s="1" t="n">
        <v>2024</v>
      </c>
      <c r="C1355" s="3" t="n">
        <v>45569</v>
      </c>
      <c r="D1355" s="8" t="s">
        <v>11</v>
      </c>
      <c r="E1355" s="9" t="s">
        <v>14</v>
      </c>
      <c r="F1355" s="9" t="s">
        <v>13</v>
      </c>
      <c r="G1355" s="11" t="n">
        <v>72</v>
      </c>
      <c r="H1355" s="11" t="n">
        <v>72</v>
      </c>
      <c r="I1355" s="11" t="n">
        <v>84</v>
      </c>
      <c r="J1355" s="11" t="n">
        <v>76</v>
      </c>
      <c r="K1355" s="11" t="n">
        <v>72</v>
      </c>
    </row>
    <row r="1356" customFormat="false" ht="25" hidden="false" customHeight="false" outlineLevel="0" collapsed="false">
      <c r="A1356" s="1" t="n">
        <v>72</v>
      </c>
      <c r="B1356" s="1" t="n">
        <v>2024</v>
      </c>
      <c r="C1356" s="3" t="n">
        <v>45569</v>
      </c>
      <c r="D1356" s="4" t="s">
        <v>11</v>
      </c>
      <c r="E1356" s="5" t="s">
        <v>15</v>
      </c>
      <c r="F1356" s="5" t="s">
        <v>13</v>
      </c>
      <c r="G1356" s="7" t="n">
        <v>30</v>
      </c>
      <c r="H1356" s="7" t="n">
        <v>30</v>
      </c>
      <c r="I1356" s="7" t="n">
        <v>36</v>
      </c>
      <c r="J1356" s="7" t="n">
        <v>33</v>
      </c>
      <c r="K1356" s="7" t="n">
        <v>33</v>
      </c>
    </row>
    <row r="1357" customFormat="false" ht="25" hidden="false" customHeight="false" outlineLevel="0" collapsed="false">
      <c r="A1357" s="1" t="n">
        <v>72</v>
      </c>
      <c r="B1357" s="1" t="n">
        <v>2024</v>
      </c>
      <c r="C1357" s="3" t="n">
        <v>45569</v>
      </c>
      <c r="D1357" s="8" t="s">
        <v>11</v>
      </c>
      <c r="E1357" s="9" t="s">
        <v>16</v>
      </c>
      <c r="F1357" s="9" t="s">
        <v>13</v>
      </c>
      <c r="G1357" s="11" t="n">
        <v>24</v>
      </c>
      <c r="H1357" s="11" t="n">
        <v>18</v>
      </c>
      <c r="I1357" s="11" t="n">
        <v>24</v>
      </c>
      <c r="J1357" s="11" t="s">
        <v>72</v>
      </c>
      <c r="K1357" s="11" t="n">
        <v>22</v>
      </c>
    </row>
    <row r="1358" customFormat="false" ht="25" hidden="false" customHeight="false" outlineLevel="0" collapsed="false">
      <c r="A1358" s="1" t="n">
        <v>72</v>
      </c>
      <c r="B1358" s="1" t="n">
        <v>2024</v>
      </c>
      <c r="C1358" s="3" t="n">
        <v>45569</v>
      </c>
      <c r="D1358" s="4" t="s">
        <v>11</v>
      </c>
      <c r="E1358" s="5" t="s">
        <v>17</v>
      </c>
      <c r="F1358" s="5" t="s">
        <v>13</v>
      </c>
      <c r="G1358" s="7" t="n">
        <v>24</v>
      </c>
      <c r="H1358" s="7" t="n">
        <v>18</v>
      </c>
      <c r="I1358" s="7" t="n">
        <v>24</v>
      </c>
      <c r="J1358" s="7" t="s">
        <v>72</v>
      </c>
      <c r="K1358" s="7" t="n">
        <v>22</v>
      </c>
    </row>
    <row r="1359" customFormat="false" ht="25" hidden="false" customHeight="false" outlineLevel="0" collapsed="false">
      <c r="A1359" s="1" t="n">
        <v>72</v>
      </c>
      <c r="B1359" s="1" t="n">
        <v>2024</v>
      </c>
      <c r="C1359" s="3" t="n">
        <v>45569</v>
      </c>
      <c r="D1359" s="8" t="s">
        <v>11</v>
      </c>
      <c r="E1359" s="9" t="s">
        <v>18</v>
      </c>
      <c r="F1359" s="9" t="s">
        <v>13</v>
      </c>
      <c r="G1359" s="11" t="n">
        <v>48</v>
      </c>
      <c r="H1359" s="11" t="n">
        <v>48</v>
      </c>
      <c r="I1359" s="11" t="n">
        <v>60</v>
      </c>
      <c r="J1359" s="11" t="n">
        <v>52</v>
      </c>
      <c r="K1359" s="11" t="n">
        <v>48</v>
      </c>
    </row>
    <row r="1360" customFormat="false" ht="25" hidden="false" customHeight="false" outlineLevel="0" collapsed="false">
      <c r="A1360" s="1" t="n">
        <v>72</v>
      </c>
      <c r="B1360" s="1" t="n">
        <v>2024</v>
      </c>
      <c r="C1360" s="3" t="n">
        <v>45569</v>
      </c>
      <c r="D1360" s="4" t="s">
        <v>11</v>
      </c>
      <c r="E1360" s="5" t="s">
        <v>19</v>
      </c>
      <c r="F1360" s="5" t="s">
        <v>13</v>
      </c>
      <c r="G1360" s="6"/>
      <c r="H1360" s="7" t="n">
        <v>48</v>
      </c>
      <c r="I1360" s="7" t="n">
        <v>60</v>
      </c>
      <c r="J1360" s="7" t="n">
        <v>54</v>
      </c>
      <c r="K1360" s="7" t="n">
        <v>54</v>
      </c>
    </row>
    <row r="1361" customFormat="false" ht="25" hidden="false" customHeight="false" outlineLevel="0" collapsed="false">
      <c r="A1361" s="1" t="n">
        <v>72</v>
      </c>
      <c r="B1361" s="1" t="n">
        <v>2024</v>
      </c>
      <c r="C1361" s="3" t="n">
        <v>45569</v>
      </c>
      <c r="D1361" s="8" t="s">
        <v>11</v>
      </c>
      <c r="E1361" s="9" t="s">
        <v>20</v>
      </c>
      <c r="F1361" s="9" t="s">
        <v>13</v>
      </c>
      <c r="G1361" s="11" t="n">
        <v>72</v>
      </c>
      <c r="H1361" s="11" t="n">
        <v>72</v>
      </c>
      <c r="I1361" s="11" t="n">
        <v>72</v>
      </c>
      <c r="J1361" s="11" t="n">
        <v>72</v>
      </c>
      <c r="K1361" s="11" t="n">
        <v>72</v>
      </c>
    </row>
    <row r="1362" customFormat="false" ht="25" hidden="false" customHeight="false" outlineLevel="0" collapsed="false">
      <c r="A1362" s="1" t="n">
        <v>72</v>
      </c>
      <c r="B1362" s="1" t="n">
        <v>2024</v>
      </c>
      <c r="C1362" s="3" t="n">
        <v>45569</v>
      </c>
      <c r="D1362" s="4" t="s">
        <v>11</v>
      </c>
      <c r="E1362" s="5" t="s">
        <v>21</v>
      </c>
      <c r="F1362" s="5" t="s">
        <v>13</v>
      </c>
      <c r="G1362" s="7" t="n">
        <v>24</v>
      </c>
      <c r="H1362" s="7" t="n">
        <v>18</v>
      </c>
      <c r="I1362" s="7" t="n">
        <v>24</v>
      </c>
      <c r="J1362" s="7" t="s">
        <v>37</v>
      </c>
      <c r="K1362" s="7" t="n">
        <v>24</v>
      </c>
    </row>
    <row r="1363" customFormat="false" ht="25" hidden="false" customHeight="false" outlineLevel="0" collapsed="false">
      <c r="A1363" s="1" t="n">
        <v>72</v>
      </c>
      <c r="B1363" s="1" t="n">
        <v>2024</v>
      </c>
      <c r="C1363" s="3" t="n">
        <v>45569</v>
      </c>
      <c r="D1363" s="8" t="s">
        <v>11</v>
      </c>
      <c r="E1363" s="9" t="s">
        <v>73</v>
      </c>
      <c r="F1363" s="9" t="s">
        <v>13</v>
      </c>
      <c r="G1363" s="11" t="n">
        <v>60</v>
      </c>
      <c r="H1363" s="11" t="n">
        <v>50</v>
      </c>
      <c r="I1363" s="11" t="n">
        <v>60</v>
      </c>
      <c r="J1363" s="11" t="s">
        <v>55</v>
      </c>
      <c r="K1363" s="11" t="n">
        <v>60</v>
      </c>
    </row>
    <row r="1364" customFormat="false" ht="25" hidden="false" customHeight="false" outlineLevel="0" collapsed="false">
      <c r="A1364" s="1" t="n">
        <v>72</v>
      </c>
      <c r="B1364" s="1" t="n">
        <v>2024</v>
      </c>
      <c r="C1364" s="3" t="n">
        <v>45569</v>
      </c>
      <c r="D1364" s="4" t="s">
        <v>11</v>
      </c>
      <c r="E1364" s="5" t="s">
        <v>23</v>
      </c>
      <c r="F1364" s="5" t="s">
        <v>13</v>
      </c>
      <c r="G1364" s="7" t="n">
        <v>24</v>
      </c>
      <c r="H1364" s="7" t="n">
        <v>20</v>
      </c>
      <c r="I1364" s="7" t="n">
        <v>24</v>
      </c>
      <c r="J1364" s="7" t="n">
        <v>23</v>
      </c>
      <c r="K1364" s="7" t="n">
        <v>24</v>
      </c>
    </row>
    <row r="1365" customFormat="false" ht="25" hidden="false" customHeight="false" outlineLevel="0" collapsed="false">
      <c r="A1365" s="1" t="n">
        <v>72</v>
      </c>
      <c r="B1365" s="1" t="n">
        <v>2024</v>
      </c>
      <c r="C1365" s="3" t="n">
        <v>45569</v>
      </c>
      <c r="D1365" s="8" t="s">
        <v>11</v>
      </c>
      <c r="E1365" s="9" t="s">
        <v>24</v>
      </c>
      <c r="F1365" s="9" t="s">
        <v>13</v>
      </c>
      <c r="G1365" s="11" t="n">
        <v>48</v>
      </c>
      <c r="H1365" s="11" t="n">
        <v>48</v>
      </c>
      <c r="I1365" s="11" t="n">
        <v>72</v>
      </c>
      <c r="J1365" s="11" t="n">
        <v>56</v>
      </c>
      <c r="K1365" s="11" t="n">
        <v>48</v>
      </c>
    </row>
    <row r="1366" customFormat="false" ht="25" hidden="false" customHeight="false" outlineLevel="0" collapsed="false">
      <c r="A1366" s="1" t="n">
        <v>72</v>
      </c>
      <c r="B1366" s="1" t="n">
        <v>2024</v>
      </c>
      <c r="C1366" s="3" t="n">
        <v>45569</v>
      </c>
      <c r="D1366" s="4" t="s">
        <v>11</v>
      </c>
      <c r="E1366" s="5" t="s">
        <v>25</v>
      </c>
      <c r="F1366" s="5" t="s">
        <v>26</v>
      </c>
      <c r="G1366" s="7" t="n">
        <v>60</v>
      </c>
      <c r="H1366" s="7" t="n">
        <v>48</v>
      </c>
      <c r="I1366" s="7" t="n">
        <v>60</v>
      </c>
      <c r="J1366" s="7" t="n">
        <v>54</v>
      </c>
      <c r="K1366" s="7" t="n">
        <v>54</v>
      </c>
    </row>
    <row r="1367" customFormat="false" ht="25" hidden="false" customHeight="false" outlineLevel="0" collapsed="false">
      <c r="A1367" s="1" t="n">
        <v>72</v>
      </c>
      <c r="B1367" s="1" t="n">
        <v>2024</v>
      </c>
      <c r="C1367" s="3" t="n">
        <v>45569</v>
      </c>
      <c r="D1367" s="8" t="s">
        <v>11</v>
      </c>
      <c r="E1367" s="9" t="s">
        <v>27</v>
      </c>
      <c r="F1367" s="9" t="s">
        <v>13</v>
      </c>
      <c r="G1367" s="11" t="n">
        <v>48</v>
      </c>
      <c r="H1367" s="11" t="n">
        <v>35</v>
      </c>
      <c r="I1367" s="11" t="n">
        <v>48</v>
      </c>
      <c r="J1367" s="11" t="s">
        <v>347</v>
      </c>
      <c r="K1367" s="11" t="n">
        <v>48</v>
      </c>
    </row>
    <row r="1368" customFormat="false" ht="25" hidden="false" customHeight="false" outlineLevel="0" collapsed="false">
      <c r="A1368" s="1" t="n">
        <v>72</v>
      </c>
      <c r="B1368" s="1" t="n">
        <v>2024</v>
      </c>
      <c r="C1368" s="3" t="n">
        <v>45569</v>
      </c>
      <c r="D1368" s="4" t="s">
        <v>11</v>
      </c>
      <c r="E1368" s="5" t="s">
        <v>28</v>
      </c>
      <c r="F1368" s="5" t="s">
        <v>13</v>
      </c>
      <c r="G1368" s="7" t="n">
        <v>30</v>
      </c>
      <c r="H1368" s="7" t="n">
        <v>24</v>
      </c>
      <c r="I1368" s="7" t="n">
        <v>36</v>
      </c>
      <c r="J1368" s="7" t="n">
        <v>30</v>
      </c>
      <c r="K1368" s="7" t="n">
        <v>30</v>
      </c>
    </row>
    <row r="1369" customFormat="false" ht="25" hidden="false" customHeight="false" outlineLevel="0" collapsed="false">
      <c r="A1369" s="1" t="n">
        <v>72</v>
      </c>
      <c r="B1369" s="1" t="n">
        <v>2024</v>
      </c>
      <c r="C1369" s="3" t="n">
        <v>45569</v>
      </c>
      <c r="D1369" s="8" t="s">
        <v>11</v>
      </c>
      <c r="E1369" s="9" t="s">
        <v>29</v>
      </c>
      <c r="F1369" s="9" t="s">
        <v>13</v>
      </c>
      <c r="G1369" s="11" t="n">
        <v>48</v>
      </c>
      <c r="H1369" s="11" t="n">
        <v>48</v>
      </c>
      <c r="I1369" s="11" t="n">
        <v>54</v>
      </c>
      <c r="J1369" s="11" t="s">
        <v>173</v>
      </c>
      <c r="K1369" s="11" t="n">
        <v>48</v>
      </c>
    </row>
    <row r="1370" customFormat="false" ht="25" hidden="false" customHeight="false" outlineLevel="0" collapsed="false">
      <c r="A1370" s="1" t="n">
        <v>72</v>
      </c>
      <c r="B1370" s="1" t="n">
        <v>2024</v>
      </c>
      <c r="C1370" s="3" t="n">
        <v>45569</v>
      </c>
      <c r="D1370" s="4" t="s">
        <v>11</v>
      </c>
      <c r="E1370" s="5" t="s">
        <v>31</v>
      </c>
      <c r="F1370" s="5" t="s">
        <v>32</v>
      </c>
      <c r="G1370" s="7" t="n">
        <v>5</v>
      </c>
      <c r="H1370" s="7" t="n">
        <v>4</v>
      </c>
      <c r="I1370" s="7" t="n">
        <v>5</v>
      </c>
      <c r="J1370" s="7" t="s">
        <v>150</v>
      </c>
      <c r="K1370" s="7" t="n">
        <v>5</v>
      </c>
    </row>
    <row r="1371" customFormat="false" ht="25" hidden="false" customHeight="false" outlineLevel="0" collapsed="false">
      <c r="A1371" s="1" t="n">
        <v>72</v>
      </c>
      <c r="B1371" s="1" t="n">
        <v>2024</v>
      </c>
      <c r="C1371" s="3" t="n">
        <v>45569</v>
      </c>
      <c r="D1371" s="8" t="s">
        <v>11</v>
      </c>
      <c r="E1371" s="9" t="s">
        <v>34</v>
      </c>
      <c r="F1371" s="9" t="s">
        <v>35</v>
      </c>
      <c r="G1371" s="11" t="n">
        <v>12</v>
      </c>
      <c r="H1371" s="11" t="n">
        <v>12</v>
      </c>
      <c r="I1371" s="11" t="n">
        <v>15</v>
      </c>
      <c r="J1371" s="11" t="s">
        <v>348</v>
      </c>
      <c r="K1371" s="11" t="n">
        <v>12</v>
      </c>
    </row>
    <row r="1372" customFormat="false" ht="25" hidden="false" customHeight="false" outlineLevel="0" collapsed="false">
      <c r="A1372" s="1" t="n">
        <v>72</v>
      </c>
      <c r="B1372" s="1" t="n">
        <v>2024</v>
      </c>
      <c r="C1372" s="3" t="n">
        <v>45569</v>
      </c>
      <c r="D1372" s="4" t="s">
        <v>11</v>
      </c>
      <c r="E1372" s="5" t="s">
        <v>36</v>
      </c>
      <c r="F1372" s="5" t="s">
        <v>35</v>
      </c>
      <c r="G1372" s="7" t="n">
        <v>20</v>
      </c>
      <c r="H1372" s="7" t="n">
        <v>20</v>
      </c>
      <c r="I1372" s="7" t="n">
        <v>30</v>
      </c>
      <c r="J1372" s="7" t="s">
        <v>315</v>
      </c>
      <c r="K1372" s="7" t="s">
        <v>37</v>
      </c>
    </row>
    <row r="1373" customFormat="false" ht="36.5" hidden="false" customHeight="false" outlineLevel="0" collapsed="false">
      <c r="A1373" s="1" t="n">
        <v>72</v>
      </c>
      <c r="B1373" s="1" t="n">
        <v>2024</v>
      </c>
      <c r="C1373" s="3" t="n">
        <v>45569</v>
      </c>
      <c r="D1373" s="8" t="s">
        <v>38</v>
      </c>
      <c r="E1373" s="9" t="s">
        <v>153</v>
      </c>
      <c r="F1373" s="9" t="s">
        <v>154</v>
      </c>
      <c r="G1373" s="11" t="n">
        <v>80</v>
      </c>
      <c r="H1373" s="11" t="n">
        <v>75</v>
      </c>
      <c r="I1373" s="11" t="n">
        <v>80</v>
      </c>
      <c r="J1373" s="11" t="s">
        <v>262</v>
      </c>
      <c r="K1373" s="11" t="n">
        <v>80</v>
      </c>
    </row>
    <row r="1374" customFormat="false" ht="36.5" hidden="false" customHeight="false" outlineLevel="0" collapsed="false">
      <c r="A1374" s="1" t="n">
        <v>72</v>
      </c>
      <c r="B1374" s="1" t="n">
        <v>2024</v>
      </c>
      <c r="C1374" s="3" t="n">
        <v>45569</v>
      </c>
      <c r="D1374" s="4" t="s">
        <v>38</v>
      </c>
      <c r="E1374" s="5" t="s">
        <v>39</v>
      </c>
      <c r="F1374" s="5" t="s">
        <v>40</v>
      </c>
      <c r="G1374" s="7" t="n">
        <v>35</v>
      </c>
      <c r="H1374" s="7" t="n">
        <v>35</v>
      </c>
      <c r="I1374" s="7" t="n">
        <v>50</v>
      </c>
      <c r="J1374" s="7" t="s">
        <v>349</v>
      </c>
      <c r="K1374" s="7" t="n">
        <v>40</v>
      </c>
    </row>
    <row r="1375" customFormat="false" ht="36.5" hidden="false" customHeight="false" outlineLevel="0" collapsed="false">
      <c r="A1375" s="1" t="n">
        <v>72</v>
      </c>
      <c r="B1375" s="1" t="n">
        <v>2024</v>
      </c>
      <c r="C1375" s="3" t="n">
        <v>45569</v>
      </c>
      <c r="D1375" s="8" t="s">
        <v>38</v>
      </c>
      <c r="E1375" s="9" t="s">
        <v>42</v>
      </c>
      <c r="F1375" s="9" t="s">
        <v>43</v>
      </c>
      <c r="G1375" s="11" t="n">
        <v>70</v>
      </c>
      <c r="H1375" s="11" t="n">
        <v>45</v>
      </c>
      <c r="I1375" s="11" t="n">
        <v>70</v>
      </c>
      <c r="J1375" s="11" t="s">
        <v>80</v>
      </c>
      <c r="K1375" s="11" t="s">
        <v>84</v>
      </c>
    </row>
    <row r="1376" customFormat="false" ht="36.5" hidden="false" customHeight="false" outlineLevel="0" collapsed="false">
      <c r="A1376" s="1" t="n">
        <v>72</v>
      </c>
      <c r="B1376" s="1" t="n">
        <v>2024</v>
      </c>
      <c r="C1376" s="3" t="n">
        <v>45569</v>
      </c>
      <c r="D1376" s="4" t="s">
        <v>38</v>
      </c>
      <c r="E1376" s="5" t="s">
        <v>44</v>
      </c>
      <c r="F1376" s="5" t="s">
        <v>45</v>
      </c>
      <c r="G1376" s="7" t="n">
        <v>60</v>
      </c>
      <c r="H1376" s="7" t="n">
        <v>50</v>
      </c>
      <c r="I1376" s="7" t="n">
        <v>60</v>
      </c>
      <c r="J1376" s="7" t="s">
        <v>41</v>
      </c>
      <c r="K1376" s="7" t="n">
        <v>60</v>
      </c>
    </row>
    <row r="1377" customFormat="false" ht="36.5" hidden="false" customHeight="false" outlineLevel="0" collapsed="false">
      <c r="A1377" s="1" t="n">
        <v>72</v>
      </c>
      <c r="B1377" s="1" t="n">
        <v>2024</v>
      </c>
      <c r="C1377" s="3" t="n">
        <v>45569</v>
      </c>
      <c r="D1377" s="8" t="s">
        <v>38</v>
      </c>
      <c r="E1377" s="9" t="s">
        <v>48</v>
      </c>
      <c r="F1377" s="9" t="s">
        <v>45</v>
      </c>
      <c r="G1377" s="10"/>
      <c r="H1377" s="11" t="n">
        <v>75</v>
      </c>
      <c r="I1377" s="11" t="n">
        <v>120</v>
      </c>
      <c r="J1377" s="11" t="s">
        <v>156</v>
      </c>
      <c r="K1377" s="11" t="s">
        <v>156</v>
      </c>
    </row>
    <row r="1378" customFormat="false" ht="36.5" hidden="false" customHeight="false" outlineLevel="0" collapsed="false">
      <c r="A1378" s="1" t="n">
        <v>72</v>
      </c>
      <c r="B1378" s="1" t="n">
        <v>2024</v>
      </c>
      <c r="C1378" s="3" t="n">
        <v>45569</v>
      </c>
      <c r="D1378" s="4" t="s">
        <v>38</v>
      </c>
      <c r="E1378" s="5" t="s">
        <v>49</v>
      </c>
      <c r="F1378" s="5" t="s">
        <v>50</v>
      </c>
      <c r="G1378" s="6"/>
      <c r="H1378" s="7" t="n">
        <v>60</v>
      </c>
      <c r="I1378" s="7" t="n">
        <v>80</v>
      </c>
      <c r="J1378" s="7" t="s">
        <v>94</v>
      </c>
      <c r="K1378" s="7" t="s">
        <v>84</v>
      </c>
    </row>
    <row r="1379" customFormat="false" ht="36.5" hidden="false" customHeight="false" outlineLevel="0" collapsed="false">
      <c r="A1379" s="1" t="n">
        <v>72</v>
      </c>
      <c r="B1379" s="1" t="n">
        <v>2024</v>
      </c>
      <c r="C1379" s="3" t="n">
        <v>45569</v>
      </c>
      <c r="D1379" s="8" t="s">
        <v>38</v>
      </c>
      <c r="E1379" s="9" t="s">
        <v>52</v>
      </c>
      <c r="F1379" s="9" t="s">
        <v>43</v>
      </c>
      <c r="G1379" s="11" t="n">
        <v>55</v>
      </c>
      <c r="H1379" s="11" t="n">
        <v>30</v>
      </c>
      <c r="I1379" s="11" t="n">
        <v>60</v>
      </c>
      <c r="J1379" s="11" t="n">
        <v>50</v>
      </c>
      <c r="K1379" s="11" t="n">
        <v>55</v>
      </c>
    </row>
    <row r="1380" customFormat="false" ht="36.5" hidden="false" customHeight="false" outlineLevel="0" collapsed="false">
      <c r="A1380" s="1" t="n">
        <v>72</v>
      </c>
      <c r="B1380" s="1" t="n">
        <v>2024</v>
      </c>
      <c r="C1380" s="3" t="n">
        <v>45569</v>
      </c>
      <c r="D1380" s="4" t="s">
        <v>38</v>
      </c>
      <c r="E1380" s="5" t="s">
        <v>53</v>
      </c>
      <c r="F1380" s="5" t="s">
        <v>43</v>
      </c>
      <c r="G1380" s="7" t="n">
        <v>60</v>
      </c>
      <c r="H1380" s="7" t="n">
        <v>60</v>
      </c>
      <c r="I1380" s="7" t="n">
        <v>85</v>
      </c>
      <c r="J1380" s="7" t="s">
        <v>84</v>
      </c>
      <c r="K1380" s="7" t="s">
        <v>80</v>
      </c>
    </row>
    <row r="1381" customFormat="false" ht="36.5" hidden="false" customHeight="false" outlineLevel="0" collapsed="false">
      <c r="A1381" s="1" t="n">
        <v>72</v>
      </c>
      <c r="B1381" s="1" t="n">
        <v>2024</v>
      </c>
      <c r="C1381" s="3" t="n">
        <v>45569</v>
      </c>
      <c r="D1381" s="8" t="s">
        <v>38</v>
      </c>
      <c r="E1381" s="9" t="s">
        <v>54</v>
      </c>
      <c r="F1381" s="9" t="s">
        <v>40</v>
      </c>
      <c r="G1381" s="11" t="n">
        <v>120</v>
      </c>
      <c r="H1381" s="11" t="n">
        <v>120</v>
      </c>
      <c r="I1381" s="11" t="n">
        <v>120</v>
      </c>
      <c r="J1381" s="11" t="n">
        <v>120</v>
      </c>
      <c r="K1381" s="11" t="n">
        <v>120</v>
      </c>
    </row>
    <row r="1382" customFormat="false" ht="36.5" hidden="false" customHeight="false" outlineLevel="0" collapsed="false">
      <c r="A1382" s="1" t="n">
        <v>72</v>
      </c>
      <c r="B1382" s="1" t="n">
        <v>2024</v>
      </c>
      <c r="C1382" s="3" t="n">
        <v>45569</v>
      </c>
      <c r="D1382" s="4" t="s">
        <v>38</v>
      </c>
      <c r="E1382" s="5" t="s">
        <v>56</v>
      </c>
      <c r="F1382" s="5" t="s">
        <v>43</v>
      </c>
      <c r="G1382" s="6"/>
      <c r="H1382" s="7" t="n">
        <v>50</v>
      </c>
      <c r="I1382" s="7" t="n">
        <v>50</v>
      </c>
      <c r="J1382" s="7" t="n">
        <v>50</v>
      </c>
      <c r="K1382" s="7" t="n">
        <v>50</v>
      </c>
    </row>
    <row r="1383" customFormat="false" ht="36.5" hidden="false" customHeight="false" outlineLevel="0" collapsed="false">
      <c r="A1383" s="1" t="n">
        <v>72</v>
      </c>
      <c r="B1383" s="1" t="n">
        <v>2024</v>
      </c>
      <c r="C1383" s="3" t="n">
        <v>45569</v>
      </c>
      <c r="D1383" s="8" t="s">
        <v>38</v>
      </c>
      <c r="E1383" s="9" t="s">
        <v>57</v>
      </c>
      <c r="F1383" s="9" t="s">
        <v>40</v>
      </c>
      <c r="G1383" s="11" t="n">
        <v>100</v>
      </c>
      <c r="H1383" s="11" t="n">
        <v>100</v>
      </c>
      <c r="I1383" s="11" t="n">
        <v>100</v>
      </c>
      <c r="J1383" s="11" t="n">
        <v>100</v>
      </c>
      <c r="K1383" s="11" t="n">
        <v>100</v>
      </c>
    </row>
    <row r="1384" customFormat="false" ht="36.5" hidden="false" customHeight="false" outlineLevel="0" collapsed="false">
      <c r="A1384" s="1" t="n">
        <v>72</v>
      </c>
      <c r="B1384" s="1" t="n">
        <v>2024</v>
      </c>
      <c r="C1384" s="3" t="n">
        <v>45569</v>
      </c>
      <c r="D1384" s="4" t="s">
        <v>38</v>
      </c>
      <c r="E1384" s="5" t="s">
        <v>58</v>
      </c>
      <c r="F1384" s="5" t="s">
        <v>40</v>
      </c>
      <c r="G1384" s="7" t="n">
        <v>120</v>
      </c>
      <c r="H1384" s="7" t="n">
        <v>120</v>
      </c>
      <c r="I1384" s="7" t="n">
        <v>140</v>
      </c>
      <c r="J1384" s="7" t="s">
        <v>240</v>
      </c>
      <c r="K1384" s="7" t="n">
        <v>125</v>
      </c>
    </row>
    <row r="1385" customFormat="false" ht="36.5" hidden="false" customHeight="false" outlineLevel="0" collapsed="false">
      <c r="A1385" s="1" t="n">
        <v>72</v>
      </c>
      <c r="B1385" s="1" t="n">
        <v>2024</v>
      </c>
      <c r="C1385" s="3" t="n">
        <v>45569</v>
      </c>
      <c r="D1385" s="8" t="s">
        <v>38</v>
      </c>
      <c r="E1385" s="9" t="s">
        <v>59</v>
      </c>
      <c r="F1385" s="9" t="s">
        <v>45</v>
      </c>
      <c r="G1385" s="10"/>
      <c r="H1385" s="11" t="n">
        <v>45</v>
      </c>
      <c r="I1385" s="11" t="n">
        <v>80</v>
      </c>
      <c r="J1385" s="11" t="n">
        <v>60</v>
      </c>
      <c r="K1385" s="11" t="s">
        <v>41</v>
      </c>
    </row>
    <row r="1386" customFormat="false" ht="36.5" hidden="false" customHeight="false" outlineLevel="0" collapsed="false">
      <c r="A1386" s="1" t="n">
        <v>72</v>
      </c>
      <c r="B1386" s="1" t="n">
        <v>2024</v>
      </c>
      <c r="C1386" s="3" t="n">
        <v>45569</v>
      </c>
      <c r="D1386" s="4" t="s">
        <v>38</v>
      </c>
      <c r="E1386" s="5" t="s">
        <v>60</v>
      </c>
      <c r="F1386" s="5" t="s">
        <v>61</v>
      </c>
      <c r="G1386" s="7" t="n">
        <v>140</v>
      </c>
      <c r="H1386" s="7" t="n">
        <v>140</v>
      </c>
      <c r="I1386" s="7" t="n">
        <v>175</v>
      </c>
      <c r="J1386" s="7" t="s">
        <v>350</v>
      </c>
      <c r="K1386" s="7" t="n">
        <v>145</v>
      </c>
    </row>
    <row r="1387" customFormat="false" ht="36.5" hidden="false" customHeight="false" outlineLevel="0" collapsed="false">
      <c r="A1387" s="1" t="n">
        <v>72</v>
      </c>
      <c r="B1387" s="1" t="n">
        <v>2024</v>
      </c>
      <c r="C1387" s="3" t="n">
        <v>45569</v>
      </c>
      <c r="D1387" s="8" t="s">
        <v>38</v>
      </c>
      <c r="E1387" s="9" t="s">
        <v>63</v>
      </c>
      <c r="F1387" s="9" t="s">
        <v>40</v>
      </c>
      <c r="G1387" s="11" t="n">
        <v>80</v>
      </c>
      <c r="H1387" s="11" t="n">
        <v>45</v>
      </c>
      <c r="I1387" s="11" t="n">
        <v>90</v>
      </c>
      <c r="J1387" s="11" t="s">
        <v>351</v>
      </c>
      <c r="K1387" s="11" t="n">
        <v>80</v>
      </c>
    </row>
    <row r="1388" customFormat="false" ht="36.5" hidden="false" customHeight="false" outlineLevel="0" collapsed="false">
      <c r="A1388" s="1" t="n">
        <v>72</v>
      </c>
      <c r="B1388" s="1" t="n">
        <v>2024</v>
      </c>
      <c r="C1388" s="3" t="n">
        <v>45569</v>
      </c>
      <c r="D1388" s="4" t="s">
        <v>38</v>
      </c>
      <c r="E1388" s="5" t="s">
        <v>64</v>
      </c>
      <c r="F1388" s="5" t="s">
        <v>40</v>
      </c>
      <c r="G1388" s="7" t="n">
        <v>110</v>
      </c>
      <c r="H1388" s="7" t="n">
        <v>110</v>
      </c>
      <c r="I1388" s="7" t="n">
        <v>120</v>
      </c>
      <c r="J1388" s="7" t="s">
        <v>214</v>
      </c>
      <c r="K1388" s="7" t="n">
        <v>110</v>
      </c>
    </row>
    <row r="1389" customFormat="false" ht="14.25" hidden="false" customHeight="false" outlineLevel="0" collapsed="false">
      <c r="A1389" s="1" t="n">
        <v>72</v>
      </c>
      <c r="B1389" s="1" t="n">
        <v>2024</v>
      </c>
      <c r="C1389" s="3" t="n">
        <v>45569</v>
      </c>
      <c r="D1389" s="8" t="s">
        <v>65</v>
      </c>
      <c r="E1389" s="9" t="s">
        <v>66</v>
      </c>
      <c r="F1389" s="9" t="s">
        <v>45</v>
      </c>
      <c r="G1389" s="10"/>
      <c r="H1389" s="10"/>
      <c r="I1389" s="10"/>
      <c r="J1389" s="10"/>
      <c r="K1389" s="10"/>
    </row>
    <row r="1390" customFormat="false" ht="14.25" hidden="false" customHeight="false" outlineLevel="0" collapsed="false">
      <c r="A1390" s="1" t="n">
        <v>72</v>
      </c>
      <c r="B1390" s="1" t="n">
        <v>2024</v>
      </c>
      <c r="C1390" s="3" t="n">
        <v>45569</v>
      </c>
      <c r="D1390" s="4" t="s">
        <v>65</v>
      </c>
      <c r="E1390" s="5" t="s">
        <v>67</v>
      </c>
      <c r="F1390" s="5" t="s">
        <v>45</v>
      </c>
      <c r="G1390" s="6"/>
      <c r="H1390" s="6"/>
      <c r="I1390" s="6"/>
      <c r="J1390" s="6"/>
      <c r="K1390" s="6"/>
    </row>
    <row r="1391" customFormat="false" ht="14.25" hidden="false" customHeight="false" outlineLevel="0" collapsed="false">
      <c r="A1391" s="1" t="n">
        <v>72</v>
      </c>
      <c r="B1391" s="1" t="n">
        <v>2024</v>
      </c>
      <c r="C1391" s="3" t="n">
        <v>45569</v>
      </c>
      <c r="D1391" s="8" t="s">
        <v>65</v>
      </c>
      <c r="E1391" s="9" t="s">
        <v>68</v>
      </c>
      <c r="F1391" s="9" t="s">
        <v>45</v>
      </c>
      <c r="G1391" s="10"/>
      <c r="H1391" s="10"/>
      <c r="I1391" s="10"/>
      <c r="J1391" s="10"/>
      <c r="K1391" s="10"/>
    </row>
    <row r="1392" customFormat="false" ht="14.25" hidden="false" customHeight="false" outlineLevel="0" collapsed="false">
      <c r="A1392" s="1" t="n">
        <v>72</v>
      </c>
      <c r="B1392" s="1" t="n">
        <v>2024</v>
      </c>
      <c r="C1392" s="3" t="n">
        <v>45569</v>
      </c>
      <c r="D1392" s="4" t="s">
        <v>65</v>
      </c>
      <c r="E1392" s="5" t="s">
        <v>69</v>
      </c>
      <c r="F1392" s="5" t="s">
        <v>45</v>
      </c>
      <c r="G1392" s="6"/>
      <c r="H1392" s="7" t="n">
        <v>60</v>
      </c>
      <c r="I1392" s="7" t="n">
        <v>60</v>
      </c>
      <c r="J1392" s="7" t="n">
        <v>60</v>
      </c>
      <c r="K1392" s="7" t="n">
        <v>60</v>
      </c>
    </row>
    <row r="1393" customFormat="false" ht="14.25" hidden="false" customHeight="false" outlineLevel="0" collapsed="false">
      <c r="A1393" s="1" t="n">
        <v>72</v>
      </c>
      <c r="B1393" s="1" t="n">
        <v>2024</v>
      </c>
      <c r="C1393" s="3" t="n">
        <v>45569</v>
      </c>
      <c r="D1393" s="8" t="s">
        <v>65</v>
      </c>
      <c r="E1393" s="9" t="s">
        <v>70</v>
      </c>
      <c r="F1393" s="9" t="s">
        <v>71</v>
      </c>
      <c r="G1393" s="10"/>
      <c r="H1393" s="10"/>
      <c r="I1393" s="10"/>
      <c r="J1393" s="10"/>
      <c r="K1393" s="10"/>
    </row>
    <row r="1394" customFormat="false" ht="25" hidden="false" customHeight="false" outlineLevel="0" collapsed="false">
      <c r="A1394" s="1" t="n">
        <v>73</v>
      </c>
      <c r="B1394" s="1" t="n">
        <v>2024</v>
      </c>
      <c r="C1394" s="3" t="n">
        <v>45576</v>
      </c>
      <c r="D1394" s="4" t="s">
        <v>11</v>
      </c>
      <c r="E1394" s="5" t="s">
        <v>12</v>
      </c>
      <c r="F1394" s="5" t="s">
        <v>13</v>
      </c>
      <c r="G1394" s="7" t="n">
        <v>48</v>
      </c>
      <c r="H1394" s="7" t="n">
        <v>36</v>
      </c>
      <c r="I1394" s="7" t="n">
        <v>60</v>
      </c>
      <c r="J1394" s="7" t="n">
        <v>48</v>
      </c>
      <c r="K1394" s="7" t="n">
        <v>48</v>
      </c>
    </row>
    <row r="1395" customFormat="false" ht="25" hidden="false" customHeight="false" outlineLevel="0" collapsed="false">
      <c r="A1395" s="1" t="n">
        <v>73</v>
      </c>
      <c r="B1395" s="1" t="n">
        <v>2024</v>
      </c>
      <c r="C1395" s="3" t="n">
        <v>45576</v>
      </c>
      <c r="D1395" s="8" t="s">
        <v>11</v>
      </c>
      <c r="E1395" s="9" t="s">
        <v>14</v>
      </c>
      <c r="F1395" s="9" t="s">
        <v>13</v>
      </c>
      <c r="G1395" s="11" t="n">
        <v>84</v>
      </c>
      <c r="H1395" s="11" t="n">
        <v>72</v>
      </c>
      <c r="I1395" s="11" t="n">
        <v>84</v>
      </c>
      <c r="J1395" s="11" t="n">
        <v>80</v>
      </c>
      <c r="K1395" s="11" t="n">
        <v>84</v>
      </c>
    </row>
    <row r="1396" customFormat="false" ht="25" hidden="false" customHeight="false" outlineLevel="0" collapsed="false">
      <c r="A1396" s="1" t="n">
        <v>73</v>
      </c>
      <c r="B1396" s="1" t="n">
        <v>2024</v>
      </c>
      <c r="C1396" s="3" t="n">
        <v>45576</v>
      </c>
      <c r="D1396" s="4" t="s">
        <v>11</v>
      </c>
      <c r="E1396" s="5" t="s">
        <v>15</v>
      </c>
      <c r="F1396" s="5" t="s">
        <v>13</v>
      </c>
      <c r="G1396" s="7" t="n">
        <v>36</v>
      </c>
      <c r="H1396" s="7" t="n">
        <v>25</v>
      </c>
      <c r="I1396" s="7" t="n">
        <v>42</v>
      </c>
      <c r="J1396" s="7" t="s">
        <v>352</v>
      </c>
      <c r="K1396" s="7" t="n">
        <v>36</v>
      </c>
    </row>
    <row r="1397" customFormat="false" ht="25" hidden="false" customHeight="false" outlineLevel="0" collapsed="false">
      <c r="A1397" s="1" t="n">
        <v>73</v>
      </c>
      <c r="B1397" s="1" t="n">
        <v>2024</v>
      </c>
      <c r="C1397" s="3" t="n">
        <v>45576</v>
      </c>
      <c r="D1397" s="8" t="s">
        <v>11</v>
      </c>
      <c r="E1397" s="9" t="s">
        <v>16</v>
      </c>
      <c r="F1397" s="9" t="s">
        <v>13</v>
      </c>
      <c r="G1397" s="11" t="n">
        <v>18</v>
      </c>
      <c r="H1397" s="11" t="n">
        <v>18</v>
      </c>
      <c r="I1397" s="11" t="n">
        <v>24</v>
      </c>
      <c r="J1397" s="11" t="n">
        <v>21</v>
      </c>
      <c r="K1397" s="11" t="n">
        <v>21</v>
      </c>
    </row>
    <row r="1398" customFormat="false" ht="25" hidden="false" customHeight="false" outlineLevel="0" collapsed="false">
      <c r="A1398" s="1" t="n">
        <v>73</v>
      </c>
      <c r="B1398" s="1" t="n">
        <v>2024</v>
      </c>
      <c r="C1398" s="3" t="n">
        <v>45576</v>
      </c>
      <c r="D1398" s="4" t="s">
        <v>11</v>
      </c>
      <c r="E1398" s="5" t="s">
        <v>17</v>
      </c>
      <c r="F1398" s="5" t="s">
        <v>13</v>
      </c>
      <c r="G1398" s="7" t="n">
        <v>18</v>
      </c>
      <c r="H1398" s="7" t="n">
        <v>18</v>
      </c>
      <c r="I1398" s="7" t="n">
        <v>24</v>
      </c>
      <c r="J1398" s="7" t="n">
        <v>21</v>
      </c>
      <c r="K1398" s="7" t="n">
        <v>21</v>
      </c>
    </row>
    <row r="1399" customFormat="false" ht="25" hidden="false" customHeight="false" outlineLevel="0" collapsed="false">
      <c r="A1399" s="1" t="n">
        <v>73</v>
      </c>
      <c r="B1399" s="1" t="n">
        <v>2024</v>
      </c>
      <c r="C1399" s="3" t="n">
        <v>45576</v>
      </c>
      <c r="D1399" s="8" t="s">
        <v>11</v>
      </c>
      <c r="E1399" s="9" t="s">
        <v>18</v>
      </c>
      <c r="F1399" s="9" t="s">
        <v>13</v>
      </c>
      <c r="G1399" s="11" t="n">
        <v>60</v>
      </c>
      <c r="H1399" s="11" t="n">
        <v>60</v>
      </c>
      <c r="I1399" s="11" t="n">
        <v>60</v>
      </c>
      <c r="J1399" s="11" t="n">
        <v>60</v>
      </c>
      <c r="K1399" s="11" t="n">
        <v>60</v>
      </c>
    </row>
    <row r="1400" customFormat="false" ht="25" hidden="false" customHeight="false" outlineLevel="0" collapsed="false">
      <c r="A1400" s="1" t="n">
        <v>73</v>
      </c>
      <c r="B1400" s="1" t="n">
        <v>2024</v>
      </c>
      <c r="C1400" s="3" t="n">
        <v>45576</v>
      </c>
      <c r="D1400" s="4" t="s">
        <v>11</v>
      </c>
      <c r="E1400" s="5" t="s">
        <v>19</v>
      </c>
      <c r="F1400" s="5" t="s">
        <v>13</v>
      </c>
      <c r="G1400" s="6"/>
      <c r="H1400" s="7" t="n">
        <v>42</v>
      </c>
      <c r="I1400" s="7" t="n">
        <v>72</v>
      </c>
      <c r="J1400" s="7" t="n">
        <v>58</v>
      </c>
      <c r="K1400" s="7" t="n">
        <v>60</v>
      </c>
    </row>
    <row r="1401" customFormat="false" ht="25" hidden="false" customHeight="false" outlineLevel="0" collapsed="false">
      <c r="A1401" s="1" t="n">
        <v>73</v>
      </c>
      <c r="B1401" s="1" t="n">
        <v>2024</v>
      </c>
      <c r="C1401" s="3" t="n">
        <v>45576</v>
      </c>
      <c r="D1401" s="8" t="s">
        <v>11</v>
      </c>
      <c r="E1401" s="9" t="s">
        <v>20</v>
      </c>
      <c r="F1401" s="9" t="s">
        <v>13</v>
      </c>
      <c r="G1401" s="11" t="n">
        <v>72</v>
      </c>
      <c r="H1401" s="11" t="n">
        <v>60</v>
      </c>
      <c r="I1401" s="11" t="n">
        <v>72</v>
      </c>
      <c r="J1401" s="11" t="n">
        <v>69</v>
      </c>
      <c r="K1401" s="11" t="n">
        <v>72</v>
      </c>
    </row>
    <row r="1402" customFormat="false" ht="25" hidden="false" customHeight="false" outlineLevel="0" collapsed="false">
      <c r="A1402" s="1" t="n">
        <v>73</v>
      </c>
      <c r="B1402" s="1" t="n">
        <v>2024</v>
      </c>
      <c r="C1402" s="3" t="n">
        <v>45576</v>
      </c>
      <c r="D1402" s="4" t="s">
        <v>11</v>
      </c>
      <c r="E1402" s="5" t="s">
        <v>21</v>
      </c>
      <c r="F1402" s="5" t="s">
        <v>13</v>
      </c>
      <c r="G1402" s="7" t="n">
        <v>18</v>
      </c>
      <c r="H1402" s="7" t="n">
        <v>18</v>
      </c>
      <c r="I1402" s="7" t="n">
        <v>24</v>
      </c>
      <c r="J1402" s="7" t="n">
        <v>21</v>
      </c>
      <c r="K1402" s="7" t="n">
        <v>21</v>
      </c>
    </row>
    <row r="1403" customFormat="false" ht="25" hidden="false" customHeight="false" outlineLevel="0" collapsed="false">
      <c r="A1403" s="1" t="n">
        <v>73</v>
      </c>
      <c r="B1403" s="1" t="n">
        <v>2024</v>
      </c>
      <c r="C1403" s="3" t="n">
        <v>45576</v>
      </c>
      <c r="D1403" s="8" t="s">
        <v>11</v>
      </c>
      <c r="E1403" s="9" t="s">
        <v>73</v>
      </c>
      <c r="F1403" s="9" t="s">
        <v>13</v>
      </c>
      <c r="G1403" s="10"/>
      <c r="H1403" s="11" t="n">
        <v>50</v>
      </c>
      <c r="I1403" s="11" t="n">
        <v>78</v>
      </c>
      <c r="J1403" s="11" t="s">
        <v>172</v>
      </c>
      <c r="K1403" s="11" t="n">
        <v>60</v>
      </c>
    </row>
    <row r="1404" customFormat="false" ht="25" hidden="false" customHeight="false" outlineLevel="0" collapsed="false">
      <c r="A1404" s="1" t="n">
        <v>73</v>
      </c>
      <c r="B1404" s="1" t="n">
        <v>2024</v>
      </c>
      <c r="C1404" s="3" t="n">
        <v>45576</v>
      </c>
      <c r="D1404" s="4" t="s">
        <v>11</v>
      </c>
      <c r="E1404" s="5" t="s">
        <v>23</v>
      </c>
      <c r="F1404" s="5" t="s">
        <v>13</v>
      </c>
      <c r="G1404" s="7" t="n">
        <v>18</v>
      </c>
      <c r="H1404" s="7" t="n">
        <v>18</v>
      </c>
      <c r="I1404" s="7" t="n">
        <v>24</v>
      </c>
      <c r="J1404" s="7" t="n">
        <v>21</v>
      </c>
      <c r="K1404" s="7" t="n">
        <v>21</v>
      </c>
    </row>
    <row r="1405" customFormat="false" ht="25" hidden="false" customHeight="false" outlineLevel="0" collapsed="false">
      <c r="A1405" s="1" t="n">
        <v>73</v>
      </c>
      <c r="B1405" s="1" t="n">
        <v>2024</v>
      </c>
      <c r="C1405" s="3" t="n">
        <v>45576</v>
      </c>
      <c r="D1405" s="8" t="s">
        <v>11</v>
      </c>
      <c r="E1405" s="9" t="s">
        <v>24</v>
      </c>
      <c r="F1405" s="9" t="s">
        <v>13</v>
      </c>
      <c r="G1405" s="11" t="n">
        <v>60</v>
      </c>
      <c r="H1405" s="11" t="n">
        <v>48</v>
      </c>
      <c r="I1405" s="11" t="n">
        <v>60</v>
      </c>
      <c r="J1405" s="11" t="n">
        <v>56</v>
      </c>
      <c r="K1405" s="11" t="n">
        <v>60</v>
      </c>
    </row>
    <row r="1406" customFormat="false" ht="25" hidden="false" customHeight="false" outlineLevel="0" collapsed="false">
      <c r="A1406" s="1" t="n">
        <v>73</v>
      </c>
      <c r="B1406" s="1" t="n">
        <v>2024</v>
      </c>
      <c r="C1406" s="3" t="n">
        <v>45576</v>
      </c>
      <c r="D1406" s="4" t="s">
        <v>11</v>
      </c>
      <c r="E1406" s="5" t="s">
        <v>25</v>
      </c>
      <c r="F1406" s="5" t="s">
        <v>26</v>
      </c>
      <c r="G1406" s="7" t="n">
        <v>60</v>
      </c>
      <c r="H1406" s="7" t="n">
        <v>36</v>
      </c>
      <c r="I1406" s="7" t="n">
        <v>60</v>
      </c>
      <c r="J1406" s="7" t="n">
        <v>51</v>
      </c>
      <c r="K1406" s="7" t="n">
        <v>54</v>
      </c>
    </row>
    <row r="1407" customFormat="false" ht="25" hidden="false" customHeight="false" outlineLevel="0" collapsed="false">
      <c r="A1407" s="1" t="n">
        <v>73</v>
      </c>
      <c r="B1407" s="1" t="n">
        <v>2024</v>
      </c>
      <c r="C1407" s="3" t="n">
        <v>45576</v>
      </c>
      <c r="D1407" s="8" t="s">
        <v>11</v>
      </c>
      <c r="E1407" s="9" t="s">
        <v>27</v>
      </c>
      <c r="F1407" s="9" t="s">
        <v>13</v>
      </c>
      <c r="G1407" s="10"/>
      <c r="H1407" s="11" t="n">
        <v>48</v>
      </c>
      <c r="I1407" s="11" t="n">
        <v>72</v>
      </c>
      <c r="J1407" s="11" t="n">
        <v>60</v>
      </c>
      <c r="K1407" s="11" t="n">
        <v>60</v>
      </c>
    </row>
    <row r="1408" customFormat="false" ht="25" hidden="false" customHeight="false" outlineLevel="0" collapsed="false">
      <c r="A1408" s="1" t="n">
        <v>73</v>
      </c>
      <c r="B1408" s="1" t="n">
        <v>2024</v>
      </c>
      <c r="C1408" s="3" t="n">
        <v>45576</v>
      </c>
      <c r="D1408" s="4" t="s">
        <v>11</v>
      </c>
      <c r="E1408" s="5" t="s">
        <v>28</v>
      </c>
      <c r="F1408" s="5" t="s">
        <v>13</v>
      </c>
      <c r="G1408" s="7" t="n">
        <v>24</v>
      </c>
      <c r="H1408" s="7" t="n">
        <v>24</v>
      </c>
      <c r="I1408" s="7" t="n">
        <v>36</v>
      </c>
      <c r="J1408" s="7" t="s">
        <v>179</v>
      </c>
      <c r="K1408" s="7" t="n">
        <v>27</v>
      </c>
    </row>
    <row r="1409" customFormat="false" ht="25" hidden="false" customHeight="false" outlineLevel="0" collapsed="false">
      <c r="A1409" s="1" t="n">
        <v>73</v>
      </c>
      <c r="B1409" s="1" t="n">
        <v>2024</v>
      </c>
      <c r="C1409" s="3" t="n">
        <v>45576</v>
      </c>
      <c r="D1409" s="8" t="s">
        <v>30</v>
      </c>
      <c r="E1409" s="9" t="s">
        <v>31</v>
      </c>
      <c r="F1409" s="9" t="s">
        <v>32</v>
      </c>
      <c r="G1409" s="11" t="n">
        <v>5</v>
      </c>
      <c r="H1409" s="11" t="n">
        <v>5</v>
      </c>
      <c r="I1409" s="11" t="n">
        <v>5</v>
      </c>
      <c r="J1409" s="11" t="n">
        <v>5</v>
      </c>
      <c r="K1409" s="11" t="n">
        <v>5</v>
      </c>
    </row>
    <row r="1410" customFormat="false" ht="25" hidden="false" customHeight="false" outlineLevel="0" collapsed="false">
      <c r="A1410" s="1" t="n">
        <v>73</v>
      </c>
      <c r="B1410" s="1" t="n">
        <v>2024</v>
      </c>
      <c r="C1410" s="3" t="n">
        <v>45576</v>
      </c>
      <c r="D1410" s="4" t="s">
        <v>30</v>
      </c>
      <c r="E1410" s="5" t="s">
        <v>34</v>
      </c>
      <c r="F1410" s="5" t="s">
        <v>35</v>
      </c>
      <c r="G1410" s="7" t="n">
        <v>12</v>
      </c>
      <c r="H1410" s="7" t="n">
        <v>12</v>
      </c>
      <c r="I1410" s="7" t="n">
        <v>15</v>
      </c>
      <c r="J1410" s="7" t="s">
        <v>278</v>
      </c>
      <c r="K1410" s="7" t="s">
        <v>278</v>
      </c>
    </row>
    <row r="1411" customFormat="false" ht="25" hidden="false" customHeight="false" outlineLevel="0" collapsed="false">
      <c r="A1411" s="1" t="n">
        <v>73</v>
      </c>
      <c r="B1411" s="1" t="n">
        <v>2024</v>
      </c>
      <c r="C1411" s="3" t="n">
        <v>45576</v>
      </c>
      <c r="D1411" s="8" t="s">
        <v>30</v>
      </c>
      <c r="E1411" s="9" t="s">
        <v>36</v>
      </c>
      <c r="F1411" s="9" t="s">
        <v>35</v>
      </c>
      <c r="G1411" s="10"/>
      <c r="H1411" s="11" t="n">
        <v>35</v>
      </c>
      <c r="I1411" s="11" t="n">
        <v>20</v>
      </c>
      <c r="J1411" s="11" t="n">
        <v>35</v>
      </c>
      <c r="K1411" s="11" t="s">
        <v>353</v>
      </c>
    </row>
    <row r="1412" customFormat="false" ht="36.5" hidden="false" customHeight="false" outlineLevel="0" collapsed="false">
      <c r="A1412" s="1" t="n">
        <v>73</v>
      </c>
      <c r="B1412" s="1" t="n">
        <v>2024</v>
      </c>
      <c r="C1412" s="3" t="n">
        <v>45576</v>
      </c>
      <c r="D1412" s="4" t="s">
        <v>38</v>
      </c>
      <c r="E1412" s="5" t="s">
        <v>153</v>
      </c>
      <c r="F1412" s="5" t="s">
        <v>154</v>
      </c>
      <c r="G1412" s="6"/>
      <c r="H1412" s="7" t="n">
        <v>80</v>
      </c>
      <c r="I1412" s="7" t="n">
        <v>80</v>
      </c>
      <c r="J1412" s="7" t="n">
        <v>80</v>
      </c>
      <c r="K1412" s="7" t="n">
        <v>80</v>
      </c>
    </row>
    <row r="1413" customFormat="false" ht="36.5" hidden="false" customHeight="false" outlineLevel="0" collapsed="false">
      <c r="A1413" s="1" t="n">
        <v>73</v>
      </c>
      <c r="B1413" s="1" t="n">
        <v>2024</v>
      </c>
      <c r="C1413" s="3" t="n">
        <v>45576</v>
      </c>
      <c r="D1413" s="8" t="s">
        <v>38</v>
      </c>
      <c r="E1413" s="9" t="s">
        <v>39</v>
      </c>
      <c r="F1413" s="9" t="s">
        <v>40</v>
      </c>
      <c r="G1413" s="11" t="n">
        <v>40</v>
      </c>
      <c r="H1413" s="11" t="n">
        <v>30</v>
      </c>
      <c r="I1413" s="11" t="n">
        <v>40</v>
      </c>
      <c r="J1413" s="11" t="n">
        <v>35</v>
      </c>
      <c r="K1413" s="11" t="n">
        <v>35</v>
      </c>
    </row>
    <row r="1414" customFormat="false" ht="36.5" hidden="false" customHeight="false" outlineLevel="0" collapsed="false">
      <c r="A1414" s="1" t="n">
        <v>73</v>
      </c>
      <c r="B1414" s="1" t="n">
        <v>2024</v>
      </c>
      <c r="C1414" s="3" t="n">
        <v>45576</v>
      </c>
      <c r="D1414" s="4" t="s">
        <v>38</v>
      </c>
      <c r="E1414" s="5" t="s">
        <v>42</v>
      </c>
      <c r="F1414" s="5" t="s">
        <v>43</v>
      </c>
      <c r="G1414" s="7" t="n">
        <v>45</v>
      </c>
      <c r="H1414" s="7" t="n">
        <v>45</v>
      </c>
      <c r="I1414" s="7" t="n">
        <v>70</v>
      </c>
      <c r="J1414" s="7" t="s">
        <v>235</v>
      </c>
      <c r="K1414" s="7" t="n">
        <v>55</v>
      </c>
    </row>
    <row r="1415" customFormat="false" ht="36.5" hidden="false" customHeight="false" outlineLevel="0" collapsed="false">
      <c r="A1415" s="1" t="n">
        <v>73</v>
      </c>
      <c r="B1415" s="1" t="n">
        <v>2024</v>
      </c>
      <c r="C1415" s="3" t="n">
        <v>45576</v>
      </c>
      <c r="D1415" s="8" t="s">
        <v>38</v>
      </c>
      <c r="E1415" s="9" t="s">
        <v>44</v>
      </c>
      <c r="F1415" s="9" t="s">
        <v>45</v>
      </c>
      <c r="G1415" s="10"/>
      <c r="H1415" s="11" t="n">
        <v>50</v>
      </c>
      <c r="I1415" s="11" t="n">
        <v>70</v>
      </c>
      <c r="J1415" s="11" t="n">
        <v>60</v>
      </c>
      <c r="K1415" s="11" t="n">
        <v>60</v>
      </c>
    </row>
    <row r="1416" customFormat="false" ht="36.5" hidden="false" customHeight="false" outlineLevel="0" collapsed="false">
      <c r="A1416" s="1" t="n">
        <v>73</v>
      </c>
      <c r="B1416" s="1" t="n">
        <v>2024</v>
      </c>
      <c r="C1416" s="3" t="n">
        <v>45576</v>
      </c>
      <c r="D1416" s="4" t="s">
        <v>38</v>
      </c>
      <c r="E1416" s="5" t="s">
        <v>48</v>
      </c>
      <c r="F1416" s="5" t="s">
        <v>45</v>
      </c>
      <c r="G1416" s="6"/>
      <c r="H1416" s="7" t="n">
        <v>45</v>
      </c>
      <c r="I1416" s="7" t="n">
        <v>110</v>
      </c>
      <c r="J1416" s="7" t="s">
        <v>354</v>
      </c>
      <c r="K1416" s="7" t="n">
        <v>90</v>
      </c>
    </row>
    <row r="1417" customFormat="false" ht="36.5" hidden="false" customHeight="false" outlineLevel="0" collapsed="false">
      <c r="A1417" s="1" t="n">
        <v>73</v>
      </c>
      <c r="B1417" s="1" t="n">
        <v>2024</v>
      </c>
      <c r="C1417" s="3" t="n">
        <v>45576</v>
      </c>
      <c r="D1417" s="8" t="s">
        <v>38</v>
      </c>
      <c r="E1417" s="9" t="s">
        <v>52</v>
      </c>
      <c r="F1417" s="9" t="s">
        <v>43</v>
      </c>
      <c r="G1417" s="11" t="n">
        <v>55</v>
      </c>
      <c r="H1417" s="11" t="n">
        <v>40</v>
      </c>
      <c r="I1417" s="11" t="n">
        <v>55</v>
      </c>
      <c r="J1417" s="11" t="s">
        <v>137</v>
      </c>
      <c r="K1417" s="11" t="n">
        <v>50</v>
      </c>
    </row>
    <row r="1418" customFormat="false" ht="36.5" hidden="false" customHeight="false" outlineLevel="0" collapsed="false">
      <c r="A1418" s="1" t="n">
        <v>73</v>
      </c>
      <c r="B1418" s="1" t="n">
        <v>2024</v>
      </c>
      <c r="C1418" s="3" t="n">
        <v>45576</v>
      </c>
      <c r="D1418" s="4" t="s">
        <v>38</v>
      </c>
      <c r="E1418" s="5" t="s">
        <v>53</v>
      </c>
      <c r="F1418" s="5" t="s">
        <v>43</v>
      </c>
      <c r="G1418" s="6"/>
      <c r="H1418" s="7" t="n">
        <v>55</v>
      </c>
      <c r="I1418" s="7" t="n">
        <v>85</v>
      </c>
      <c r="J1418" s="7" t="s">
        <v>94</v>
      </c>
      <c r="K1418" s="7" t="s">
        <v>84</v>
      </c>
    </row>
    <row r="1419" customFormat="false" ht="36.5" hidden="false" customHeight="false" outlineLevel="0" collapsed="false">
      <c r="A1419" s="1" t="n">
        <v>73</v>
      </c>
      <c r="B1419" s="1" t="n">
        <v>2024</v>
      </c>
      <c r="C1419" s="3" t="n">
        <v>45576</v>
      </c>
      <c r="D1419" s="8" t="s">
        <v>38</v>
      </c>
      <c r="E1419" s="9" t="s">
        <v>54</v>
      </c>
      <c r="F1419" s="9" t="s">
        <v>40</v>
      </c>
      <c r="G1419" s="10"/>
      <c r="H1419" s="11" t="n">
        <v>90</v>
      </c>
      <c r="I1419" s="11" t="n">
        <v>100</v>
      </c>
      <c r="J1419" s="11" t="n">
        <v>95</v>
      </c>
      <c r="K1419" s="11" t="n">
        <v>95</v>
      </c>
    </row>
    <row r="1420" customFormat="false" ht="36.5" hidden="false" customHeight="false" outlineLevel="0" collapsed="false">
      <c r="A1420" s="1" t="n">
        <v>73</v>
      </c>
      <c r="B1420" s="1" t="n">
        <v>2024</v>
      </c>
      <c r="C1420" s="3" t="n">
        <v>45576</v>
      </c>
      <c r="D1420" s="4" t="s">
        <v>38</v>
      </c>
      <c r="E1420" s="5" t="s">
        <v>56</v>
      </c>
      <c r="F1420" s="5" t="s">
        <v>43</v>
      </c>
      <c r="G1420" s="6"/>
      <c r="H1420" s="7" t="n">
        <v>70</v>
      </c>
      <c r="I1420" s="7" t="n">
        <v>70</v>
      </c>
      <c r="J1420" s="7" t="n">
        <v>70</v>
      </c>
      <c r="K1420" s="7" t="n">
        <v>70</v>
      </c>
    </row>
    <row r="1421" customFormat="false" ht="36.5" hidden="false" customHeight="false" outlineLevel="0" collapsed="false">
      <c r="A1421" s="1" t="n">
        <v>73</v>
      </c>
      <c r="B1421" s="1" t="n">
        <v>2024</v>
      </c>
      <c r="C1421" s="3" t="n">
        <v>45576</v>
      </c>
      <c r="D1421" s="8" t="s">
        <v>38</v>
      </c>
      <c r="E1421" s="9" t="s">
        <v>57</v>
      </c>
      <c r="F1421" s="9" t="s">
        <v>40</v>
      </c>
      <c r="G1421" s="10"/>
      <c r="H1421" s="11" t="n">
        <v>70</v>
      </c>
      <c r="I1421" s="11" t="n">
        <v>80</v>
      </c>
      <c r="J1421" s="11" t="n">
        <v>75</v>
      </c>
      <c r="K1421" s="11" t="n">
        <v>75</v>
      </c>
    </row>
    <row r="1422" customFormat="false" ht="36.5" hidden="false" customHeight="false" outlineLevel="0" collapsed="false">
      <c r="A1422" s="1" t="n">
        <v>73</v>
      </c>
      <c r="B1422" s="1" t="n">
        <v>2024</v>
      </c>
      <c r="C1422" s="3" t="n">
        <v>45576</v>
      </c>
      <c r="D1422" s="4" t="s">
        <v>38</v>
      </c>
      <c r="E1422" s="5" t="s">
        <v>58</v>
      </c>
      <c r="F1422" s="5" t="s">
        <v>40</v>
      </c>
      <c r="G1422" s="7" t="n">
        <v>100</v>
      </c>
      <c r="H1422" s="7" t="n">
        <v>75</v>
      </c>
      <c r="I1422" s="7" t="n">
        <v>100</v>
      </c>
      <c r="J1422" s="7" t="s">
        <v>355</v>
      </c>
      <c r="K1422" s="7" t="n">
        <v>90</v>
      </c>
    </row>
    <row r="1423" customFormat="false" ht="36.5" hidden="false" customHeight="false" outlineLevel="0" collapsed="false">
      <c r="A1423" s="1" t="n">
        <v>73</v>
      </c>
      <c r="B1423" s="1" t="n">
        <v>2024</v>
      </c>
      <c r="C1423" s="3" t="n">
        <v>45576</v>
      </c>
      <c r="D1423" s="8" t="s">
        <v>38</v>
      </c>
      <c r="E1423" s="9" t="s">
        <v>59</v>
      </c>
      <c r="F1423" s="9" t="s">
        <v>45</v>
      </c>
      <c r="G1423" s="11" t="n">
        <v>45</v>
      </c>
      <c r="H1423" s="11" t="n">
        <v>45</v>
      </c>
      <c r="I1423" s="11" t="n">
        <v>85</v>
      </c>
      <c r="J1423" s="11" t="s">
        <v>41</v>
      </c>
      <c r="K1423" s="11" t="n">
        <v>50</v>
      </c>
    </row>
    <row r="1424" customFormat="false" ht="36.5" hidden="false" customHeight="false" outlineLevel="0" collapsed="false">
      <c r="A1424" s="1" t="n">
        <v>73</v>
      </c>
      <c r="B1424" s="1" t="n">
        <v>2024</v>
      </c>
      <c r="C1424" s="3" t="n">
        <v>45576</v>
      </c>
      <c r="D1424" s="4" t="s">
        <v>38</v>
      </c>
      <c r="E1424" s="5" t="s">
        <v>60</v>
      </c>
      <c r="F1424" s="5" t="s">
        <v>61</v>
      </c>
      <c r="G1424" s="7" t="n">
        <v>160</v>
      </c>
      <c r="H1424" s="7" t="n">
        <v>150</v>
      </c>
      <c r="I1424" s="7" t="n">
        <v>180</v>
      </c>
      <c r="J1424" s="7" t="s">
        <v>356</v>
      </c>
      <c r="K1424" s="7" t="n">
        <v>160</v>
      </c>
    </row>
    <row r="1425" customFormat="false" ht="36.5" hidden="false" customHeight="false" outlineLevel="0" collapsed="false">
      <c r="A1425" s="1" t="n">
        <v>73</v>
      </c>
      <c r="B1425" s="1" t="n">
        <v>2024</v>
      </c>
      <c r="C1425" s="3" t="n">
        <v>45576</v>
      </c>
      <c r="D1425" s="8" t="s">
        <v>38</v>
      </c>
      <c r="E1425" s="9" t="s">
        <v>63</v>
      </c>
      <c r="F1425" s="9" t="s">
        <v>40</v>
      </c>
      <c r="G1425" s="10"/>
      <c r="H1425" s="11" t="n">
        <v>50</v>
      </c>
      <c r="I1425" s="11" t="n">
        <v>80</v>
      </c>
      <c r="J1425" s="11" t="n">
        <v>65</v>
      </c>
      <c r="K1425" s="11" t="n">
        <v>65</v>
      </c>
    </row>
    <row r="1426" customFormat="false" ht="36.5" hidden="false" customHeight="false" outlineLevel="0" collapsed="false">
      <c r="A1426" s="1" t="n">
        <v>73</v>
      </c>
      <c r="B1426" s="1" t="n">
        <v>2024</v>
      </c>
      <c r="C1426" s="3" t="n">
        <v>45576</v>
      </c>
      <c r="D1426" s="4" t="s">
        <v>38</v>
      </c>
      <c r="E1426" s="5" t="s">
        <v>64</v>
      </c>
      <c r="F1426" s="5" t="s">
        <v>40</v>
      </c>
      <c r="G1426" s="6"/>
      <c r="H1426" s="6"/>
      <c r="I1426" s="7" t="n">
        <v>90</v>
      </c>
      <c r="J1426" s="7" t="n">
        <v>120</v>
      </c>
      <c r="K1426" s="7" t="s">
        <v>114</v>
      </c>
    </row>
    <row r="1427" customFormat="false" ht="14.25" hidden="false" customHeight="false" outlineLevel="0" collapsed="false">
      <c r="A1427" s="1" t="n">
        <v>73</v>
      </c>
      <c r="B1427" s="1" t="n">
        <v>2024</v>
      </c>
      <c r="C1427" s="3" t="n">
        <v>45576</v>
      </c>
      <c r="D1427" s="8" t="s">
        <v>65</v>
      </c>
      <c r="E1427" s="9" t="s">
        <v>66</v>
      </c>
      <c r="F1427" s="9" t="s">
        <v>45</v>
      </c>
      <c r="G1427" s="10"/>
      <c r="H1427" s="10"/>
      <c r="I1427" s="10"/>
      <c r="J1427" s="10"/>
      <c r="K1427" s="10"/>
    </row>
    <row r="1428" customFormat="false" ht="14.25" hidden="false" customHeight="false" outlineLevel="0" collapsed="false">
      <c r="A1428" s="1" t="n">
        <v>73</v>
      </c>
      <c r="B1428" s="1" t="n">
        <v>2024</v>
      </c>
      <c r="C1428" s="3" t="n">
        <v>45576</v>
      </c>
      <c r="D1428" s="4" t="s">
        <v>65</v>
      </c>
      <c r="E1428" s="5" t="s">
        <v>67</v>
      </c>
      <c r="F1428" s="5" t="s">
        <v>45</v>
      </c>
      <c r="G1428" s="6"/>
      <c r="H1428" s="6"/>
      <c r="I1428" s="6"/>
      <c r="J1428" s="6"/>
      <c r="K1428" s="6"/>
    </row>
    <row r="1429" customFormat="false" ht="14.25" hidden="false" customHeight="false" outlineLevel="0" collapsed="false">
      <c r="A1429" s="1" t="n">
        <v>73</v>
      </c>
      <c r="B1429" s="1" t="n">
        <v>2024</v>
      </c>
      <c r="C1429" s="3" t="n">
        <v>45576</v>
      </c>
      <c r="D1429" s="8" t="s">
        <v>65</v>
      </c>
      <c r="E1429" s="9" t="s">
        <v>68</v>
      </c>
      <c r="F1429" s="9" t="s">
        <v>45</v>
      </c>
      <c r="G1429" s="10"/>
      <c r="H1429" s="10"/>
      <c r="I1429" s="10"/>
      <c r="J1429" s="10"/>
      <c r="K1429" s="10"/>
    </row>
    <row r="1430" customFormat="false" ht="14.25" hidden="false" customHeight="false" outlineLevel="0" collapsed="false">
      <c r="A1430" s="1" t="n">
        <v>73</v>
      </c>
      <c r="B1430" s="1" t="n">
        <v>2024</v>
      </c>
      <c r="C1430" s="3" t="n">
        <v>45576</v>
      </c>
      <c r="D1430" s="4" t="s">
        <v>65</v>
      </c>
      <c r="E1430" s="5" t="s">
        <v>69</v>
      </c>
      <c r="F1430" s="5" t="s">
        <v>45</v>
      </c>
      <c r="G1430" s="6"/>
      <c r="H1430" s="7" t="n">
        <v>70</v>
      </c>
      <c r="I1430" s="7" t="n">
        <v>70</v>
      </c>
      <c r="J1430" s="7" t="n">
        <v>70</v>
      </c>
      <c r="K1430" s="7" t="n">
        <v>70</v>
      </c>
    </row>
    <row r="1431" customFormat="false" ht="14.25" hidden="false" customHeight="false" outlineLevel="0" collapsed="false">
      <c r="A1431" s="1" t="n">
        <v>76</v>
      </c>
      <c r="B1431" s="1" t="n">
        <v>2024</v>
      </c>
      <c r="C1431" s="3" t="n">
        <v>45597</v>
      </c>
      <c r="E1431" s="1" t="s">
        <v>12</v>
      </c>
      <c r="F1431" s="1" t="s">
        <v>13</v>
      </c>
      <c r="G1431" s="1" t="s">
        <v>357</v>
      </c>
      <c r="H1431" s="1" t="s">
        <v>357</v>
      </c>
      <c r="I1431" s="1" t="s">
        <v>358</v>
      </c>
      <c r="J1431" s="1" t="s">
        <v>359</v>
      </c>
      <c r="K1431" s="1" t="s">
        <v>359</v>
      </c>
    </row>
    <row r="1432" customFormat="false" ht="14.25" hidden="false" customHeight="false" outlineLevel="0" collapsed="false">
      <c r="A1432" s="1" t="n">
        <v>76</v>
      </c>
      <c r="B1432" s="1" t="n">
        <v>2024</v>
      </c>
      <c r="C1432" s="3" t="n">
        <v>45597</v>
      </c>
      <c r="E1432" s="1" t="s">
        <v>14</v>
      </c>
      <c r="F1432" s="1" t="s">
        <v>13</v>
      </c>
      <c r="G1432" s="1" t="s">
        <v>360</v>
      </c>
      <c r="H1432" s="1" t="s">
        <v>358</v>
      </c>
      <c r="I1432" s="1" t="s">
        <v>361</v>
      </c>
      <c r="J1432" s="1" t="s">
        <v>360</v>
      </c>
      <c r="K1432" s="1" t="s">
        <v>360</v>
      </c>
    </row>
    <row r="1433" customFormat="false" ht="14.25" hidden="false" customHeight="false" outlineLevel="0" collapsed="false">
      <c r="A1433" s="1" t="n">
        <v>76</v>
      </c>
      <c r="B1433" s="1" t="n">
        <v>2024</v>
      </c>
      <c r="C1433" s="3" t="n">
        <v>45597</v>
      </c>
      <c r="E1433" s="1" t="s">
        <v>15</v>
      </c>
      <c r="F1433" s="1" t="s">
        <v>13</v>
      </c>
      <c r="G1433" s="1" t="s">
        <v>362</v>
      </c>
      <c r="H1433" s="1" t="s">
        <v>362</v>
      </c>
      <c r="I1433" s="1" t="s">
        <v>363</v>
      </c>
      <c r="J1433" s="1" t="s">
        <v>364</v>
      </c>
      <c r="K1433" s="1" t="s">
        <v>365</v>
      </c>
    </row>
    <row r="1434" customFormat="false" ht="14.25" hidden="false" customHeight="false" outlineLevel="0" collapsed="false">
      <c r="A1434" s="1" t="n">
        <v>76</v>
      </c>
      <c r="B1434" s="1" t="n">
        <v>2024</v>
      </c>
      <c r="C1434" s="3" t="n">
        <v>45597</v>
      </c>
      <c r="E1434" s="1" t="s">
        <v>16</v>
      </c>
      <c r="F1434" s="1" t="s">
        <v>13</v>
      </c>
      <c r="G1434" s="1" t="s">
        <v>366</v>
      </c>
      <c r="H1434" s="1" t="s">
        <v>367</v>
      </c>
      <c r="I1434" s="1" t="s">
        <v>366</v>
      </c>
      <c r="J1434" s="1" t="s">
        <v>368</v>
      </c>
      <c r="K1434" s="1" t="s">
        <v>366</v>
      </c>
    </row>
    <row r="1435" customFormat="false" ht="14.25" hidden="false" customHeight="false" outlineLevel="0" collapsed="false">
      <c r="A1435" s="1" t="n">
        <v>76</v>
      </c>
      <c r="B1435" s="1" t="n">
        <v>2024</v>
      </c>
      <c r="C1435" s="3" t="n">
        <v>45597</v>
      </c>
      <c r="E1435" s="1" t="s">
        <v>17</v>
      </c>
      <c r="F1435" s="1" t="s">
        <v>13</v>
      </c>
      <c r="G1435" s="1" t="s">
        <v>366</v>
      </c>
      <c r="H1435" s="1" t="s">
        <v>366</v>
      </c>
      <c r="I1435" s="1" t="s">
        <v>358</v>
      </c>
      <c r="J1435" s="1" t="s">
        <v>365</v>
      </c>
      <c r="K1435" s="1" t="s">
        <v>366</v>
      </c>
    </row>
    <row r="1436" customFormat="false" ht="14.25" hidden="false" customHeight="false" outlineLevel="0" collapsed="false">
      <c r="A1436" s="1" t="n">
        <v>76</v>
      </c>
      <c r="B1436" s="1" t="n">
        <v>2024</v>
      </c>
      <c r="C1436" s="3" t="n">
        <v>45597</v>
      </c>
      <c r="E1436" s="1" t="s">
        <v>18</v>
      </c>
      <c r="F1436" s="1" t="s">
        <v>13</v>
      </c>
      <c r="G1436" s="1" t="s">
        <v>358</v>
      </c>
      <c r="H1436" s="1" t="s">
        <v>358</v>
      </c>
      <c r="I1436" s="1" t="s">
        <v>358</v>
      </c>
      <c r="J1436" s="1" t="s">
        <v>358</v>
      </c>
      <c r="K1436" s="1" t="s">
        <v>358</v>
      </c>
    </row>
    <row r="1437" customFormat="false" ht="14.25" hidden="false" customHeight="false" outlineLevel="0" collapsed="false">
      <c r="A1437" s="1" t="n">
        <v>76</v>
      </c>
      <c r="B1437" s="1" t="n">
        <v>2024</v>
      </c>
      <c r="C1437" s="3" t="n">
        <v>45597</v>
      </c>
      <c r="E1437" s="1" t="s">
        <v>19</v>
      </c>
      <c r="F1437" s="1" t="s">
        <v>13</v>
      </c>
      <c r="G1437" s="1" t="s">
        <v>358</v>
      </c>
      <c r="H1437" s="1" t="s">
        <v>358</v>
      </c>
      <c r="I1437" s="1" t="s">
        <v>360</v>
      </c>
      <c r="J1437" s="1" t="s">
        <v>369</v>
      </c>
      <c r="K1437" s="1" t="s">
        <v>358</v>
      </c>
    </row>
    <row r="1438" customFormat="false" ht="14.25" hidden="false" customHeight="false" outlineLevel="0" collapsed="false">
      <c r="A1438" s="1" t="n">
        <v>76</v>
      </c>
      <c r="B1438" s="1" t="n">
        <v>2024</v>
      </c>
      <c r="C1438" s="3" t="n">
        <v>45597</v>
      </c>
      <c r="E1438" s="1" t="s">
        <v>20</v>
      </c>
      <c r="F1438" s="1" t="s">
        <v>13</v>
      </c>
      <c r="G1438" s="1" t="s">
        <v>360</v>
      </c>
      <c r="H1438" s="1" t="s">
        <v>370</v>
      </c>
      <c r="I1438" s="1" t="s">
        <v>360</v>
      </c>
      <c r="J1438" s="1" t="s">
        <v>371</v>
      </c>
      <c r="K1438" s="1" t="s">
        <v>360</v>
      </c>
    </row>
    <row r="1439" customFormat="false" ht="14.25" hidden="false" customHeight="false" outlineLevel="0" collapsed="false">
      <c r="A1439" s="1" t="n">
        <v>76</v>
      </c>
      <c r="B1439" s="1" t="n">
        <v>2024</v>
      </c>
      <c r="C1439" s="3" t="n">
        <v>45597</v>
      </c>
      <c r="E1439" s="1" t="s">
        <v>21</v>
      </c>
      <c r="F1439" s="1" t="s">
        <v>13</v>
      </c>
      <c r="G1439" s="1" t="s">
        <v>366</v>
      </c>
      <c r="H1439" s="1" t="s">
        <v>367</v>
      </c>
      <c r="I1439" s="1" t="s">
        <v>366</v>
      </c>
      <c r="J1439" s="1" t="s">
        <v>372</v>
      </c>
      <c r="K1439" s="1" t="s">
        <v>373</v>
      </c>
    </row>
    <row r="1440" customFormat="false" ht="14.25" hidden="false" customHeight="false" outlineLevel="0" collapsed="false">
      <c r="A1440" s="1" t="n">
        <v>76</v>
      </c>
      <c r="B1440" s="1" t="n">
        <v>2024</v>
      </c>
      <c r="C1440" s="3" t="n">
        <v>45597</v>
      </c>
      <c r="E1440" s="1" t="s">
        <v>73</v>
      </c>
      <c r="F1440" s="1" t="s">
        <v>13</v>
      </c>
      <c r="G1440" s="1" t="s">
        <v>358</v>
      </c>
      <c r="H1440" s="1" t="s">
        <v>358</v>
      </c>
      <c r="I1440" s="1" t="s">
        <v>370</v>
      </c>
      <c r="J1440" s="1" t="s">
        <v>374</v>
      </c>
      <c r="K1440" s="1" t="s">
        <v>358</v>
      </c>
    </row>
    <row r="1441" customFormat="false" ht="14.25" hidden="false" customHeight="false" outlineLevel="0" collapsed="false">
      <c r="A1441" s="1" t="n">
        <v>76</v>
      </c>
      <c r="B1441" s="1" t="n">
        <v>2024</v>
      </c>
      <c r="C1441" s="3" t="n">
        <v>45597</v>
      </c>
      <c r="E1441" s="1" t="s">
        <v>23</v>
      </c>
      <c r="F1441" s="1" t="s">
        <v>13</v>
      </c>
      <c r="G1441" s="1" t="s">
        <v>366</v>
      </c>
      <c r="H1441" s="1" t="s">
        <v>367</v>
      </c>
      <c r="I1441" s="1" t="s">
        <v>366</v>
      </c>
      <c r="J1441" s="1" t="s">
        <v>368</v>
      </c>
      <c r="K1441" s="1" t="s">
        <v>366</v>
      </c>
    </row>
    <row r="1442" customFormat="false" ht="14.25" hidden="false" customHeight="false" outlineLevel="0" collapsed="false">
      <c r="A1442" s="1" t="n">
        <v>76</v>
      </c>
      <c r="B1442" s="1" t="n">
        <v>2024</v>
      </c>
      <c r="C1442" s="3" t="n">
        <v>45597</v>
      </c>
      <c r="E1442" s="1" t="s">
        <v>24</v>
      </c>
      <c r="F1442" s="1" t="s">
        <v>13</v>
      </c>
      <c r="G1442" s="1" t="s">
        <v>358</v>
      </c>
      <c r="H1442" s="1" t="s">
        <v>358</v>
      </c>
      <c r="I1442" s="1" t="s">
        <v>360</v>
      </c>
      <c r="J1442" s="1" t="s">
        <v>375</v>
      </c>
      <c r="K1442" s="1" t="s">
        <v>358</v>
      </c>
    </row>
    <row r="1443" customFormat="false" ht="14.25" hidden="false" customHeight="false" outlineLevel="0" collapsed="false">
      <c r="A1443" s="1" t="n">
        <v>76</v>
      </c>
      <c r="B1443" s="1" t="n">
        <v>2024</v>
      </c>
      <c r="C1443" s="3" t="n">
        <v>45597</v>
      </c>
      <c r="E1443" s="1" t="s">
        <v>25</v>
      </c>
      <c r="F1443" s="1" t="s">
        <v>26</v>
      </c>
      <c r="G1443" s="1" t="s">
        <v>357</v>
      </c>
      <c r="H1443" s="1" t="s">
        <v>357</v>
      </c>
      <c r="I1443" s="1" t="s">
        <v>358</v>
      </c>
      <c r="J1443" s="1" t="s">
        <v>359</v>
      </c>
      <c r="K1443" s="1" t="s">
        <v>359</v>
      </c>
    </row>
    <row r="1444" customFormat="false" ht="14.25" hidden="false" customHeight="false" outlineLevel="0" collapsed="false">
      <c r="A1444" s="1" t="n">
        <v>76</v>
      </c>
      <c r="B1444" s="1" t="n">
        <v>2024</v>
      </c>
      <c r="C1444" s="3" t="n">
        <v>45597</v>
      </c>
      <c r="E1444" s="1" t="s">
        <v>27</v>
      </c>
      <c r="F1444" s="1" t="s">
        <v>13</v>
      </c>
      <c r="G1444" s="1" t="s">
        <v>360</v>
      </c>
      <c r="H1444" s="1" t="s">
        <v>357</v>
      </c>
      <c r="I1444" s="1" t="s">
        <v>360</v>
      </c>
      <c r="J1444" s="1" t="s">
        <v>369</v>
      </c>
      <c r="K1444" s="1" t="s">
        <v>360</v>
      </c>
    </row>
    <row r="1445" customFormat="false" ht="14.25" hidden="false" customHeight="false" outlineLevel="0" collapsed="false">
      <c r="A1445" s="1" t="n">
        <v>76</v>
      </c>
      <c r="B1445" s="1" t="n">
        <v>2024</v>
      </c>
      <c r="C1445" s="3" t="n">
        <v>45597</v>
      </c>
      <c r="E1445" s="1" t="s">
        <v>28</v>
      </c>
      <c r="F1445" s="1" t="s">
        <v>13</v>
      </c>
      <c r="G1445" s="1" t="s">
        <v>366</v>
      </c>
      <c r="H1445" s="1" t="s">
        <v>366</v>
      </c>
      <c r="I1445" s="1" t="s">
        <v>362</v>
      </c>
      <c r="J1445" s="1" t="s">
        <v>376</v>
      </c>
      <c r="K1445" s="1" t="s">
        <v>366</v>
      </c>
    </row>
    <row r="1446" customFormat="false" ht="14.25" hidden="false" customHeight="false" outlineLevel="0" collapsed="false">
      <c r="A1446" s="1" t="n">
        <v>76</v>
      </c>
      <c r="B1446" s="1" t="n">
        <v>2024</v>
      </c>
      <c r="C1446" s="3" t="n">
        <v>45597</v>
      </c>
      <c r="E1446" s="1" t="s">
        <v>29</v>
      </c>
      <c r="F1446" s="1" t="s">
        <v>13</v>
      </c>
      <c r="G1446" s="1" t="s">
        <v>357</v>
      </c>
      <c r="H1446" s="1" t="s">
        <v>357</v>
      </c>
      <c r="I1446" s="1" t="s">
        <v>358</v>
      </c>
      <c r="J1446" s="1" t="s">
        <v>377</v>
      </c>
      <c r="K1446" s="1" t="s">
        <v>357</v>
      </c>
    </row>
    <row r="1447" customFormat="false" ht="14.25" hidden="false" customHeight="false" outlineLevel="0" collapsed="false">
      <c r="A1447" s="1" t="n">
        <v>76</v>
      </c>
      <c r="B1447" s="1" t="n">
        <v>2024</v>
      </c>
      <c r="C1447" s="3" t="n">
        <v>45597</v>
      </c>
      <c r="E1447" s="1" t="s">
        <v>31</v>
      </c>
      <c r="F1447" s="1" t="s">
        <v>32</v>
      </c>
      <c r="G1447" s="1" t="s">
        <v>378</v>
      </c>
      <c r="H1447" s="1" t="s">
        <v>378</v>
      </c>
      <c r="I1447" s="1" t="s">
        <v>378</v>
      </c>
      <c r="J1447" s="1" t="s">
        <v>378</v>
      </c>
      <c r="K1447" s="1" t="s">
        <v>378</v>
      </c>
    </row>
    <row r="1448" customFormat="false" ht="14.25" hidden="false" customHeight="false" outlineLevel="0" collapsed="false">
      <c r="A1448" s="1" t="n">
        <v>76</v>
      </c>
      <c r="B1448" s="1" t="n">
        <v>2024</v>
      </c>
      <c r="C1448" s="3" t="n">
        <v>45597</v>
      </c>
      <c r="E1448" s="1" t="s">
        <v>34</v>
      </c>
      <c r="F1448" s="1" t="s">
        <v>35</v>
      </c>
      <c r="G1448" s="1" t="s">
        <v>379</v>
      </c>
      <c r="H1448" s="1" t="s">
        <v>380</v>
      </c>
      <c r="I1448" s="1" t="s">
        <v>379</v>
      </c>
      <c r="J1448" s="1" t="s">
        <v>381</v>
      </c>
      <c r="K1448" s="1" t="s">
        <v>379</v>
      </c>
    </row>
    <row r="1449" customFormat="false" ht="14.25" hidden="false" customHeight="false" outlineLevel="0" collapsed="false">
      <c r="A1449" s="1" t="n">
        <v>76</v>
      </c>
      <c r="B1449" s="1" t="n">
        <v>2024</v>
      </c>
      <c r="C1449" s="3" t="n">
        <v>45597</v>
      </c>
      <c r="E1449" s="1" t="s">
        <v>36</v>
      </c>
      <c r="F1449" s="1" t="s">
        <v>35</v>
      </c>
      <c r="G1449" s="1" t="s">
        <v>362</v>
      </c>
      <c r="H1449" s="1" t="s">
        <v>382</v>
      </c>
      <c r="I1449" s="1" t="s">
        <v>362</v>
      </c>
      <c r="J1449" s="1" t="s">
        <v>383</v>
      </c>
      <c r="K1449" s="1" t="s">
        <v>384</v>
      </c>
    </row>
    <row r="1450" customFormat="false" ht="14.25" hidden="false" customHeight="false" outlineLevel="0" collapsed="false">
      <c r="A1450" s="1" t="n">
        <v>76</v>
      </c>
      <c r="B1450" s="1" t="n">
        <v>2024</v>
      </c>
      <c r="C1450" s="3" t="n">
        <v>45597</v>
      </c>
      <c r="E1450" s="1" t="s">
        <v>153</v>
      </c>
      <c r="F1450" s="1" t="s">
        <v>154</v>
      </c>
      <c r="G1450" s="0"/>
      <c r="H1450" s="1" t="s">
        <v>385</v>
      </c>
      <c r="I1450" s="1" t="s">
        <v>386</v>
      </c>
      <c r="J1450" s="1" t="s">
        <v>387</v>
      </c>
      <c r="K1450" s="1" t="s">
        <v>387</v>
      </c>
    </row>
    <row r="1451" customFormat="false" ht="14.25" hidden="false" customHeight="false" outlineLevel="0" collapsed="false">
      <c r="A1451" s="1" t="n">
        <v>76</v>
      </c>
      <c r="B1451" s="1" t="n">
        <v>2024</v>
      </c>
      <c r="C1451" s="3" t="n">
        <v>45597</v>
      </c>
      <c r="E1451" s="1" t="s">
        <v>39</v>
      </c>
      <c r="F1451" s="1" t="s">
        <v>40</v>
      </c>
      <c r="G1451" s="1" t="s">
        <v>388</v>
      </c>
      <c r="H1451" s="1" t="s">
        <v>362</v>
      </c>
      <c r="I1451" s="1" t="s">
        <v>388</v>
      </c>
      <c r="J1451" s="1" t="s">
        <v>389</v>
      </c>
      <c r="K1451" s="1" t="s">
        <v>388</v>
      </c>
    </row>
    <row r="1452" customFormat="false" ht="14.25" hidden="false" customHeight="false" outlineLevel="0" collapsed="false">
      <c r="A1452" s="1" t="n">
        <v>76</v>
      </c>
      <c r="B1452" s="1" t="n">
        <v>2024</v>
      </c>
      <c r="C1452" s="3" t="n">
        <v>45597</v>
      </c>
      <c r="E1452" s="1" t="s">
        <v>42</v>
      </c>
      <c r="F1452" s="1" t="s">
        <v>43</v>
      </c>
      <c r="G1452" s="0"/>
      <c r="H1452" s="1" t="s">
        <v>390</v>
      </c>
      <c r="I1452" s="1" t="s">
        <v>370</v>
      </c>
      <c r="J1452" s="1" t="s">
        <v>358</v>
      </c>
      <c r="K1452" s="1" t="s">
        <v>391</v>
      </c>
    </row>
    <row r="1453" customFormat="false" ht="14.25" hidden="false" customHeight="false" outlineLevel="0" collapsed="false">
      <c r="A1453" s="1" t="n">
        <v>76</v>
      </c>
      <c r="B1453" s="1" t="n">
        <v>2024</v>
      </c>
      <c r="C1453" s="3" t="n">
        <v>45597</v>
      </c>
      <c r="E1453" s="1" t="s">
        <v>44</v>
      </c>
      <c r="F1453" s="1" t="s">
        <v>45</v>
      </c>
      <c r="G1453" s="0"/>
      <c r="H1453" s="1" t="s">
        <v>390</v>
      </c>
      <c r="I1453" s="1" t="s">
        <v>358</v>
      </c>
      <c r="J1453" s="1" t="s">
        <v>392</v>
      </c>
      <c r="K1453" s="1" t="s">
        <v>393</v>
      </c>
    </row>
    <row r="1454" customFormat="false" ht="14.25" hidden="false" customHeight="false" outlineLevel="0" collapsed="false">
      <c r="A1454" s="1" t="n">
        <v>76</v>
      </c>
      <c r="B1454" s="1" t="n">
        <v>2024</v>
      </c>
      <c r="C1454" s="3" t="n">
        <v>45597</v>
      </c>
      <c r="E1454" s="1" t="s">
        <v>48</v>
      </c>
      <c r="F1454" s="1" t="s">
        <v>45</v>
      </c>
      <c r="G1454" s="0"/>
      <c r="H1454" s="1" t="s">
        <v>358</v>
      </c>
      <c r="I1454" s="1" t="s">
        <v>358</v>
      </c>
      <c r="J1454" s="1" t="s">
        <v>358</v>
      </c>
      <c r="K1454" s="1" t="s">
        <v>358</v>
      </c>
    </row>
    <row r="1455" customFormat="false" ht="14.25" hidden="false" customHeight="false" outlineLevel="0" collapsed="false">
      <c r="A1455" s="1" t="n">
        <v>76</v>
      </c>
      <c r="B1455" s="1" t="n">
        <v>2024</v>
      </c>
      <c r="C1455" s="3" t="n">
        <v>45597</v>
      </c>
      <c r="E1455" s="1" t="s">
        <v>49</v>
      </c>
      <c r="F1455" s="1" t="s">
        <v>50</v>
      </c>
      <c r="G1455" s="1" t="s">
        <v>393</v>
      </c>
      <c r="H1455" s="1" t="s">
        <v>393</v>
      </c>
      <c r="I1455" s="1" t="s">
        <v>394</v>
      </c>
      <c r="J1455" s="1" t="s">
        <v>395</v>
      </c>
      <c r="K1455" s="1" t="s">
        <v>396</v>
      </c>
    </row>
    <row r="1456" customFormat="false" ht="14.25" hidden="false" customHeight="false" outlineLevel="0" collapsed="false">
      <c r="A1456" s="1" t="n">
        <v>76</v>
      </c>
      <c r="B1456" s="1" t="n">
        <v>2024</v>
      </c>
      <c r="C1456" s="3" t="n">
        <v>45597</v>
      </c>
      <c r="E1456" s="1" t="s">
        <v>52</v>
      </c>
      <c r="F1456" s="1" t="s">
        <v>43</v>
      </c>
      <c r="G1456" s="1" t="s">
        <v>396</v>
      </c>
      <c r="H1456" s="1" t="s">
        <v>397</v>
      </c>
      <c r="I1456" s="1" t="s">
        <v>396</v>
      </c>
      <c r="J1456" s="1" t="s">
        <v>398</v>
      </c>
      <c r="K1456" s="1" t="s">
        <v>393</v>
      </c>
    </row>
    <row r="1457" customFormat="false" ht="14.25" hidden="false" customHeight="false" outlineLevel="0" collapsed="false">
      <c r="A1457" s="1" t="n">
        <v>76</v>
      </c>
      <c r="B1457" s="1" t="n">
        <v>2024</v>
      </c>
      <c r="C1457" s="3" t="n">
        <v>45597</v>
      </c>
      <c r="E1457" s="1" t="s">
        <v>53</v>
      </c>
      <c r="F1457" s="1" t="s">
        <v>43</v>
      </c>
      <c r="G1457" s="1" t="s">
        <v>393</v>
      </c>
      <c r="H1457" s="1" t="s">
        <v>393</v>
      </c>
      <c r="I1457" s="1" t="s">
        <v>385</v>
      </c>
      <c r="J1457" s="1" t="s">
        <v>399</v>
      </c>
      <c r="K1457" s="1" t="s">
        <v>400</v>
      </c>
    </row>
    <row r="1458" customFormat="false" ht="14.25" hidden="false" customHeight="false" outlineLevel="0" collapsed="false">
      <c r="A1458" s="1" t="n">
        <v>76</v>
      </c>
      <c r="B1458" s="1" t="n">
        <v>2024</v>
      </c>
      <c r="C1458" s="3" t="n">
        <v>45597</v>
      </c>
      <c r="E1458" s="1" t="s">
        <v>54</v>
      </c>
      <c r="F1458" s="1" t="s">
        <v>40</v>
      </c>
      <c r="G1458" s="0"/>
      <c r="H1458" s="1" t="s">
        <v>386</v>
      </c>
      <c r="I1458" s="1" t="s">
        <v>401</v>
      </c>
      <c r="J1458" s="1" t="s">
        <v>402</v>
      </c>
      <c r="K1458" s="1" t="s">
        <v>403</v>
      </c>
    </row>
    <row r="1459" customFormat="false" ht="14.25" hidden="false" customHeight="false" outlineLevel="0" collapsed="false">
      <c r="A1459" s="1" t="n">
        <v>76</v>
      </c>
      <c r="B1459" s="1" t="n">
        <v>2024</v>
      </c>
      <c r="C1459" s="3" t="n">
        <v>45597</v>
      </c>
      <c r="E1459" s="1" t="s">
        <v>56</v>
      </c>
      <c r="F1459" s="1" t="s">
        <v>43</v>
      </c>
      <c r="G1459" s="0"/>
      <c r="H1459" s="1" t="s">
        <v>393</v>
      </c>
      <c r="I1459" s="1" t="s">
        <v>358</v>
      </c>
      <c r="J1459" s="1" t="s">
        <v>396</v>
      </c>
      <c r="K1459" s="1" t="s">
        <v>396</v>
      </c>
    </row>
    <row r="1460" customFormat="false" ht="14.25" hidden="false" customHeight="false" outlineLevel="0" collapsed="false">
      <c r="A1460" s="1" t="n">
        <v>76</v>
      </c>
      <c r="B1460" s="1" t="n">
        <v>2024</v>
      </c>
      <c r="C1460" s="3" t="n">
        <v>45597</v>
      </c>
      <c r="E1460" s="1" t="s">
        <v>57</v>
      </c>
      <c r="F1460" s="1" t="s">
        <v>40</v>
      </c>
      <c r="G1460" s="1" t="s">
        <v>393</v>
      </c>
      <c r="H1460" s="1" t="s">
        <v>397</v>
      </c>
      <c r="I1460" s="1" t="s">
        <v>393</v>
      </c>
      <c r="J1460" s="1" t="s">
        <v>404</v>
      </c>
      <c r="K1460" s="1" t="s">
        <v>393</v>
      </c>
    </row>
    <row r="1461" customFormat="false" ht="14.25" hidden="false" customHeight="false" outlineLevel="0" collapsed="false">
      <c r="A1461" s="1" t="n">
        <v>76</v>
      </c>
      <c r="B1461" s="1" t="n">
        <v>2024</v>
      </c>
      <c r="C1461" s="3" t="n">
        <v>45597</v>
      </c>
      <c r="E1461" s="1" t="s">
        <v>58</v>
      </c>
      <c r="F1461" s="1" t="s">
        <v>40</v>
      </c>
      <c r="G1461" s="1" t="s">
        <v>370</v>
      </c>
      <c r="H1461" s="1" t="s">
        <v>394</v>
      </c>
      <c r="I1461" s="1" t="s">
        <v>405</v>
      </c>
      <c r="J1461" s="1" t="s">
        <v>406</v>
      </c>
      <c r="K1461" s="1" t="s">
        <v>370</v>
      </c>
    </row>
    <row r="1462" customFormat="false" ht="14.25" hidden="false" customHeight="false" outlineLevel="0" collapsed="false">
      <c r="A1462" s="1" t="n">
        <v>76</v>
      </c>
      <c r="B1462" s="1" t="n">
        <v>2024</v>
      </c>
      <c r="C1462" s="3" t="n">
        <v>45597</v>
      </c>
      <c r="E1462" s="1" t="s">
        <v>59</v>
      </c>
      <c r="F1462" s="1" t="s">
        <v>45</v>
      </c>
      <c r="G1462" s="1" t="s">
        <v>393</v>
      </c>
      <c r="H1462" s="1" t="s">
        <v>397</v>
      </c>
      <c r="I1462" s="1" t="s">
        <v>393</v>
      </c>
      <c r="J1462" s="1" t="s">
        <v>407</v>
      </c>
      <c r="K1462" s="1" t="s">
        <v>404</v>
      </c>
    </row>
    <row r="1463" customFormat="false" ht="14.25" hidden="false" customHeight="false" outlineLevel="0" collapsed="false">
      <c r="A1463" s="1" t="n">
        <v>76</v>
      </c>
      <c r="B1463" s="1" t="n">
        <v>2024</v>
      </c>
      <c r="C1463" s="3" t="n">
        <v>45597</v>
      </c>
      <c r="E1463" s="1" t="s">
        <v>60</v>
      </c>
      <c r="F1463" s="1" t="s">
        <v>61</v>
      </c>
      <c r="G1463" s="0"/>
      <c r="H1463" s="1" t="s">
        <v>408</v>
      </c>
      <c r="I1463" s="1" t="s">
        <v>409</v>
      </c>
      <c r="J1463" s="1" t="s">
        <v>410</v>
      </c>
      <c r="K1463" s="1" t="s">
        <v>411</v>
      </c>
    </row>
    <row r="1464" customFormat="false" ht="14.25" hidden="false" customHeight="false" outlineLevel="0" collapsed="false">
      <c r="A1464" s="1" t="n">
        <v>76</v>
      </c>
      <c r="B1464" s="1" t="n">
        <v>2024</v>
      </c>
      <c r="C1464" s="3" t="n">
        <v>45597</v>
      </c>
      <c r="E1464" s="1" t="s">
        <v>63</v>
      </c>
      <c r="F1464" s="1" t="s">
        <v>40</v>
      </c>
      <c r="G1464" s="1" t="s">
        <v>386</v>
      </c>
      <c r="H1464" s="1" t="s">
        <v>370</v>
      </c>
      <c r="I1464" s="1" t="s">
        <v>412</v>
      </c>
      <c r="J1464" s="1" t="s">
        <v>413</v>
      </c>
      <c r="K1464" s="1" t="s">
        <v>386</v>
      </c>
    </row>
    <row r="1465" customFormat="false" ht="14.25" hidden="false" customHeight="false" outlineLevel="0" collapsed="false">
      <c r="A1465" s="1" t="n">
        <v>76</v>
      </c>
      <c r="B1465" s="1" t="n">
        <v>2024</v>
      </c>
      <c r="C1465" s="3" t="n">
        <v>45597</v>
      </c>
      <c r="E1465" s="1" t="s">
        <v>64</v>
      </c>
      <c r="F1465" s="1" t="s">
        <v>40</v>
      </c>
      <c r="G1465" s="0"/>
      <c r="H1465" s="1" t="s">
        <v>405</v>
      </c>
      <c r="I1465" s="1" t="s">
        <v>409</v>
      </c>
      <c r="J1465" s="1" t="s">
        <v>414</v>
      </c>
      <c r="K1465" s="1" t="s">
        <v>415</v>
      </c>
    </row>
    <row r="1466" customFormat="false" ht="14.25" hidden="false" customHeight="false" outlineLevel="0" collapsed="false">
      <c r="A1466" s="1" t="n">
        <v>76</v>
      </c>
      <c r="B1466" s="1" t="n">
        <v>2024</v>
      </c>
      <c r="C1466" s="3" t="n">
        <v>45597</v>
      </c>
      <c r="E1466" s="1" t="s">
        <v>66</v>
      </c>
      <c r="F1466" s="1" t="s">
        <v>45</v>
      </c>
      <c r="G1466" s="0"/>
    </row>
    <row r="1467" customFormat="false" ht="14.25" hidden="false" customHeight="false" outlineLevel="0" collapsed="false">
      <c r="A1467" s="1" t="n">
        <v>76</v>
      </c>
      <c r="B1467" s="1" t="n">
        <v>2024</v>
      </c>
      <c r="C1467" s="3" t="n">
        <v>45597</v>
      </c>
      <c r="E1467" s="1" t="s">
        <v>67</v>
      </c>
      <c r="F1467" s="1" t="s">
        <v>45</v>
      </c>
      <c r="G1467" s="0"/>
    </row>
    <row r="1468" customFormat="false" ht="14.25" hidden="false" customHeight="false" outlineLevel="0" collapsed="false">
      <c r="A1468" s="1" t="n">
        <v>76</v>
      </c>
      <c r="B1468" s="1" t="n">
        <v>2024</v>
      </c>
      <c r="C1468" s="3" t="n">
        <v>45597</v>
      </c>
      <c r="E1468" s="1" t="s">
        <v>68</v>
      </c>
      <c r="F1468" s="1" t="s">
        <v>45</v>
      </c>
      <c r="G1468" s="0"/>
    </row>
    <row r="1469" customFormat="false" ht="14.25" hidden="false" customHeight="false" outlineLevel="0" collapsed="false">
      <c r="A1469" s="1" t="n">
        <v>76</v>
      </c>
      <c r="B1469" s="1" t="n">
        <v>2024</v>
      </c>
      <c r="C1469" s="3" t="n">
        <v>45597</v>
      </c>
      <c r="E1469" s="1" t="s">
        <v>69</v>
      </c>
      <c r="F1469" s="1" t="s">
        <v>45</v>
      </c>
      <c r="G1469" s="0"/>
      <c r="H1469" s="1" t="s">
        <v>370</v>
      </c>
      <c r="I1469" s="1" t="s">
        <v>370</v>
      </c>
      <c r="J1469" s="1" t="s">
        <v>370</v>
      </c>
      <c r="K1469" s="1" t="s">
        <v>370</v>
      </c>
    </row>
    <row r="1470" customFormat="false" ht="14.25" hidden="false" customHeight="false" outlineLevel="0" collapsed="false">
      <c r="A1470" s="1" t="n">
        <v>77</v>
      </c>
      <c r="B1470" s="1" t="n">
        <v>2024</v>
      </c>
      <c r="C1470" s="3" t="n">
        <v>45604</v>
      </c>
      <c r="E1470" s="1" t="s">
        <v>12</v>
      </c>
      <c r="F1470" s="1" t="s">
        <v>13</v>
      </c>
      <c r="G1470" s="1" t="s">
        <v>357</v>
      </c>
      <c r="H1470" s="1" t="s">
        <v>357</v>
      </c>
      <c r="I1470" s="1" t="s">
        <v>358</v>
      </c>
      <c r="J1470" s="1" t="s">
        <v>359</v>
      </c>
      <c r="K1470" s="1" t="s">
        <v>359</v>
      </c>
    </row>
    <row r="1471" customFormat="false" ht="14.25" hidden="false" customHeight="false" outlineLevel="0" collapsed="false">
      <c r="A1471" s="1" t="n">
        <v>77</v>
      </c>
      <c r="B1471" s="1" t="n">
        <v>2024</v>
      </c>
      <c r="C1471" s="3" t="n">
        <v>45604</v>
      </c>
      <c r="E1471" s="1" t="s">
        <v>14</v>
      </c>
      <c r="F1471" s="1" t="s">
        <v>13</v>
      </c>
      <c r="G1471" s="1" t="s">
        <v>360</v>
      </c>
      <c r="H1471" s="1" t="s">
        <v>360</v>
      </c>
      <c r="I1471" s="1" t="s">
        <v>360</v>
      </c>
      <c r="J1471" s="1" t="s">
        <v>360</v>
      </c>
      <c r="K1471" s="1" t="s">
        <v>360</v>
      </c>
    </row>
    <row r="1472" customFormat="false" ht="14.25" hidden="false" customHeight="false" outlineLevel="0" collapsed="false">
      <c r="A1472" s="1" t="n">
        <v>77</v>
      </c>
      <c r="B1472" s="1" t="n">
        <v>2024</v>
      </c>
      <c r="C1472" s="3" t="n">
        <v>45604</v>
      </c>
      <c r="E1472" s="1" t="s">
        <v>15</v>
      </c>
      <c r="F1472" s="1" t="s">
        <v>13</v>
      </c>
      <c r="G1472" s="1" t="s">
        <v>363</v>
      </c>
      <c r="H1472" s="1" t="s">
        <v>363</v>
      </c>
      <c r="I1472" s="1" t="s">
        <v>357</v>
      </c>
      <c r="J1472" s="1" t="s">
        <v>390</v>
      </c>
      <c r="K1472" s="1" t="s">
        <v>390</v>
      </c>
    </row>
    <row r="1473" customFormat="false" ht="14.25" hidden="false" customHeight="false" outlineLevel="0" collapsed="false">
      <c r="A1473" s="1" t="n">
        <v>77</v>
      </c>
      <c r="B1473" s="1" t="n">
        <v>2024</v>
      </c>
      <c r="C1473" s="3" t="n">
        <v>45604</v>
      </c>
      <c r="E1473" s="1" t="s">
        <v>16</v>
      </c>
      <c r="F1473" s="1" t="s">
        <v>13</v>
      </c>
      <c r="G1473" s="1" t="s">
        <v>362</v>
      </c>
      <c r="H1473" s="1" t="s">
        <v>362</v>
      </c>
      <c r="I1473" s="1" t="s">
        <v>362</v>
      </c>
      <c r="J1473" s="1" t="s">
        <v>362</v>
      </c>
      <c r="K1473" s="1" t="s">
        <v>362</v>
      </c>
    </row>
    <row r="1474" customFormat="false" ht="14.25" hidden="false" customHeight="false" outlineLevel="0" collapsed="false">
      <c r="A1474" s="1" t="n">
        <v>77</v>
      </c>
      <c r="B1474" s="1" t="n">
        <v>2024</v>
      </c>
      <c r="C1474" s="3" t="n">
        <v>45604</v>
      </c>
      <c r="E1474" s="1" t="s">
        <v>17</v>
      </c>
      <c r="F1474" s="1" t="s">
        <v>13</v>
      </c>
      <c r="G1474" s="1" t="s">
        <v>362</v>
      </c>
      <c r="H1474" s="1" t="s">
        <v>362</v>
      </c>
      <c r="I1474" s="1" t="s">
        <v>362</v>
      </c>
      <c r="J1474" s="1" t="s">
        <v>362</v>
      </c>
      <c r="K1474" s="1" t="s">
        <v>362</v>
      </c>
    </row>
    <row r="1475" customFormat="false" ht="14.25" hidden="false" customHeight="false" outlineLevel="0" collapsed="false">
      <c r="A1475" s="1" t="n">
        <v>77</v>
      </c>
      <c r="B1475" s="1" t="n">
        <v>2024</v>
      </c>
      <c r="C1475" s="3" t="n">
        <v>45604</v>
      </c>
      <c r="E1475" s="1" t="s">
        <v>18</v>
      </c>
      <c r="F1475" s="1" t="s">
        <v>13</v>
      </c>
      <c r="G1475" s="1" t="s">
        <v>358</v>
      </c>
      <c r="H1475" s="1" t="s">
        <v>358</v>
      </c>
      <c r="I1475" s="1" t="s">
        <v>358</v>
      </c>
      <c r="J1475" s="1" t="s">
        <v>358</v>
      </c>
      <c r="K1475" s="1" t="s">
        <v>358</v>
      </c>
    </row>
    <row r="1476" customFormat="false" ht="14.25" hidden="false" customHeight="false" outlineLevel="0" collapsed="false">
      <c r="A1476" s="1" t="n">
        <v>77</v>
      </c>
      <c r="B1476" s="1" t="n">
        <v>2024</v>
      </c>
      <c r="C1476" s="3" t="n">
        <v>45604</v>
      </c>
      <c r="E1476" s="1" t="s">
        <v>19</v>
      </c>
      <c r="F1476" s="1" t="s">
        <v>13</v>
      </c>
      <c r="G1476" s="1" t="s">
        <v>416</v>
      </c>
      <c r="H1476" s="1" t="s">
        <v>416</v>
      </c>
      <c r="I1476" s="1" t="s">
        <v>361</v>
      </c>
      <c r="J1476" s="1" t="s">
        <v>385</v>
      </c>
      <c r="K1476" s="1" t="s">
        <v>385</v>
      </c>
    </row>
    <row r="1477" customFormat="false" ht="14.25" hidden="false" customHeight="false" outlineLevel="0" collapsed="false">
      <c r="A1477" s="1" t="n">
        <v>77</v>
      </c>
      <c r="B1477" s="1" t="n">
        <v>2024</v>
      </c>
      <c r="C1477" s="3" t="n">
        <v>45604</v>
      </c>
      <c r="E1477" s="1" t="s">
        <v>20</v>
      </c>
      <c r="F1477" s="1" t="s">
        <v>13</v>
      </c>
      <c r="G1477" s="1" t="s">
        <v>358</v>
      </c>
      <c r="H1477" s="1" t="s">
        <v>358</v>
      </c>
      <c r="I1477" s="1" t="s">
        <v>360</v>
      </c>
      <c r="J1477" s="1" t="s">
        <v>416</v>
      </c>
      <c r="K1477" s="1" t="s">
        <v>416</v>
      </c>
    </row>
    <row r="1478" customFormat="false" ht="14.25" hidden="false" customHeight="false" outlineLevel="0" collapsed="false">
      <c r="A1478" s="1" t="n">
        <v>77</v>
      </c>
      <c r="B1478" s="1" t="n">
        <v>2024</v>
      </c>
      <c r="C1478" s="3" t="n">
        <v>45604</v>
      </c>
      <c r="E1478" s="1" t="s">
        <v>21</v>
      </c>
      <c r="F1478" s="1" t="s">
        <v>13</v>
      </c>
      <c r="G1478" s="1" t="s">
        <v>366</v>
      </c>
      <c r="H1478" s="1" t="s">
        <v>366</v>
      </c>
      <c r="I1478" s="1" t="s">
        <v>366</v>
      </c>
      <c r="J1478" s="1" t="s">
        <v>366</v>
      </c>
      <c r="K1478" s="1" t="s">
        <v>366</v>
      </c>
    </row>
    <row r="1479" customFormat="false" ht="14.25" hidden="false" customHeight="false" outlineLevel="0" collapsed="false">
      <c r="A1479" s="1" t="n">
        <v>77</v>
      </c>
      <c r="B1479" s="1" t="n">
        <v>2024</v>
      </c>
      <c r="C1479" s="3" t="n">
        <v>45604</v>
      </c>
      <c r="E1479" s="1" t="s">
        <v>73</v>
      </c>
      <c r="F1479" s="1" t="s">
        <v>13</v>
      </c>
      <c r="G1479" s="1" t="s">
        <v>358</v>
      </c>
      <c r="H1479" s="1" t="s">
        <v>358</v>
      </c>
      <c r="I1479" s="1" t="s">
        <v>417</v>
      </c>
      <c r="J1479" s="1" t="s">
        <v>418</v>
      </c>
      <c r="K1479" s="1" t="s">
        <v>418</v>
      </c>
    </row>
    <row r="1480" customFormat="false" ht="14.25" hidden="false" customHeight="false" outlineLevel="0" collapsed="false">
      <c r="A1480" s="1" t="n">
        <v>77</v>
      </c>
      <c r="B1480" s="1" t="n">
        <v>2024</v>
      </c>
      <c r="C1480" s="3" t="n">
        <v>45604</v>
      </c>
      <c r="E1480" s="1" t="s">
        <v>23</v>
      </c>
      <c r="F1480" s="1" t="s">
        <v>13</v>
      </c>
      <c r="G1480" s="1" t="s">
        <v>362</v>
      </c>
      <c r="H1480" s="1" t="s">
        <v>362</v>
      </c>
      <c r="I1480" s="1" t="s">
        <v>362</v>
      </c>
      <c r="J1480" s="1" t="s">
        <v>362</v>
      </c>
      <c r="K1480" s="1" t="s">
        <v>362</v>
      </c>
    </row>
    <row r="1481" customFormat="false" ht="14.25" hidden="false" customHeight="false" outlineLevel="0" collapsed="false">
      <c r="A1481" s="1" t="n">
        <v>77</v>
      </c>
      <c r="B1481" s="1" t="n">
        <v>2024</v>
      </c>
      <c r="C1481" s="3" t="n">
        <v>45604</v>
      </c>
      <c r="E1481" s="1" t="s">
        <v>24</v>
      </c>
      <c r="F1481" s="1" t="s">
        <v>13</v>
      </c>
      <c r="G1481" s="1" t="s">
        <v>393</v>
      </c>
      <c r="H1481" s="1" t="s">
        <v>393</v>
      </c>
      <c r="I1481" s="1" t="s">
        <v>358</v>
      </c>
      <c r="J1481" s="1" t="s">
        <v>396</v>
      </c>
      <c r="K1481" s="1" t="s">
        <v>396</v>
      </c>
    </row>
    <row r="1482" customFormat="false" ht="14.25" hidden="false" customHeight="false" outlineLevel="0" collapsed="false">
      <c r="A1482" s="1" t="n">
        <v>77</v>
      </c>
      <c r="B1482" s="1" t="n">
        <v>2024</v>
      </c>
      <c r="C1482" s="3" t="n">
        <v>45604</v>
      </c>
      <c r="E1482" s="1" t="s">
        <v>25</v>
      </c>
      <c r="F1482" s="1" t="s">
        <v>26</v>
      </c>
      <c r="G1482" s="1" t="s">
        <v>358</v>
      </c>
      <c r="H1482" s="1" t="s">
        <v>358</v>
      </c>
      <c r="I1482" s="1" t="s">
        <v>360</v>
      </c>
      <c r="J1482" s="1" t="s">
        <v>416</v>
      </c>
      <c r="K1482" s="1" t="s">
        <v>416</v>
      </c>
    </row>
    <row r="1483" customFormat="false" ht="14.25" hidden="false" customHeight="false" outlineLevel="0" collapsed="false">
      <c r="A1483" s="1" t="n">
        <v>77</v>
      </c>
      <c r="B1483" s="1" t="n">
        <v>2024</v>
      </c>
      <c r="C1483" s="3" t="n">
        <v>45604</v>
      </c>
      <c r="E1483" s="1" t="s">
        <v>27</v>
      </c>
      <c r="F1483" s="1" t="s">
        <v>13</v>
      </c>
      <c r="G1483" s="1" t="s">
        <v>360</v>
      </c>
      <c r="H1483" s="1" t="s">
        <v>360</v>
      </c>
      <c r="I1483" s="1" t="s">
        <v>360</v>
      </c>
      <c r="J1483" s="1" t="s">
        <v>360</v>
      </c>
      <c r="K1483" s="1" t="s">
        <v>360</v>
      </c>
    </row>
    <row r="1484" customFormat="false" ht="14.25" hidden="false" customHeight="false" outlineLevel="0" collapsed="false">
      <c r="A1484" s="1" t="n">
        <v>77</v>
      </c>
      <c r="B1484" s="1" t="n">
        <v>2024</v>
      </c>
      <c r="C1484" s="3" t="n">
        <v>45604</v>
      </c>
      <c r="E1484" s="1" t="s">
        <v>28</v>
      </c>
      <c r="F1484" s="1" t="s">
        <v>13</v>
      </c>
      <c r="G1484" s="1" t="s">
        <v>419</v>
      </c>
      <c r="H1484" s="1" t="s">
        <v>419</v>
      </c>
      <c r="I1484" s="1" t="s">
        <v>362</v>
      </c>
      <c r="J1484" s="1" t="s">
        <v>384</v>
      </c>
      <c r="K1484" s="1" t="s">
        <v>384</v>
      </c>
    </row>
    <row r="1485" customFormat="false" ht="14.25" hidden="false" customHeight="false" outlineLevel="0" collapsed="false">
      <c r="A1485" s="1" t="n">
        <v>77</v>
      </c>
      <c r="B1485" s="1" t="n">
        <v>2024</v>
      </c>
      <c r="C1485" s="3" t="n">
        <v>45604</v>
      </c>
      <c r="E1485" s="1" t="s">
        <v>29</v>
      </c>
      <c r="F1485" s="1" t="s">
        <v>13</v>
      </c>
      <c r="G1485" s="1" t="s">
        <v>357</v>
      </c>
      <c r="H1485" s="1" t="s">
        <v>357</v>
      </c>
      <c r="I1485" s="1" t="s">
        <v>357</v>
      </c>
      <c r="J1485" s="1" t="s">
        <v>357</v>
      </c>
      <c r="K1485" s="1" t="s">
        <v>357</v>
      </c>
    </row>
    <row r="1486" customFormat="false" ht="14.25" hidden="false" customHeight="false" outlineLevel="0" collapsed="false">
      <c r="A1486" s="1" t="n">
        <v>77</v>
      </c>
      <c r="B1486" s="1" t="n">
        <v>2024</v>
      </c>
      <c r="C1486" s="3" t="n">
        <v>45604</v>
      </c>
      <c r="E1486" s="1" t="s">
        <v>31</v>
      </c>
      <c r="F1486" s="1" t="s">
        <v>32</v>
      </c>
      <c r="G1486" s="1" t="s">
        <v>378</v>
      </c>
      <c r="H1486" s="1" t="s">
        <v>378</v>
      </c>
      <c r="I1486" s="1" t="s">
        <v>378</v>
      </c>
      <c r="J1486" s="1" t="s">
        <v>378</v>
      </c>
      <c r="K1486" s="1" t="s">
        <v>378</v>
      </c>
    </row>
    <row r="1487" customFormat="false" ht="14.25" hidden="false" customHeight="false" outlineLevel="0" collapsed="false">
      <c r="A1487" s="1" t="n">
        <v>77</v>
      </c>
      <c r="B1487" s="1" t="n">
        <v>2024</v>
      </c>
      <c r="C1487" s="3" t="n">
        <v>45604</v>
      </c>
      <c r="E1487" s="1" t="s">
        <v>34</v>
      </c>
      <c r="F1487" s="1" t="s">
        <v>35</v>
      </c>
      <c r="G1487" s="1" t="s">
        <v>379</v>
      </c>
      <c r="H1487" s="1" t="s">
        <v>379</v>
      </c>
      <c r="I1487" s="1" t="s">
        <v>382</v>
      </c>
      <c r="J1487" s="1" t="s">
        <v>420</v>
      </c>
      <c r="K1487" s="1" t="s">
        <v>420</v>
      </c>
    </row>
    <row r="1488" customFormat="false" ht="14.25" hidden="false" customHeight="false" outlineLevel="0" collapsed="false">
      <c r="A1488" s="1" t="n">
        <v>77</v>
      </c>
      <c r="B1488" s="1" t="n">
        <v>2024</v>
      </c>
      <c r="C1488" s="3" t="n">
        <v>45604</v>
      </c>
      <c r="E1488" s="1" t="s">
        <v>36</v>
      </c>
      <c r="F1488" s="1" t="s">
        <v>35</v>
      </c>
      <c r="G1488" s="1" t="s">
        <v>362</v>
      </c>
      <c r="H1488" s="1" t="s">
        <v>362</v>
      </c>
      <c r="I1488" s="1" t="s">
        <v>362</v>
      </c>
      <c r="J1488" s="1" t="s">
        <v>362</v>
      </c>
      <c r="K1488" s="1" t="s">
        <v>362</v>
      </c>
    </row>
    <row r="1489" customFormat="false" ht="14.25" hidden="false" customHeight="false" outlineLevel="0" collapsed="false">
      <c r="A1489" s="1" t="n">
        <v>77</v>
      </c>
      <c r="B1489" s="1" t="n">
        <v>2024</v>
      </c>
      <c r="C1489" s="3" t="n">
        <v>45604</v>
      </c>
      <c r="E1489" s="1" t="s">
        <v>153</v>
      </c>
      <c r="F1489" s="1" t="s">
        <v>154</v>
      </c>
      <c r="G1489" s="1" t="s">
        <v>386</v>
      </c>
      <c r="H1489" s="1" t="s">
        <v>386</v>
      </c>
      <c r="I1489" s="1" t="s">
        <v>386</v>
      </c>
      <c r="J1489" s="1" t="s">
        <v>386</v>
      </c>
      <c r="K1489" s="1" t="s">
        <v>386</v>
      </c>
    </row>
    <row r="1490" customFormat="false" ht="14.25" hidden="false" customHeight="false" outlineLevel="0" collapsed="false">
      <c r="A1490" s="1" t="n">
        <v>77</v>
      </c>
      <c r="B1490" s="1" t="n">
        <v>2024</v>
      </c>
      <c r="C1490" s="3" t="n">
        <v>45604</v>
      </c>
      <c r="E1490" s="1" t="s">
        <v>39</v>
      </c>
      <c r="F1490" s="1" t="s">
        <v>40</v>
      </c>
      <c r="G1490" s="1" t="s">
        <v>362</v>
      </c>
      <c r="H1490" s="1" t="s">
        <v>362</v>
      </c>
      <c r="I1490" s="1" t="s">
        <v>393</v>
      </c>
      <c r="J1490" s="1" t="s">
        <v>397</v>
      </c>
      <c r="K1490" s="1" t="s">
        <v>397</v>
      </c>
    </row>
    <row r="1491" customFormat="false" ht="14.25" hidden="false" customHeight="false" outlineLevel="0" collapsed="false">
      <c r="A1491" s="1" t="n">
        <v>77</v>
      </c>
      <c r="B1491" s="1" t="n">
        <v>2024</v>
      </c>
      <c r="C1491" s="3" t="n">
        <v>45604</v>
      </c>
      <c r="E1491" s="1" t="s">
        <v>42</v>
      </c>
      <c r="F1491" s="1" t="s">
        <v>43</v>
      </c>
      <c r="G1491" s="1" t="s">
        <v>390</v>
      </c>
      <c r="H1491" s="1" t="s">
        <v>390</v>
      </c>
      <c r="I1491" s="1" t="s">
        <v>385</v>
      </c>
      <c r="J1491" s="1" t="s">
        <v>421</v>
      </c>
      <c r="K1491" s="1" t="s">
        <v>394</v>
      </c>
    </row>
    <row r="1492" customFormat="false" ht="14.25" hidden="false" customHeight="false" outlineLevel="0" collapsed="false">
      <c r="A1492" s="1" t="n">
        <v>77</v>
      </c>
      <c r="B1492" s="1" t="n">
        <v>2024</v>
      </c>
      <c r="C1492" s="3" t="n">
        <v>45604</v>
      </c>
      <c r="E1492" s="1" t="s">
        <v>44</v>
      </c>
      <c r="F1492" s="1" t="s">
        <v>45</v>
      </c>
      <c r="G1492" s="1" t="s">
        <v>390</v>
      </c>
      <c r="H1492" s="1" t="s">
        <v>390</v>
      </c>
      <c r="I1492" s="1" t="s">
        <v>358</v>
      </c>
      <c r="J1492" s="1" t="s">
        <v>422</v>
      </c>
      <c r="K1492" s="1" t="s">
        <v>393</v>
      </c>
    </row>
    <row r="1493" customFormat="false" ht="14.25" hidden="false" customHeight="false" outlineLevel="0" collapsed="false">
      <c r="A1493" s="1" t="n">
        <v>77</v>
      </c>
      <c r="B1493" s="1" t="n">
        <v>2024</v>
      </c>
      <c r="C1493" s="3" t="n">
        <v>45604</v>
      </c>
      <c r="E1493" s="1" t="s">
        <v>48</v>
      </c>
      <c r="F1493" s="1" t="s">
        <v>45</v>
      </c>
      <c r="G1493" s="1" t="s">
        <v>394</v>
      </c>
      <c r="H1493" s="1" t="s">
        <v>394</v>
      </c>
      <c r="I1493" s="1" t="s">
        <v>394</v>
      </c>
      <c r="J1493" s="1" t="s">
        <v>394</v>
      </c>
      <c r="K1493" s="1" t="s">
        <v>394</v>
      </c>
    </row>
    <row r="1494" customFormat="false" ht="14.25" hidden="false" customHeight="false" outlineLevel="0" collapsed="false">
      <c r="A1494" s="1" t="n">
        <v>77</v>
      </c>
      <c r="B1494" s="1" t="n">
        <v>2024</v>
      </c>
      <c r="C1494" s="3" t="n">
        <v>45604</v>
      </c>
      <c r="E1494" s="1" t="s">
        <v>49</v>
      </c>
      <c r="F1494" s="1" t="s">
        <v>50</v>
      </c>
      <c r="G1494" s="1" t="s">
        <v>393</v>
      </c>
      <c r="H1494" s="1" t="s">
        <v>393</v>
      </c>
      <c r="I1494" s="1" t="s">
        <v>370</v>
      </c>
      <c r="J1494" s="1" t="s">
        <v>423</v>
      </c>
      <c r="K1494" s="1" t="s">
        <v>358</v>
      </c>
    </row>
    <row r="1495" customFormat="false" ht="14.25" hidden="false" customHeight="false" outlineLevel="0" collapsed="false">
      <c r="A1495" s="1" t="n">
        <v>77</v>
      </c>
      <c r="B1495" s="1" t="n">
        <v>2024</v>
      </c>
      <c r="C1495" s="3" t="n">
        <v>45604</v>
      </c>
      <c r="E1495" s="1" t="s">
        <v>52</v>
      </c>
      <c r="F1495" s="1" t="s">
        <v>43</v>
      </c>
      <c r="G1495" s="1" t="s">
        <v>393</v>
      </c>
      <c r="H1495" s="1" t="s">
        <v>397</v>
      </c>
      <c r="I1495" s="1" t="s">
        <v>396</v>
      </c>
      <c r="J1495" s="1" t="s">
        <v>398</v>
      </c>
      <c r="K1495" s="1" t="s">
        <v>393</v>
      </c>
    </row>
    <row r="1496" customFormat="false" ht="14.25" hidden="false" customHeight="false" outlineLevel="0" collapsed="false">
      <c r="A1496" s="1" t="n">
        <v>77</v>
      </c>
      <c r="B1496" s="1" t="n">
        <v>2024</v>
      </c>
      <c r="C1496" s="3" t="n">
        <v>45604</v>
      </c>
      <c r="E1496" s="1" t="s">
        <v>53</v>
      </c>
      <c r="F1496" s="1" t="s">
        <v>43</v>
      </c>
      <c r="G1496" s="1" t="s">
        <v>388</v>
      </c>
      <c r="H1496" s="1" t="s">
        <v>388</v>
      </c>
      <c r="I1496" s="1" t="s">
        <v>394</v>
      </c>
      <c r="J1496" s="1" t="s">
        <v>393</v>
      </c>
      <c r="K1496" s="1" t="s">
        <v>393</v>
      </c>
    </row>
    <row r="1497" customFormat="false" ht="14.25" hidden="false" customHeight="false" outlineLevel="0" collapsed="false">
      <c r="A1497" s="1" t="n">
        <v>77</v>
      </c>
      <c r="B1497" s="1" t="n">
        <v>2024</v>
      </c>
      <c r="C1497" s="3" t="n">
        <v>45604</v>
      </c>
      <c r="E1497" s="1" t="s">
        <v>54</v>
      </c>
      <c r="F1497" s="1" t="s">
        <v>40</v>
      </c>
      <c r="G1497" s="1" t="s">
        <v>401</v>
      </c>
      <c r="H1497" s="1" t="s">
        <v>415</v>
      </c>
      <c r="I1497" s="1" t="s">
        <v>401</v>
      </c>
      <c r="J1497" s="1" t="s">
        <v>424</v>
      </c>
      <c r="K1497" s="1" t="s">
        <v>401</v>
      </c>
    </row>
    <row r="1498" customFormat="false" ht="14.25" hidden="false" customHeight="false" outlineLevel="0" collapsed="false">
      <c r="A1498" s="1" t="n">
        <v>77</v>
      </c>
      <c r="B1498" s="1" t="n">
        <v>2024</v>
      </c>
      <c r="C1498" s="3" t="n">
        <v>45604</v>
      </c>
      <c r="E1498" s="1" t="s">
        <v>56</v>
      </c>
      <c r="F1498" s="1" t="s">
        <v>43</v>
      </c>
      <c r="G1498" s="1" t="s">
        <v>393</v>
      </c>
      <c r="H1498" s="1" t="s">
        <v>393</v>
      </c>
      <c r="I1498" s="1" t="s">
        <v>393</v>
      </c>
      <c r="J1498" s="1" t="s">
        <v>393</v>
      </c>
      <c r="K1498" s="1" t="s">
        <v>393</v>
      </c>
    </row>
    <row r="1499" customFormat="false" ht="14.25" hidden="false" customHeight="false" outlineLevel="0" collapsed="false">
      <c r="A1499" s="1" t="n">
        <v>77</v>
      </c>
      <c r="B1499" s="1" t="n">
        <v>2024</v>
      </c>
      <c r="C1499" s="3" t="n">
        <v>45604</v>
      </c>
      <c r="E1499" s="1" t="s">
        <v>57</v>
      </c>
      <c r="F1499" s="1" t="s">
        <v>40</v>
      </c>
      <c r="G1499" s="1" t="s">
        <v>390</v>
      </c>
      <c r="H1499" s="1" t="s">
        <v>390</v>
      </c>
      <c r="I1499" s="1" t="s">
        <v>396</v>
      </c>
      <c r="J1499" s="1" t="s">
        <v>393</v>
      </c>
      <c r="K1499" s="1" t="s">
        <v>393</v>
      </c>
    </row>
    <row r="1500" customFormat="false" ht="14.25" hidden="false" customHeight="false" outlineLevel="0" collapsed="false">
      <c r="A1500" s="1" t="n">
        <v>77</v>
      </c>
      <c r="B1500" s="1" t="n">
        <v>2024</v>
      </c>
      <c r="C1500" s="3" t="n">
        <v>45604</v>
      </c>
      <c r="E1500" s="1" t="s">
        <v>58</v>
      </c>
      <c r="F1500" s="1" t="s">
        <v>40</v>
      </c>
      <c r="G1500" s="1" t="s">
        <v>370</v>
      </c>
      <c r="H1500" s="1" t="s">
        <v>394</v>
      </c>
      <c r="I1500" s="1" t="s">
        <v>405</v>
      </c>
      <c r="J1500" s="1" t="s">
        <v>385</v>
      </c>
      <c r="K1500" s="1" t="s">
        <v>370</v>
      </c>
    </row>
    <row r="1501" customFormat="false" ht="14.25" hidden="false" customHeight="false" outlineLevel="0" collapsed="false">
      <c r="A1501" s="1" t="n">
        <v>77</v>
      </c>
      <c r="B1501" s="1" t="n">
        <v>2024</v>
      </c>
      <c r="C1501" s="3" t="n">
        <v>45604</v>
      </c>
      <c r="E1501" s="1" t="s">
        <v>59</v>
      </c>
      <c r="F1501" s="1" t="s">
        <v>45</v>
      </c>
      <c r="G1501" s="1" t="s">
        <v>393</v>
      </c>
      <c r="H1501" s="1" t="s">
        <v>397</v>
      </c>
      <c r="I1501" s="1" t="s">
        <v>396</v>
      </c>
      <c r="J1501" s="1" t="s">
        <v>357</v>
      </c>
      <c r="K1501" s="1" t="s">
        <v>393</v>
      </c>
    </row>
    <row r="1502" customFormat="false" ht="14.25" hidden="false" customHeight="false" outlineLevel="0" collapsed="false">
      <c r="A1502" s="1" t="n">
        <v>77</v>
      </c>
      <c r="B1502" s="1" t="n">
        <v>2024</v>
      </c>
      <c r="C1502" s="3" t="n">
        <v>45604</v>
      </c>
      <c r="E1502" s="1" t="s">
        <v>60</v>
      </c>
      <c r="F1502" s="1" t="s">
        <v>61</v>
      </c>
      <c r="G1502" s="1" t="s">
        <v>409</v>
      </c>
      <c r="H1502" s="1" t="s">
        <v>411</v>
      </c>
      <c r="I1502" s="1" t="s">
        <v>425</v>
      </c>
      <c r="J1502" s="1" t="s">
        <v>426</v>
      </c>
      <c r="K1502" s="1" t="s">
        <v>409</v>
      </c>
    </row>
    <row r="1503" customFormat="false" ht="14.25" hidden="false" customHeight="false" outlineLevel="0" collapsed="false">
      <c r="A1503" s="1" t="n">
        <v>77</v>
      </c>
      <c r="B1503" s="1" t="n">
        <v>2024</v>
      </c>
      <c r="C1503" s="3" t="n">
        <v>45604</v>
      </c>
      <c r="E1503" s="1" t="s">
        <v>63</v>
      </c>
      <c r="F1503" s="1" t="s">
        <v>40</v>
      </c>
      <c r="G1503" s="1" t="s">
        <v>394</v>
      </c>
      <c r="H1503" s="1" t="s">
        <v>358</v>
      </c>
      <c r="I1503" s="1" t="s">
        <v>370</v>
      </c>
      <c r="J1503" s="1" t="s">
        <v>394</v>
      </c>
      <c r="K1503" s="1" t="s">
        <v>394</v>
      </c>
    </row>
    <row r="1504" customFormat="false" ht="14.25" hidden="false" customHeight="false" outlineLevel="0" collapsed="false">
      <c r="A1504" s="1" t="n">
        <v>77</v>
      </c>
      <c r="B1504" s="1" t="n">
        <v>2024</v>
      </c>
      <c r="C1504" s="3" t="n">
        <v>45604</v>
      </c>
      <c r="E1504" s="1" t="s">
        <v>64</v>
      </c>
      <c r="F1504" s="1" t="s">
        <v>40</v>
      </c>
      <c r="G1504" s="1" t="s">
        <v>415</v>
      </c>
      <c r="H1504" s="1" t="s">
        <v>393</v>
      </c>
      <c r="I1504" s="1" t="s">
        <v>415</v>
      </c>
      <c r="J1504" s="1" t="s">
        <v>427</v>
      </c>
      <c r="K1504" s="1" t="s">
        <v>415</v>
      </c>
    </row>
    <row r="1505" customFormat="false" ht="14.25" hidden="false" customHeight="false" outlineLevel="0" collapsed="false">
      <c r="A1505" s="1" t="n">
        <v>77</v>
      </c>
      <c r="B1505" s="1" t="n">
        <v>2024</v>
      </c>
      <c r="C1505" s="3" t="n">
        <v>45604</v>
      </c>
      <c r="E1505" s="1" t="s">
        <v>66</v>
      </c>
      <c r="F1505" s="1" t="s">
        <v>45</v>
      </c>
    </row>
    <row r="1506" customFormat="false" ht="14.25" hidden="false" customHeight="false" outlineLevel="0" collapsed="false">
      <c r="A1506" s="1" t="n">
        <v>77</v>
      </c>
      <c r="B1506" s="1" t="n">
        <v>2024</v>
      </c>
      <c r="C1506" s="3" t="n">
        <v>45604</v>
      </c>
      <c r="E1506" s="1" t="s">
        <v>67</v>
      </c>
      <c r="F1506" s="1" t="s">
        <v>45</v>
      </c>
    </row>
    <row r="1507" customFormat="false" ht="14.25" hidden="false" customHeight="false" outlineLevel="0" collapsed="false">
      <c r="A1507" s="1" t="n">
        <v>77</v>
      </c>
      <c r="B1507" s="1" t="n">
        <v>2024</v>
      </c>
      <c r="C1507" s="3" t="n">
        <v>45604</v>
      </c>
      <c r="E1507" s="1" t="s">
        <v>68</v>
      </c>
      <c r="F1507" s="1" t="s">
        <v>45</v>
      </c>
    </row>
    <row r="1508" customFormat="false" ht="14.25" hidden="false" customHeight="false" outlineLevel="0" collapsed="false">
      <c r="A1508" s="1" t="n">
        <v>77</v>
      </c>
      <c r="B1508" s="1" t="n">
        <v>2024</v>
      </c>
      <c r="C1508" s="3" t="n">
        <v>45604</v>
      </c>
      <c r="E1508" s="1" t="s">
        <v>69</v>
      </c>
      <c r="F1508" s="1" t="s">
        <v>45</v>
      </c>
      <c r="G1508" s="1" t="s">
        <v>370</v>
      </c>
      <c r="H1508" s="1" t="s">
        <v>370</v>
      </c>
      <c r="I1508" s="1" t="s">
        <v>370</v>
      </c>
      <c r="J1508" s="1" t="s">
        <v>370</v>
      </c>
      <c r="K1508" s="1" t="s">
        <v>370</v>
      </c>
    </row>
    <row r="1509" customFormat="false" ht="14.25" hidden="false" customHeight="false" outlineLevel="0" collapsed="false">
      <c r="A1509" s="1" t="n">
        <v>78</v>
      </c>
      <c r="B1509" s="1" t="n">
        <v>2024</v>
      </c>
      <c r="C1509" s="3" t="n">
        <v>45611</v>
      </c>
      <c r="E1509" s="1" t="s">
        <v>12</v>
      </c>
      <c r="F1509" s="1" t="s">
        <v>13</v>
      </c>
      <c r="G1509" s="1" t="s">
        <v>357</v>
      </c>
      <c r="H1509" s="1" t="s">
        <v>357</v>
      </c>
      <c r="I1509" s="1" t="s">
        <v>358</v>
      </c>
      <c r="J1509" s="1" t="s">
        <v>428</v>
      </c>
      <c r="K1509" s="1" t="s">
        <v>357</v>
      </c>
    </row>
    <row r="1510" customFormat="false" ht="14.25" hidden="false" customHeight="false" outlineLevel="0" collapsed="false">
      <c r="A1510" s="1" t="n">
        <v>78</v>
      </c>
      <c r="B1510" s="1" t="n">
        <v>2024</v>
      </c>
      <c r="C1510" s="3" t="n">
        <v>45611</v>
      </c>
      <c r="E1510" s="1" t="s">
        <v>14</v>
      </c>
      <c r="F1510" s="1" t="s">
        <v>13</v>
      </c>
      <c r="G1510" s="1" t="s">
        <v>358</v>
      </c>
      <c r="H1510" s="1" t="s">
        <v>358</v>
      </c>
      <c r="I1510" s="1" t="s">
        <v>361</v>
      </c>
      <c r="J1510" s="1" t="s">
        <v>429</v>
      </c>
      <c r="K1510" s="1" t="s">
        <v>358</v>
      </c>
    </row>
    <row r="1511" customFormat="false" ht="14.25" hidden="false" customHeight="false" outlineLevel="0" collapsed="false">
      <c r="A1511" s="1" t="n">
        <v>78</v>
      </c>
      <c r="B1511" s="1" t="n">
        <v>2024</v>
      </c>
      <c r="C1511" s="3" t="n">
        <v>45611</v>
      </c>
      <c r="E1511" s="1" t="s">
        <v>15</v>
      </c>
      <c r="F1511" s="1" t="s">
        <v>13</v>
      </c>
      <c r="G1511" s="1" t="s">
        <v>430</v>
      </c>
      <c r="H1511" s="1" t="s">
        <v>362</v>
      </c>
      <c r="I1511" s="1" t="s">
        <v>430</v>
      </c>
      <c r="J1511" s="1" t="s">
        <v>364</v>
      </c>
      <c r="K1511" s="1" t="s">
        <v>430</v>
      </c>
    </row>
    <row r="1512" customFormat="false" ht="14.25" hidden="false" customHeight="false" outlineLevel="0" collapsed="false">
      <c r="A1512" s="1" t="n">
        <v>78</v>
      </c>
      <c r="B1512" s="1" t="n">
        <v>2024</v>
      </c>
      <c r="C1512" s="3" t="n">
        <v>45611</v>
      </c>
      <c r="E1512" s="1" t="s">
        <v>16</v>
      </c>
      <c r="F1512" s="1" t="s">
        <v>13</v>
      </c>
      <c r="G1512" s="1" t="s">
        <v>362</v>
      </c>
      <c r="H1512" s="1" t="s">
        <v>366</v>
      </c>
      <c r="I1512" s="1" t="s">
        <v>362</v>
      </c>
      <c r="J1512" s="1" t="s">
        <v>431</v>
      </c>
      <c r="K1512" s="1" t="s">
        <v>384</v>
      </c>
    </row>
    <row r="1513" customFormat="false" ht="14.25" hidden="false" customHeight="false" outlineLevel="0" collapsed="false">
      <c r="A1513" s="1" t="n">
        <v>78</v>
      </c>
      <c r="B1513" s="1" t="n">
        <v>2024</v>
      </c>
      <c r="C1513" s="3" t="n">
        <v>45611</v>
      </c>
      <c r="E1513" s="1" t="s">
        <v>17</v>
      </c>
      <c r="F1513" s="1" t="s">
        <v>13</v>
      </c>
      <c r="G1513" s="1" t="s">
        <v>362</v>
      </c>
      <c r="H1513" s="1" t="s">
        <v>366</v>
      </c>
      <c r="I1513" s="1" t="s">
        <v>362</v>
      </c>
      <c r="J1513" s="1" t="s">
        <v>432</v>
      </c>
      <c r="K1513" s="1" t="s">
        <v>419</v>
      </c>
    </row>
    <row r="1514" customFormat="false" ht="14.25" hidden="false" customHeight="false" outlineLevel="0" collapsed="false">
      <c r="A1514" s="1" t="n">
        <v>78</v>
      </c>
      <c r="B1514" s="1" t="n">
        <v>2024</v>
      </c>
      <c r="C1514" s="3" t="n">
        <v>45611</v>
      </c>
      <c r="E1514" s="1" t="s">
        <v>18</v>
      </c>
      <c r="F1514" s="1" t="s">
        <v>13</v>
      </c>
      <c r="G1514" s="1" t="s">
        <v>358</v>
      </c>
      <c r="H1514" s="1" t="s">
        <v>357</v>
      </c>
      <c r="I1514" s="1" t="s">
        <v>358</v>
      </c>
      <c r="J1514" s="1" t="s">
        <v>433</v>
      </c>
      <c r="K1514" s="1" t="s">
        <v>358</v>
      </c>
    </row>
    <row r="1515" customFormat="false" ht="14.25" hidden="false" customHeight="false" outlineLevel="0" collapsed="false">
      <c r="A1515" s="1" t="n">
        <v>78</v>
      </c>
      <c r="B1515" s="1" t="n">
        <v>2024</v>
      </c>
      <c r="C1515" s="3" t="n">
        <v>45611</v>
      </c>
      <c r="E1515" s="1" t="s">
        <v>19</v>
      </c>
      <c r="F1515" s="1" t="s">
        <v>13</v>
      </c>
      <c r="G1515" s="1" t="s">
        <v>358</v>
      </c>
      <c r="H1515" s="1" t="s">
        <v>358</v>
      </c>
      <c r="I1515" s="1" t="s">
        <v>417</v>
      </c>
      <c r="J1515" s="1" t="s">
        <v>434</v>
      </c>
      <c r="K1515" s="1" t="s">
        <v>416</v>
      </c>
    </row>
    <row r="1516" customFormat="false" ht="14.25" hidden="false" customHeight="false" outlineLevel="0" collapsed="false">
      <c r="A1516" s="1" t="n">
        <v>78</v>
      </c>
      <c r="B1516" s="1" t="n">
        <v>2024</v>
      </c>
      <c r="C1516" s="3" t="n">
        <v>45611</v>
      </c>
      <c r="E1516" s="1" t="s">
        <v>20</v>
      </c>
      <c r="F1516" s="1" t="s">
        <v>13</v>
      </c>
      <c r="G1516" s="1" t="s">
        <v>360</v>
      </c>
      <c r="H1516" s="1" t="s">
        <v>358</v>
      </c>
      <c r="I1516" s="1" t="s">
        <v>360</v>
      </c>
      <c r="J1516" s="1" t="s">
        <v>418</v>
      </c>
      <c r="K1516" s="1" t="s">
        <v>360</v>
      </c>
    </row>
    <row r="1517" customFormat="false" ht="14.25" hidden="false" customHeight="false" outlineLevel="0" collapsed="false">
      <c r="A1517" s="1" t="n">
        <v>78</v>
      </c>
      <c r="B1517" s="1" t="n">
        <v>2024</v>
      </c>
      <c r="C1517" s="3" t="n">
        <v>45611</v>
      </c>
      <c r="E1517" s="1" t="s">
        <v>21</v>
      </c>
      <c r="F1517" s="1" t="s">
        <v>13</v>
      </c>
      <c r="G1517" s="1" t="s">
        <v>366</v>
      </c>
      <c r="H1517" s="1" t="s">
        <v>367</v>
      </c>
      <c r="I1517" s="1" t="s">
        <v>366</v>
      </c>
      <c r="J1517" s="1" t="s">
        <v>372</v>
      </c>
      <c r="K1517" s="1" t="s">
        <v>373</v>
      </c>
    </row>
    <row r="1518" customFormat="false" ht="14.25" hidden="false" customHeight="false" outlineLevel="0" collapsed="false">
      <c r="A1518" s="1" t="n">
        <v>78</v>
      </c>
      <c r="B1518" s="1" t="n">
        <v>2024</v>
      </c>
      <c r="C1518" s="3" t="n">
        <v>45611</v>
      </c>
      <c r="E1518" s="1" t="s">
        <v>73</v>
      </c>
      <c r="F1518" s="1" t="s">
        <v>13</v>
      </c>
      <c r="G1518" s="1" t="s">
        <v>358</v>
      </c>
      <c r="H1518" s="1" t="s">
        <v>358</v>
      </c>
      <c r="I1518" s="1" t="s">
        <v>358</v>
      </c>
      <c r="J1518" s="1" t="s">
        <v>358</v>
      </c>
      <c r="K1518" s="1" t="s">
        <v>358</v>
      </c>
    </row>
    <row r="1519" customFormat="false" ht="14.25" hidden="false" customHeight="false" outlineLevel="0" collapsed="false">
      <c r="A1519" s="1" t="n">
        <v>78</v>
      </c>
      <c r="B1519" s="1" t="n">
        <v>2024</v>
      </c>
      <c r="C1519" s="3" t="n">
        <v>45611</v>
      </c>
      <c r="E1519" s="1" t="s">
        <v>23</v>
      </c>
      <c r="F1519" s="1" t="s">
        <v>13</v>
      </c>
      <c r="G1519" s="1" t="s">
        <v>362</v>
      </c>
      <c r="H1519" s="1" t="s">
        <v>367</v>
      </c>
      <c r="I1519" s="1" t="s">
        <v>362</v>
      </c>
      <c r="J1519" s="1" t="s">
        <v>435</v>
      </c>
      <c r="K1519" s="1" t="s">
        <v>436</v>
      </c>
    </row>
    <row r="1520" customFormat="false" ht="14.25" hidden="false" customHeight="false" outlineLevel="0" collapsed="false">
      <c r="A1520" s="1" t="n">
        <v>78</v>
      </c>
      <c r="B1520" s="1" t="n">
        <v>2024</v>
      </c>
      <c r="C1520" s="3" t="n">
        <v>45611</v>
      </c>
      <c r="E1520" s="1" t="s">
        <v>24</v>
      </c>
      <c r="F1520" s="1" t="s">
        <v>13</v>
      </c>
      <c r="G1520" s="1" t="s">
        <v>358</v>
      </c>
      <c r="H1520" s="1" t="s">
        <v>357</v>
      </c>
      <c r="I1520" s="1" t="s">
        <v>358</v>
      </c>
      <c r="J1520" s="1" t="s">
        <v>433</v>
      </c>
      <c r="K1520" s="1" t="s">
        <v>358</v>
      </c>
    </row>
    <row r="1521" customFormat="false" ht="14.25" hidden="false" customHeight="false" outlineLevel="0" collapsed="false">
      <c r="A1521" s="1" t="n">
        <v>78</v>
      </c>
      <c r="B1521" s="1" t="n">
        <v>2024</v>
      </c>
      <c r="C1521" s="3" t="n">
        <v>45611</v>
      </c>
      <c r="E1521" s="1" t="s">
        <v>25</v>
      </c>
      <c r="F1521" s="1" t="s">
        <v>26</v>
      </c>
      <c r="G1521" s="1" t="s">
        <v>357</v>
      </c>
      <c r="H1521" s="1" t="s">
        <v>357</v>
      </c>
      <c r="I1521" s="1" t="s">
        <v>358</v>
      </c>
      <c r="J1521" s="1" t="s">
        <v>359</v>
      </c>
      <c r="K1521" s="1" t="s">
        <v>359</v>
      </c>
    </row>
    <row r="1522" customFormat="false" ht="14.25" hidden="false" customHeight="false" outlineLevel="0" collapsed="false">
      <c r="A1522" s="1" t="n">
        <v>78</v>
      </c>
      <c r="B1522" s="1" t="n">
        <v>2024</v>
      </c>
      <c r="C1522" s="3" t="n">
        <v>45611</v>
      </c>
      <c r="E1522" s="1" t="s">
        <v>27</v>
      </c>
      <c r="F1522" s="1" t="s">
        <v>13</v>
      </c>
      <c r="G1522" s="1" t="s">
        <v>357</v>
      </c>
      <c r="H1522" s="1" t="s">
        <v>430</v>
      </c>
      <c r="I1522" s="1" t="s">
        <v>357</v>
      </c>
      <c r="J1522" s="1" t="s">
        <v>437</v>
      </c>
      <c r="K1522" s="1" t="s">
        <v>357</v>
      </c>
    </row>
    <row r="1523" customFormat="false" ht="14.25" hidden="false" customHeight="false" outlineLevel="0" collapsed="false">
      <c r="A1523" s="1" t="n">
        <v>78</v>
      </c>
      <c r="B1523" s="1" t="n">
        <v>2024</v>
      </c>
      <c r="C1523" s="3" t="n">
        <v>45611</v>
      </c>
      <c r="E1523" s="1" t="s">
        <v>28</v>
      </c>
      <c r="F1523" s="1" t="s">
        <v>13</v>
      </c>
      <c r="G1523" s="1" t="s">
        <v>362</v>
      </c>
      <c r="H1523" s="1" t="s">
        <v>366</v>
      </c>
      <c r="I1523" s="1" t="s">
        <v>362</v>
      </c>
      <c r="J1523" s="1" t="s">
        <v>438</v>
      </c>
      <c r="K1523" s="1" t="s">
        <v>362</v>
      </c>
    </row>
    <row r="1524" customFormat="false" ht="14.25" hidden="false" customHeight="false" outlineLevel="0" collapsed="false">
      <c r="A1524" s="1" t="n">
        <v>78</v>
      </c>
      <c r="B1524" s="1" t="n">
        <v>2024</v>
      </c>
      <c r="C1524" s="3" t="n">
        <v>45611</v>
      </c>
      <c r="E1524" s="1" t="s">
        <v>29</v>
      </c>
      <c r="F1524" s="1" t="s">
        <v>13</v>
      </c>
      <c r="G1524" s="1" t="s">
        <v>357</v>
      </c>
      <c r="H1524" s="1" t="s">
        <v>363</v>
      </c>
      <c r="I1524" s="1" t="s">
        <v>358</v>
      </c>
      <c r="J1524" s="1" t="s">
        <v>439</v>
      </c>
      <c r="K1524" s="1" t="s">
        <v>357</v>
      </c>
    </row>
    <row r="1525" customFormat="false" ht="14.25" hidden="false" customHeight="false" outlineLevel="0" collapsed="false">
      <c r="A1525" s="1" t="n">
        <v>78</v>
      </c>
      <c r="B1525" s="1" t="n">
        <v>2024</v>
      </c>
      <c r="C1525" s="3" t="n">
        <v>45611</v>
      </c>
      <c r="E1525" s="1" t="s">
        <v>31</v>
      </c>
      <c r="F1525" s="1" t="s">
        <v>32</v>
      </c>
      <c r="G1525" s="1" t="s">
        <v>378</v>
      </c>
      <c r="H1525" s="1" t="s">
        <v>378</v>
      </c>
      <c r="I1525" s="1" t="s">
        <v>378</v>
      </c>
      <c r="J1525" s="1" t="s">
        <v>378</v>
      </c>
      <c r="K1525" s="1" t="s">
        <v>378</v>
      </c>
    </row>
    <row r="1526" customFormat="false" ht="14.25" hidden="false" customHeight="false" outlineLevel="0" collapsed="false">
      <c r="A1526" s="1" t="n">
        <v>78</v>
      </c>
      <c r="B1526" s="1" t="n">
        <v>2024</v>
      </c>
      <c r="C1526" s="3" t="n">
        <v>45611</v>
      </c>
      <c r="E1526" s="1" t="s">
        <v>34</v>
      </c>
      <c r="F1526" s="1" t="s">
        <v>35</v>
      </c>
      <c r="G1526" s="1" t="s">
        <v>379</v>
      </c>
      <c r="H1526" s="1" t="s">
        <v>379</v>
      </c>
      <c r="I1526" s="1" t="s">
        <v>382</v>
      </c>
      <c r="J1526" s="1" t="s">
        <v>420</v>
      </c>
      <c r="K1526" s="1" t="s">
        <v>420</v>
      </c>
    </row>
    <row r="1527" customFormat="false" ht="14.25" hidden="false" customHeight="false" outlineLevel="0" collapsed="false">
      <c r="A1527" s="1" t="n">
        <v>78</v>
      </c>
      <c r="B1527" s="1" t="n">
        <v>2024</v>
      </c>
      <c r="C1527" s="3" t="n">
        <v>45611</v>
      </c>
      <c r="E1527" s="1" t="s">
        <v>36</v>
      </c>
      <c r="F1527" s="1" t="s">
        <v>35</v>
      </c>
      <c r="G1527" s="1" t="s">
        <v>357</v>
      </c>
      <c r="H1527" s="1" t="s">
        <v>363</v>
      </c>
      <c r="I1527" s="1" t="s">
        <v>358</v>
      </c>
      <c r="J1527" s="1" t="s">
        <v>439</v>
      </c>
      <c r="K1527" s="1" t="s">
        <v>357</v>
      </c>
    </row>
    <row r="1528" customFormat="false" ht="14.25" hidden="false" customHeight="false" outlineLevel="0" collapsed="false">
      <c r="A1528" s="1" t="n">
        <v>78</v>
      </c>
      <c r="B1528" s="1" t="n">
        <v>2024</v>
      </c>
      <c r="C1528" s="3" t="n">
        <v>45611</v>
      </c>
      <c r="E1528" s="1" t="s">
        <v>153</v>
      </c>
      <c r="F1528" s="1" t="s">
        <v>154</v>
      </c>
      <c r="G1528" s="1" t="s">
        <v>385</v>
      </c>
      <c r="H1528" s="1" t="s">
        <v>385</v>
      </c>
      <c r="I1528" s="1" t="s">
        <v>386</v>
      </c>
      <c r="J1528" s="1" t="s">
        <v>387</v>
      </c>
      <c r="K1528" s="1" t="s">
        <v>387</v>
      </c>
    </row>
    <row r="1529" customFormat="false" ht="14.25" hidden="false" customHeight="false" outlineLevel="0" collapsed="false">
      <c r="A1529" s="1" t="n">
        <v>78</v>
      </c>
      <c r="B1529" s="1" t="n">
        <v>2024</v>
      </c>
      <c r="C1529" s="3" t="n">
        <v>45611</v>
      </c>
      <c r="E1529" s="1" t="s">
        <v>39</v>
      </c>
      <c r="F1529" s="1" t="s">
        <v>40</v>
      </c>
      <c r="G1529" s="1" t="s">
        <v>394</v>
      </c>
      <c r="H1529" s="1" t="s">
        <v>393</v>
      </c>
      <c r="I1529" s="1" t="s">
        <v>394</v>
      </c>
      <c r="J1529" s="1" t="s">
        <v>358</v>
      </c>
      <c r="K1529" s="1" t="s">
        <v>391</v>
      </c>
    </row>
    <row r="1530" customFormat="false" ht="14.25" hidden="false" customHeight="false" outlineLevel="0" collapsed="false">
      <c r="A1530" s="1" t="n">
        <v>78</v>
      </c>
      <c r="B1530" s="1" t="n">
        <v>2024</v>
      </c>
      <c r="C1530" s="3" t="n">
        <v>45611</v>
      </c>
      <c r="E1530" s="1" t="s">
        <v>42</v>
      </c>
      <c r="F1530" s="1" t="s">
        <v>43</v>
      </c>
      <c r="G1530" s="1" t="s">
        <v>370</v>
      </c>
      <c r="H1530" s="1" t="s">
        <v>390</v>
      </c>
      <c r="I1530" s="1" t="s">
        <v>370</v>
      </c>
      <c r="J1530" s="1" t="s">
        <v>399</v>
      </c>
      <c r="K1530" s="1" t="s">
        <v>399</v>
      </c>
    </row>
    <row r="1531" customFormat="false" ht="14.25" hidden="false" customHeight="false" outlineLevel="0" collapsed="false">
      <c r="A1531" s="1" t="n">
        <v>78</v>
      </c>
      <c r="B1531" s="1" t="n">
        <v>2024</v>
      </c>
      <c r="C1531" s="3" t="n">
        <v>45611</v>
      </c>
      <c r="E1531" s="1" t="s">
        <v>44</v>
      </c>
      <c r="F1531" s="1" t="s">
        <v>45</v>
      </c>
      <c r="G1531" s="1" t="s">
        <v>393</v>
      </c>
      <c r="H1531" s="1" t="s">
        <v>390</v>
      </c>
      <c r="I1531" s="1" t="s">
        <v>396</v>
      </c>
      <c r="J1531" s="1" t="s">
        <v>393</v>
      </c>
      <c r="K1531" s="1" t="s">
        <v>393</v>
      </c>
    </row>
    <row r="1532" customFormat="false" ht="14.25" hidden="false" customHeight="false" outlineLevel="0" collapsed="false">
      <c r="A1532" s="1" t="n">
        <v>78</v>
      </c>
      <c r="B1532" s="1" t="n">
        <v>2024</v>
      </c>
      <c r="C1532" s="3" t="n">
        <v>45611</v>
      </c>
      <c r="E1532" s="1" t="s">
        <v>48</v>
      </c>
      <c r="F1532" s="1" t="s">
        <v>45</v>
      </c>
      <c r="G1532" s="1" t="s">
        <v>405</v>
      </c>
      <c r="H1532" s="1" t="s">
        <v>405</v>
      </c>
      <c r="I1532" s="1" t="s">
        <v>405</v>
      </c>
      <c r="J1532" s="1" t="s">
        <v>405</v>
      </c>
      <c r="K1532" s="1" t="s">
        <v>405</v>
      </c>
    </row>
    <row r="1533" customFormat="false" ht="14.25" hidden="false" customHeight="false" outlineLevel="0" collapsed="false">
      <c r="A1533" s="1" t="n">
        <v>78</v>
      </c>
      <c r="B1533" s="1" t="n">
        <v>2024</v>
      </c>
      <c r="C1533" s="3" t="n">
        <v>45611</v>
      </c>
      <c r="E1533" s="1" t="s">
        <v>49</v>
      </c>
      <c r="F1533" s="1" t="s">
        <v>50</v>
      </c>
      <c r="G1533" s="1" t="s">
        <v>393</v>
      </c>
      <c r="H1533" s="1" t="s">
        <v>393</v>
      </c>
      <c r="I1533" s="1" t="s">
        <v>358</v>
      </c>
      <c r="J1533" s="1" t="s">
        <v>396</v>
      </c>
      <c r="K1533" s="1" t="s">
        <v>396</v>
      </c>
    </row>
    <row r="1534" customFormat="false" ht="14.25" hidden="false" customHeight="false" outlineLevel="0" collapsed="false">
      <c r="A1534" s="1" t="n">
        <v>78</v>
      </c>
      <c r="B1534" s="1" t="n">
        <v>2024</v>
      </c>
      <c r="C1534" s="3" t="n">
        <v>45611</v>
      </c>
      <c r="E1534" s="1" t="s">
        <v>52</v>
      </c>
      <c r="F1534" s="1" t="s">
        <v>43</v>
      </c>
      <c r="G1534" s="1" t="s">
        <v>390</v>
      </c>
      <c r="H1534" s="1" t="s">
        <v>390</v>
      </c>
      <c r="I1534" s="1" t="s">
        <v>394</v>
      </c>
      <c r="J1534" s="1" t="s">
        <v>395</v>
      </c>
      <c r="K1534" s="1" t="s">
        <v>399</v>
      </c>
    </row>
    <row r="1535" customFormat="false" ht="14.25" hidden="false" customHeight="false" outlineLevel="0" collapsed="false">
      <c r="A1535" s="1" t="n">
        <v>78</v>
      </c>
      <c r="B1535" s="1" t="n">
        <v>2024</v>
      </c>
      <c r="C1535" s="3" t="n">
        <v>45611</v>
      </c>
      <c r="E1535" s="1" t="s">
        <v>53</v>
      </c>
      <c r="F1535" s="1" t="s">
        <v>43</v>
      </c>
      <c r="G1535" s="1" t="s">
        <v>397</v>
      </c>
      <c r="H1535" s="1" t="s">
        <v>397</v>
      </c>
      <c r="I1535" s="1" t="s">
        <v>358</v>
      </c>
      <c r="J1535" s="1" t="s">
        <v>407</v>
      </c>
      <c r="K1535" s="1" t="s">
        <v>440</v>
      </c>
    </row>
    <row r="1536" customFormat="false" ht="14.25" hidden="false" customHeight="false" outlineLevel="0" collapsed="false">
      <c r="A1536" s="1" t="n">
        <v>78</v>
      </c>
      <c r="B1536" s="1" t="n">
        <v>2024</v>
      </c>
      <c r="C1536" s="3" t="n">
        <v>45611</v>
      </c>
      <c r="E1536" s="1" t="s">
        <v>54</v>
      </c>
      <c r="F1536" s="1" t="s">
        <v>40</v>
      </c>
      <c r="G1536" s="1" t="s">
        <v>415</v>
      </c>
      <c r="H1536" s="1" t="s">
        <v>415</v>
      </c>
      <c r="I1536" s="1" t="s">
        <v>401</v>
      </c>
      <c r="J1536" s="1" t="s">
        <v>403</v>
      </c>
      <c r="K1536" s="1" t="s">
        <v>403</v>
      </c>
    </row>
    <row r="1537" customFormat="false" ht="14.25" hidden="false" customHeight="false" outlineLevel="0" collapsed="false">
      <c r="A1537" s="1" t="n">
        <v>78</v>
      </c>
      <c r="B1537" s="1" t="n">
        <v>2024</v>
      </c>
      <c r="C1537" s="3" t="n">
        <v>45611</v>
      </c>
      <c r="E1537" s="1" t="s">
        <v>56</v>
      </c>
      <c r="F1537" s="1" t="s">
        <v>43</v>
      </c>
      <c r="G1537" s="1" t="s">
        <v>394</v>
      </c>
      <c r="H1537" s="1" t="s">
        <v>394</v>
      </c>
      <c r="I1537" s="1" t="s">
        <v>394</v>
      </c>
      <c r="J1537" s="1" t="s">
        <v>394</v>
      </c>
      <c r="K1537" s="1" t="s">
        <v>394</v>
      </c>
    </row>
    <row r="1538" customFormat="false" ht="14.25" hidden="false" customHeight="false" outlineLevel="0" collapsed="false">
      <c r="A1538" s="1" t="n">
        <v>78</v>
      </c>
      <c r="B1538" s="1" t="n">
        <v>2024</v>
      </c>
      <c r="C1538" s="3" t="n">
        <v>45611</v>
      </c>
      <c r="E1538" s="1" t="s">
        <v>57</v>
      </c>
      <c r="F1538" s="1" t="s">
        <v>40</v>
      </c>
      <c r="G1538" s="1" t="s">
        <v>390</v>
      </c>
      <c r="H1538" s="1" t="s">
        <v>390</v>
      </c>
      <c r="I1538" s="1" t="s">
        <v>370</v>
      </c>
      <c r="J1538" s="1" t="s">
        <v>441</v>
      </c>
      <c r="K1538" s="1" t="s">
        <v>390</v>
      </c>
    </row>
    <row r="1539" customFormat="false" ht="14.25" hidden="false" customHeight="false" outlineLevel="0" collapsed="false">
      <c r="A1539" s="1" t="n">
        <v>78</v>
      </c>
      <c r="B1539" s="1" t="n">
        <v>2024</v>
      </c>
      <c r="C1539" s="3" t="n">
        <v>45611</v>
      </c>
      <c r="E1539" s="1" t="s">
        <v>58</v>
      </c>
      <c r="F1539" s="1" t="s">
        <v>40</v>
      </c>
      <c r="G1539" s="1" t="s">
        <v>358</v>
      </c>
      <c r="H1539" s="1" t="s">
        <v>393</v>
      </c>
      <c r="I1539" s="1" t="s">
        <v>358</v>
      </c>
      <c r="J1539" s="1" t="s">
        <v>399</v>
      </c>
      <c r="K1539" s="1" t="s">
        <v>358</v>
      </c>
    </row>
    <row r="1540" customFormat="false" ht="14.25" hidden="false" customHeight="false" outlineLevel="0" collapsed="false">
      <c r="A1540" s="1" t="n">
        <v>78</v>
      </c>
      <c r="B1540" s="1" t="n">
        <v>2024</v>
      </c>
      <c r="C1540" s="3" t="n">
        <v>45611</v>
      </c>
      <c r="E1540" s="1" t="s">
        <v>59</v>
      </c>
      <c r="F1540" s="1" t="s">
        <v>45</v>
      </c>
      <c r="G1540" s="1" t="s">
        <v>393</v>
      </c>
      <c r="H1540" s="1" t="s">
        <v>390</v>
      </c>
      <c r="I1540" s="1" t="s">
        <v>393</v>
      </c>
      <c r="J1540" s="1" t="s">
        <v>398</v>
      </c>
      <c r="K1540" s="1" t="s">
        <v>393</v>
      </c>
    </row>
    <row r="1541" customFormat="false" ht="14.25" hidden="false" customHeight="false" outlineLevel="0" collapsed="false">
      <c r="A1541" s="1" t="n">
        <v>78</v>
      </c>
      <c r="B1541" s="1" t="n">
        <v>2024</v>
      </c>
      <c r="C1541" s="3" t="n">
        <v>45611</v>
      </c>
      <c r="E1541" s="1" t="s">
        <v>60</v>
      </c>
      <c r="F1541" s="1" t="s">
        <v>61</v>
      </c>
      <c r="G1541" s="1" t="s">
        <v>409</v>
      </c>
      <c r="H1541" s="1" t="s">
        <v>409</v>
      </c>
      <c r="I1541" s="1" t="s">
        <v>409</v>
      </c>
      <c r="J1541" s="1" t="s">
        <v>409</v>
      </c>
      <c r="K1541" s="1" t="s">
        <v>409</v>
      </c>
    </row>
    <row r="1542" customFormat="false" ht="14.25" hidden="false" customHeight="false" outlineLevel="0" collapsed="false">
      <c r="A1542" s="1" t="n">
        <v>78</v>
      </c>
      <c r="B1542" s="1" t="n">
        <v>2024</v>
      </c>
      <c r="C1542" s="3" t="n">
        <v>45611</v>
      </c>
      <c r="E1542" s="1" t="s">
        <v>63</v>
      </c>
      <c r="F1542" s="1" t="s">
        <v>40</v>
      </c>
      <c r="G1542" s="1" t="s">
        <v>394</v>
      </c>
      <c r="H1542" s="1" t="s">
        <v>394</v>
      </c>
      <c r="I1542" s="1" t="s">
        <v>386</v>
      </c>
      <c r="J1542" s="1" t="s">
        <v>370</v>
      </c>
      <c r="K1542" s="1" t="s">
        <v>434</v>
      </c>
    </row>
    <row r="1543" customFormat="false" ht="14.25" hidden="false" customHeight="false" outlineLevel="0" collapsed="false">
      <c r="A1543" s="1" t="n">
        <v>78</v>
      </c>
      <c r="B1543" s="1" t="n">
        <v>2024</v>
      </c>
      <c r="C1543" s="3" t="n">
        <v>45611</v>
      </c>
      <c r="E1543" s="1" t="s">
        <v>64</v>
      </c>
      <c r="F1543" s="1" t="s">
        <v>40</v>
      </c>
      <c r="G1543" s="1" t="s">
        <v>393</v>
      </c>
      <c r="H1543" s="1" t="s">
        <v>393</v>
      </c>
      <c r="I1543" s="1" t="s">
        <v>386</v>
      </c>
      <c r="J1543" s="1" t="s">
        <v>358</v>
      </c>
      <c r="K1543" s="1" t="s">
        <v>396</v>
      </c>
    </row>
    <row r="1544" customFormat="false" ht="14.25" hidden="false" customHeight="false" outlineLevel="0" collapsed="false">
      <c r="A1544" s="1" t="n">
        <v>78</v>
      </c>
      <c r="B1544" s="1" t="n">
        <v>2024</v>
      </c>
      <c r="C1544" s="3" t="n">
        <v>45611</v>
      </c>
      <c r="E1544" s="1" t="s">
        <v>66</v>
      </c>
      <c r="F1544" s="1" t="s">
        <v>45</v>
      </c>
    </row>
    <row r="1545" customFormat="false" ht="14.25" hidden="false" customHeight="false" outlineLevel="0" collapsed="false">
      <c r="A1545" s="1" t="n">
        <v>78</v>
      </c>
      <c r="B1545" s="1" t="n">
        <v>2024</v>
      </c>
      <c r="C1545" s="3" t="n">
        <v>45611</v>
      </c>
      <c r="E1545" s="1" t="s">
        <v>67</v>
      </c>
      <c r="F1545" s="1" t="s">
        <v>45</v>
      </c>
    </row>
    <row r="1546" customFormat="false" ht="14.25" hidden="false" customHeight="false" outlineLevel="0" collapsed="false">
      <c r="A1546" s="1" t="n">
        <v>78</v>
      </c>
      <c r="B1546" s="1" t="n">
        <v>2024</v>
      </c>
      <c r="C1546" s="3" t="n">
        <v>45611</v>
      </c>
      <c r="E1546" s="1" t="s">
        <v>68</v>
      </c>
      <c r="F1546" s="1" t="s">
        <v>45</v>
      </c>
    </row>
    <row r="1547" customFormat="false" ht="14.25" hidden="false" customHeight="false" outlineLevel="0" collapsed="false">
      <c r="A1547" s="1" t="n">
        <v>78</v>
      </c>
      <c r="B1547" s="1" t="n">
        <v>2024</v>
      </c>
      <c r="C1547" s="3" t="n">
        <v>45611</v>
      </c>
      <c r="E1547" s="1" t="s">
        <v>69</v>
      </c>
      <c r="F1547" s="1" t="s">
        <v>45</v>
      </c>
      <c r="G1547" s="1" t="s">
        <v>358</v>
      </c>
      <c r="H1547" s="1" t="s">
        <v>358</v>
      </c>
      <c r="I1547" s="1" t="s">
        <v>358</v>
      </c>
      <c r="J1547" s="1" t="s">
        <v>358</v>
      </c>
      <c r="K1547" s="1" t="s">
        <v>358</v>
      </c>
    </row>
    <row r="1548" customFormat="false" ht="14.25" hidden="false" customHeight="false" outlineLevel="0" collapsed="false">
      <c r="A1548" s="1" t="n">
        <v>80</v>
      </c>
      <c r="B1548" s="1" t="n">
        <v>2024</v>
      </c>
      <c r="C1548" s="3" t="n">
        <v>45618</v>
      </c>
      <c r="E1548" s="1" t="s">
        <v>12</v>
      </c>
      <c r="F1548" s="1" t="s">
        <v>13</v>
      </c>
      <c r="G1548" s="1" t="s">
        <v>360</v>
      </c>
      <c r="H1548" s="1" t="s">
        <v>360</v>
      </c>
      <c r="I1548" s="1" t="s">
        <v>360</v>
      </c>
      <c r="J1548" s="1" t="s">
        <v>360</v>
      </c>
      <c r="K1548" s="1" t="s">
        <v>360</v>
      </c>
    </row>
    <row r="1549" customFormat="false" ht="14.25" hidden="false" customHeight="false" outlineLevel="0" collapsed="false">
      <c r="A1549" s="1" t="n">
        <v>80</v>
      </c>
      <c r="B1549" s="1" t="n">
        <v>2024</v>
      </c>
      <c r="C1549" s="3" t="n">
        <v>45618</v>
      </c>
      <c r="E1549" s="1" t="s">
        <v>14</v>
      </c>
      <c r="F1549" s="1" t="s">
        <v>13</v>
      </c>
      <c r="G1549" s="1" t="s">
        <v>361</v>
      </c>
      <c r="H1549" s="1" t="s">
        <v>361</v>
      </c>
      <c r="I1549" s="1" t="s">
        <v>361</v>
      </c>
      <c r="J1549" s="1" t="s">
        <v>361</v>
      </c>
      <c r="K1549" s="1" t="s">
        <v>361</v>
      </c>
    </row>
    <row r="1550" customFormat="false" ht="14.25" hidden="false" customHeight="false" outlineLevel="0" collapsed="false">
      <c r="A1550" s="1" t="n">
        <v>80</v>
      </c>
      <c r="B1550" s="1" t="n">
        <v>2024</v>
      </c>
      <c r="C1550" s="3" t="n">
        <v>45618</v>
      </c>
      <c r="E1550" s="1" t="s">
        <v>15</v>
      </c>
      <c r="F1550" s="1" t="s">
        <v>13</v>
      </c>
      <c r="G1550" s="0"/>
      <c r="H1550" s="1" t="s">
        <v>357</v>
      </c>
      <c r="I1550" s="1" t="s">
        <v>358</v>
      </c>
      <c r="J1550" s="1" t="s">
        <v>442</v>
      </c>
      <c r="K1550" s="1" t="s">
        <v>393</v>
      </c>
    </row>
    <row r="1551" customFormat="false" ht="14.25" hidden="false" customHeight="false" outlineLevel="0" collapsed="false">
      <c r="A1551" s="1" t="n">
        <v>80</v>
      </c>
      <c r="B1551" s="1" t="n">
        <v>2024</v>
      </c>
      <c r="C1551" s="3" t="n">
        <v>45618</v>
      </c>
      <c r="E1551" s="1" t="s">
        <v>16</v>
      </c>
      <c r="F1551" s="1" t="s">
        <v>13</v>
      </c>
      <c r="G1551" s="0"/>
      <c r="H1551" s="1" t="s">
        <v>362</v>
      </c>
      <c r="I1551" s="1" t="s">
        <v>358</v>
      </c>
      <c r="J1551" s="1" t="s">
        <v>363</v>
      </c>
      <c r="K1551" s="1" t="s">
        <v>430</v>
      </c>
    </row>
    <row r="1552" customFormat="false" ht="14.25" hidden="false" customHeight="false" outlineLevel="0" collapsed="false">
      <c r="A1552" s="1" t="n">
        <v>80</v>
      </c>
      <c r="B1552" s="1" t="n">
        <v>2024</v>
      </c>
      <c r="C1552" s="3" t="n">
        <v>45618</v>
      </c>
      <c r="E1552" s="1" t="s">
        <v>17</v>
      </c>
      <c r="F1552" s="1" t="s">
        <v>13</v>
      </c>
      <c r="G1552" s="0"/>
      <c r="H1552" s="1" t="s">
        <v>430</v>
      </c>
      <c r="I1552" s="1" t="s">
        <v>358</v>
      </c>
      <c r="J1552" s="1" t="s">
        <v>357</v>
      </c>
      <c r="K1552" s="1" t="s">
        <v>357</v>
      </c>
    </row>
    <row r="1553" customFormat="false" ht="14.25" hidden="false" customHeight="false" outlineLevel="0" collapsed="false">
      <c r="A1553" s="1" t="n">
        <v>80</v>
      </c>
      <c r="B1553" s="1" t="n">
        <v>2024</v>
      </c>
      <c r="C1553" s="3" t="n">
        <v>45618</v>
      </c>
      <c r="E1553" s="1" t="s">
        <v>18</v>
      </c>
      <c r="F1553" s="1" t="s">
        <v>13</v>
      </c>
      <c r="G1553" s="0"/>
      <c r="H1553" s="1" t="s">
        <v>416</v>
      </c>
      <c r="I1553" s="1" t="s">
        <v>360</v>
      </c>
      <c r="J1553" s="1" t="s">
        <v>418</v>
      </c>
      <c r="K1553" s="1" t="s">
        <v>418</v>
      </c>
    </row>
    <row r="1554" customFormat="false" ht="14.25" hidden="false" customHeight="false" outlineLevel="0" collapsed="false">
      <c r="A1554" s="1" t="n">
        <v>80</v>
      </c>
      <c r="B1554" s="1" t="n">
        <v>2024</v>
      </c>
      <c r="C1554" s="3" t="n">
        <v>45618</v>
      </c>
      <c r="E1554" s="1" t="s">
        <v>19</v>
      </c>
      <c r="F1554" s="1" t="s">
        <v>13</v>
      </c>
      <c r="G1554" s="1" t="s">
        <v>359</v>
      </c>
      <c r="H1554" s="1" t="s">
        <v>417</v>
      </c>
      <c r="I1554" s="1" t="s">
        <v>416</v>
      </c>
      <c r="J1554" s="1" t="s">
        <v>416</v>
      </c>
    </row>
    <row r="1555" customFormat="false" ht="14.25" hidden="false" customHeight="false" outlineLevel="0" collapsed="false">
      <c r="A1555" s="1" t="n">
        <v>80</v>
      </c>
      <c r="B1555" s="1" t="n">
        <v>2024</v>
      </c>
      <c r="C1555" s="3" t="n">
        <v>45618</v>
      </c>
      <c r="E1555" s="1" t="s">
        <v>20</v>
      </c>
      <c r="F1555" s="1" t="s">
        <v>13</v>
      </c>
      <c r="G1555" s="1" t="s">
        <v>360</v>
      </c>
      <c r="H1555" s="1" t="s">
        <v>360</v>
      </c>
      <c r="I1555" s="1" t="s">
        <v>417</v>
      </c>
      <c r="J1555" s="1" t="s">
        <v>443</v>
      </c>
      <c r="K1555" s="1" t="s">
        <v>360</v>
      </c>
    </row>
    <row r="1556" customFormat="false" ht="14.25" hidden="false" customHeight="false" outlineLevel="0" collapsed="false">
      <c r="A1556" s="1" t="n">
        <v>80</v>
      </c>
      <c r="B1556" s="1" t="n">
        <v>2024</v>
      </c>
      <c r="C1556" s="3" t="n">
        <v>45618</v>
      </c>
      <c r="E1556" s="1" t="s">
        <v>21</v>
      </c>
      <c r="F1556" s="1" t="s">
        <v>13</v>
      </c>
      <c r="G1556" s="1" t="s">
        <v>366</v>
      </c>
      <c r="H1556" s="1" t="s">
        <v>367</v>
      </c>
      <c r="I1556" s="1" t="s">
        <v>366</v>
      </c>
      <c r="J1556" s="1" t="s">
        <v>373</v>
      </c>
      <c r="K1556" s="1" t="s">
        <v>366</v>
      </c>
    </row>
    <row r="1557" customFormat="false" ht="14.25" hidden="false" customHeight="false" outlineLevel="0" collapsed="false">
      <c r="A1557" s="1" t="n">
        <v>80</v>
      </c>
      <c r="B1557" s="1" t="n">
        <v>2024</v>
      </c>
      <c r="C1557" s="3" t="n">
        <v>45618</v>
      </c>
      <c r="E1557" s="1" t="s">
        <v>73</v>
      </c>
      <c r="F1557" s="1" t="s">
        <v>13</v>
      </c>
      <c r="G1557" s="0"/>
      <c r="H1557" s="1" t="s">
        <v>370</v>
      </c>
      <c r="I1557" s="1" t="s">
        <v>417</v>
      </c>
      <c r="J1557" s="1" t="s">
        <v>443</v>
      </c>
      <c r="K1557" s="1" t="s">
        <v>443</v>
      </c>
    </row>
    <row r="1558" customFormat="false" ht="14.25" hidden="false" customHeight="false" outlineLevel="0" collapsed="false">
      <c r="A1558" s="1" t="n">
        <v>80</v>
      </c>
      <c r="B1558" s="1" t="n">
        <v>2024</v>
      </c>
      <c r="C1558" s="3" t="n">
        <v>45618</v>
      </c>
      <c r="E1558" s="1" t="s">
        <v>23</v>
      </c>
      <c r="F1558" s="1" t="s">
        <v>13</v>
      </c>
      <c r="G1558" s="0"/>
      <c r="H1558" s="1" t="s">
        <v>366</v>
      </c>
      <c r="I1558" s="1" t="s">
        <v>358</v>
      </c>
      <c r="J1558" s="1" t="s">
        <v>397</v>
      </c>
      <c r="K1558" s="1" t="s">
        <v>430</v>
      </c>
    </row>
    <row r="1559" customFormat="false" ht="14.25" hidden="false" customHeight="false" outlineLevel="0" collapsed="false">
      <c r="A1559" s="1" t="n">
        <v>80</v>
      </c>
      <c r="B1559" s="1" t="n">
        <v>2024</v>
      </c>
      <c r="C1559" s="3" t="n">
        <v>45618</v>
      </c>
      <c r="E1559" s="1" t="s">
        <v>24</v>
      </c>
      <c r="F1559" s="1" t="s">
        <v>13</v>
      </c>
      <c r="G1559" s="0"/>
      <c r="H1559" s="1" t="s">
        <v>360</v>
      </c>
      <c r="I1559" s="1" t="s">
        <v>361</v>
      </c>
      <c r="J1559" s="1" t="s">
        <v>417</v>
      </c>
      <c r="K1559" s="1" t="s">
        <v>417</v>
      </c>
    </row>
    <row r="1560" customFormat="false" ht="14.25" hidden="false" customHeight="false" outlineLevel="0" collapsed="false">
      <c r="A1560" s="1" t="n">
        <v>80</v>
      </c>
      <c r="B1560" s="1" t="n">
        <v>2024</v>
      </c>
      <c r="C1560" s="3" t="n">
        <v>45618</v>
      </c>
      <c r="E1560" s="1" t="s">
        <v>25</v>
      </c>
      <c r="F1560" s="1" t="s">
        <v>26</v>
      </c>
      <c r="G1560" s="0"/>
      <c r="H1560" s="1" t="s">
        <v>358</v>
      </c>
      <c r="I1560" s="1" t="s">
        <v>417</v>
      </c>
      <c r="J1560" s="1" t="s">
        <v>370</v>
      </c>
      <c r="K1560" s="1" t="s">
        <v>360</v>
      </c>
    </row>
    <row r="1561" customFormat="false" ht="14.25" hidden="false" customHeight="false" outlineLevel="0" collapsed="false">
      <c r="A1561" s="1" t="n">
        <v>80</v>
      </c>
      <c r="B1561" s="1" t="n">
        <v>2024</v>
      </c>
      <c r="C1561" s="3" t="n">
        <v>45618</v>
      </c>
      <c r="E1561" s="1" t="s">
        <v>27</v>
      </c>
      <c r="F1561" s="1" t="s">
        <v>13</v>
      </c>
      <c r="G1561" s="0"/>
      <c r="H1561" s="1" t="s">
        <v>397</v>
      </c>
      <c r="I1561" s="1" t="s">
        <v>358</v>
      </c>
      <c r="J1561" s="1" t="s">
        <v>393</v>
      </c>
      <c r="K1561" s="1" t="s">
        <v>393</v>
      </c>
    </row>
    <row r="1562" customFormat="false" ht="14.25" hidden="false" customHeight="false" outlineLevel="0" collapsed="false">
      <c r="A1562" s="1" t="n">
        <v>80</v>
      </c>
      <c r="B1562" s="1" t="n">
        <v>2024</v>
      </c>
      <c r="C1562" s="3" t="n">
        <v>45618</v>
      </c>
      <c r="E1562" s="1" t="s">
        <v>28</v>
      </c>
      <c r="F1562" s="1" t="s">
        <v>13</v>
      </c>
      <c r="G1562" s="0"/>
      <c r="H1562" s="1" t="s">
        <v>366</v>
      </c>
      <c r="I1562" s="1" t="s">
        <v>430</v>
      </c>
      <c r="J1562" s="1" t="s">
        <v>362</v>
      </c>
      <c r="K1562" s="1" t="s">
        <v>362</v>
      </c>
    </row>
    <row r="1563" customFormat="false" ht="14.25" hidden="false" customHeight="false" outlineLevel="0" collapsed="false">
      <c r="A1563" s="1" t="n">
        <v>80</v>
      </c>
      <c r="B1563" s="1" t="n">
        <v>2024</v>
      </c>
      <c r="C1563" s="3" t="n">
        <v>45618</v>
      </c>
      <c r="E1563" s="1" t="s">
        <v>29</v>
      </c>
      <c r="F1563" s="1" t="s">
        <v>13</v>
      </c>
      <c r="G1563" s="0"/>
      <c r="H1563" s="1" t="s">
        <v>363</v>
      </c>
      <c r="I1563" s="1" t="s">
        <v>358</v>
      </c>
      <c r="J1563" s="1" t="s">
        <v>428</v>
      </c>
      <c r="K1563" s="1" t="s">
        <v>359</v>
      </c>
    </row>
    <row r="1564" customFormat="false" ht="14.25" hidden="false" customHeight="false" outlineLevel="0" collapsed="false">
      <c r="A1564" s="1" t="n">
        <v>80</v>
      </c>
      <c r="B1564" s="1" t="n">
        <v>2024</v>
      </c>
      <c r="C1564" s="3" t="n">
        <v>45618</v>
      </c>
      <c r="E1564" s="1" t="s">
        <v>31</v>
      </c>
      <c r="F1564" s="1" t="s">
        <v>32</v>
      </c>
      <c r="G1564" s="1" t="s">
        <v>378</v>
      </c>
      <c r="H1564" s="1" t="s">
        <v>378</v>
      </c>
      <c r="I1564" s="1" t="s">
        <v>378</v>
      </c>
      <c r="J1564" s="1" t="s">
        <v>378</v>
      </c>
      <c r="K1564" s="1" t="s">
        <v>378</v>
      </c>
    </row>
    <row r="1565" customFormat="false" ht="14.25" hidden="false" customHeight="false" outlineLevel="0" collapsed="false">
      <c r="A1565" s="1" t="n">
        <v>80</v>
      </c>
      <c r="B1565" s="1" t="n">
        <v>2024</v>
      </c>
      <c r="C1565" s="3" t="n">
        <v>45618</v>
      </c>
      <c r="E1565" s="1" t="s">
        <v>34</v>
      </c>
      <c r="F1565" s="1" t="s">
        <v>35</v>
      </c>
      <c r="G1565" s="1" t="s">
        <v>382</v>
      </c>
      <c r="H1565" s="1" t="s">
        <v>382</v>
      </c>
      <c r="I1565" s="1" t="s">
        <v>382</v>
      </c>
      <c r="J1565" s="1" t="s">
        <v>382</v>
      </c>
      <c r="K1565" s="1" t="s">
        <v>382</v>
      </c>
    </row>
    <row r="1566" customFormat="false" ht="14.25" hidden="false" customHeight="false" outlineLevel="0" collapsed="false">
      <c r="A1566" s="1" t="n">
        <v>80</v>
      </c>
      <c r="B1566" s="1" t="n">
        <v>2024</v>
      </c>
      <c r="C1566" s="3" t="n">
        <v>45618</v>
      </c>
      <c r="E1566" s="1" t="s">
        <v>36</v>
      </c>
      <c r="F1566" s="1" t="s">
        <v>35</v>
      </c>
      <c r="G1566" s="0"/>
      <c r="H1566" s="1" t="s">
        <v>419</v>
      </c>
      <c r="I1566" s="1" t="s">
        <v>388</v>
      </c>
      <c r="J1566" s="1" t="s">
        <v>362</v>
      </c>
      <c r="K1566" s="1" t="s">
        <v>362</v>
      </c>
    </row>
    <row r="1567" customFormat="false" ht="14.25" hidden="false" customHeight="false" outlineLevel="0" collapsed="false">
      <c r="A1567" s="1" t="n">
        <v>80</v>
      </c>
      <c r="B1567" s="1" t="n">
        <v>2024</v>
      </c>
      <c r="C1567" s="3" t="n">
        <v>45618</v>
      </c>
      <c r="E1567" s="1" t="s">
        <v>153</v>
      </c>
      <c r="F1567" s="1" t="s">
        <v>154</v>
      </c>
      <c r="G1567" s="1" t="s">
        <v>386</v>
      </c>
      <c r="H1567" s="1" t="s">
        <v>385</v>
      </c>
      <c r="I1567" s="1" t="s">
        <v>386</v>
      </c>
      <c r="J1567" s="1" t="s">
        <v>444</v>
      </c>
      <c r="K1567" s="1" t="s">
        <v>386</v>
      </c>
    </row>
    <row r="1568" customFormat="false" ht="14.25" hidden="false" customHeight="false" outlineLevel="0" collapsed="false">
      <c r="A1568" s="1" t="n">
        <v>80</v>
      </c>
      <c r="B1568" s="1" t="n">
        <v>2024</v>
      </c>
      <c r="C1568" s="3" t="n">
        <v>45618</v>
      </c>
      <c r="E1568" s="1" t="s">
        <v>39</v>
      </c>
      <c r="F1568" s="1" t="s">
        <v>40</v>
      </c>
      <c r="G1568" s="1" t="s">
        <v>393</v>
      </c>
      <c r="H1568" s="1" t="s">
        <v>388</v>
      </c>
      <c r="I1568" s="1" t="s">
        <v>393</v>
      </c>
      <c r="J1568" s="1" t="s">
        <v>390</v>
      </c>
      <c r="K1568" s="1" t="s">
        <v>393</v>
      </c>
    </row>
    <row r="1569" customFormat="false" ht="14.25" hidden="false" customHeight="false" outlineLevel="0" collapsed="false">
      <c r="A1569" s="1" t="n">
        <v>80</v>
      </c>
      <c r="B1569" s="1" t="n">
        <v>2024</v>
      </c>
      <c r="C1569" s="3" t="n">
        <v>45618</v>
      </c>
      <c r="E1569" s="1" t="s">
        <v>42</v>
      </c>
      <c r="F1569" s="1" t="s">
        <v>43</v>
      </c>
      <c r="G1569" s="1" t="s">
        <v>390</v>
      </c>
      <c r="H1569" s="1" t="s">
        <v>390</v>
      </c>
      <c r="I1569" s="1" t="s">
        <v>370</v>
      </c>
      <c r="J1569" s="1" t="s">
        <v>445</v>
      </c>
      <c r="K1569" s="1" t="s">
        <v>394</v>
      </c>
    </row>
    <row r="1570" customFormat="false" ht="14.25" hidden="false" customHeight="false" outlineLevel="0" collapsed="false">
      <c r="A1570" s="1" t="n">
        <v>80</v>
      </c>
      <c r="B1570" s="1" t="n">
        <v>2024</v>
      </c>
      <c r="C1570" s="3" t="n">
        <v>45618</v>
      </c>
      <c r="E1570" s="1" t="s">
        <v>44</v>
      </c>
      <c r="F1570" s="1" t="s">
        <v>45</v>
      </c>
      <c r="G1570" s="1" t="s">
        <v>393</v>
      </c>
      <c r="H1570" s="1" t="s">
        <v>393</v>
      </c>
      <c r="I1570" s="1" t="s">
        <v>396</v>
      </c>
      <c r="J1570" s="1" t="s">
        <v>428</v>
      </c>
      <c r="K1570" s="1" t="s">
        <v>393</v>
      </c>
    </row>
    <row r="1571" customFormat="false" ht="14.25" hidden="false" customHeight="false" outlineLevel="0" collapsed="false">
      <c r="A1571" s="1" t="n">
        <v>80</v>
      </c>
      <c r="B1571" s="1" t="n">
        <v>2024</v>
      </c>
      <c r="C1571" s="3" t="n">
        <v>45618</v>
      </c>
      <c r="E1571" s="1" t="s">
        <v>48</v>
      </c>
      <c r="F1571" s="1" t="s">
        <v>45</v>
      </c>
      <c r="G1571" s="0"/>
      <c r="H1571" s="1" t="s">
        <v>405</v>
      </c>
      <c r="I1571" s="1" t="s">
        <v>401</v>
      </c>
      <c r="J1571" s="1" t="s">
        <v>446</v>
      </c>
      <c r="K1571" s="1" t="s">
        <v>446</v>
      </c>
    </row>
    <row r="1572" customFormat="false" ht="14.25" hidden="false" customHeight="false" outlineLevel="0" collapsed="false">
      <c r="A1572" s="1" t="n">
        <v>80</v>
      </c>
      <c r="B1572" s="1" t="n">
        <v>2024</v>
      </c>
      <c r="C1572" s="3" t="n">
        <v>45618</v>
      </c>
      <c r="E1572" s="1" t="s">
        <v>49</v>
      </c>
      <c r="F1572" s="1" t="s">
        <v>50</v>
      </c>
      <c r="G1572" s="1" t="s">
        <v>358</v>
      </c>
      <c r="H1572" s="1" t="s">
        <v>393</v>
      </c>
      <c r="I1572" s="1" t="s">
        <v>370</v>
      </c>
      <c r="J1572" s="1" t="s">
        <v>447</v>
      </c>
      <c r="K1572" s="1" t="s">
        <v>358</v>
      </c>
    </row>
    <row r="1573" customFormat="false" ht="14.25" hidden="false" customHeight="false" outlineLevel="0" collapsed="false">
      <c r="A1573" s="1" t="n">
        <v>80</v>
      </c>
      <c r="B1573" s="1" t="n">
        <v>2024</v>
      </c>
      <c r="C1573" s="3" t="n">
        <v>45618</v>
      </c>
      <c r="E1573" s="1" t="s">
        <v>52</v>
      </c>
      <c r="F1573" s="1" t="s">
        <v>43</v>
      </c>
      <c r="G1573" s="1" t="s">
        <v>370</v>
      </c>
      <c r="H1573" s="1" t="s">
        <v>393</v>
      </c>
      <c r="I1573" s="1" t="s">
        <v>370</v>
      </c>
      <c r="J1573" s="1" t="s">
        <v>421</v>
      </c>
      <c r="K1573" s="1" t="s">
        <v>358</v>
      </c>
    </row>
    <row r="1574" customFormat="false" ht="14.25" hidden="false" customHeight="false" outlineLevel="0" collapsed="false">
      <c r="A1574" s="1" t="n">
        <v>80</v>
      </c>
      <c r="B1574" s="1" t="n">
        <v>2024</v>
      </c>
      <c r="C1574" s="3" t="n">
        <v>45618</v>
      </c>
      <c r="E1574" s="1" t="s">
        <v>53</v>
      </c>
      <c r="F1574" s="1" t="s">
        <v>43</v>
      </c>
      <c r="G1574" s="1" t="s">
        <v>393</v>
      </c>
      <c r="H1574" s="1" t="s">
        <v>388</v>
      </c>
      <c r="I1574" s="1" t="s">
        <v>393</v>
      </c>
      <c r="J1574" s="1" t="s">
        <v>437</v>
      </c>
      <c r="K1574" s="1" t="s">
        <v>390</v>
      </c>
    </row>
    <row r="1575" customFormat="false" ht="14.25" hidden="false" customHeight="false" outlineLevel="0" collapsed="false">
      <c r="A1575" s="1" t="n">
        <v>80</v>
      </c>
      <c r="B1575" s="1" t="n">
        <v>2024</v>
      </c>
      <c r="C1575" s="3" t="n">
        <v>45618</v>
      </c>
      <c r="E1575" s="1" t="s">
        <v>54</v>
      </c>
      <c r="F1575" s="1" t="s">
        <v>40</v>
      </c>
      <c r="G1575" s="1" t="s">
        <v>415</v>
      </c>
      <c r="H1575" s="1" t="s">
        <v>386</v>
      </c>
      <c r="I1575" s="1" t="s">
        <v>415</v>
      </c>
      <c r="J1575" s="1" t="s">
        <v>448</v>
      </c>
      <c r="K1575" s="1" t="s">
        <v>415</v>
      </c>
    </row>
    <row r="1576" customFormat="false" ht="14.25" hidden="false" customHeight="false" outlineLevel="0" collapsed="false">
      <c r="A1576" s="1" t="n">
        <v>80</v>
      </c>
      <c r="B1576" s="1" t="n">
        <v>2024</v>
      </c>
      <c r="C1576" s="3" t="n">
        <v>45618</v>
      </c>
      <c r="E1576" s="1" t="s">
        <v>56</v>
      </c>
      <c r="F1576" s="1" t="s">
        <v>43</v>
      </c>
      <c r="G1576" s="0"/>
      <c r="H1576" s="1" t="s">
        <v>393</v>
      </c>
      <c r="I1576" s="1" t="s">
        <v>370</v>
      </c>
      <c r="J1576" s="1" t="s">
        <v>358</v>
      </c>
      <c r="K1576" s="1" t="s">
        <v>358</v>
      </c>
    </row>
    <row r="1577" customFormat="false" ht="14.25" hidden="false" customHeight="false" outlineLevel="0" collapsed="false">
      <c r="A1577" s="1" t="n">
        <v>80</v>
      </c>
      <c r="B1577" s="1" t="n">
        <v>2024</v>
      </c>
      <c r="C1577" s="3" t="n">
        <v>45618</v>
      </c>
      <c r="E1577" s="1" t="s">
        <v>57</v>
      </c>
      <c r="F1577" s="1" t="s">
        <v>40</v>
      </c>
      <c r="G1577" s="1" t="s">
        <v>393</v>
      </c>
      <c r="H1577" s="1" t="s">
        <v>388</v>
      </c>
      <c r="I1577" s="1" t="s">
        <v>393</v>
      </c>
      <c r="J1577" s="1" t="s">
        <v>449</v>
      </c>
      <c r="K1577" s="1" t="s">
        <v>390</v>
      </c>
    </row>
    <row r="1578" customFormat="false" ht="14.25" hidden="false" customHeight="false" outlineLevel="0" collapsed="false">
      <c r="A1578" s="1" t="n">
        <v>80</v>
      </c>
      <c r="B1578" s="1" t="n">
        <v>2024</v>
      </c>
      <c r="C1578" s="3" t="n">
        <v>45618</v>
      </c>
      <c r="E1578" s="1" t="s">
        <v>58</v>
      </c>
      <c r="F1578" s="1" t="s">
        <v>40</v>
      </c>
      <c r="G1578" s="1" t="s">
        <v>393</v>
      </c>
      <c r="H1578" s="1" t="s">
        <v>397</v>
      </c>
      <c r="I1578" s="1" t="s">
        <v>370</v>
      </c>
      <c r="J1578" s="1" t="s">
        <v>359</v>
      </c>
      <c r="K1578" s="1" t="s">
        <v>393</v>
      </c>
    </row>
    <row r="1579" customFormat="false" ht="14.25" hidden="false" customHeight="false" outlineLevel="0" collapsed="false">
      <c r="A1579" s="1" t="n">
        <v>80</v>
      </c>
      <c r="B1579" s="1" t="n">
        <v>2024</v>
      </c>
      <c r="C1579" s="3" t="n">
        <v>45618</v>
      </c>
      <c r="E1579" s="1" t="s">
        <v>59</v>
      </c>
      <c r="F1579" s="1" t="s">
        <v>45</v>
      </c>
      <c r="G1579" s="1" t="s">
        <v>393</v>
      </c>
      <c r="H1579" s="1" t="s">
        <v>397</v>
      </c>
      <c r="I1579" s="1" t="s">
        <v>396</v>
      </c>
      <c r="J1579" s="1" t="s">
        <v>450</v>
      </c>
      <c r="K1579" s="1" t="s">
        <v>393</v>
      </c>
    </row>
    <row r="1580" customFormat="false" ht="14.25" hidden="false" customHeight="false" outlineLevel="0" collapsed="false">
      <c r="A1580" s="1" t="n">
        <v>80</v>
      </c>
      <c r="B1580" s="1" t="n">
        <v>2024</v>
      </c>
      <c r="C1580" s="3" t="n">
        <v>45618</v>
      </c>
      <c r="E1580" s="1" t="s">
        <v>60</v>
      </c>
      <c r="F1580" s="1" t="s">
        <v>61</v>
      </c>
      <c r="G1580" s="1" t="s">
        <v>451</v>
      </c>
      <c r="H1580" s="1" t="s">
        <v>401</v>
      </c>
      <c r="I1580" s="1" t="s">
        <v>409</v>
      </c>
      <c r="J1580" s="1" t="s">
        <v>452</v>
      </c>
      <c r="K1580" s="1" t="s">
        <v>451</v>
      </c>
    </row>
    <row r="1581" customFormat="false" ht="14.25" hidden="false" customHeight="false" outlineLevel="0" collapsed="false">
      <c r="A1581" s="1" t="n">
        <v>80</v>
      </c>
      <c r="B1581" s="1" t="n">
        <v>2024</v>
      </c>
      <c r="C1581" s="3" t="n">
        <v>45618</v>
      </c>
      <c r="E1581" s="1" t="s">
        <v>63</v>
      </c>
      <c r="F1581" s="1" t="s">
        <v>40</v>
      </c>
      <c r="G1581" s="1" t="s">
        <v>386</v>
      </c>
      <c r="H1581" s="1" t="s">
        <v>394</v>
      </c>
      <c r="I1581" s="1" t="s">
        <v>415</v>
      </c>
      <c r="J1581" s="1" t="s">
        <v>453</v>
      </c>
      <c r="K1581" s="1" t="s">
        <v>386</v>
      </c>
    </row>
    <row r="1582" customFormat="false" ht="14.25" hidden="false" customHeight="false" outlineLevel="0" collapsed="false">
      <c r="A1582" s="1" t="n">
        <v>80</v>
      </c>
      <c r="B1582" s="1" t="n">
        <v>2024</v>
      </c>
      <c r="C1582" s="3" t="n">
        <v>45618</v>
      </c>
      <c r="E1582" s="1" t="s">
        <v>64</v>
      </c>
      <c r="F1582" s="1" t="s">
        <v>40</v>
      </c>
      <c r="G1582" s="1" t="s">
        <v>393</v>
      </c>
      <c r="H1582" s="1" t="s">
        <v>393</v>
      </c>
      <c r="I1582" s="1" t="s">
        <v>370</v>
      </c>
      <c r="J1582" s="1" t="s">
        <v>399</v>
      </c>
      <c r="K1582" s="1" t="s">
        <v>396</v>
      </c>
    </row>
    <row r="1583" customFormat="false" ht="14.25" hidden="false" customHeight="false" outlineLevel="0" collapsed="false">
      <c r="A1583" s="1" t="n">
        <v>80</v>
      </c>
      <c r="B1583" s="1" t="n">
        <v>2024</v>
      </c>
      <c r="C1583" s="3" t="n">
        <v>45618</v>
      </c>
      <c r="E1583" s="1" t="s">
        <v>66</v>
      </c>
      <c r="F1583" s="1" t="s">
        <v>45</v>
      </c>
    </row>
    <row r="1584" customFormat="false" ht="14.25" hidden="false" customHeight="false" outlineLevel="0" collapsed="false">
      <c r="A1584" s="1" t="n">
        <v>80</v>
      </c>
      <c r="B1584" s="1" t="n">
        <v>2024</v>
      </c>
      <c r="C1584" s="3" t="n">
        <v>45618</v>
      </c>
      <c r="E1584" s="1" t="s">
        <v>67</v>
      </c>
      <c r="F1584" s="1" t="s">
        <v>45</v>
      </c>
    </row>
    <row r="1585" customFormat="false" ht="14.25" hidden="false" customHeight="false" outlineLevel="0" collapsed="false">
      <c r="A1585" s="1" t="n">
        <v>80</v>
      </c>
      <c r="B1585" s="1" t="n">
        <v>2024</v>
      </c>
      <c r="C1585" s="3" t="n">
        <v>45618</v>
      </c>
      <c r="E1585" s="1" t="s">
        <v>68</v>
      </c>
      <c r="F1585" s="1" t="s">
        <v>45</v>
      </c>
    </row>
    <row r="1586" customFormat="false" ht="14.25" hidden="false" customHeight="false" outlineLevel="0" collapsed="false">
      <c r="A1586" s="1" t="n">
        <v>80</v>
      </c>
      <c r="B1586" s="1" t="n">
        <v>2024</v>
      </c>
      <c r="C1586" s="3" t="n">
        <v>45618</v>
      </c>
      <c r="E1586" s="1" t="s">
        <v>69</v>
      </c>
      <c r="F1586" s="1" t="s">
        <v>45</v>
      </c>
      <c r="G1586" s="0"/>
      <c r="H1586" s="1" t="s">
        <v>393</v>
      </c>
      <c r="I1586" s="1" t="s">
        <v>393</v>
      </c>
      <c r="J1586" s="1" t="s">
        <v>393</v>
      </c>
      <c r="K1586" s="1" t="s">
        <v>393</v>
      </c>
    </row>
    <row r="1587" customFormat="false" ht="14.25" hidden="false" customHeight="false" outlineLevel="0" collapsed="false">
      <c r="A1587" s="1" t="n">
        <v>81</v>
      </c>
      <c r="B1587" s="1" t="n">
        <v>2024</v>
      </c>
      <c r="C1587" s="3" t="n">
        <v>45632</v>
      </c>
      <c r="E1587" s="1" t="s">
        <v>12</v>
      </c>
      <c r="F1587" s="1" t="s">
        <v>13</v>
      </c>
      <c r="G1587" s="1" t="s">
        <v>430</v>
      </c>
      <c r="H1587" s="1" t="s">
        <v>430</v>
      </c>
      <c r="I1587" s="1" t="s">
        <v>357</v>
      </c>
      <c r="J1587" s="1" t="s">
        <v>454</v>
      </c>
      <c r="K1587" s="1" t="s">
        <v>430</v>
      </c>
    </row>
    <row r="1588" customFormat="false" ht="14.25" hidden="false" customHeight="false" outlineLevel="0" collapsed="false">
      <c r="A1588" s="1" t="n">
        <v>81</v>
      </c>
      <c r="B1588" s="1" t="n">
        <v>2024</v>
      </c>
      <c r="C1588" s="3" t="n">
        <v>45632</v>
      </c>
      <c r="E1588" s="1" t="s">
        <v>14</v>
      </c>
      <c r="F1588" s="1" t="s">
        <v>13</v>
      </c>
      <c r="G1588" s="1" t="s">
        <v>361</v>
      </c>
      <c r="H1588" s="1" t="s">
        <v>358</v>
      </c>
      <c r="I1588" s="1" t="s">
        <v>361</v>
      </c>
      <c r="J1588" s="1" t="s">
        <v>385</v>
      </c>
      <c r="K1588" s="1" t="s">
        <v>417</v>
      </c>
    </row>
    <row r="1589" customFormat="false" ht="14.25" hidden="false" customHeight="false" outlineLevel="0" collapsed="false">
      <c r="A1589" s="1" t="n">
        <v>81</v>
      </c>
      <c r="B1589" s="1" t="n">
        <v>2024</v>
      </c>
      <c r="C1589" s="3" t="n">
        <v>45632</v>
      </c>
      <c r="E1589" s="1" t="s">
        <v>15</v>
      </c>
      <c r="F1589" s="1" t="s">
        <v>13</v>
      </c>
      <c r="G1589" s="0"/>
      <c r="H1589" s="1" t="s">
        <v>362</v>
      </c>
      <c r="I1589" s="1" t="s">
        <v>358</v>
      </c>
      <c r="J1589" s="1" t="s">
        <v>390</v>
      </c>
      <c r="K1589" s="1" t="s">
        <v>390</v>
      </c>
    </row>
    <row r="1590" customFormat="false" ht="14.25" hidden="false" customHeight="false" outlineLevel="0" collapsed="false">
      <c r="A1590" s="1" t="n">
        <v>81</v>
      </c>
      <c r="B1590" s="1" t="n">
        <v>2024</v>
      </c>
      <c r="C1590" s="3" t="n">
        <v>45632</v>
      </c>
      <c r="E1590" s="1" t="s">
        <v>16</v>
      </c>
      <c r="F1590" s="1" t="s">
        <v>13</v>
      </c>
      <c r="G1590" s="1" t="s">
        <v>362</v>
      </c>
      <c r="H1590" s="1" t="s">
        <v>362</v>
      </c>
      <c r="I1590" s="1" t="s">
        <v>430</v>
      </c>
      <c r="J1590" s="1" t="s">
        <v>455</v>
      </c>
      <c r="K1590" s="1" t="s">
        <v>362</v>
      </c>
    </row>
    <row r="1591" customFormat="false" ht="14.25" hidden="false" customHeight="false" outlineLevel="0" collapsed="false">
      <c r="A1591" s="1" t="n">
        <v>81</v>
      </c>
      <c r="B1591" s="1" t="n">
        <v>2024</v>
      </c>
      <c r="C1591" s="3" t="n">
        <v>45632</v>
      </c>
      <c r="E1591" s="1" t="s">
        <v>17</v>
      </c>
      <c r="F1591" s="1" t="s">
        <v>13</v>
      </c>
      <c r="G1591" s="1" t="s">
        <v>362</v>
      </c>
      <c r="H1591" s="1" t="s">
        <v>362</v>
      </c>
      <c r="I1591" s="1" t="s">
        <v>430</v>
      </c>
      <c r="J1591" s="1" t="s">
        <v>455</v>
      </c>
      <c r="K1591" s="1" t="s">
        <v>362</v>
      </c>
    </row>
    <row r="1592" customFormat="false" ht="14.25" hidden="false" customHeight="false" outlineLevel="0" collapsed="false">
      <c r="A1592" s="1" t="n">
        <v>81</v>
      </c>
      <c r="B1592" s="1" t="n">
        <v>2024</v>
      </c>
      <c r="C1592" s="3" t="n">
        <v>45632</v>
      </c>
      <c r="E1592" s="1" t="s">
        <v>18</v>
      </c>
      <c r="F1592" s="1" t="s">
        <v>13</v>
      </c>
      <c r="G1592" s="1" t="s">
        <v>358</v>
      </c>
      <c r="H1592" s="1" t="s">
        <v>358</v>
      </c>
      <c r="I1592" s="1" t="s">
        <v>416</v>
      </c>
      <c r="J1592" s="1" t="s">
        <v>456</v>
      </c>
      <c r="K1592" s="1" t="s">
        <v>358</v>
      </c>
    </row>
    <row r="1593" customFormat="false" ht="14.25" hidden="false" customHeight="false" outlineLevel="0" collapsed="false">
      <c r="A1593" s="1" t="n">
        <v>81</v>
      </c>
      <c r="B1593" s="1" t="n">
        <v>2024</v>
      </c>
      <c r="C1593" s="3" t="n">
        <v>45632</v>
      </c>
      <c r="E1593" s="1" t="s">
        <v>19</v>
      </c>
      <c r="F1593" s="1" t="s">
        <v>13</v>
      </c>
      <c r="G1593" s="1" t="s">
        <v>361</v>
      </c>
      <c r="H1593" s="1" t="s">
        <v>357</v>
      </c>
      <c r="I1593" s="1" t="s">
        <v>360</v>
      </c>
      <c r="J1593" s="1" t="s">
        <v>457</v>
      </c>
      <c r="K1593" s="1" t="s">
        <v>458</v>
      </c>
    </row>
    <row r="1594" customFormat="false" ht="14.25" hidden="false" customHeight="false" outlineLevel="0" collapsed="false">
      <c r="A1594" s="1" t="n">
        <v>81</v>
      </c>
      <c r="B1594" s="1" t="n">
        <v>2024</v>
      </c>
      <c r="C1594" s="3" t="n">
        <v>45632</v>
      </c>
      <c r="E1594" s="1" t="s">
        <v>20</v>
      </c>
      <c r="F1594" s="1" t="s">
        <v>13</v>
      </c>
      <c r="G1594" s="0"/>
      <c r="H1594" s="1" t="s">
        <v>360</v>
      </c>
      <c r="I1594" s="1" t="s">
        <v>361</v>
      </c>
      <c r="J1594" s="1" t="s">
        <v>417</v>
      </c>
      <c r="K1594" s="1" t="s">
        <v>417</v>
      </c>
    </row>
    <row r="1595" customFormat="false" ht="14.25" hidden="false" customHeight="false" outlineLevel="0" collapsed="false">
      <c r="A1595" s="1" t="n">
        <v>81</v>
      </c>
      <c r="B1595" s="1" t="n">
        <v>2024</v>
      </c>
      <c r="C1595" s="3" t="n">
        <v>45632</v>
      </c>
      <c r="E1595" s="1" t="s">
        <v>21</v>
      </c>
      <c r="F1595" s="1" t="s">
        <v>13</v>
      </c>
      <c r="G1595" s="1" t="s">
        <v>366</v>
      </c>
      <c r="H1595" s="1" t="s">
        <v>382</v>
      </c>
      <c r="I1595" s="1" t="s">
        <v>366</v>
      </c>
      <c r="J1595" s="1" t="s">
        <v>459</v>
      </c>
      <c r="K1595" s="1" t="s">
        <v>366</v>
      </c>
    </row>
    <row r="1596" customFormat="false" ht="14.25" hidden="false" customHeight="false" outlineLevel="0" collapsed="false">
      <c r="A1596" s="1" t="n">
        <v>81</v>
      </c>
      <c r="B1596" s="1" t="n">
        <v>2024</v>
      </c>
      <c r="C1596" s="3" t="n">
        <v>45632</v>
      </c>
      <c r="E1596" s="1" t="s">
        <v>73</v>
      </c>
      <c r="F1596" s="1" t="s">
        <v>13</v>
      </c>
      <c r="G1596" s="1" t="s">
        <v>360</v>
      </c>
      <c r="H1596" s="1" t="s">
        <v>360</v>
      </c>
      <c r="I1596" s="1" t="s">
        <v>417</v>
      </c>
      <c r="J1596" s="1" t="s">
        <v>385</v>
      </c>
      <c r="K1596" s="1" t="s">
        <v>385</v>
      </c>
    </row>
    <row r="1597" customFormat="false" ht="14.25" hidden="false" customHeight="false" outlineLevel="0" collapsed="false">
      <c r="A1597" s="1" t="n">
        <v>81</v>
      </c>
      <c r="B1597" s="1" t="n">
        <v>2024</v>
      </c>
      <c r="C1597" s="3" t="n">
        <v>45632</v>
      </c>
      <c r="E1597" s="1" t="s">
        <v>23</v>
      </c>
      <c r="F1597" s="1" t="s">
        <v>13</v>
      </c>
      <c r="G1597" s="1" t="s">
        <v>362</v>
      </c>
      <c r="H1597" s="1" t="s">
        <v>362</v>
      </c>
      <c r="I1597" s="1" t="s">
        <v>430</v>
      </c>
      <c r="J1597" s="1" t="s">
        <v>455</v>
      </c>
      <c r="K1597" s="1" t="s">
        <v>362</v>
      </c>
    </row>
    <row r="1598" customFormat="false" ht="14.25" hidden="false" customHeight="false" outlineLevel="0" collapsed="false">
      <c r="A1598" s="1" t="n">
        <v>81</v>
      </c>
      <c r="B1598" s="1" t="n">
        <v>2024</v>
      </c>
      <c r="C1598" s="3" t="n">
        <v>45632</v>
      </c>
      <c r="E1598" s="1" t="s">
        <v>24</v>
      </c>
      <c r="F1598" s="1" t="s">
        <v>13</v>
      </c>
      <c r="G1598" s="1" t="s">
        <v>358</v>
      </c>
      <c r="H1598" s="1" t="s">
        <v>358</v>
      </c>
      <c r="I1598" s="1" t="s">
        <v>358</v>
      </c>
      <c r="J1598" s="1" t="s">
        <v>358</v>
      </c>
      <c r="K1598" s="1" t="s">
        <v>358</v>
      </c>
    </row>
    <row r="1599" customFormat="false" ht="14.25" hidden="false" customHeight="false" outlineLevel="0" collapsed="false">
      <c r="A1599" s="1" t="n">
        <v>81</v>
      </c>
      <c r="B1599" s="1" t="n">
        <v>2024</v>
      </c>
      <c r="C1599" s="3" t="n">
        <v>45632</v>
      </c>
      <c r="E1599" s="1" t="s">
        <v>25</v>
      </c>
      <c r="F1599" s="1" t="s">
        <v>26</v>
      </c>
      <c r="G1599" s="1" t="s">
        <v>358</v>
      </c>
      <c r="H1599" s="1" t="s">
        <v>357</v>
      </c>
      <c r="I1599" s="1" t="s">
        <v>358</v>
      </c>
      <c r="J1599" s="1" t="s">
        <v>458</v>
      </c>
      <c r="K1599" s="1" t="s">
        <v>358</v>
      </c>
    </row>
    <row r="1600" customFormat="false" ht="14.25" hidden="false" customHeight="false" outlineLevel="0" collapsed="false">
      <c r="A1600" s="1" t="n">
        <v>81</v>
      </c>
      <c r="B1600" s="1" t="n">
        <v>2024</v>
      </c>
      <c r="C1600" s="3" t="n">
        <v>45632</v>
      </c>
      <c r="E1600" s="1" t="s">
        <v>27</v>
      </c>
      <c r="F1600" s="1" t="s">
        <v>13</v>
      </c>
      <c r="G1600" s="1" t="s">
        <v>360</v>
      </c>
      <c r="H1600" s="1" t="s">
        <v>357</v>
      </c>
      <c r="I1600" s="1" t="s">
        <v>360</v>
      </c>
      <c r="J1600" s="1" t="s">
        <v>375</v>
      </c>
      <c r="K1600" s="1" t="s">
        <v>416</v>
      </c>
    </row>
    <row r="1601" customFormat="false" ht="14.25" hidden="false" customHeight="false" outlineLevel="0" collapsed="false">
      <c r="A1601" s="1" t="n">
        <v>81</v>
      </c>
      <c r="B1601" s="1" t="n">
        <v>2024</v>
      </c>
      <c r="C1601" s="3" t="n">
        <v>45632</v>
      </c>
      <c r="E1601" s="1" t="s">
        <v>28</v>
      </c>
      <c r="F1601" s="1" t="s">
        <v>13</v>
      </c>
      <c r="G1601" s="1" t="s">
        <v>362</v>
      </c>
      <c r="H1601" s="1" t="s">
        <v>362</v>
      </c>
      <c r="I1601" s="1" t="s">
        <v>430</v>
      </c>
      <c r="J1601" s="1" t="s">
        <v>365</v>
      </c>
      <c r="K1601" s="1" t="s">
        <v>365</v>
      </c>
    </row>
    <row r="1602" customFormat="false" ht="14.25" hidden="false" customHeight="false" outlineLevel="0" collapsed="false">
      <c r="A1602" s="1" t="n">
        <v>81</v>
      </c>
      <c r="B1602" s="1" t="n">
        <v>2024</v>
      </c>
      <c r="C1602" s="3" t="n">
        <v>45632</v>
      </c>
      <c r="E1602" s="1" t="s">
        <v>29</v>
      </c>
      <c r="F1602" s="1" t="s">
        <v>13</v>
      </c>
      <c r="G1602" s="1" t="s">
        <v>357</v>
      </c>
      <c r="H1602" s="1" t="s">
        <v>357</v>
      </c>
      <c r="I1602" s="1" t="s">
        <v>359</v>
      </c>
      <c r="J1602" s="1" t="s">
        <v>439</v>
      </c>
      <c r="K1602" s="1" t="s">
        <v>357</v>
      </c>
    </row>
    <row r="1603" customFormat="false" ht="14.25" hidden="false" customHeight="false" outlineLevel="0" collapsed="false">
      <c r="A1603" s="1" t="n">
        <v>81</v>
      </c>
      <c r="B1603" s="1" t="n">
        <v>2024</v>
      </c>
      <c r="C1603" s="3" t="n">
        <v>45632</v>
      </c>
      <c r="E1603" s="1" t="s">
        <v>31</v>
      </c>
      <c r="F1603" s="1" t="s">
        <v>32</v>
      </c>
      <c r="G1603" s="1" t="s">
        <v>378</v>
      </c>
      <c r="H1603" s="1" t="s">
        <v>460</v>
      </c>
      <c r="I1603" s="1" t="s">
        <v>378</v>
      </c>
      <c r="J1603" s="1" t="s">
        <v>461</v>
      </c>
      <c r="K1603" s="1" t="s">
        <v>378</v>
      </c>
    </row>
    <row r="1604" customFormat="false" ht="14.25" hidden="false" customHeight="false" outlineLevel="0" collapsed="false">
      <c r="A1604" s="1" t="n">
        <v>81</v>
      </c>
      <c r="B1604" s="1" t="n">
        <v>2024</v>
      </c>
      <c r="C1604" s="3" t="n">
        <v>45632</v>
      </c>
      <c r="E1604" s="1" t="s">
        <v>34</v>
      </c>
      <c r="F1604" s="1" t="s">
        <v>35</v>
      </c>
      <c r="G1604" s="1" t="s">
        <v>379</v>
      </c>
      <c r="H1604" s="1" t="s">
        <v>379</v>
      </c>
      <c r="I1604" s="1" t="s">
        <v>382</v>
      </c>
      <c r="J1604" s="1" t="s">
        <v>462</v>
      </c>
      <c r="K1604" s="1" t="s">
        <v>463</v>
      </c>
    </row>
    <row r="1605" customFormat="false" ht="14.25" hidden="false" customHeight="false" outlineLevel="0" collapsed="false">
      <c r="A1605" s="1" t="n">
        <v>81</v>
      </c>
      <c r="B1605" s="1" t="n">
        <v>2024</v>
      </c>
      <c r="C1605" s="3" t="n">
        <v>45632</v>
      </c>
      <c r="E1605" s="1" t="s">
        <v>36</v>
      </c>
      <c r="F1605" s="1" t="s">
        <v>35</v>
      </c>
      <c r="G1605" s="1" t="s">
        <v>382</v>
      </c>
      <c r="H1605" s="1" t="s">
        <v>382</v>
      </c>
      <c r="I1605" s="1" t="s">
        <v>362</v>
      </c>
      <c r="J1605" s="1" t="s">
        <v>419</v>
      </c>
      <c r="K1605" s="1" t="s">
        <v>419</v>
      </c>
    </row>
    <row r="1606" customFormat="false" ht="14.25" hidden="false" customHeight="false" outlineLevel="0" collapsed="false">
      <c r="A1606" s="1" t="n">
        <v>81</v>
      </c>
      <c r="B1606" s="1" t="n">
        <v>2024</v>
      </c>
      <c r="C1606" s="3" t="n">
        <v>45632</v>
      </c>
      <c r="E1606" s="1" t="s">
        <v>153</v>
      </c>
      <c r="F1606" s="1" t="s">
        <v>154</v>
      </c>
      <c r="G1606" s="0"/>
      <c r="H1606" s="1" t="s">
        <v>370</v>
      </c>
      <c r="I1606" s="1" t="s">
        <v>370</v>
      </c>
      <c r="J1606" s="1" t="s">
        <v>370</v>
      </c>
      <c r="K1606" s="1" t="s">
        <v>370</v>
      </c>
    </row>
    <row r="1607" customFormat="false" ht="14.25" hidden="false" customHeight="false" outlineLevel="0" collapsed="false">
      <c r="A1607" s="1" t="n">
        <v>81</v>
      </c>
      <c r="B1607" s="1" t="n">
        <v>2024</v>
      </c>
      <c r="C1607" s="3" t="n">
        <v>45632</v>
      </c>
      <c r="E1607" s="1" t="s">
        <v>39</v>
      </c>
      <c r="F1607" s="1" t="s">
        <v>40</v>
      </c>
      <c r="G1607" s="1" t="s">
        <v>397</v>
      </c>
      <c r="H1607" s="1" t="s">
        <v>362</v>
      </c>
      <c r="I1607" s="1" t="s">
        <v>358</v>
      </c>
      <c r="J1607" s="1" t="s">
        <v>464</v>
      </c>
      <c r="K1607" s="1" t="s">
        <v>440</v>
      </c>
    </row>
    <row r="1608" customFormat="false" ht="14.25" hidden="false" customHeight="false" outlineLevel="0" collapsed="false">
      <c r="A1608" s="1" t="n">
        <v>81</v>
      </c>
      <c r="B1608" s="1" t="n">
        <v>2024</v>
      </c>
      <c r="C1608" s="3" t="n">
        <v>45632</v>
      </c>
      <c r="E1608" s="1" t="s">
        <v>42</v>
      </c>
      <c r="F1608" s="1" t="s">
        <v>43</v>
      </c>
      <c r="G1608" s="1" t="s">
        <v>370</v>
      </c>
      <c r="H1608" s="1" t="s">
        <v>362</v>
      </c>
      <c r="I1608" s="1" t="s">
        <v>370</v>
      </c>
      <c r="J1608" s="1" t="s">
        <v>441</v>
      </c>
      <c r="K1608" s="1" t="s">
        <v>396</v>
      </c>
    </row>
    <row r="1609" customFormat="false" ht="14.25" hidden="false" customHeight="false" outlineLevel="0" collapsed="false">
      <c r="A1609" s="1" t="n">
        <v>81</v>
      </c>
      <c r="B1609" s="1" t="n">
        <v>2024</v>
      </c>
      <c r="C1609" s="3" t="n">
        <v>45632</v>
      </c>
      <c r="E1609" s="1" t="s">
        <v>44</v>
      </c>
      <c r="F1609" s="1" t="s">
        <v>45</v>
      </c>
      <c r="G1609" s="1" t="s">
        <v>397</v>
      </c>
      <c r="H1609" s="1" t="s">
        <v>397</v>
      </c>
      <c r="I1609" s="1" t="s">
        <v>358</v>
      </c>
      <c r="J1609" s="1" t="s">
        <v>465</v>
      </c>
      <c r="K1609" s="1" t="s">
        <v>390</v>
      </c>
    </row>
    <row r="1610" customFormat="false" ht="14.25" hidden="false" customHeight="false" outlineLevel="0" collapsed="false">
      <c r="A1610" s="1" t="n">
        <v>81</v>
      </c>
      <c r="B1610" s="1" t="n">
        <v>2024</v>
      </c>
      <c r="C1610" s="3" t="n">
        <v>45632</v>
      </c>
      <c r="E1610" s="1" t="s">
        <v>48</v>
      </c>
      <c r="F1610" s="1" t="s">
        <v>45</v>
      </c>
      <c r="G1610" s="0"/>
      <c r="H1610" s="1" t="s">
        <v>386</v>
      </c>
      <c r="I1610" s="1" t="s">
        <v>386</v>
      </c>
      <c r="J1610" s="1" t="s">
        <v>386</v>
      </c>
      <c r="K1610" s="1" t="s">
        <v>386</v>
      </c>
    </row>
    <row r="1611" customFormat="false" ht="14.25" hidden="false" customHeight="false" outlineLevel="0" collapsed="false">
      <c r="A1611" s="1" t="n">
        <v>81</v>
      </c>
      <c r="B1611" s="1" t="n">
        <v>2024</v>
      </c>
      <c r="C1611" s="3" t="n">
        <v>45632</v>
      </c>
      <c r="E1611" s="1" t="s">
        <v>49</v>
      </c>
      <c r="F1611" s="1" t="s">
        <v>50</v>
      </c>
      <c r="G1611" s="1" t="s">
        <v>358</v>
      </c>
      <c r="H1611" s="1" t="s">
        <v>396</v>
      </c>
      <c r="I1611" s="1" t="s">
        <v>358</v>
      </c>
      <c r="J1611" s="1" t="s">
        <v>466</v>
      </c>
      <c r="K1611" s="1" t="s">
        <v>358</v>
      </c>
    </row>
    <row r="1612" customFormat="false" ht="14.25" hidden="false" customHeight="false" outlineLevel="0" collapsed="false">
      <c r="A1612" s="1" t="n">
        <v>81</v>
      </c>
      <c r="B1612" s="1" t="n">
        <v>2024</v>
      </c>
      <c r="C1612" s="3" t="n">
        <v>45632</v>
      </c>
      <c r="E1612" s="1" t="s">
        <v>52</v>
      </c>
      <c r="F1612" s="1" t="s">
        <v>43</v>
      </c>
      <c r="G1612" s="1" t="s">
        <v>358</v>
      </c>
      <c r="H1612" s="1" t="s">
        <v>397</v>
      </c>
      <c r="I1612" s="1" t="s">
        <v>370</v>
      </c>
      <c r="J1612" s="1" t="s">
        <v>441</v>
      </c>
      <c r="K1612" s="1" t="s">
        <v>396</v>
      </c>
    </row>
    <row r="1613" customFormat="false" ht="14.25" hidden="false" customHeight="false" outlineLevel="0" collapsed="false">
      <c r="A1613" s="1" t="n">
        <v>81</v>
      </c>
      <c r="B1613" s="1" t="n">
        <v>2024</v>
      </c>
      <c r="C1613" s="3" t="n">
        <v>45632</v>
      </c>
      <c r="E1613" s="1" t="s">
        <v>53</v>
      </c>
      <c r="F1613" s="1" t="s">
        <v>43</v>
      </c>
      <c r="G1613" s="1" t="s">
        <v>397</v>
      </c>
      <c r="H1613" s="1" t="s">
        <v>382</v>
      </c>
      <c r="I1613" s="1" t="s">
        <v>397</v>
      </c>
      <c r="J1613" s="1" t="s">
        <v>467</v>
      </c>
      <c r="K1613" s="1" t="s">
        <v>388</v>
      </c>
    </row>
    <row r="1614" customFormat="false" ht="14.25" hidden="false" customHeight="false" outlineLevel="0" collapsed="false">
      <c r="A1614" s="1" t="n">
        <v>81</v>
      </c>
      <c r="B1614" s="1" t="n">
        <v>2024</v>
      </c>
      <c r="C1614" s="3" t="n">
        <v>45632</v>
      </c>
      <c r="E1614" s="1" t="s">
        <v>54</v>
      </c>
      <c r="F1614" s="1" t="s">
        <v>40</v>
      </c>
      <c r="G1614" s="1" t="s">
        <v>405</v>
      </c>
      <c r="H1614" s="1" t="s">
        <v>386</v>
      </c>
      <c r="I1614" s="1" t="s">
        <v>415</v>
      </c>
      <c r="J1614" s="1" t="s">
        <v>468</v>
      </c>
      <c r="K1614" s="1" t="s">
        <v>405</v>
      </c>
    </row>
    <row r="1615" customFormat="false" ht="14.25" hidden="false" customHeight="false" outlineLevel="0" collapsed="false">
      <c r="A1615" s="1" t="n">
        <v>81</v>
      </c>
      <c r="B1615" s="1" t="n">
        <v>2024</v>
      </c>
      <c r="C1615" s="3" t="n">
        <v>45632</v>
      </c>
      <c r="E1615" s="1" t="s">
        <v>56</v>
      </c>
      <c r="F1615" s="1" t="s">
        <v>43</v>
      </c>
      <c r="G1615" s="0"/>
      <c r="H1615" s="1" t="s">
        <v>393</v>
      </c>
      <c r="I1615" s="1" t="s">
        <v>394</v>
      </c>
      <c r="J1615" s="1" t="s">
        <v>399</v>
      </c>
      <c r="K1615" s="1" t="s">
        <v>399</v>
      </c>
    </row>
    <row r="1616" customFormat="false" ht="14.25" hidden="false" customHeight="false" outlineLevel="0" collapsed="false">
      <c r="A1616" s="1" t="n">
        <v>81</v>
      </c>
      <c r="B1616" s="1" t="n">
        <v>2024</v>
      </c>
      <c r="C1616" s="3" t="n">
        <v>45632</v>
      </c>
      <c r="E1616" s="1" t="s">
        <v>57</v>
      </c>
      <c r="F1616" s="1" t="s">
        <v>40</v>
      </c>
      <c r="G1616" s="1" t="s">
        <v>397</v>
      </c>
      <c r="H1616" s="1" t="s">
        <v>388</v>
      </c>
      <c r="I1616" s="1" t="s">
        <v>358</v>
      </c>
      <c r="J1616" s="1" t="s">
        <v>469</v>
      </c>
      <c r="K1616" s="1" t="s">
        <v>397</v>
      </c>
    </row>
    <row r="1617" customFormat="false" ht="14.25" hidden="false" customHeight="false" outlineLevel="0" collapsed="false">
      <c r="A1617" s="1" t="n">
        <v>81</v>
      </c>
      <c r="B1617" s="1" t="n">
        <v>2024</v>
      </c>
      <c r="C1617" s="3" t="n">
        <v>45632</v>
      </c>
      <c r="E1617" s="1" t="s">
        <v>58</v>
      </c>
      <c r="F1617" s="1" t="s">
        <v>40</v>
      </c>
      <c r="G1617" s="1" t="s">
        <v>397</v>
      </c>
      <c r="H1617" s="1" t="s">
        <v>397</v>
      </c>
      <c r="I1617" s="1" t="s">
        <v>358</v>
      </c>
      <c r="J1617" s="1" t="s">
        <v>470</v>
      </c>
      <c r="K1617" s="1" t="s">
        <v>390</v>
      </c>
    </row>
    <row r="1618" customFormat="false" ht="14.25" hidden="false" customHeight="false" outlineLevel="0" collapsed="false">
      <c r="A1618" s="1" t="n">
        <v>81</v>
      </c>
      <c r="B1618" s="1" t="n">
        <v>2024</v>
      </c>
      <c r="C1618" s="3" t="n">
        <v>45632</v>
      </c>
      <c r="E1618" s="1" t="s">
        <v>59</v>
      </c>
      <c r="F1618" s="1" t="s">
        <v>45</v>
      </c>
      <c r="G1618" s="1" t="s">
        <v>397</v>
      </c>
      <c r="H1618" s="1" t="s">
        <v>397</v>
      </c>
      <c r="I1618" s="1" t="s">
        <v>393</v>
      </c>
      <c r="J1618" s="1" t="s">
        <v>440</v>
      </c>
      <c r="K1618" s="1" t="s">
        <v>397</v>
      </c>
    </row>
    <row r="1619" customFormat="false" ht="14.25" hidden="false" customHeight="false" outlineLevel="0" collapsed="false">
      <c r="A1619" s="1" t="n">
        <v>81</v>
      </c>
      <c r="B1619" s="1" t="n">
        <v>2024</v>
      </c>
      <c r="C1619" s="3" t="n">
        <v>45632</v>
      </c>
      <c r="E1619" s="1" t="s">
        <v>60</v>
      </c>
      <c r="F1619" s="1" t="s">
        <v>61</v>
      </c>
      <c r="G1619" s="0"/>
      <c r="H1619" s="1" t="s">
        <v>370</v>
      </c>
      <c r="I1619" s="1" t="s">
        <v>401</v>
      </c>
      <c r="J1619" s="1" t="s">
        <v>468</v>
      </c>
      <c r="K1619" s="1" t="s">
        <v>405</v>
      </c>
    </row>
    <row r="1620" customFormat="false" ht="14.25" hidden="false" customHeight="false" outlineLevel="0" collapsed="false">
      <c r="A1620" s="1" t="n">
        <v>81</v>
      </c>
      <c r="B1620" s="1" t="n">
        <v>2024</v>
      </c>
      <c r="C1620" s="3" t="n">
        <v>45632</v>
      </c>
      <c r="E1620" s="1" t="s">
        <v>63</v>
      </c>
      <c r="F1620" s="1" t="s">
        <v>40</v>
      </c>
      <c r="G1620" s="1" t="s">
        <v>397</v>
      </c>
      <c r="H1620" s="1" t="s">
        <v>397</v>
      </c>
      <c r="I1620" s="1" t="s">
        <v>358</v>
      </c>
      <c r="J1620" s="1" t="s">
        <v>471</v>
      </c>
      <c r="K1620" s="1" t="s">
        <v>393</v>
      </c>
    </row>
    <row r="1621" customFormat="false" ht="14.25" hidden="false" customHeight="false" outlineLevel="0" collapsed="false">
      <c r="A1621" s="1" t="n">
        <v>81</v>
      </c>
      <c r="B1621" s="1" t="n">
        <v>2024</v>
      </c>
      <c r="C1621" s="3" t="n">
        <v>45632</v>
      </c>
      <c r="E1621" s="1" t="s">
        <v>64</v>
      </c>
      <c r="F1621" s="1" t="s">
        <v>40</v>
      </c>
      <c r="G1621" s="1" t="s">
        <v>358</v>
      </c>
      <c r="H1621" s="1" t="s">
        <v>393</v>
      </c>
      <c r="I1621" s="1" t="s">
        <v>358</v>
      </c>
      <c r="J1621" s="1" t="s">
        <v>396</v>
      </c>
      <c r="K1621" s="1" t="s">
        <v>396</v>
      </c>
    </row>
    <row r="1622" customFormat="false" ht="14.25" hidden="false" customHeight="false" outlineLevel="0" collapsed="false">
      <c r="A1622" s="1" t="n">
        <v>81</v>
      </c>
      <c r="B1622" s="1" t="n">
        <v>2024</v>
      </c>
      <c r="C1622" s="3" t="n">
        <v>45632</v>
      </c>
      <c r="E1622" s="1" t="s">
        <v>69</v>
      </c>
      <c r="F1622" s="1" t="s">
        <v>45</v>
      </c>
      <c r="G1622" s="0"/>
      <c r="H1622" s="1" t="s">
        <v>396</v>
      </c>
      <c r="I1622" s="1" t="s">
        <v>396</v>
      </c>
      <c r="J1622" s="1" t="s">
        <v>396</v>
      </c>
      <c r="K1622" s="1" t="s">
        <v>396</v>
      </c>
    </row>
    <row r="1623" customFormat="false" ht="14.25" hidden="false" customHeight="false" outlineLevel="0" collapsed="false">
      <c r="A1623" s="1" t="n">
        <v>82</v>
      </c>
      <c r="B1623" s="1" t="n">
        <v>2024</v>
      </c>
      <c r="C1623" s="3" t="n">
        <v>45639</v>
      </c>
      <c r="E1623" s="1" t="s">
        <v>12</v>
      </c>
      <c r="F1623" s="1" t="s">
        <v>13</v>
      </c>
      <c r="G1623" s="1" t="s">
        <v>430</v>
      </c>
      <c r="H1623" s="1" t="s">
        <v>360</v>
      </c>
      <c r="I1623" s="1" t="s">
        <v>360</v>
      </c>
      <c r="J1623" s="1" t="s">
        <v>458</v>
      </c>
      <c r="K1623" s="1" t="s">
        <v>358</v>
      </c>
    </row>
    <row r="1624" customFormat="false" ht="14.25" hidden="false" customHeight="false" outlineLevel="0" collapsed="false">
      <c r="A1624" s="1" t="n">
        <v>82</v>
      </c>
      <c r="B1624" s="1" t="n">
        <v>2024</v>
      </c>
      <c r="C1624" s="3" t="n">
        <v>45639</v>
      </c>
      <c r="E1624" s="1" t="s">
        <v>14</v>
      </c>
      <c r="F1624" s="1" t="s">
        <v>13</v>
      </c>
      <c r="G1624" s="0"/>
      <c r="H1624" s="1" t="s">
        <v>357</v>
      </c>
      <c r="I1624" s="1" t="s">
        <v>472</v>
      </c>
      <c r="J1624" s="1" t="s">
        <v>473</v>
      </c>
      <c r="K1624" s="1" t="s">
        <v>474</v>
      </c>
    </row>
    <row r="1625" customFormat="false" ht="14.25" hidden="false" customHeight="false" outlineLevel="0" collapsed="false">
      <c r="A1625" s="1" t="n">
        <v>82</v>
      </c>
      <c r="B1625" s="1" t="n">
        <v>2024</v>
      </c>
      <c r="C1625" s="3" t="n">
        <v>45639</v>
      </c>
      <c r="E1625" s="1" t="s">
        <v>15</v>
      </c>
      <c r="F1625" s="1" t="s">
        <v>13</v>
      </c>
      <c r="G1625" s="0"/>
      <c r="H1625" s="1" t="s">
        <v>358</v>
      </c>
      <c r="I1625" s="1" t="s">
        <v>357</v>
      </c>
      <c r="J1625" s="1" t="s">
        <v>357</v>
      </c>
      <c r="K1625" s="1" t="s">
        <v>357</v>
      </c>
    </row>
    <row r="1626" customFormat="false" ht="14.25" hidden="false" customHeight="false" outlineLevel="0" collapsed="false">
      <c r="A1626" s="1" t="n">
        <v>82</v>
      </c>
      <c r="B1626" s="1" t="n">
        <v>2024</v>
      </c>
      <c r="C1626" s="3" t="n">
        <v>45639</v>
      </c>
      <c r="E1626" s="1" t="s">
        <v>16</v>
      </c>
      <c r="F1626" s="1" t="s">
        <v>13</v>
      </c>
      <c r="G1626" s="1" t="s">
        <v>430</v>
      </c>
      <c r="H1626" s="1" t="s">
        <v>430</v>
      </c>
      <c r="I1626" s="1" t="s">
        <v>430</v>
      </c>
      <c r="J1626" s="1" t="s">
        <v>366</v>
      </c>
      <c r="K1626" s="1" t="s">
        <v>475</v>
      </c>
    </row>
    <row r="1627" customFormat="false" ht="14.25" hidden="false" customHeight="false" outlineLevel="0" collapsed="false">
      <c r="A1627" s="1" t="n">
        <v>82</v>
      </c>
      <c r="B1627" s="1" t="n">
        <v>2024</v>
      </c>
      <c r="C1627" s="3" t="n">
        <v>45639</v>
      </c>
      <c r="E1627" s="1" t="s">
        <v>17</v>
      </c>
      <c r="F1627" s="1" t="s">
        <v>13</v>
      </c>
      <c r="G1627" s="1" t="s">
        <v>362</v>
      </c>
      <c r="H1627" s="1" t="s">
        <v>419</v>
      </c>
      <c r="I1627" s="1" t="s">
        <v>430</v>
      </c>
      <c r="J1627" s="1" t="s">
        <v>476</v>
      </c>
      <c r="K1627" s="1" t="s">
        <v>362</v>
      </c>
    </row>
    <row r="1628" customFormat="false" ht="14.25" hidden="false" customHeight="false" outlineLevel="0" collapsed="false">
      <c r="A1628" s="1" t="n">
        <v>82</v>
      </c>
      <c r="B1628" s="1" t="n">
        <v>2024</v>
      </c>
      <c r="C1628" s="3" t="n">
        <v>45639</v>
      </c>
      <c r="E1628" s="1" t="s">
        <v>18</v>
      </c>
      <c r="F1628" s="1" t="s">
        <v>13</v>
      </c>
      <c r="G1628" s="1" t="s">
        <v>358</v>
      </c>
      <c r="H1628" s="1" t="s">
        <v>358</v>
      </c>
      <c r="I1628" s="1" t="s">
        <v>416</v>
      </c>
      <c r="J1628" s="1" t="s">
        <v>474</v>
      </c>
      <c r="K1628" s="1" t="s">
        <v>358</v>
      </c>
    </row>
    <row r="1629" customFormat="false" ht="14.25" hidden="false" customHeight="false" outlineLevel="0" collapsed="false">
      <c r="A1629" s="1" t="n">
        <v>82</v>
      </c>
      <c r="B1629" s="1" t="n">
        <v>2024</v>
      </c>
      <c r="C1629" s="3" t="n">
        <v>45639</v>
      </c>
      <c r="E1629" s="1" t="s">
        <v>19</v>
      </c>
      <c r="F1629" s="1" t="s">
        <v>13</v>
      </c>
      <c r="G1629" s="1" t="s">
        <v>358</v>
      </c>
      <c r="H1629" s="1" t="s">
        <v>358</v>
      </c>
      <c r="I1629" s="1" t="s">
        <v>359</v>
      </c>
      <c r="J1629" s="1" t="s">
        <v>457</v>
      </c>
      <c r="K1629" s="1" t="s">
        <v>358</v>
      </c>
    </row>
    <row r="1630" customFormat="false" ht="14.25" hidden="false" customHeight="false" outlineLevel="0" collapsed="false">
      <c r="A1630" s="1" t="n">
        <v>82</v>
      </c>
      <c r="B1630" s="1" t="n">
        <v>2024</v>
      </c>
      <c r="C1630" s="3" t="n">
        <v>45639</v>
      </c>
      <c r="E1630" s="1" t="s">
        <v>20</v>
      </c>
      <c r="F1630" s="1" t="s">
        <v>13</v>
      </c>
      <c r="G1630" s="1" t="s">
        <v>360</v>
      </c>
      <c r="H1630" s="1" t="s">
        <v>360</v>
      </c>
      <c r="I1630" s="1" t="s">
        <v>360</v>
      </c>
      <c r="J1630" s="1" t="s">
        <v>360</v>
      </c>
      <c r="K1630" s="1" t="s">
        <v>360</v>
      </c>
    </row>
    <row r="1631" customFormat="false" ht="14.25" hidden="false" customHeight="false" outlineLevel="0" collapsed="false">
      <c r="A1631" s="1" t="n">
        <v>82</v>
      </c>
      <c r="B1631" s="1" t="n">
        <v>2024</v>
      </c>
      <c r="C1631" s="3" t="n">
        <v>45639</v>
      </c>
      <c r="E1631" s="1" t="s">
        <v>21</v>
      </c>
      <c r="F1631" s="1" t="s">
        <v>13</v>
      </c>
      <c r="G1631" s="1" t="s">
        <v>382</v>
      </c>
      <c r="H1631" s="1" t="s">
        <v>366</v>
      </c>
      <c r="I1631" s="1" t="s">
        <v>367</v>
      </c>
      <c r="J1631" s="1" t="s">
        <v>477</v>
      </c>
      <c r="K1631" s="1" t="s">
        <v>382</v>
      </c>
    </row>
    <row r="1632" customFormat="false" ht="14.25" hidden="false" customHeight="false" outlineLevel="0" collapsed="false">
      <c r="A1632" s="1" t="n">
        <v>82</v>
      </c>
      <c r="B1632" s="1" t="n">
        <v>2024</v>
      </c>
      <c r="C1632" s="3" t="n">
        <v>45639</v>
      </c>
      <c r="E1632" s="1" t="s">
        <v>73</v>
      </c>
      <c r="F1632" s="1" t="s">
        <v>13</v>
      </c>
      <c r="G1632" s="1" t="s">
        <v>361</v>
      </c>
      <c r="H1632" s="1" t="s">
        <v>360</v>
      </c>
      <c r="I1632" s="1" t="s">
        <v>361</v>
      </c>
      <c r="J1632" s="1" t="s">
        <v>453</v>
      </c>
      <c r="K1632" s="1" t="s">
        <v>386</v>
      </c>
    </row>
    <row r="1633" customFormat="false" ht="14.25" hidden="false" customHeight="false" outlineLevel="0" collapsed="false">
      <c r="A1633" s="1" t="n">
        <v>82</v>
      </c>
      <c r="B1633" s="1" t="n">
        <v>2024</v>
      </c>
      <c r="C1633" s="3" t="n">
        <v>45639</v>
      </c>
      <c r="E1633" s="1" t="s">
        <v>23</v>
      </c>
      <c r="F1633" s="1" t="s">
        <v>13</v>
      </c>
      <c r="G1633" s="1" t="s">
        <v>362</v>
      </c>
      <c r="H1633" s="1" t="s">
        <v>362</v>
      </c>
      <c r="I1633" s="1" t="s">
        <v>430</v>
      </c>
      <c r="J1633" s="1" t="s">
        <v>365</v>
      </c>
      <c r="K1633" s="1" t="s">
        <v>365</v>
      </c>
    </row>
    <row r="1634" customFormat="false" ht="14.25" hidden="false" customHeight="false" outlineLevel="0" collapsed="false">
      <c r="A1634" s="1" t="n">
        <v>82</v>
      </c>
      <c r="B1634" s="1" t="n">
        <v>2024</v>
      </c>
      <c r="C1634" s="3" t="n">
        <v>45639</v>
      </c>
      <c r="E1634" s="1" t="s">
        <v>24</v>
      </c>
      <c r="F1634" s="1" t="s">
        <v>13</v>
      </c>
      <c r="G1634" s="1" t="s">
        <v>358</v>
      </c>
      <c r="H1634" s="1" t="s">
        <v>358</v>
      </c>
      <c r="I1634" s="1" t="s">
        <v>358</v>
      </c>
      <c r="J1634" s="1" t="s">
        <v>358</v>
      </c>
      <c r="K1634" s="1" t="s">
        <v>358</v>
      </c>
    </row>
    <row r="1635" customFormat="false" ht="14.25" hidden="false" customHeight="false" outlineLevel="0" collapsed="false">
      <c r="A1635" s="1" t="n">
        <v>82</v>
      </c>
      <c r="B1635" s="1" t="n">
        <v>2024</v>
      </c>
      <c r="C1635" s="3" t="n">
        <v>45639</v>
      </c>
      <c r="E1635" s="1" t="s">
        <v>25</v>
      </c>
      <c r="F1635" s="1" t="s">
        <v>26</v>
      </c>
      <c r="G1635" s="1" t="s">
        <v>358</v>
      </c>
      <c r="H1635" s="1" t="s">
        <v>358</v>
      </c>
      <c r="I1635" s="1" t="s">
        <v>357</v>
      </c>
      <c r="J1635" s="1" t="s">
        <v>358</v>
      </c>
      <c r="K1635" s="1" t="s">
        <v>478</v>
      </c>
    </row>
    <row r="1636" customFormat="false" ht="14.25" hidden="false" customHeight="false" outlineLevel="0" collapsed="false">
      <c r="A1636" s="1" t="n">
        <v>82</v>
      </c>
      <c r="B1636" s="1" t="n">
        <v>2024</v>
      </c>
      <c r="C1636" s="3" t="n">
        <v>45639</v>
      </c>
      <c r="E1636" s="1" t="s">
        <v>27</v>
      </c>
      <c r="F1636" s="1" t="s">
        <v>13</v>
      </c>
      <c r="G1636" s="1" t="s">
        <v>405</v>
      </c>
      <c r="H1636" s="1" t="s">
        <v>357</v>
      </c>
      <c r="I1636" s="1" t="s">
        <v>357</v>
      </c>
      <c r="J1636" s="1" t="s">
        <v>418</v>
      </c>
      <c r="K1636" s="1" t="s">
        <v>418</v>
      </c>
    </row>
    <row r="1637" customFormat="false" ht="14.25" hidden="false" customHeight="false" outlineLevel="0" collapsed="false">
      <c r="A1637" s="1" t="n">
        <v>82</v>
      </c>
      <c r="B1637" s="1" t="n">
        <v>2024</v>
      </c>
      <c r="C1637" s="3" t="n">
        <v>45639</v>
      </c>
      <c r="E1637" s="1" t="s">
        <v>28</v>
      </c>
      <c r="F1637" s="1" t="s">
        <v>13</v>
      </c>
      <c r="G1637" s="0"/>
      <c r="H1637" s="1" t="s">
        <v>362</v>
      </c>
      <c r="I1637" s="1" t="s">
        <v>430</v>
      </c>
      <c r="J1637" s="1" t="s">
        <v>479</v>
      </c>
      <c r="K1637" s="1" t="s">
        <v>430</v>
      </c>
    </row>
    <row r="1638" customFormat="false" ht="14.25" hidden="false" customHeight="false" outlineLevel="0" collapsed="false">
      <c r="A1638" s="1" t="n">
        <v>82</v>
      </c>
      <c r="B1638" s="1" t="n">
        <v>2024</v>
      </c>
      <c r="C1638" s="3" t="n">
        <v>45639</v>
      </c>
      <c r="E1638" s="1" t="s">
        <v>29</v>
      </c>
      <c r="F1638" s="1" t="s">
        <v>13</v>
      </c>
      <c r="G1638" s="1" t="s">
        <v>358</v>
      </c>
      <c r="H1638" s="1" t="s">
        <v>357</v>
      </c>
      <c r="I1638" s="1" t="s">
        <v>357</v>
      </c>
      <c r="J1638" s="1" t="s">
        <v>480</v>
      </c>
      <c r="K1638" s="1" t="s">
        <v>357</v>
      </c>
    </row>
    <row r="1639" customFormat="false" ht="14.25" hidden="false" customHeight="false" outlineLevel="0" collapsed="false">
      <c r="A1639" s="1" t="n">
        <v>82</v>
      </c>
      <c r="B1639" s="1" t="n">
        <v>2024</v>
      </c>
      <c r="C1639" s="3" t="n">
        <v>45639</v>
      </c>
      <c r="E1639" s="1" t="s">
        <v>31</v>
      </c>
      <c r="F1639" s="1" t="s">
        <v>32</v>
      </c>
      <c r="G1639" s="1" t="s">
        <v>460</v>
      </c>
      <c r="H1639" s="1" t="s">
        <v>378</v>
      </c>
      <c r="I1639" s="1" t="s">
        <v>378</v>
      </c>
      <c r="J1639" s="1" t="s">
        <v>481</v>
      </c>
      <c r="K1639" s="1" t="s">
        <v>378</v>
      </c>
    </row>
    <row r="1640" customFormat="false" ht="14.25" hidden="false" customHeight="false" outlineLevel="0" collapsed="false">
      <c r="A1640" s="1" t="n">
        <v>82</v>
      </c>
      <c r="B1640" s="1" t="n">
        <v>2024</v>
      </c>
      <c r="C1640" s="3" t="n">
        <v>45639</v>
      </c>
      <c r="E1640" s="1" t="s">
        <v>34</v>
      </c>
      <c r="F1640" s="1" t="s">
        <v>35</v>
      </c>
      <c r="G1640" s="1" t="s">
        <v>382</v>
      </c>
      <c r="H1640" s="1" t="s">
        <v>379</v>
      </c>
      <c r="I1640" s="1" t="s">
        <v>379</v>
      </c>
      <c r="J1640" s="1" t="s">
        <v>482</v>
      </c>
      <c r="K1640" s="1" t="s">
        <v>379</v>
      </c>
    </row>
    <row r="1641" customFormat="false" ht="14.25" hidden="false" customHeight="false" outlineLevel="0" collapsed="false">
      <c r="A1641" s="1" t="n">
        <v>82</v>
      </c>
      <c r="B1641" s="1" t="n">
        <v>2024</v>
      </c>
      <c r="C1641" s="3" t="n">
        <v>45639</v>
      </c>
      <c r="E1641" s="1" t="s">
        <v>36</v>
      </c>
      <c r="F1641" s="1" t="s">
        <v>35</v>
      </c>
      <c r="G1641" s="1" t="s">
        <v>362</v>
      </c>
      <c r="H1641" s="1" t="s">
        <v>382</v>
      </c>
      <c r="I1641" s="1" t="s">
        <v>382</v>
      </c>
      <c r="J1641" s="1" t="s">
        <v>459</v>
      </c>
      <c r="K1641" s="1" t="s">
        <v>382</v>
      </c>
    </row>
    <row r="1642" customFormat="false" ht="14.25" hidden="false" customHeight="false" outlineLevel="0" collapsed="false">
      <c r="A1642" s="1" t="n">
        <v>82</v>
      </c>
      <c r="B1642" s="1" t="n">
        <v>2024</v>
      </c>
      <c r="C1642" s="3" t="n">
        <v>45639</v>
      </c>
      <c r="E1642" s="1" t="s">
        <v>153</v>
      </c>
      <c r="F1642" s="1" t="s">
        <v>154</v>
      </c>
      <c r="G1642" s="1" t="s">
        <v>385</v>
      </c>
      <c r="H1642" s="1" t="s">
        <v>385</v>
      </c>
      <c r="I1642" s="1" t="s">
        <v>394</v>
      </c>
      <c r="J1642" s="1" t="s">
        <v>483</v>
      </c>
      <c r="K1642" s="1" t="s">
        <v>385</v>
      </c>
    </row>
    <row r="1643" customFormat="false" ht="14.25" hidden="false" customHeight="false" outlineLevel="0" collapsed="false">
      <c r="A1643" s="1" t="n">
        <v>82</v>
      </c>
      <c r="B1643" s="1" t="n">
        <v>2024</v>
      </c>
      <c r="C1643" s="3" t="n">
        <v>45639</v>
      </c>
      <c r="E1643" s="1" t="s">
        <v>39</v>
      </c>
      <c r="F1643" s="1" t="s">
        <v>40</v>
      </c>
      <c r="G1643" s="1" t="s">
        <v>358</v>
      </c>
      <c r="H1643" s="1" t="s">
        <v>358</v>
      </c>
      <c r="I1643" s="1" t="s">
        <v>386</v>
      </c>
      <c r="J1643" s="1" t="s">
        <v>418</v>
      </c>
      <c r="K1643" s="1" t="s">
        <v>370</v>
      </c>
    </row>
    <row r="1644" customFormat="false" ht="14.25" hidden="false" customHeight="false" outlineLevel="0" collapsed="false">
      <c r="A1644" s="1" t="n">
        <v>82</v>
      </c>
      <c r="B1644" s="1" t="n">
        <v>2024</v>
      </c>
      <c r="C1644" s="3" t="n">
        <v>45639</v>
      </c>
      <c r="E1644" s="1" t="s">
        <v>42</v>
      </c>
      <c r="F1644" s="1" t="s">
        <v>43</v>
      </c>
      <c r="G1644" s="1" t="s">
        <v>370</v>
      </c>
      <c r="H1644" s="1" t="s">
        <v>390</v>
      </c>
      <c r="I1644" s="1" t="s">
        <v>370</v>
      </c>
      <c r="J1644" s="1" t="s">
        <v>358</v>
      </c>
      <c r="K1644" s="1" t="s">
        <v>394</v>
      </c>
    </row>
    <row r="1645" customFormat="false" ht="14.25" hidden="false" customHeight="false" outlineLevel="0" collapsed="false">
      <c r="A1645" s="1" t="n">
        <v>82</v>
      </c>
      <c r="B1645" s="1" t="n">
        <v>2024</v>
      </c>
      <c r="C1645" s="3" t="n">
        <v>45639</v>
      </c>
      <c r="E1645" s="1" t="s">
        <v>44</v>
      </c>
      <c r="F1645" s="1" t="s">
        <v>45</v>
      </c>
      <c r="G1645" s="1" t="s">
        <v>393</v>
      </c>
      <c r="H1645" s="1" t="s">
        <v>393</v>
      </c>
      <c r="I1645" s="1" t="s">
        <v>393</v>
      </c>
      <c r="J1645" s="1" t="s">
        <v>393</v>
      </c>
      <c r="K1645" s="1" t="s">
        <v>393</v>
      </c>
    </row>
    <row r="1646" customFormat="false" ht="14.25" hidden="false" customHeight="false" outlineLevel="0" collapsed="false">
      <c r="A1646" s="1" t="n">
        <v>82</v>
      </c>
      <c r="B1646" s="1" t="n">
        <v>2024</v>
      </c>
      <c r="C1646" s="3" t="n">
        <v>45639</v>
      </c>
      <c r="E1646" s="1" t="s">
        <v>48</v>
      </c>
      <c r="F1646" s="1" t="s">
        <v>45</v>
      </c>
      <c r="G1646" s="0"/>
      <c r="H1646" s="1" t="s">
        <v>385</v>
      </c>
      <c r="I1646" s="1" t="s">
        <v>385</v>
      </c>
      <c r="J1646" s="1" t="s">
        <v>385</v>
      </c>
      <c r="K1646" s="1" t="s">
        <v>385</v>
      </c>
    </row>
    <row r="1647" customFormat="false" ht="14.25" hidden="false" customHeight="false" outlineLevel="0" collapsed="false">
      <c r="A1647" s="1" t="n">
        <v>82</v>
      </c>
      <c r="B1647" s="1" t="n">
        <v>2024</v>
      </c>
      <c r="C1647" s="3" t="n">
        <v>45639</v>
      </c>
      <c r="E1647" s="1" t="s">
        <v>49</v>
      </c>
      <c r="F1647" s="1" t="s">
        <v>50</v>
      </c>
      <c r="G1647" s="1" t="s">
        <v>370</v>
      </c>
      <c r="H1647" s="1" t="s">
        <v>393</v>
      </c>
      <c r="I1647" s="1" t="s">
        <v>393</v>
      </c>
      <c r="J1647" s="1" t="s">
        <v>458</v>
      </c>
      <c r="K1647" s="1" t="s">
        <v>396</v>
      </c>
    </row>
    <row r="1648" customFormat="false" ht="14.25" hidden="false" customHeight="false" outlineLevel="0" collapsed="false">
      <c r="A1648" s="1" t="n">
        <v>82</v>
      </c>
      <c r="B1648" s="1" t="n">
        <v>2024</v>
      </c>
      <c r="C1648" s="3" t="n">
        <v>45639</v>
      </c>
      <c r="E1648" s="1" t="s">
        <v>52</v>
      </c>
      <c r="F1648" s="1" t="s">
        <v>43</v>
      </c>
      <c r="G1648" s="1" t="s">
        <v>370</v>
      </c>
      <c r="H1648" s="1" t="s">
        <v>397</v>
      </c>
      <c r="I1648" s="1" t="s">
        <v>393</v>
      </c>
      <c r="J1648" s="1" t="s">
        <v>359</v>
      </c>
      <c r="K1648" s="1" t="s">
        <v>393</v>
      </c>
    </row>
    <row r="1649" customFormat="false" ht="14.25" hidden="false" customHeight="false" outlineLevel="0" collapsed="false">
      <c r="A1649" s="1" t="n">
        <v>82</v>
      </c>
      <c r="B1649" s="1" t="n">
        <v>2024</v>
      </c>
      <c r="C1649" s="3" t="n">
        <v>45639</v>
      </c>
      <c r="E1649" s="1" t="s">
        <v>53</v>
      </c>
      <c r="F1649" s="1" t="s">
        <v>43</v>
      </c>
      <c r="G1649" s="1" t="s">
        <v>393</v>
      </c>
      <c r="H1649" s="1" t="s">
        <v>397</v>
      </c>
      <c r="I1649" s="1" t="s">
        <v>358</v>
      </c>
      <c r="J1649" s="1" t="s">
        <v>393</v>
      </c>
      <c r="K1649" s="1" t="s">
        <v>393</v>
      </c>
    </row>
    <row r="1650" customFormat="false" ht="14.25" hidden="false" customHeight="false" outlineLevel="0" collapsed="false">
      <c r="A1650" s="1" t="n">
        <v>82</v>
      </c>
      <c r="B1650" s="1" t="n">
        <v>2024</v>
      </c>
      <c r="C1650" s="3" t="n">
        <v>45639</v>
      </c>
      <c r="E1650" s="1" t="s">
        <v>54</v>
      </c>
      <c r="F1650" s="1" t="s">
        <v>40</v>
      </c>
      <c r="G1650" s="1" t="s">
        <v>405</v>
      </c>
      <c r="H1650" s="1" t="s">
        <v>386</v>
      </c>
      <c r="I1650" s="1" t="s">
        <v>386</v>
      </c>
      <c r="J1650" s="1" t="s">
        <v>484</v>
      </c>
      <c r="K1650" s="1" t="s">
        <v>484</v>
      </c>
    </row>
    <row r="1651" customFormat="false" ht="14.25" hidden="false" customHeight="false" outlineLevel="0" collapsed="false">
      <c r="A1651" s="1" t="n">
        <v>82</v>
      </c>
      <c r="B1651" s="1" t="n">
        <v>2024</v>
      </c>
      <c r="C1651" s="3" t="n">
        <v>45639</v>
      </c>
      <c r="E1651" s="1" t="s">
        <v>56</v>
      </c>
      <c r="F1651" s="1" t="s">
        <v>43</v>
      </c>
      <c r="G1651" s="0"/>
      <c r="H1651" s="1" t="s">
        <v>386</v>
      </c>
      <c r="I1651" s="1" t="s">
        <v>370</v>
      </c>
      <c r="J1651" s="1" t="s">
        <v>385</v>
      </c>
      <c r="K1651" s="1" t="s">
        <v>385</v>
      </c>
    </row>
    <row r="1652" customFormat="false" ht="14.25" hidden="false" customHeight="false" outlineLevel="0" collapsed="false">
      <c r="A1652" s="1" t="n">
        <v>82</v>
      </c>
      <c r="B1652" s="1" t="n">
        <v>2024</v>
      </c>
      <c r="C1652" s="3" t="n">
        <v>45639</v>
      </c>
      <c r="E1652" s="1" t="s">
        <v>57</v>
      </c>
      <c r="F1652" s="1" t="s">
        <v>40</v>
      </c>
      <c r="G1652" s="0"/>
      <c r="H1652" s="1" t="s">
        <v>358</v>
      </c>
      <c r="I1652" s="1" t="s">
        <v>397</v>
      </c>
      <c r="J1652" s="1" t="s">
        <v>393</v>
      </c>
      <c r="K1652" s="1" t="s">
        <v>393</v>
      </c>
    </row>
    <row r="1653" customFormat="false" ht="14.25" hidden="false" customHeight="false" outlineLevel="0" collapsed="false">
      <c r="A1653" s="1" t="n">
        <v>82</v>
      </c>
      <c r="B1653" s="1" t="n">
        <v>2024</v>
      </c>
      <c r="C1653" s="3" t="n">
        <v>45639</v>
      </c>
      <c r="E1653" s="1" t="s">
        <v>58</v>
      </c>
      <c r="F1653" s="1" t="s">
        <v>40</v>
      </c>
      <c r="G1653" s="1" t="s">
        <v>386</v>
      </c>
      <c r="H1653" s="1" t="s">
        <v>370</v>
      </c>
      <c r="I1653" s="1" t="s">
        <v>390</v>
      </c>
      <c r="J1653" s="1" t="s">
        <v>474</v>
      </c>
      <c r="K1653" s="1" t="s">
        <v>370</v>
      </c>
    </row>
    <row r="1654" customFormat="false" ht="14.25" hidden="false" customHeight="false" outlineLevel="0" collapsed="false">
      <c r="A1654" s="1" t="n">
        <v>82</v>
      </c>
      <c r="B1654" s="1" t="n">
        <v>2024</v>
      </c>
      <c r="C1654" s="3" t="n">
        <v>45639</v>
      </c>
      <c r="E1654" s="1" t="s">
        <v>59</v>
      </c>
      <c r="F1654" s="1" t="s">
        <v>45</v>
      </c>
      <c r="G1654" s="1" t="s">
        <v>393</v>
      </c>
      <c r="H1654" s="1" t="s">
        <v>393</v>
      </c>
      <c r="I1654" s="1" t="s">
        <v>397</v>
      </c>
      <c r="J1654" s="1" t="s">
        <v>485</v>
      </c>
      <c r="K1654" s="1" t="s">
        <v>390</v>
      </c>
    </row>
    <row r="1655" customFormat="false" ht="14.25" hidden="false" customHeight="false" outlineLevel="0" collapsed="false">
      <c r="A1655" s="1" t="n">
        <v>82</v>
      </c>
      <c r="B1655" s="1" t="n">
        <v>2024</v>
      </c>
      <c r="C1655" s="3" t="n">
        <v>45639</v>
      </c>
      <c r="E1655" s="1" t="s">
        <v>60</v>
      </c>
      <c r="F1655" s="1" t="s">
        <v>61</v>
      </c>
      <c r="G1655" s="1" t="s">
        <v>415</v>
      </c>
      <c r="H1655" s="1" t="s">
        <v>484</v>
      </c>
      <c r="I1655" s="1" t="s">
        <v>415</v>
      </c>
      <c r="J1655" s="1" t="s">
        <v>412</v>
      </c>
      <c r="K1655" s="1" t="s">
        <v>415</v>
      </c>
    </row>
    <row r="1656" customFormat="false" ht="14.25" hidden="false" customHeight="false" outlineLevel="0" collapsed="false">
      <c r="A1656" s="1" t="n">
        <v>82</v>
      </c>
      <c r="B1656" s="1" t="n">
        <v>2024</v>
      </c>
      <c r="C1656" s="3" t="n">
        <v>45639</v>
      </c>
      <c r="E1656" s="1" t="s">
        <v>63</v>
      </c>
      <c r="F1656" s="1" t="s">
        <v>40</v>
      </c>
      <c r="G1656" s="1" t="s">
        <v>393</v>
      </c>
      <c r="H1656" s="1" t="s">
        <v>393</v>
      </c>
      <c r="I1656" s="1" t="s">
        <v>370</v>
      </c>
      <c r="J1656" s="1" t="s">
        <v>458</v>
      </c>
      <c r="K1656" s="1" t="s">
        <v>396</v>
      </c>
    </row>
    <row r="1657" customFormat="false" ht="14.25" hidden="false" customHeight="false" outlineLevel="0" collapsed="false">
      <c r="A1657" s="1" t="n">
        <v>82</v>
      </c>
      <c r="B1657" s="1" t="n">
        <v>2024</v>
      </c>
      <c r="C1657" s="3" t="n">
        <v>45639</v>
      </c>
      <c r="E1657" s="1" t="s">
        <v>64</v>
      </c>
      <c r="F1657" s="1" t="s">
        <v>40</v>
      </c>
      <c r="G1657" s="1" t="s">
        <v>370</v>
      </c>
      <c r="H1657" s="1" t="s">
        <v>370</v>
      </c>
      <c r="I1657" s="1" t="s">
        <v>358</v>
      </c>
      <c r="J1657" s="1" t="s">
        <v>416</v>
      </c>
      <c r="K1657" s="1" t="s">
        <v>370</v>
      </c>
    </row>
    <row r="1658" customFormat="false" ht="14.25" hidden="false" customHeight="false" outlineLevel="0" collapsed="false">
      <c r="A1658" s="1" t="n">
        <v>82</v>
      </c>
      <c r="B1658" s="1" t="n">
        <v>2024</v>
      </c>
      <c r="C1658" s="3" t="n">
        <v>45639</v>
      </c>
      <c r="E1658" s="1" t="s">
        <v>69</v>
      </c>
      <c r="F1658" s="1" t="s">
        <v>45</v>
      </c>
      <c r="G1658" s="0"/>
      <c r="H1658" s="1" t="s">
        <v>358</v>
      </c>
      <c r="I1658" s="1" t="s">
        <v>358</v>
      </c>
      <c r="J1658" s="1" t="s">
        <v>358</v>
      </c>
      <c r="K1658" s="1" t="s">
        <v>358</v>
      </c>
    </row>
    <row r="1659" customFormat="false" ht="14.25" hidden="false" customHeight="false" outlineLevel="0" collapsed="false">
      <c r="A1659" s="1" t="n">
        <v>83</v>
      </c>
      <c r="B1659" s="1" t="n">
        <v>2024</v>
      </c>
      <c r="C1659" s="3" t="n">
        <v>45646</v>
      </c>
      <c r="E1659" s="1" t="s">
        <v>12</v>
      </c>
      <c r="F1659" s="1" t="s">
        <v>13</v>
      </c>
      <c r="G1659" s="1" t="s">
        <v>358</v>
      </c>
      <c r="H1659" s="1" t="s">
        <v>360</v>
      </c>
      <c r="I1659" s="1" t="s">
        <v>360</v>
      </c>
      <c r="J1659" s="1" t="s">
        <v>429</v>
      </c>
      <c r="K1659" s="1" t="s">
        <v>360</v>
      </c>
    </row>
    <row r="1660" customFormat="false" ht="14.25" hidden="false" customHeight="false" outlineLevel="0" collapsed="false">
      <c r="A1660" s="1" t="n">
        <v>83</v>
      </c>
      <c r="B1660" s="1" t="n">
        <v>2024</v>
      </c>
      <c r="C1660" s="3" t="n">
        <v>45646</v>
      </c>
      <c r="E1660" s="1" t="s">
        <v>14</v>
      </c>
      <c r="F1660" s="1" t="s">
        <v>13</v>
      </c>
      <c r="G1660" s="1" t="s">
        <v>360</v>
      </c>
      <c r="H1660" s="1" t="s">
        <v>361</v>
      </c>
      <c r="I1660" s="1" t="s">
        <v>361</v>
      </c>
      <c r="J1660" s="1" t="s">
        <v>386</v>
      </c>
      <c r="K1660" s="1" t="s">
        <v>361</v>
      </c>
    </row>
    <row r="1661" customFormat="false" ht="14.25" hidden="false" customHeight="false" outlineLevel="0" collapsed="false">
      <c r="A1661" s="1" t="n">
        <v>83</v>
      </c>
      <c r="B1661" s="1" t="n">
        <v>2024</v>
      </c>
      <c r="C1661" s="3" t="n">
        <v>45646</v>
      </c>
      <c r="E1661" s="1" t="s">
        <v>15</v>
      </c>
      <c r="F1661" s="1" t="s">
        <v>13</v>
      </c>
      <c r="G1661" s="1" t="s">
        <v>430</v>
      </c>
      <c r="H1661" s="1" t="s">
        <v>390</v>
      </c>
      <c r="I1661" s="1" t="s">
        <v>358</v>
      </c>
      <c r="J1661" s="1" t="s">
        <v>486</v>
      </c>
      <c r="K1661" s="1" t="s">
        <v>390</v>
      </c>
    </row>
    <row r="1662" customFormat="false" ht="14.25" hidden="false" customHeight="false" outlineLevel="0" collapsed="false">
      <c r="A1662" s="1" t="n">
        <v>83</v>
      </c>
      <c r="B1662" s="1" t="n">
        <v>2024</v>
      </c>
      <c r="C1662" s="3" t="n">
        <v>45646</v>
      </c>
      <c r="E1662" s="1" t="s">
        <v>16</v>
      </c>
      <c r="F1662" s="1" t="s">
        <v>13</v>
      </c>
      <c r="G1662" s="1" t="s">
        <v>366</v>
      </c>
      <c r="H1662" s="1" t="s">
        <v>362</v>
      </c>
      <c r="I1662" s="1" t="s">
        <v>362</v>
      </c>
      <c r="J1662" s="1" t="s">
        <v>431</v>
      </c>
      <c r="K1662" s="1" t="s">
        <v>384</v>
      </c>
    </row>
    <row r="1663" customFormat="false" ht="14.25" hidden="false" customHeight="false" outlineLevel="0" collapsed="false">
      <c r="A1663" s="1" t="n">
        <v>83</v>
      </c>
      <c r="B1663" s="1" t="n">
        <v>2024</v>
      </c>
      <c r="C1663" s="3" t="n">
        <v>45646</v>
      </c>
      <c r="E1663" s="1" t="s">
        <v>17</v>
      </c>
      <c r="F1663" s="1" t="s">
        <v>13</v>
      </c>
      <c r="G1663" s="1" t="s">
        <v>419</v>
      </c>
      <c r="H1663" s="1" t="s">
        <v>362</v>
      </c>
      <c r="I1663" s="1" t="s">
        <v>362</v>
      </c>
      <c r="J1663" s="1" t="s">
        <v>487</v>
      </c>
      <c r="K1663" s="1" t="s">
        <v>362</v>
      </c>
    </row>
    <row r="1664" customFormat="false" ht="14.25" hidden="false" customHeight="false" outlineLevel="0" collapsed="false">
      <c r="A1664" s="1" t="n">
        <v>83</v>
      </c>
      <c r="B1664" s="1" t="n">
        <v>2024</v>
      </c>
      <c r="C1664" s="3" t="n">
        <v>45646</v>
      </c>
      <c r="E1664" s="1" t="s">
        <v>18</v>
      </c>
      <c r="F1664" s="1" t="s">
        <v>13</v>
      </c>
      <c r="G1664" s="1" t="s">
        <v>358</v>
      </c>
      <c r="H1664" s="1" t="s">
        <v>358</v>
      </c>
      <c r="I1664" s="1" t="s">
        <v>416</v>
      </c>
      <c r="J1664" s="1" t="s">
        <v>474</v>
      </c>
      <c r="K1664" s="1" t="s">
        <v>358</v>
      </c>
    </row>
    <row r="1665" customFormat="false" ht="14.25" hidden="false" customHeight="false" outlineLevel="0" collapsed="false">
      <c r="A1665" s="1" t="n">
        <v>83</v>
      </c>
      <c r="B1665" s="1" t="n">
        <v>2024</v>
      </c>
      <c r="C1665" s="3" t="n">
        <v>45646</v>
      </c>
      <c r="E1665" s="1" t="s">
        <v>19</v>
      </c>
      <c r="F1665" s="1" t="s">
        <v>13</v>
      </c>
      <c r="G1665" s="1" t="s">
        <v>370</v>
      </c>
      <c r="H1665" s="1" t="s">
        <v>360</v>
      </c>
      <c r="I1665" s="1" t="s">
        <v>360</v>
      </c>
      <c r="J1665" s="1" t="s">
        <v>488</v>
      </c>
      <c r="K1665" s="1" t="s">
        <v>360</v>
      </c>
    </row>
    <row r="1666" customFormat="false" ht="14.25" hidden="false" customHeight="false" outlineLevel="0" collapsed="false">
      <c r="A1666" s="1" t="n">
        <v>83</v>
      </c>
      <c r="B1666" s="1" t="n">
        <v>2024</v>
      </c>
      <c r="C1666" s="3" t="n">
        <v>45646</v>
      </c>
      <c r="E1666" s="1" t="s">
        <v>20</v>
      </c>
      <c r="F1666" s="1" t="s">
        <v>13</v>
      </c>
      <c r="G1666" s="1" t="s">
        <v>358</v>
      </c>
      <c r="H1666" s="1" t="s">
        <v>360</v>
      </c>
      <c r="I1666" s="1" t="s">
        <v>360</v>
      </c>
      <c r="J1666" s="1" t="s">
        <v>418</v>
      </c>
      <c r="K1666" s="1" t="s">
        <v>360</v>
      </c>
    </row>
    <row r="1667" customFormat="false" ht="14.25" hidden="false" customHeight="false" outlineLevel="0" collapsed="false">
      <c r="A1667" s="1" t="n">
        <v>83</v>
      </c>
      <c r="B1667" s="1" t="n">
        <v>2024</v>
      </c>
      <c r="C1667" s="3" t="n">
        <v>45646</v>
      </c>
      <c r="E1667" s="1" t="s">
        <v>21</v>
      </c>
      <c r="F1667" s="1" t="s">
        <v>13</v>
      </c>
      <c r="G1667" s="1" t="s">
        <v>367</v>
      </c>
      <c r="H1667" s="1" t="s">
        <v>382</v>
      </c>
      <c r="I1667" s="1" t="s">
        <v>366</v>
      </c>
      <c r="J1667" s="1" t="s">
        <v>489</v>
      </c>
      <c r="K1667" s="1" t="s">
        <v>382</v>
      </c>
    </row>
    <row r="1668" customFormat="false" ht="14.25" hidden="false" customHeight="false" outlineLevel="0" collapsed="false">
      <c r="A1668" s="1" t="n">
        <v>83</v>
      </c>
      <c r="B1668" s="1" t="n">
        <v>2024</v>
      </c>
      <c r="C1668" s="3" t="n">
        <v>45646</v>
      </c>
      <c r="E1668" s="1" t="s">
        <v>73</v>
      </c>
      <c r="F1668" s="1" t="s">
        <v>13</v>
      </c>
      <c r="G1668" s="1" t="s">
        <v>358</v>
      </c>
      <c r="H1668" s="1" t="s">
        <v>361</v>
      </c>
      <c r="I1668" s="1" t="s">
        <v>361</v>
      </c>
      <c r="J1668" s="1" t="s">
        <v>490</v>
      </c>
      <c r="K1668" s="1" t="s">
        <v>361</v>
      </c>
    </row>
    <row r="1669" customFormat="false" ht="14.25" hidden="false" customHeight="false" outlineLevel="0" collapsed="false">
      <c r="A1669" s="1" t="n">
        <v>83</v>
      </c>
      <c r="B1669" s="1" t="n">
        <v>2024</v>
      </c>
      <c r="C1669" s="3" t="n">
        <v>45646</v>
      </c>
      <c r="E1669" s="1" t="s">
        <v>23</v>
      </c>
      <c r="F1669" s="1" t="s">
        <v>13</v>
      </c>
      <c r="G1669" s="1" t="s">
        <v>366</v>
      </c>
      <c r="H1669" s="1" t="s">
        <v>362</v>
      </c>
      <c r="I1669" s="1" t="s">
        <v>362</v>
      </c>
      <c r="J1669" s="1" t="s">
        <v>431</v>
      </c>
      <c r="K1669" s="1" t="s">
        <v>384</v>
      </c>
    </row>
    <row r="1670" customFormat="false" ht="14.25" hidden="false" customHeight="false" outlineLevel="0" collapsed="false">
      <c r="A1670" s="1" t="n">
        <v>83</v>
      </c>
      <c r="B1670" s="1" t="n">
        <v>2024</v>
      </c>
      <c r="C1670" s="3" t="n">
        <v>45646</v>
      </c>
      <c r="E1670" s="1" t="s">
        <v>24</v>
      </c>
      <c r="F1670" s="1" t="s">
        <v>13</v>
      </c>
      <c r="G1670" s="1" t="s">
        <v>358</v>
      </c>
      <c r="H1670" s="1" t="s">
        <v>358</v>
      </c>
      <c r="I1670" s="1" t="s">
        <v>358</v>
      </c>
      <c r="J1670" s="1" t="s">
        <v>358</v>
      </c>
      <c r="K1670" s="1" t="s">
        <v>358</v>
      </c>
    </row>
    <row r="1671" customFormat="false" ht="14.25" hidden="false" customHeight="false" outlineLevel="0" collapsed="false">
      <c r="A1671" s="1" t="n">
        <v>83</v>
      </c>
      <c r="B1671" s="1" t="n">
        <v>2024</v>
      </c>
      <c r="C1671" s="3" t="n">
        <v>45646</v>
      </c>
      <c r="E1671" s="1" t="s">
        <v>25</v>
      </c>
      <c r="F1671" s="1" t="s">
        <v>26</v>
      </c>
      <c r="G1671" s="1" t="s">
        <v>358</v>
      </c>
      <c r="H1671" s="1" t="s">
        <v>358</v>
      </c>
      <c r="I1671" s="1" t="s">
        <v>358</v>
      </c>
      <c r="J1671" s="1" t="s">
        <v>358</v>
      </c>
      <c r="K1671" s="1" t="s">
        <v>358</v>
      </c>
    </row>
    <row r="1672" customFormat="false" ht="14.25" hidden="false" customHeight="false" outlineLevel="0" collapsed="false">
      <c r="A1672" s="1" t="n">
        <v>83</v>
      </c>
      <c r="B1672" s="1" t="n">
        <v>2024</v>
      </c>
      <c r="C1672" s="3" t="n">
        <v>45646</v>
      </c>
      <c r="E1672" s="1" t="s">
        <v>27</v>
      </c>
      <c r="F1672" s="1" t="s">
        <v>13</v>
      </c>
      <c r="G1672" s="1" t="s">
        <v>393</v>
      </c>
      <c r="H1672" s="1" t="s">
        <v>491</v>
      </c>
      <c r="I1672" s="1" t="s">
        <v>360</v>
      </c>
      <c r="J1672" s="1" t="s">
        <v>359</v>
      </c>
      <c r="K1672" s="1" t="s">
        <v>358</v>
      </c>
    </row>
    <row r="1673" customFormat="false" ht="14.25" hidden="false" customHeight="false" outlineLevel="0" collapsed="false">
      <c r="A1673" s="1" t="n">
        <v>83</v>
      </c>
      <c r="B1673" s="1" t="n">
        <v>2024</v>
      </c>
      <c r="C1673" s="3" t="n">
        <v>45646</v>
      </c>
      <c r="E1673" s="1" t="s">
        <v>28</v>
      </c>
      <c r="F1673" s="1" t="s">
        <v>13</v>
      </c>
      <c r="G1673" s="1" t="s">
        <v>430</v>
      </c>
      <c r="H1673" s="1" t="s">
        <v>454</v>
      </c>
      <c r="I1673" s="1" t="s">
        <v>357</v>
      </c>
      <c r="J1673" s="1" t="s">
        <v>430</v>
      </c>
      <c r="K1673" s="1" t="s">
        <v>430</v>
      </c>
    </row>
    <row r="1674" customFormat="false" ht="14.25" hidden="false" customHeight="false" outlineLevel="0" collapsed="false">
      <c r="A1674" s="1" t="n">
        <v>83</v>
      </c>
      <c r="B1674" s="1" t="n">
        <v>2024</v>
      </c>
      <c r="C1674" s="3" t="n">
        <v>45646</v>
      </c>
      <c r="E1674" s="1" t="s">
        <v>29</v>
      </c>
      <c r="F1674" s="1" t="s">
        <v>13</v>
      </c>
      <c r="G1674" s="1" t="s">
        <v>363</v>
      </c>
      <c r="H1674" s="1" t="s">
        <v>357</v>
      </c>
      <c r="I1674" s="1" t="s">
        <v>357</v>
      </c>
      <c r="J1674" s="1" t="s">
        <v>485</v>
      </c>
      <c r="K1674" s="1" t="s">
        <v>357</v>
      </c>
    </row>
    <row r="1675" customFormat="false" ht="14.25" hidden="false" customHeight="false" outlineLevel="0" collapsed="false">
      <c r="A1675" s="1" t="n">
        <v>83</v>
      </c>
      <c r="B1675" s="1" t="n">
        <v>2024</v>
      </c>
      <c r="C1675" s="3" t="n">
        <v>45646</v>
      </c>
      <c r="E1675" s="1" t="s">
        <v>31</v>
      </c>
      <c r="F1675" s="1" t="s">
        <v>32</v>
      </c>
      <c r="G1675" s="1" t="s">
        <v>378</v>
      </c>
      <c r="H1675" s="1" t="s">
        <v>378</v>
      </c>
      <c r="I1675" s="1" t="s">
        <v>378</v>
      </c>
      <c r="J1675" s="1" t="s">
        <v>378</v>
      </c>
      <c r="K1675" s="1" t="s">
        <v>378</v>
      </c>
    </row>
    <row r="1676" customFormat="false" ht="14.25" hidden="false" customHeight="false" outlineLevel="0" collapsed="false">
      <c r="A1676" s="1" t="n">
        <v>83</v>
      </c>
      <c r="B1676" s="1" t="n">
        <v>2024</v>
      </c>
      <c r="C1676" s="3" t="n">
        <v>45646</v>
      </c>
      <c r="E1676" s="1" t="s">
        <v>34</v>
      </c>
      <c r="F1676" s="1" t="s">
        <v>35</v>
      </c>
      <c r="G1676" s="1" t="s">
        <v>379</v>
      </c>
      <c r="H1676" s="1" t="s">
        <v>379</v>
      </c>
      <c r="I1676" s="1" t="s">
        <v>367</v>
      </c>
      <c r="J1676" s="1" t="s">
        <v>492</v>
      </c>
      <c r="K1676" s="1" t="s">
        <v>379</v>
      </c>
    </row>
    <row r="1677" customFormat="false" ht="14.25" hidden="false" customHeight="false" outlineLevel="0" collapsed="false">
      <c r="A1677" s="1" t="n">
        <v>83</v>
      </c>
      <c r="B1677" s="1" t="n">
        <v>2024</v>
      </c>
      <c r="C1677" s="3" t="n">
        <v>45646</v>
      </c>
      <c r="E1677" s="1" t="s">
        <v>36</v>
      </c>
      <c r="F1677" s="1" t="s">
        <v>35</v>
      </c>
      <c r="G1677" s="1" t="s">
        <v>382</v>
      </c>
      <c r="H1677" s="1" t="s">
        <v>419</v>
      </c>
      <c r="I1677" s="1" t="s">
        <v>362</v>
      </c>
      <c r="J1677" s="1" t="s">
        <v>419</v>
      </c>
      <c r="K1677" s="1" t="s">
        <v>419</v>
      </c>
    </row>
    <row r="1678" customFormat="false" ht="14.25" hidden="false" customHeight="false" outlineLevel="0" collapsed="false">
      <c r="A1678" s="1" t="n">
        <v>83</v>
      </c>
      <c r="B1678" s="1" t="n">
        <v>2024</v>
      </c>
      <c r="C1678" s="3" t="n">
        <v>45646</v>
      </c>
      <c r="E1678" s="1" t="s">
        <v>153</v>
      </c>
      <c r="F1678" s="1" t="s">
        <v>154</v>
      </c>
      <c r="G1678" s="1" t="s">
        <v>394</v>
      </c>
      <c r="H1678" s="1" t="s">
        <v>385</v>
      </c>
      <c r="I1678" s="1" t="s">
        <v>386</v>
      </c>
      <c r="J1678" s="1" t="s">
        <v>406</v>
      </c>
      <c r="K1678" s="1" t="s">
        <v>385</v>
      </c>
    </row>
    <row r="1679" customFormat="false" ht="14.25" hidden="false" customHeight="false" outlineLevel="0" collapsed="false">
      <c r="A1679" s="1" t="n">
        <v>83</v>
      </c>
      <c r="B1679" s="1" t="n">
        <v>2024</v>
      </c>
      <c r="C1679" s="3" t="n">
        <v>45646</v>
      </c>
      <c r="E1679" s="1" t="s">
        <v>39</v>
      </c>
      <c r="F1679" s="1" t="s">
        <v>40</v>
      </c>
      <c r="G1679" s="1" t="s">
        <v>388</v>
      </c>
      <c r="H1679" s="1" t="s">
        <v>393</v>
      </c>
      <c r="I1679" s="1" t="s">
        <v>358</v>
      </c>
      <c r="J1679" s="1" t="s">
        <v>393</v>
      </c>
      <c r="K1679" s="1" t="s">
        <v>393</v>
      </c>
    </row>
    <row r="1680" customFormat="false" ht="14.25" hidden="false" customHeight="false" outlineLevel="0" collapsed="false">
      <c r="A1680" s="1" t="n">
        <v>83</v>
      </c>
      <c r="B1680" s="1" t="n">
        <v>2024</v>
      </c>
      <c r="C1680" s="3" t="n">
        <v>45646</v>
      </c>
      <c r="E1680" s="1" t="s">
        <v>42</v>
      </c>
      <c r="F1680" s="1" t="s">
        <v>43</v>
      </c>
      <c r="G1680" s="1" t="s">
        <v>390</v>
      </c>
      <c r="H1680" s="1" t="s">
        <v>370</v>
      </c>
      <c r="I1680" s="1" t="s">
        <v>370</v>
      </c>
      <c r="J1680" s="1" t="s">
        <v>493</v>
      </c>
      <c r="K1680" s="1" t="s">
        <v>434</v>
      </c>
    </row>
    <row r="1681" customFormat="false" ht="14.25" hidden="false" customHeight="false" outlineLevel="0" collapsed="false">
      <c r="A1681" s="1" t="n">
        <v>83</v>
      </c>
      <c r="B1681" s="1" t="n">
        <v>2024</v>
      </c>
      <c r="C1681" s="3" t="n">
        <v>45646</v>
      </c>
      <c r="E1681" s="1" t="s">
        <v>44</v>
      </c>
      <c r="F1681" s="1" t="s">
        <v>45</v>
      </c>
      <c r="G1681" s="1" t="s">
        <v>390</v>
      </c>
      <c r="H1681" s="1" t="s">
        <v>393</v>
      </c>
      <c r="I1681" s="1" t="s">
        <v>393</v>
      </c>
      <c r="J1681" s="1" t="s">
        <v>494</v>
      </c>
      <c r="K1681" s="1" t="s">
        <v>393</v>
      </c>
    </row>
    <row r="1682" customFormat="false" ht="14.25" hidden="false" customHeight="false" outlineLevel="0" collapsed="false">
      <c r="A1682" s="1" t="n">
        <v>83</v>
      </c>
      <c r="B1682" s="1" t="n">
        <v>2024</v>
      </c>
      <c r="C1682" s="3" t="n">
        <v>45646</v>
      </c>
      <c r="E1682" s="1" t="s">
        <v>48</v>
      </c>
      <c r="F1682" s="1" t="s">
        <v>45</v>
      </c>
      <c r="G1682" s="1" t="s">
        <v>358</v>
      </c>
      <c r="H1682" s="1" t="s">
        <v>370</v>
      </c>
      <c r="I1682" s="1" t="s">
        <v>386</v>
      </c>
      <c r="J1682" s="1" t="s">
        <v>370</v>
      </c>
      <c r="K1682" s="1" t="s">
        <v>370</v>
      </c>
    </row>
    <row r="1683" customFormat="false" ht="14.25" hidden="false" customHeight="false" outlineLevel="0" collapsed="false">
      <c r="A1683" s="1" t="n">
        <v>83</v>
      </c>
      <c r="B1683" s="1" t="n">
        <v>2024</v>
      </c>
      <c r="C1683" s="3" t="n">
        <v>45646</v>
      </c>
      <c r="E1683" s="1" t="s">
        <v>49</v>
      </c>
      <c r="F1683" s="1" t="s">
        <v>50</v>
      </c>
      <c r="G1683" s="1" t="s">
        <v>388</v>
      </c>
      <c r="H1683" s="1" t="s">
        <v>393</v>
      </c>
      <c r="I1683" s="1" t="s">
        <v>358</v>
      </c>
      <c r="J1683" s="1" t="s">
        <v>495</v>
      </c>
      <c r="K1683" s="1" t="s">
        <v>400</v>
      </c>
    </row>
    <row r="1684" customFormat="false" ht="14.25" hidden="false" customHeight="false" outlineLevel="0" collapsed="false">
      <c r="A1684" s="1" t="n">
        <v>83</v>
      </c>
      <c r="B1684" s="1" t="n">
        <v>2024</v>
      </c>
      <c r="C1684" s="3" t="n">
        <v>45646</v>
      </c>
      <c r="E1684" s="1" t="s">
        <v>52</v>
      </c>
      <c r="F1684" s="1" t="s">
        <v>43</v>
      </c>
      <c r="G1684" s="1" t="s">
        <v>390</v>
      </c>
      <c r="H1684" s="1" t="s">
        <v>393</v>
      </c>
      <c r="I1684" s="1" t="s">
        <v>386</v>
      </c>
      <c r="J1684" s="1" t="s">
        <v>358</v>
      </c>
      <c r="K1684" s="1" t="s">
        <v>396</v>
      </c>
    </row>
    <row r="1685" customFormat="false" ht="14.25" hidden="false" customHeight="false" outlineLevel="0" collapsed="false">
      <c r="A1685" s="1" t="n">
        <v>83</v>
      </c>
      <c r="B1685" s="1" t="n">
        <v>2024</v>
      </c>
      <c r="C1685" s="3" t="n">
        <v>45646</v>
      </c>
      <c r="E1685" s="1" t="s">
        <v>53</v>
      </c>
      <c r="F1685" s="1" t="s">
        <v>43</v>
      </c>
      <c r="G1685" s="1" t="s">
        <v>388</v>
      </c>
      <c r="H1685" s="1" t="s">
        <v>397</v>
      </c>
      <c r="I1685" s="1" t="s">
        <v>358</v>
      </c>
      <c r="J1685" s="1" t="s">
        <v>496</v>
      </c>
      <c r="K1685" s="1" t="s">
        <v>397</v>
      </c>
    </row>
    <row r="1686" customFormat="false" ht="14.25" hidden="false" customHeight="false" outlineLevel="0" collapsed="false">
      <c r="A1686" s="1" t="n">
        <v>83</v>
      </c>
      <c r="B1686" s="1" t="n">
        <v>2024</v>
      </c>
      <c r="C1686" s="3" t="n">
        <v>45646</v>
      </c>
      <c r="E1686" s="1" t="s">
        <v>54</v>
      </c>
      <c r="F1686" s="1" t="s">
        <v>40</v>
      </c>
      <c r="G1686" s="1" t="s">
        <v>370</v>
      </c>
      <c r="H1686" s="1" t="s">
        <v>386</v>
      </c>
      <c r="I1686" s="1" t="s">
        <v>403</v>
      </c>
      <c r="J1686" s="1" t="s">
        <v>497</v>
      </c>
      <c r="K1686" s="1" t="s">
        <v>386</v>
      </c>
    </row>
    <row r="1687" customFormat="false" ht="14.25" hidden="false" customHeight="false" outlineLevel="0" collapsed="false">
      <c r="A1687" s="1" t="n">
        <v>83</v>
      </c>
      <c r="B1687" s="1" t="n">
        <v>2024</v>
      </c>
      <c r="C1687" s="3" t="n">
        <v>45646</v>
      </c>
      <c r="E1687" s="1" t="s">
        <v>56</v>
      </c>
      <c r="F1687" s="1" t="s">
        <v>43</v>
      </c>
      <c r="G1687" s="1" t="s">
        <v>385</v>
      </c>
      <c r="H1687" s="1" t="s">
        <v>385</v>
      </c>
      <c r="I1687" s="1" t="s">
        <v>385</v>
      </c>
      <c r="J1687" s="1" t="s">
        <v>385</v>
      </c>
      <c r="K1687" s="1" t="s">
        <v>385</v>
      </c>
    </row>
    <row r="1688" customFormat="false" ht="14.25" hidden="false" customHeight="false" outlineLevel="0" collapsed="false">
      <c r="A1688" s="1" t="n">
        <v>83</v>
      </c>
      <c r="B1688" s="1" t="n">
        <v>2024</v>
      </c>
      <c r="C1688" s="3" t="n">
        <v>45646</v>
      </c>
      <c r="E1688" s="1" t="s">
        <v>57</v>
      </c>
      <c r="F1688" s="1" t="s">
        <v>40</v>
      </c>
      <c r="G1688" s="1" t="s">
        <v>390</v>
      </c>
      <c r="H1688" s="1" t="s">
        <v>393</v>
      </c>
      <c r="I1688" s="1" t="s">
        <v>358</v>
      </c>
      <c r="J1688" s="1" t="s">
        <v>498</v>
      </c>
      <c r="K1688" s="1" t="s">
        <v>393</v>
      </c>
    </row>
    <row r="1689" customFormat="false" ht="14.25" hidden="false" customHeight="false" outlineLevel="0" collapsed="false">
      <c r="A1689" s="1" t="n">
        <v>83</v>
      </c>
      <c r="B1689" s="1" t="n">
        <v>2024</v>
      </c>
      <c r="C1689" s="3" t="n">
        <v>45646</v>
      </c>
      <c r="E1689" s="1" t="s">
        <v>58</v>
      </c>
      <c r="F1689" s="1" t="s">
        <v>40</v>
      </c>
      <c r="G1689" s="1" t="s">
        <v>386</v>
      </c>
      <c r="H1689" s="1" t="s">
        <v>386</v>
      </c>
      <c r="I1689" s="1" t="s">
        <v>405</v>
      </c>
      <c r="J1689" s="1" t="s">
        <v>484</v>
      </c>
      <c r="K1689" s="1" t="s">
        <v>484</v>
      </c>
    </row>
    <row r="1690" customFormat="false" ht="14.25" hidden="false" customHeight="false" outlineLevel="0" collapsed="false">
      <c r="A1690" s="1" t="n">
        <v>83</v>
      </c>
      <c r="B1690" s="1" t="n">
        <v>2024</v>
      </c>
      <c r="C1690" s="3" t="n">
        <v>45646</v>
      </c>
      <c r="E1690" s="1" t="s">
        <v>59</v>
      </c>
      <c r="F1690" s="1" t="s">
        <v>45</v>
      </c>
      <c r="G1690" s="1" t="s">
        <v>362</v>
      </c>
      <c r="H1690" s="1" t="s">
        <v>397</v>
      </c>
      <c r="I1690" s="1" t="s">
        <v>393</v>
      </c>
      <c r="J1690" s="1" t="s">
        <v>440</v>
      </c>
      <c r="K1690" s="1" t="s">
        <v>440</v>
      </c>
    </row>
    <row r="1691" customFormat="false" ht="14.25" hidden="false" customHeight="false" outlineLevel="0" collapsed="false">
      <c r="A1691" s="1" t="n">
        <v>83</v>
      </c>
      <c r="B1691" s="1" t="n">
        <v>2024</v>
      </c>
      <c r="C1691" s="3" t="n">
        <v>45646</v>
      </c>
      <c r="E1691" s="1" t="s">
        <v>60</v>
      </c>
      <c r="F1691" s="1" t="s">
        <v>61</v>
      </c>
      <c r="G1691" s="1" t="s">
        <v>405</v>
      </c>
      <c r="H1691" s="1" t="s">
        <v>401</v>
      </c>
      <c r="I1691" s="1" t="s">
        <v>499</v>
      </c>
      <c r="J1691" s="1" t="s">
        <v>500</v>
      </c>
      <c r="K1691" s="1" t="s">
        <v>401</v>
      </c>
    </row>
    <row r="1692" customFormat="false" ht="14.25" hidden="false" customHeight="false" outlineLevel="0" collapsed="false">
      <c r="A1692" s="1" t="n">
        <v>83</v>
      </c>
      <c r="B1692" s="1" t="n">
        <v>2024</v>
      </c>
      <c r="C1692" s="3" t="n">
        <v>45646</v>
      </c>
      <c r="E1692" s="1" t="s">
        <v>63</v>
      </c>
      <c r="F1692" s="1" t="s">
        <v>40</v>
      </c>
      <c r="G1692" s="1" t="s">
        <v>358</v>
      </c>
      <c r="H1692" s="1" t="s">
        <v>358</v>
      </c>
      <c r="I1692" s="1" t="s">
        <v>386</v>
      </c>
      <c r="J1692" s="1" t="s">
        <v>434</v>
      </c>
      <c r="K1692" s="1" t="s">
        <v>434</v>
      </c>
    </row>
    <row r="1693" customFormat="false" ht="14.25" hidden="false" customHeight="false" outlineLevel="0" collapsed="false">
      <c r="A1693" s="1" t="n">
        <v>83</v>
      </c>
      <c r="B1693" s="1" t="n">
        <v>2024</v>
      </c>
      <c r="C1693" s="3" t="n">
        <v>45646</v>
      </c>
      <c r="E1693" s="1" t="s">
        <v>64</v>
      </c>
      <c r="F1693" s="1" t="s">
        <v>40</v>
      </c>
      <c r="G1693" s="1" t="s">
        <v>403</v>
      </c>
      <c r="H1693" s="1" t="s">
        <v>499</v>
      </c>
      <c r="I1693" s="1" t="s">
        <v>411</v>
      </c>
      <c r="J1693" s="1" t="s">
        <v>501</v>
      </c>
      <c r="K1693" s="1" t="s">
        <v>499</v>
      </c>
    </row>
    <row r="1694" customFormat="false" ht="14.25" hidden="false" customHeight="false" outlineLevel="0" collapsed="false">
      <c r="A1694" s="1" t="n">
        <v>83</v>
      </c>
      <c r="B1694" s="1" t="n">
        <v>2024</v>
      </c>
      <c r="C1694" s="3" t="n">
        <v>45646</v>
      </c>
      <c r="E1694" s="1" t="s">
        <v>69</v>
      </c>
      <c r="F1694" s="1" t="s">
        <v>45</v>
      </c>
      <c r="G1694" s="1" t="s">
        <v>358</v>
      </c>
      <c r="H1694" s="1" t="s">
        <v>358</v>
      </c>
      <c r="I1694" s="1" t="s">
        <v>358</v>
      </c>
      <c r="J1694" s="1" t="s">
        <v>358</v>
      </c>
      <c r="K1694" s="1" t="s">
        <v>358</v>
      </c>
    </row>
    <row r="1695" customFormat="false" ht="14.25" hidden="false" customHeight="false" outlineLevel="0" collapsed="false">
      <c r="A1695" s="1" t="n">
        <v>84</v>
      </c>
      <c r="B1695" s="1" t="n">
        <v>2024</v>
      </c>
      <c r="C1695" s="3" t="n">
        <v>45653</v>
      </c>
      <c r="E1695" s="1" t="s">
        <v>12</v>
      </c>
      <c r="F1695" s="1" t="s">
        <v>13</v>
      </c>
      <c r="G1695" s="1" t="s">
        <v>357</v>
      </c>
      <c r="H1695" s="1" t="s">
        <v>357</v>
      </c>
      <c r="I1695" s="1" t="s">
        <v>360</v>
      </c>
      <c r="J1695" s="1" t="s">
        <v>358</v>
      </c>
      <c r="K1695" s="1" t="s">
        <v>358</v>
      </c>
    </row>
    <row r="1696" customFormat="false" ht="14.25" hidden="false" customHeight="false" outlineLevel="0" collapsed="false">
      <c r="A1696" s="1" t="n">
        <v>84</v>
      </c>
      <c r="B1696" s="1" t="n">
        <v>2024</v>
      </c>
      <c r="C1696" s="3" t="n">
        <v>45653</v>
      </c>
      <c r="E1696" s="1" t="s">
        <v>14</v>
      </c>
      <c r="F1696" s="1" t="s">
        <v>13</v>
      </c>
      <c r="G1696" s="1" t="s">
        <v>360</v>
      </c>
      <c r="H1696" s="1" t="s">
        <v>360</v>
      </c>
      <c r="I1696" s="1" t="s">
        <v>472</v>
      </c>
      <c r="J1696" s="1" t="s">
        <v>502</v>
      </c>
      <c r="K1696" s="1" t="s">
        <v>417</v>
      </c>
    </row>
    <row r="1697" customFormat="false" ht="14.25" hidden="false" customHeight="false" outlineLevel="0" collapsed="false">
      <c r="A1697" s="1" t="n">
        <v>84</v>
      </c>
      <c r="B1697" s="1" t="n">
        <v>2024</v>
      </c>
      <c r="C1697" s="3" t="n">
        <v>45653</v>
      </c>
      <c r="E1697" s="1" t="s">
        <v>15</v>
      </c>
      <c r="F1697" s="1" t="s">
        <v>13</v>
      </c>
      <c r="G1697" s="1" t="s">
        <v>430</v>
      </c>
      <c r="H1697" s="1" t="s">
        <v>357</v>
      </c>
      <c r="I1697" s="1" t="s">
        <v>358</v>
      </c>
      <c r="J1697" s="1" t="s">
        <v>503</v>
      </c>
      <c r="K1697" s="1" t="s">
        <v>357</v>
      </c>
    </row>
    <row r="1698" customFormat="false" ht="14.25" hidden="false" customHeight="false" outlineLevel="0" collapsed="false">
      <c r="A1698" s="1" t="n">
        <v>84</v>
      </c>
      <c r="B1698" s="1" t="n">
        <v>2024</v>
      </c>
      <c r="C1698" s="3" t="n">
        <v>45653</v>
      </c>
      <c r="E1698" s="1" t="s">
        <v>16</v>
      </c>
      <c r="F1698" s="1" t="s">
        <v>13</v>
      </c>
      <c r="G1698" s="1" t="s">
        <v>366</v>
      </c>
      <c r="H1698" s="1" t="s">
        <v>362</v>
      </c>
      <c r="I1698" s="1" t="s">
        <v>430</v>
      </c>
      <c r="J1698" s="1" t="s">
        <v>362</v>
      </c>
      <c r="K1698" s="1" t="s">
        <v>362</v>
      </c>
    </row>
    <row r="1699" customFormat="false" ht="14.25" hidden="false" customHeight="false" outlineLevel="0" collapsed="false">
      <c r="A1699" s="1" t="n">
        <v>84</v>
      </c>
      <c r="B1699" s="1" t="n">
        <v>2024</v>
      </c>
      <c r="C1699" s="3" t="n">
        <v>45653</v>
      </c>
      <c r="E1699" s="1" t="s">
        <v>17</v>
      </c>
      <c r="F1699" s="1" t="s">
        <v>13</v>
      </c>
      <c r="G1699" s="1" t="s">
        <v>419</v>
      </c>
      <c r="H1699" s="1" t="s">
        <v>362</v>
      </c>
      <c r="I1699" s="1" t="s">
        <v>430</v>
      </c>
      <c r="J1699" s="1" t="s">
        <v>476</v>
      </c>
      <c r="K1699" s="1" t="s">
        <v>362</v>
      </c>
    </row>
    <row r="1700" customFormat="false" ht="14.25" hidden="false" customHeight="false" outlineLevel="0" collapsed="false">
      <c r="A1700" s="1" t="n">
        <v>84</v>
      </c>
      <c r="B1700" s="1" t="n">
        <v>2024</v>
      </c>
      <c r="C1700" s="3" t="n">
        <v>45653</v>
      </c>
      <c r="E1700" s="1" t="s">
        <v>18</v>
      </c>
      <c r="F1700" s="1" t="s">
        <v>13</v>
      </c>
      <c r="G1700" s="1" t="s">
        <v>358</v>
      </c>
      <c r="H1700" s="1" t="s">
        <v>358</v>
      </c>
      <c r="I1700" s="1" t="s">
        <v>358</v>
      </c>
      <c r="J1700" s="1" t="s">
        <v>358</v>
      </c>
      <c r="K1700" s="1" t="s">
        <v>358</v>
      </c>
    </row>
    <row r="1701" customFormat="false" ht="14.25" hidden="false" customHeight="false" outlineLevel="0" collapsed="false">
      <c r="A1701" s="1" t="n">
        <v>84</v>
      </c>
      <c r="B1701" s="1" t="n">
        <v>2024</v>
      </c>
      <c r="C1701" s="3" t="n">
        <v>45653</v>
      </c>
      <c r="E1701" s="1" t="s">
        <v>19</v>
      </c>
      <c r="F1701" s="1" t="s">
        <v>13</v>
      </c>
      <c r="G1701" s="1" t="s">
        <v>360</v>
      </c>
      <c r="H1701" s="1" t="s">
        <v>360</v>
      </c>
      <c r="I1701" s="1" t="s">
        <v>360</v>
      </c>
      <c r="J1701" s="1" t="s">
        <v>360</v>
      </c>
      <c r="K1701" s="1" t="s">
        <v>360</v>
      </c>
    </row>
    <row r="1702" customFormat="false" ht="14.25" hidden="false" customHeight="false" outlineLevel="0" collapsed="false">
      <c r="A1702" s="1" t="n">
        <v>84</v>
      </c>
      <c r="B1702" s="1" t="n">
        <v>2024</v>
      </c>
      <c r="C1702" s="3" t="n">
        <v>45653</v>
      </c>
      <c r="E1702" s="1" t="s">
        <v>20</v>
      </c>
      <c r="F1702" s="1" t="s">
        <v>13</v>
      </c>
      <c r="G1702" s="1" t="s">
        <v>358</v>
      </c>
      <c r="H1702" s="1" t="s">
        <v>360</v>
      </c>
      <c r="I1702" s="1" t="s">
        <v>360</v>
      </c>
      <c r="J1702" s="1" t="s">
        <v>504</v>
      </c>
      <c r="K1702" s="1" t="s">
        <v>360</v>
      </c>
    </row>
    <row r="1703" customFormat="false" ht="14.25" hidden="false" customHeight="false" outlineLevel="0" collapsed="false">
      <c r="A1703" s="1" t="n">
        <v>84</v>
      </c>
      <c r="B1703" s="1" t="n">
        <v>2024</v>
      </c>
      <c r="C1703" s="3" t="n">
        <v>45653</v>
      </c>
      <c r="E1703" s="1" t="s">
        <v>21</v>
      </c>
      <c r="F1703" s="1" t="s">
        <v>13</v>
      </c>
      <c r="G1703" s="1" t="s">
        <v>367</v>
      </c>
      <c r="H1703" s="1" t="s">
        <v>382</v>
      </c>
      <c r="I1703" s="1" t="s">
        <v>366</v>
      </c>
      <c r="J1703" s="1" t="s">
        <v>477</v>
      </c>
      <c r="K1703" s="1" t="s">
        <v>382</v>
      </c>
    </row>
    <row r="1704" customFormat="false" ht="14.25" hidden="false" customHeight="false" outlineLevel="0" collapsed="false">
      <c r="A1704" s="1" t="n">
        <v>84</v>
      </c>
      <c r="B1704" s="1" t="n">
        <v>2024</v>
      </c>
      <c r="C1704" s="3" t="n">
        <v>45653</v>
      </c>
      <c r="E1704" s="1" t="s">
        <v>73</v>
      </c>
      <c r="F1704" s="1" t="s">
        <v>13</v>
      </c>
      <c r="G1704" s="1" t="s">
        <v>358</v>
      </c>
      <c r="H1704" s="1" t="s">
        <v>386</v>
      </c>
      <c r="I1704" s="1" t="s">
        <v>472</v>
      </c>
      <c r="J1704" s="1" t="s">
        <v>386</v>
      </c>
      <c r="K1704" s="1" t="s">
        <v>505</v>
      </c>
    </row>
    <row r="1705" customFormat="false" ht="14.25" hidden="false" customHeight="false" outlineLevel="0" collapsed="false">
      <c r="A1705" s="1" t="n">
        <v>84</v>
      </c>
      <c r="B1705" s="1" t="n">
        <v>2024</v>
      </c>
      <c r="C1705" s="3" t="n">
        <v>45653</v>
      </c>
      <c r="E1705" s="1" t="s">
        <v>23</v>
      </c>
      <c r="F1705" s="1" t="s">
        <v>13</v>
      </c>
      <c r="G1705" s="1" t="s">
        <v>362</v>
      </c>
      <c r="H1705" s="1" t="s">
        <v>366</v>
      </c>
      <c r="I1705" s="1" t="s">
        <v>430</v>
      </c>
      <c r="J1705" s="1" t="s">
        <v>506</v>
      </c>
      <c r="K1705" s="1" t="s">
        <v>362</v>
      </c>
    </row>
    <row r="1706" customFormat="false" ht="14.25" hidden="false" customHeight="false" outlineLevel="0" collapsed="false">
      <c r="A1706" s="1" t="n">
        <v>84</v>
      </c>
      <c r="B1706" s="1" t="n">
        <v>2024</v>
      </c>
      <c r="C1706" s="3" t="n">
        <v>45653</v>
      </c>
      <c r="E1706" s="1" t="s">
        <v>24</v>
      </c>
      <c r="F1706" s="1" t="s">
        <v>13</v>
      </c>
      <c r="G1706" s="1" t="s">
        <v>358</v>
      </c>
      <c r="H1706" s="1" t="s">
        <v>358</v>
      </c>
      <c r="I1706" s="1" t="s">
        <v>360</v>
      </c>
      <c r="J1706" s="1" t="s">
        <v>375</v>
      </c>
      <c r="K1706" s="1" t="s">
        <v>358</v>
      </c>
    </row>
    <row r="1707" customFormat="false" ht="14.25" hidden="false" customHeight="false" outlineLevel="0" collapsed="false">
      <c r="A1707" s="1" t="n">
        <v>84</v>
      </c>
      <c r="B1707" s="1" t="n">
        <v>2024</v>
      </c>
      <c r="C1707" s="3" t="n">
        <v>45653</v>
      </c>
      <c r="E1707" s="1" t="s">
        <v>25</v>
      </c>
      <c r="F1707" s="1" t="s">
        <v>26</v>
      </c>
      <c r="G1707" s="1" t="s">
        <v>358</v>
      </c>
      <c r="H1707" s="1" t="s">
        <v>357</v>
      </c>
      <c r="I1707" s="1" t="s">
        <v>358</v>
      </c>
      <c r="J1707" s="1" t="s">
        <v>478</v>
      </c>
      <c r="K1707" s="1" t="s">
        <v>358</v>
      </c>
    </row>
    <row r="1708" customFormat="false" ht="14.25" hidden="false" customHeight="false" outlineLevel="0" collapsed="false">
      <c r="A1708" s="1" t="n">
        <v>84</v>
      </c>
      <c r="B1708" s="1" t="n">
        <v>2024</v>
      </c>
      <c r="C1708" s="3" t="n">
        <v>45653</v>
      </c>
      <c r="E1708" s="1" t="s">
        <v>27</v>
      </c>
      <c r="F1708" s="1" t="s">
        <v>13</v>
      </c>
      <c r="G1708" s="1" t="s">
        <v>358</v>
      </c>
      <c r="H1708" s="1" t="s">
        <v>360</v>
      </c>
      <c r="I1708" s="1" t="s">
        <v>360</v>
      </c>
      <c r="J1708" s="1" t="s">
        <v>507</v>
      </c>
      <c r="K1708" s="1" t="s">
        <v>508</v>
      </c>
    </row>
    <row r="1709" customFormat="false" ht="14.25" hidden="false" customHeight="false" outlineLevel="0" collapsed="false">
      <c r="A1709" s="1" t="n">
        <v>84</v>
      </c>
      <c r="B1709" s="1" t="n">
        <v>2024</v>
      </c>
      <c r="C1709" s="3" t="n">
        <v>45653</v>
      </c>
      <c r="E1709" s="1" t="s">
        <v>28</v>
      </c>
      <c r="F1709" s="1" t="s">
        <v>13</v>
      </c>
      <c r="G1709" s="1" t="s">
        <v>388</v>
      </c>
      <c r="H1709" s="1" t="s">
        <v>430</v>
      </c>
      <c r="I1709" s="1" t="s">
        <v>358</v>
      </c>
      <c r="J1709" s="1" t="s">
        <v>509</v>
      </c>
      <c r="K1709" s="1" t="s">
        <v>430</v>
      </c>
    </row>
    <row r="1710" customFormat="false" ht="14.25" hidden="false" customHeight="false" outlineLevel="0" collapsed="false">
      <c r="A1710" s="1" t="n">
        <v>84</v>
      </c>
      <c r="B1710" s="1" t="n">
        <v>2024</v>
      </c>
      <c r="C1710" s="3" t="n">
        <v>45653</v>
      </c>
      <c r="E1710" s="1" t="s">
        <v>29</v>
      </c>
      <c r="F1710" s="1" t="s">
        <v>13</v>
      </c>
      <c r="G1710" s="1" t="s">
        <v>363</v>
      </c>
      <c r="H1710" s="1" t="s">
        <v>358</v>
      </c>
      <c r="I1710" s="1" t="s">
        <v>358</v>
      </c>
      <c r="J1710" s="1" t="s">
        <v>510</v>
      </c>
      <c r="K1710" s="1" t="s">
        <v>358</v>
      </c>
    </row>
    <row r="1711" customFormat="false" ht="14.25" hidden="false" customHeight="false" outlineLevel="0" collapsed="false">
      <c r="A1711" s="1" t="n">
        <v>84</v>
      </c>
      <c r="B1711" s="1" t="n">
        <v>2024</v>
      </c>
      <c r="C1711" s="3" t="n">
        <v>45653</v>
      </c>
      <c r="E1711" s="1" t="s">
        <v>31</v>
      </c>
      <c r="F1711" s="1" t="s">
        <v>32</v>
      </c>
      <c r="G1711" s="1" t="s">
        <v>378</v>
      </c>
      <c r="H1711" s="1" t="s">
        <v>378</v>
      </c>
      <c r="I1711" s="1" t="s">
        <v>378</v>
      </c>
      <c r="J1711" s="1" t="s">
        <v>378</v>
      </c>
      <c r="K1711" s="1" t="s">
        <v>378</v>
      </c>
    </row>
    <row r="1712" customFormat="false" ht="14.25" hidden="false" customHeight="false" outlineLevel="0" collapsed="false">
      <c r="A1712" s="1" t="n">
        <v>84</v>
      </c>
      <c r="B1712" s="1" t="n">
        <v>2024</v>
      </c>
      <c r="C1712" s="3" t="n">
        <v>45653</v>
      </c>
      <c r="E1712" s="1" t="s">
        <v>34</v>
      </c>
      <c r="F1712" s="1" t="s">
        <v>35</v>
      </c>
      <c r="G1712" s="1" t="s">
        <v>382</v>
      </c>
      <c r="H1712" s="1" t="s">
        <v>367</v>
      </c>
      <c r="I1712" s="1" t="s">
        <v>382</v>
      </c>
      <c r="J1712" s="1" t="s">
        <v>511</v>
      </c>
      <c r="K1712" s="1" t="s">
        <v>382</v>
      </c>
    </row>
    <row r="1713" customFormat="false" ht="14.25" hidden="false" customHeight="false" outlineLevel="0" collapsed="false">
      <c r="A1713" s="1" t="n">
        <v>84</v>
      </c>
      <c r="B1713" s="1" t="n">
        <v>2024</v>
      </c>
      <c r="C1713" s="3" t="n">
        <v>45653</v>
      </c>
      <c r="E1713" s="1" t="s">
        <v>36</v>
      </c>
      <c r="F1713" s="1" t="s">
        <v>35</v>
      </c>
      <c r="G1713" s="1" t="s">
        <v>419</v>
      </c>
      <c r="H1713" s="1" t="s">
        <v>382</v>
      </c>
      <c r="I1713" s="1" t="s">
        <v>362</v>
      </c>
      <c r="J1713" s="1" t="s">
        <v>419</v>
      </c>
      <c r="K1713" s="1" t="s">
        <v>419</v>
      </c>
    </row>
    <row r="1714" customFormat="false" ht="14.25" hidden="false" customHeight="false" outlineLevel="0" collapsed="false">
      <c r="A1714" s="1" t="n">
        <v>84</v>
      </c>
      <c r="B1714" s="1" t="n">
        <v>2024</v>
      </c>
      <c r="C1714" s="3" t="n">
        <v>45653</v>
      </c>
      <c r="E1714" s="1" t="s">
        <v>153</v>
      </c>
      <c r="F1714" s="1" t="s">
        <v>154</v>
      </c>
      <c r="G1714" s="1" t="s">
        <v>386</v>
      </c>
      <c r="H1714" s="1" t="s">
        <v>386</v>
      </c>
      <c r="I1714" s="1" t="s">
        <v>386</v>
      </c>
      <c r="J1714" s="1" t="s">
        <v>386</v>
      </c>
      <c r="K1714" s="1" t="s">
        <v>386</v>
      </c>
    </row>
    <row r="1715" customFormat="false" ht="14.25" hidden="false" customHeight="false" outlineLevel="0" collapsed="false">
      <c r="A1715" s="1" t="n">
        <v>84</v>
      </c>
      <c r="B1715" s="1" t="n">
        <v>2024</v>
      </c>
      <c r="C1715" s="3" t="n">
        <v>45653</v>
      </c>
      <c r="E1715" s="1" t="s">
        <v>39</v>
      </c>
      <c r="F1715" s="1" t="s">
        <v>40</v>
      </c>
      <c r="G1715" s="1" t="s">
        <v>390</v>
      </c>
      <c r="H1715" s="1" t="s">
        <v>393</v>
      </c>
      <c r="I1715" s="1" t="s">
        <v>393</v>
      </c>
      <c r="J1715" s="1" t="s">
        <v>398</v>
      </c>
      <c r="K1715" s="1" t="s">
        <v>393</v>
      </c>
    </row>
    <row r="1716" customFormat="false" ht="14.25" hidden="false" customHeight="false" outlineLevel="0" collapsed="false">
      <c r="A1716" s="1" t="n">
        <v>84</v>
      </c>
      <c r="B1716" s="1" t="n">
        <v>2024</v>
      </c>
      <c r="C1716" s="3" t="n">
        <v>45653</v>
      </c>
      <c r="E1716" s="1" t="s">
        <v>42</v>
      </c>
      <c r="F1716" s="1" t="s">
        <v>43</v>
      </c>
      <c r="G1716" s="1" t="s">
        <v>390</v>
      </c>
      <c r="H1716" s="1" t="s">
        <v>399</v>
      </c>
      <c r="I1716" s="1" t="s">
        <v>370</v>
      </c>
      <c r="J1716" s="1" t="s">
        <v>399</v>
      </c>
      <c r="K1716" s="1" t="s">
        <v>399</v>
      </c>
    </row>
    <row r="1717" customFormat="false" ht="14.25" hidden="false" customHeight="false" outlineLevel="0" collapsed="false">
      <c r="A1717" s="1" t="n">
        <v>84</v>
      </c>
      <c r="B1717" s="1" t="n">
        <v>2024</v>
      </c>
      <c r="C1717" s="3" t="n">
        <v>45653</v>
      </c>
      <c r="E1717" s="1" t="s">
        <v>44</v>
      </c>
      <c r="F1717" s="1" t="s">
        <v>45</v>
      </c>
      <c r="G1717" s="1" t="s">
        <v>393</v>
      </c>
      <c r="H1717" s="1" t="s">
        <v>393</v>
      </c>
      <c r="I1717" s="1" t="s">
        <v>396</v>
      </c>
      <c r="J1717" s="1" t="s">
        <v>498</v>
      </c>
      <c r="K1717" s="1" t="s">
        <v>393</v>
      </c>
    </row>
    <row r="1718" customFormat="false" ht="14.25" hidden="false" customHeight="false" outlineLevel="0" collapsed="false">
      <c r="A1718" s="1" t="n">
        <v>84</v>
      </c>
      <c r="B1718" s="1" t="n">
        <v>2024</v>
      </c>
      <c r="C1718" s="3" t="n">
        <v>45653</v>
      </c>
      <c r="E1718" s="1" t="s">
        <v>48</v>
      </c>
      <c r="F1718" s="1" t="s">
        <v>45</v>
      </c>
      <c r="G1718" s="1" t="s">
        <v>386</v>
      </c>
      <c r="H1718" s="1" t="s">
        <v>386</v>
      </c>
      <c r="I1718" s="1" t="s">
        <v>386</v>
      </c>
      <c r="J1718" s="1" t="s">
        <v>386</v>
      </c>
      <c r="K1718" s="1" t="s">
        <v>386</v>
      </c>
    </row>
    <row r="1719" customFormat="false" ht="14.25" hidden="false" customHeight="false" outlineLevel="0" collapsed="false">
      <c r="A1719" s="1" t="n">
        <v>84</v>
      </c>
      <c r="B1719" s="1" t="n">
        <v>2024</v>
      </c>
      <c r="C1719" s="3" t="n">
        <v>45653</v>
      </c>
      <c r="E1719" s="1" t="s">
        <v>49</v>
      </c>
      <c r="F1719" s="1" t="s">
        <v>50</v>
      </c>
      <c r="G1719" s="1" t="s">
        <v>396</v>
      </c>
      <c r="H1719" s="1" t="s">
        <v>358</v>
      </c>
      <c r="I1719" s="1" t="s">
        <v>394</v>
      </c>
      <c r="J1719" s="1" t="s">
        <v>358</v>
      </c>
      <c r="K1719" s="1" t="s">
        <v>358</v>
      </c>
    </row>
    <row r="1720" customFormat="false" ht="14.25" hidden="false" customHeight="false" outlineLevel="0" collapsed="false">
      <c r="A1720" s="1" t="n">
        <v>84</v>
      </c>
      <c r="B1720" s="1" t="n">
        <v>2024</v>
      </c>
      <c r="C1720" s="3" t="n">
        <v>45653</v>
      </c>
      <c r="E1720" s="1" t="s">
        <v>52</v>
      </c>
      <c r="F1720" s="1" t="s">
        <v>43</v>
      </c>
      <c r="G1720" s="1" t="s">
        <v>393</v>
      </c>
      <c r="H1720" s="1" t="s">
        <v>484</v>
      </c>
      <c r="I1720" s="1" t="s">
        <v>394</v>
      </c>
      <c r="J1720" s="1" t="s">
        <v>394</v>
      </c>
      <c r="K1720" s="1" t="s">
        <v>391</v>
      </c>
    </row>
    <row r="1721" customFormat="false" ht="14.25" hidden="false" customHeight="false" outlineLevel="0" collapsed="false">
      <c r="A1721" s="1" t="n">
        <v>84</v>
      </c>
      <c r="B1721" s="1" t="n">
        <v>2024</v>
      </c>
      <c r="C1721" s="3" t="n">
        <v>45653</v>
      </c>
      <c r="E1721" s="1" t="s">
        <v>53</v>
      </c>
      <c r="F1721" s="1" t="s">
        <v>43</v>
      </c>
      <c r="G1721" s="1" t="s">
        <v>358</v>
      </c>
      <c r="H1721" s="1" t="s">
        <v>362</v>
      </c>
      <c r="I1721" s="1" t="s">
        <v>358</v>
      </c>
      <c r="J1721" s="1" t="s">
        <v>398</v>
      </c>
      <c r="K1721" s="1" t="s">
        <v>400</v>
      </c>
    </row>
    <row r="1722" customFormat="false" ht="14.25" hidden="false" customHeight="false" outlineLevel="0" collapsed="false">
      <c r="A1722" s="1" t="n">
        <v>84</v>
      </c>
      <c r="B1722" s="1" t="n">
        <v>2024</v>
      </c>
      <c r="C1722" s="3" t="n">
        <v>45653</v>
      </c>
      <c r="E1722" s="1" t="s">
        <v>54</v>
      </c>
      <c r="F1722" s="1" t="s">
        <v>40</v>
      </c>
      <c r="G1722" s="1" t="s">
        <v>370</v>
      </c>
      <c r="H1722" s="1" t="s">
        <v>370</v>
      </c>
      <c r="I1722" s="1" t="s">
        <v>403</v>
      </c>
      <c r="J1722" s="1" t="s">
        <v>484</v>
      </c>
      <c r="K1722" s="1" t="s">
        <v>386</v>
      </c>
    </row>
    <row r="1723" customFormat="false" ht="14.25" hidden="false" customHeight="false" outlineLevel="0" collapsed="false">
      <c r="A1723" s="1" t="n">
        <v>84</v>
      </c>
      <c r="B1723" s="1" t="n">
        <v>2024</v>
      </c>
      <c r="C1723" s="3" t="n">
        <v>45653</v>
      </c>
      <c r="E1723" s="1" t="s">
        <v>56</v>
      </c>
      <c r="F1723" s="1" t="s">
        <v>43</v>
      </c>
      <c r="G1723" s="1" t="s">
        <v>394</v>
      </c>
      <c r="H1723" s="1" t="s">
        <v>394</v>
      </c>
      <c r="I1723" s="1" t="s">
        <v>394</v>
      </c>
      <c r="J1723" s="1" t="s">
        <v>394</v>
      </c>
      <c r="K1723" s="1" t="s">
        <v>394</v>
      </c>
    </row>
    <row r="1724" customFormat="false" ht="14.25" hidden="false" customHeight="false" outlineLevel="0" collapsed="false">
      <c r="A1724" s="1" t="n">
        <v>84</v>
      </c>
      <c r="B1724" s="1" t="n">
        <v>2024</v>
      </c>
      <c r="C1724" s="3" t="n">
        <v>45653</v>
      </c>
      <c r="E1724" s="1" t="s">
        <v>57</v>
      </c>
      <c r="F1724" s="1" t="s">
        <v>40</v>
      </c>
      <c r="G1724" s="1" t="s">
        <v>390</v>
      </c>
      <c r="H1724" s="1" t="s">
        <v>370</v>
      </c>
      <c r="I1724" s="1" t="s">
        <v>370</v>
      </c>
      <c r="J1724" s="1" t="s">
        <v>512</v>
      </c>
      <c r="K1724" s="1" t="s">
        <v>370</v>
      </c>
    </row>
    <row r="1725" customFormat="false" ht="14.25" hidden="false" customHeight="false" outlineLevel="0" collapsed="false">
      <c r="A1725" s="1" t="n">
        <v>84</v>
      </c>
      <c r="B1725" s="1" t="n">
        <v>2024</v>
      </c>
      <c r="C1725" s="3" t="n">
        <v>45653</v>
      </c>
      <c r="E1725" s="1" t="s">
        <v>58</v>
      </c>
      <c r="F1725" s="1" t="s">
        <v>40</v>
      </c>
      <c r="G1725" s="1" t="s">
        <v>386</v>
      </c>
      <c r="H1725" s="1" t="s">
        <v>386</v>
      </c>
      <c r="I1725" s="1" t="s">
        <v>412</v>
      </c>
      <c r="J1725" s="1" t="s">
        <v>513</v>
      </c>
      <c r="K1725" s="1" t="s">
        <v>386</v>
      </c>
    </row>
    <row r="1726" customFormat="false" ht="14.25" hidden="false" customHeight="false" outlineLevel="0" collapsed="false">
      <c r="A1726" s="1" t="n">
        <v>84</v>
      </c>
      <c r="B1726" s="1" t="n">
        <v>2024</v>
      </c>
      <c r="C1726" s="3" t="n">
        <v>45653</v>
      </c>
      <c r="E1726" s="1" t="s">
        <v>59</v>
      </c>
      <c r="F1726" s="1" t="s">
        <v>45</v>
      </c>
      <c r="G1726" s="1" t="s">
        <v>388</v>
      </c>
      <c r="H1726" s="1" t="s">
        <v>396</v>
      </c>
      <c r="I1726" s="1" t="s">
        <v>407</v>
      </c>
      <c r="J1726" s="1" t="s">
        <v>404</v>
      </c>
      <c r="K1726" s="1" t="s">
        <v>404</v>
      </c>
    </row>
    <row r="1727" customFormat="false" ht="14.25" hidden="false" customHeight="false" outlineLevel="0" collapsed="false">
      <c r="A1727" s="1" t="n">
        <v>84</v>
      </c>
      <c r="B1727" s="1" t="n">
        <v>2024</v>
      </c>
      <c r="C1727" s="3" t="n">
        <v>45653</v>
      </c>
      <c r="E1727" s="1" t="s">
        <v>60</v>
      </c>
      <c r="F1727" s="1" t="s">
        <v>61</v>
      </c>
      <c r="G1727" s="1" t="s">
        <v>405</v>
      </c>
      <c r="H1727" s="1" t="s">
        <v>405</v>
      </c>
      <c r="I1727" s="1" t="s">
        <v>415</v>
      </c>
      <c r="J1727" s="1" t="s">
        <v>412</v>
      </c>
      <c r="K1727" s="1" t="s">
        <v>412</v>
      </c>
    </row>
    <row r="1728" customFormat="false" ht="14.25" hidden="false" customHeight="false" outlineLevel="0" collapsed="false">
      <c r="A1728" s="1" t="n">
        <v>84</v>
      </c>
      <c r="B1728" s="1" t="n">
        <v>2024</v>
      </c>
      <c r="C1728" s="3" t="n">
        <v>45653</v>
      </c>
      <c r="E1728" s="1" t="s">
        <v>63</v>
      </c>
      <c r="F1728" s="1" t="s">
        <v>40</v>
      </c>
      <c r="G1728" s="1" t="s">
        <v>484</v>
      </c>
      <c r="H1728" s="1" t="s">
        <v>401</v>
      </c>
      <c r="I1728" s="1" t="s">
        <v>401</v>
      </c>
      <c r="J1728" s="1" t="s">
        <v>514</v>
      </c>
      <c r="K1728" s="1" t="s">
        <v>403</v>
      </c>
    </row>
    <row r="1729" customFormat="false" ht="14.25" hidden="false" customHeight="false" outlineLevel="0" collapsed="false">
      <c r="A1729" s="1" t="n">
        <v>84</v>
      </c>
      <c r="B1729" s="1" t="n">
        <v>2024</v>
      </c>
      <c r="C1729" s="3" t="n">
        <v>45653</v>
      </c>
      <c r="E1729" s="1" t="s">
        <v>64</v>
      </c>
      <c r="F1729" s="1" t="s">
        <v>40</v>
      </c>
      <c r="G1729" s="1" t="s">
        <v>401</v>
      </c>
      <c r="H1729" s="1" t="s">
        <v>425</v>
      </c>
      <c r="I1729" s="1" t="s">
        <v>515</v>
      </c>
      <c r="J1729" s="1" t="s">
        <v>409</v>
      </c>
      <c r="K1729" s="1" t="s">
        <v>409</v>
      </c>
    </row>
    <row r="1730" customFormat="false" ht="14.25" hidden="false" customHeight="false" outlineLevel="0" collapsed="false">
      <c r="A1730" s="1" t="n">
        <v>84</v>
      </c>
      <c r="B1730" s="1" t="n">
        <v>2024</v>
      </c>
      <c r="C1730" s="3" t="n">
        <v>45653</v>
      </c>
      <c r="E1730" s="1" t="s">
        <v>69</v>
      </c>
      <c r="F1730" s="1" t="s">
        <v>45</v>
      </c>
      <c r="G1730" s="1" t="s">
        <v>358</v>
      </c>
      <c r="H1730" s="1" t="s">
        <v>358</v>
      </c>
      <c r="I1730" s="1" t="s">
        <v>358</v>
      </c>
      <c r="J1730" s="1" t="s">
        <v>358</v>
      </c>
      <c r="K1730" s="1" t="s">
        <v>358</v>
      </c>
    </row>
    <row r="1731" customFormat="false" ht="14.25" hidden="false" customHeight="false" outlineLevel="0" collapsed="false">
      <c r="A1731" s="1" t="n">
        <v>85</v>
      </c>
      <c r="B1731" s="1" t="n">
        <v>2024</v>
      </c>
      <c r="C1731" s="3" t="n">
        <v>45681</v>
      </c>
      <c r="E1731" s="12" t="s">
        <v>12</v>
      </c>
      <c r="F1731" s="13" t="s">
        <v>13</v>
      </c>
      <c r="G1731" s="13"/>
      <c r="H1731" s="14" t="n">
        <v>36</v>
      </c>
      <c r="I1731" s="14" t="n">
        <v>72</v>
      </c>
      <c r="J1731" s="14" t="n">
        <v>54</v>
      </c>
      <c r="K1731" s="14" t="n">
        <v>54</v>
      </c>
    </row>
    <row r="1732" customFormat="false" ht="14.25" hidden="false" customHeight="false" outlineLevel="0" collapsed="false">
      <c r="A1732" s="1" t="n">
        <v>86</v>
      </c>
      <c r="B1732" s="1" t="n">
        <v>2025</v>
      </c>
      <c r="C1732" s="3" t="n">
        <v>45682</v>
      </c>
      <c r="E1732" s="12" t="s">
        <v>14</v>
      </c>
      <c r="F1732" s="13" t="s">
        <v>13</v>
      </c>
      <c r="G1732" s="14" t="n">
        <v>96</v>
      </c>
      <c r="H1732" s="14" t="n">
        <v>54</v>
      </c>
      <c r="I1732" s="14" t="n">
        <v>96</v>
      </c>
      <c r="J1732" s="14" t="n">
        <v>82.5</v>
      </c>
      <c r="K1732" s="14" t="n">
        <v>90</v>
      </c>
    </row>
    <row r="1733" customFormat="false" ht="14.25" hidden="false" customHeight="false" outlineLevel="0" collapsed="false">
      <c r="A1733" s="1" t="n">
        <v>87</v>
      </c>
      <c r="B1733" s="1" t="n">
        <v>2026</v>
      </c>
      <c r="C1733" s="3" t="n">
        <v>45683</v>
      </c>
      <c r="E1733" s="12" t="s">
        <v>15</v>
      </c>
      <c r="F1733" s="13" t="s">
        <v>13</v>
      </c>
      <c r="G1733" s="13"/>
      <c r="H1733" s="14" t="n">
        <v>40</v>
      </c>
      <c r="I1733" s="14" t="n">
        <v>60</v>
      </c>
      <c r="J1733" s="14" t="n">
        <v>48.25</v>
      </c>
      <c r="K1733" s="14" t="n">
        <v>46.5</v>
      </c>
    </row>
    <row r="1734" customFormat="false" ht="14.25" hidden="false" customHeight="false" outlineLevel="0" collapsed="false">
      <c r="A1734" s="1" t="n">
        <v>88</v>
      </c>
      <c r="B1734" s="1" t="n">
        <v>2027</v>
      </c>
      <c r="C1734" s="3" t="n">
        <v>45684</v>
      </c>
      <c r="E1734" s="12" t="s">
        <v>16</v>
      </c>
      <c r="F1734" s="13" t="s">
        <v>13</v>
      </c>
      <c r="G1734" s="14" t="n">
        <v>30</v>
      </c>
      <c r="H1734" s="14" t="n">
        <v>25</v>
      </c>
      <c r="I1734" s="14" t="n">
        <v>50</v>
      </c>
      <c r="J1734" s="14" t="n">
        <v>33.75</v>
      </c>
      <c r="K1734" s="14" t="n">
        <v>30</v>
      </c>
    </row>
    <row r="1735" customFormat="false" ht="14.25" hidden="false" customHeight="false" outlineLevel="0" collapsed="false">
      <c r="A1735" s="1" t="n">
        <v>89</v>
      </c>
      <c r="B1735" s="1" t="n">
        <v>2028</v>
      </c>
      <c r="C1735" s="3" t="n">
        <v>45685</v>
      </c>
      <c r="E1735" s="12" t="s">
        <v>17</v>
      </c>
      <c r="F1735" s="13" t="s">
        <v>13</v>
      </c>
      <c r="G1735" s="14" t="n">
        <v>30</v>
      </c>
      <c r="H1735" s="14" t="n">
        <v>25</v>
      </c>
      <c r="I1735" s="14" t="n">
        <v>50</v>
      </c>
      <c r="J1735" s="14" t="n">
        <v>33.75</v>
      </c>
      <c r="K1735" s="14" t="n">
        <v>30</v>
      </c>
    </row>
    <row r="1736" customFormat="false" ht="14.25" hidden="false" customHeight="false" outlineLevel="0" collapsed="false">
      <c r="A1736" s="1" t="n">
        <v>90</v>
      </c>
      <c r="B1736" s="1" t="n">
        <v>2029</v>
      </c>
      <c r="C1736" s="3" t="n">
        <v>45686</v>
      </c>
      <c r="E1736" s="12" t="s">
        <v>18</v>
      </c>
      <c r="F1736" s="13" t="s">
        <v>13</v>
      </c>
      <c r="G1736" s="14" t="n">
        <v>60</v>
      </c>
      <c r="H1736" s="14" t="n">
        <v>60</v>
      </c>
      <c r="I1736" s="14" t="n">
        <v>120</v>
      </c>
      <c r="J1736" s="14" t="n">
        <v>76.5</v>
      </c>
      <c r="K1736" s="14" t="n">
        <v>63</v>
      </c>
    </row>
    <row r="1737" customFormat="false" ht="14.25" hidden="false" customHeight="false" outlineLevel="0" collapsed="false">
      <c r="A1737" s="1" t="n">
        <v>91</v>
      </c>
      <c r="B1737" s="1" t="n">
        <v>2030</v>
      </c>
      <c r="C1737" s="3" t="n">
        <v>45687</v>
      </c>
      <c r="E1737" s="12" t="s">
        <v>19</v>
      </c>
      <c r="F1737" s="13" t="s">
        <v>13</v>
      </c>
      <c r="G1737" s="14" t="n">
        <v>84</v>
      </c>
      <c r="H1737" s="14" t="n">
        <v>78</v>
      </c>
      <c r="I1737" s="14" t="n">
        <v>84</v>
      </c>
      <c r="J1737" s="14" t="n">
        <v>81</v>
      </c>
      <c r="K1737" s="14" t="n">
        <v>81</v>
      </c>
    </row>
    <row r="1738" customFormat="false" ht="14.25" hidden="false" customHeight="false" outlineLevel="0" collapsed="false">
      <c r="A1738" s="1" t="n">
        <v>92</v>
      </c>
      <c r="B1738" s="1" t="n">
        <v>2031</v>
      </c>
      <c r="C1738" s="3" t="n">
        <v>45688</v>
      </c>
      <c r="E1738" s="12" t="s">
        <v>20</v>
      </c>
      <c r="F1738" s="13" t="s">
        <v>13</v>
      </c>
      <c r="G1738" s="14" t="n">
        <v>84</v>
      </c>
      <c r="H1738" s="14" t="n">
        <v>72</v>
      </c>
      <c r="I1738" s="14" t="n">
        <v>96</v>
      </c>
      <c r="J1738" s="14" t="n">
        <v>84</v>
      </c>
      <c r="K1738" s="14" t="n">
        <v>84</v>
      </c>
    </row>
    <row r="1739" customFormat="false" ht="14.25" hidden="false" customHeight="false" outlineLevel="0" collapsed="false">
      <c r="A1739" s="1" t="n">
        <v>93</v>
      </c>
      <c r="B1739" s="1" t="n">
        <v>2032</v>
      </c>
      <c r="C1739" s="3" t="n">
        <v>45689</v>
      </c>
      <c r="E1739" s="12" t="s">
        <v>21</v>
      </c>
      <c r="F1739" s="13" t="s">
        <v>13</v>
      </c>
      <c r="G1739" s="14" t="n">
        <v>24</v>
      </c>
      <c r="H1739" s="14" t="n">
        <v>24</v>
      </c>
      <c r="I1739" s="14" t="n">
        <v>30</v>
      </c>
      <c r="J1739" s="14" t="n">
        <v>25.5</v>
      </c>
      <c r="K1739" s="14" t="n">
        <v>24</v>
      </c>
    </row>
    <row r="1740" customFormat="false" ht="14.25" hidden="false" customHeight="false" outlineLevel="0" collapsed="false">
      <c r="A1740" s="1" t="n">
        <v>94</v>
      </c>
      <c r="B1740" s="1" t="n">
        <v>2033</v>
      </c>
      <c r="C1740" s="3" t="n">
        <v>45690</v>
      </c>
      <c r="E1740" s="12" t="s">
        <v>73</v>
      </c>
      <c r="F1740" s="13" t="s">
        <v>13</v>
      </c>
      <c r="G1740" s="14" t="n">
        <v>96</v>
      </c>
      <c r="H1740" s="14" t="n">
        <v>72</v>
      </c>
      <c r="I1740" s="14" t="n">
        <v>96</v>
      </c>
      <c r="J1740" s="14" t="n">
        <v>87</v>
      </c>
      <c r="K1740" s="14" t="n">
        <v>90</v>
      </c>
    </row>
    <row r="1741" customFormat="false" ht="14.25" hidden="false" customHeight="false" outlineLevel="0" collapsed="false">
      <c r="A1741" s="1" t="n">
        <v>95</v>
      </c>
      <c r="B1741" s="1" t="n">
        <v>2034</v>
      </c>
      <c r="C1741" s="3" t="n">
        <v>45691</v>
      </c>
      <c r="E1741" s="12" t="s">
        <v>23</v>
      </c>
      <c r="F1741" s="13" t="s">
        <v>13</v>
      </c>
      <c r="G1741" s="14" t="n">
        <v>30</v>
      </c>
      <c r="H1741" s="14" t="n">
        <v>25</v>
      </c>
      <c r="I1741" s="14" t="n">
        <v>36</v>
      </c>
      <c r="J1741" s="14" t="n">
        <v>30.25</v>
      </c>
      <c r="K1741" s="14" t="n">
        <v>30</v>
      </c>
    </row>
    <row r="1742" customFormat="false" ht="14.25" hidden="false" customHeight="false" outlineLevel="0" collapsed="false">
      <c r="A1742" s="1" t="n">
        <v>96</v>
      </c>
      <c r="B1742" s="1" t="n">
        <v>2035</v>
      </c>
      <c r="C1742" s="3" t="n">
        <v>45692</v>
      </c>
      <c r="E1742" s="12" t="s">
        <v>24</v>
      </c>
      <c r="F1742" s="13" t="s">
        <v>13</v>
      </c>
      <c r="G1742" s="14" t="n">
        <v>72</v>
      </c>
      <c r="H1742" s="14" t="n">
        <v>60</v>
      </c>
      <c r="I1742" s="14" t="n">
        <v>84</v>
      </c>
      <c r="J1742" s="14" t="n">
        <v>72</v>
      </c>
      <c r="K1742" s="14" t="n">
        <v>72</v>
      </c>
    </row>
    <row r="1743" customFormat="false" ht="14.25" hidden="false" customHeight="false" outlineLevel="0" collapsed="false">
      <c r="A1743" s="1" t="n">
        <v>97</v>
      </c>
      <c r="B1743" s="1" t="n">
        <v>2036</v>
      </c>
      <c r="C1743" s="3" t="n">
        <v>45693</v>
      </c>
      <c r="E1743" s="12" t="s">
        <v>25</v>
      </c>
      <c r="F1743" s="13" t="s">
        <v>26</v>
      </c>
      <c r="G1743" s="14" t="n">
        <v>72</v>
      </c>
      <c r="H1743" s="14" t="n">
        <v>60</v>
      </c>
      <c r="I1743" s="14" t="n">
        <v>96</v>
      </c>
      <c r="J1743" s="14" t="n">
        <v>75</v>
      </c>
      <c r="K1743" s="14" t="n">
        <v>72</v>
      </c>
    </row>
    <row r="1744" customFormat="false" ht="14.25" hidden="false" customHeight="false" outlineLevel="0" collapsed="false">
      <c r="A1744" s="1" t="n">
        <v>98</v>
      </c>
      <c r="B1744" s="1" t="n">
        <v>2037</v>
      </c>
      <c r="C1744" s="3" t="n">
        <v>45694</v>
      </c>
      <c r="E1744" s="12" t="s">
        <v>27</v>
      </c>
      <c r="F1744" s="13" t="s">
        <v>13</v>
      </c>
      <c r="G1744" s="14" t="n">
        <v>60</v>
      </c>
      <c r="H1744" s="14" t="n">
        <v>54</v>
      </c>
      <c r="I1744" s="14" t="n">
        <v>72</v>
      </c>
      <c r="J1744" s="14" t="n">
        <v>61.5</v>
      </c>
      <c r="K1744" s="14" t="n">
        <v>60</v>
      </c>
    </row>
    <row r="1745" customFormat="false" ht="14.25" hidden="false" customHeight="false" outlineLevel="0" collapsed="false">
      <c r="A1745" s="1" t="n">
        <v>99</v>
      </c>
      <c r="B1745" s="1" t="n">
        <v>2038</v>
      </c>
      <c r="C1745" s="3" t="n">
        <v>45695</v>
      </c>
      <c r="E1745" s="12" t="s">
        <v>28</v>
      </c>
      <c r="F1745" s="13" t="s">
        <v>13</v>
      </c>
      <c r="G1745" s="14" t="n">
        <v>48</v>
      </c>
      <c r="H1745" s="14" t="n">
        <v>36</v>
      </c>
      <c r="I1745" s="14" t="n">
        <v>48</v>
      </c>
      <c r="J1745" s="14" t="n">
        <v>42</v>
      </c>
      <c r="K1745" s="14" t="n">
        <v>42</v>
      </c>
    </row>
    <row r="1746" customFormat="false" ht="14.25" hidden="false" customHeight="false" outlineLevel="0" collapsed="false">
      <c r="A1746" s="1" t="n">
        <v>100</v>
      </c>
      <c r="B1746" s="1" t="n">
        <v>2039</v>
      </c>
      <c r="C1746" s="3" t="n">
        <v>45696</v>
      </c>
      <c r="E1746" s="12" t="s">
        <v>29</v>
      </c>
      <c r="F1746" s="13" t="s">
        <v>13</v>
      </c>
      <c r="G1746" s="14" t="n">
        <v>54</v>
      </c>
      <c r="H1746" s="14" t="n">
        <v>48</v>
      </c>
      <c r="I1746" s="14" t="n">
        <v>60</v>
      </c>
      <c r="J1746" s="14" t="n">
        <v>54</v>
      </c>
      <c r="K1746" s="14" t="n">
        <v>54</v>
      </c>
    </row>
    <row r="1747" customFormat="false" ht="14.25" hidden="false" customHeight="false" outlineLevel="0" collapsed="false">
      <c r="A1747" s="1" t="n">
        <v>101</v>
      </c>
      <c r="B1747" s="1" t="n">
        <v>2040</v>
      </c>
      <c r="C1747" s="3" t="n">
        <v>45697</v>
      </c>
      <c r="E1747" s="12" t="s">
        <v>31</v>
      </c>
      <c r="F1747" s="13" t="s">
        <v>32</v>
      </c>
      <c r="G1747" s="14" t="n">
        <v>5</v>
      </c>
      <c r="H1747" s="14" t="n">
        <v>5</v>
      </c>
      <c r="I1747" s="14" t="n">
        <v>5</v>
      </c>
      <c r="J1747" s="14" t="n">
        <v>5</v>
      </c>
      <c r="K1747" s="14" t="n">
        <v>5</v>
      </c>
    </row>
    <row r="1748" customFormat="false" ht="14.25" hidden="false" customHeight="false" outlineLevel="0" collapsed="false">
      <c r="A1748" s="1" t="n">
        <v>102</v>
      </c>
      <c r="B1748" s="1" t="n">
        <v>2041</v>
      </c>
      <c r="C1748" s="3" t="n">
        <v>45698</v>
      </c>
      <c r="E1748" s="12" t="s">
        <v>34</v>
      </c>
      <c r="F1748" s="13" t="s">
        <v>35</v>
      </c>
      <c r="G1748" s="14" t="n">
        <v>20</v>
      </c>
      <c r="H1748" s="14" t="n">
        <v>20</v>
      </c>
      <c r="I1748" s="14" t="n">
        <v>25</v>
      </c>
      <c r="J1748" s="14" t="n">
        <v>22.5</v>
      </c>
      <c r="K1748" s="14" t="n">
        <v>22.5</v>
      </c>
    </row>
    <row r="1749" customFormat="false" ht="14.25" hidden="false" customHeight="false" outlineLevel="0" collapsed="false">
      <c r="A1749" s="1" t="n">
        <v>103</v>
      </c>
      <c r="B1749" s="1" t="n">
        <v>2042</v>
      </c>
      <c r="C1749" s="3" t="n">
        <v>45699</v>
      </c>
      <c r="E1749" s="12" t="s">
        <v>36</v>
      </c>
      <c r="F1749" s="13" t="s">
        <v>35</v>
      </c>
      <c r="G1749" s="14" t="n">
        <v>25</v>
      </c>
      <c r="H1749" s="14" t="n">
        <v>25</v>
      </c>
      <c r="I1749" s="14" t="n">
        <v>30</v>
      </c>
      <c r="J1749" s="14" t="n">
        <v>27.5</v>
      </c>
      <c r="K1749" s="14" t="n">
        <v>27.5</v>
      </c>
    </row>
    <row r="1750" customFormat="false" ht="14.25" hidden="false" customHeight="false" outlineLevel="0" collapsed="false">
      <c r="A1750" s="1" t="n">
        <v>104</v>
      </c>
      <c r="B1750" s="1" t="n">
        <v>2043</v>
      </c>
      <c r="C1750" s="3" t="n">
        <v>45700</v>
      </c>
      <c r="E1750" s="12" t="s">
        <v>516</v>
      </c>
      <c r="F1750" s="13" t="s">
        <v>154</v>
      </c>
      <c r="G1750" s="14" t="n">
        <v>70</v>
      </c>
      <c r="H1750" s="14" t="n">
        <v>70</v>
      </c>
      <c r="I1750" s="14" t="n">
        <v>75</v>
      </c>
      <c r="J1750" s="14" t="n">
        <v>71.67</v>
      </c>
      <c r="K1750" s="14" t="n">
        <v>70</v>
      </c>
    </row>
    <row r="1751" customFormat="false" ht="14.25" hidden="false" customHeight="false" outlineLevel="0" collapsed="false">
      <c r="A1751" s="1" t="n">
        <v>105</v>
      </c>
      <c r="B1751" s="1" t="n">
        <v>2044</v>
      </c>
      <c r="C1751" s="3" t="n">
        <v>45701</v>
      </c>
      <c r="E1751" s="12" t="s">
        <v>39</v>
      </c>
      <c r="F1751" s="13" t="s">
        <v>40</v>
      </c>
      <c r="G1751" s="14" t="n">
        <v>50</v>
      </c>
      <c r="H1751" s="14" t="n">
        <v>50</v>
      </c>
      <c r="I1751" s="14" t="n">
        <v>60</v>
      </c>
      <c r="J1751" s="14" t="n">
        <v>53.33</v>
      </c>
      <c r="K1751" s="14" t="n">
        <v>50</v>
      </c>
    </row>
    <row r="1752" customFormat="false" ht="14.25" hidden="false" customHeight="false" outlineLevel="0" collapsed="false">
      <c r="A1752" s="1" t="n">
        <v>106</v>
      </c>
      <c r="B1752" s="1" t="n">
        <v>2045</v>
      </c>
      <c r="C1752" s="3" t="n">
        <v>45702</v>
      </c>
      <c r="E1752" s="12" t="s">
        <v>42</v>
      </c>
      <c r="F1752" s="13" t="s">
        <v>43</v>
      </c>
      <c r="G1752" s="14" t="n">
        <v>70</v>
      </c>
      <c r="H1752" s="14" t="n">
        <v>45</v>
      </c>
      <c r="I1752" s="14" t="n">
        <v>70</v>
      </c>
      <c r="J1752" s="14" t="n">
        <v>62.5</v>
      </c>
      <c r="K1752" s="14" t="n">
        <v>67.5</v>
      </c>
    </row>
    <row r="1753" customFormat="false" ht="14.25" hidden="false" customHeight="false" outlineLevel="0" collapsed="false">
      <c r="A1753" s="1" t="n">
        <v>107</v>
      </c>
      <c r="B1753" s="1" t="n">
        <v>2046</v>
      </c>
      <c r="C1753" s="3" t="n">
        <v>45703</v>
      </c>
      <c r="E1753" s="12" t="s">
        <v>44</v>
      </c>
      <c r="F1753" s="13" t="s">
        <v>45</v>
      </c>
      <c r="G1753" s="13"/>
      <c r="H1753" s="14" t="n">
        <v>40</v>
      </c>
      <c r="I1753" s="14" t="n">
        <v>65</v>
      </c>
      <c r="J1753" s="14" t="n">
        <v>53.75</v>
      </c>
      <c r="K1753" s="14" t="n">
        <v>55</v>
      </c>
    </row>
    <row r="1754" customFormat="false" ht="14.25" hidden="false" customHeight="false" outlineLevel="0" collapsed="false">
      <c r="A1754" s="1" t="n">
        <v>108</v>
      </c>
      <c r="B1754" s="1" t="n">
        <v>2047</v>
      </c>
      <c r="C1754" s="3" t="n">
        <v>45704</v>
      </c>
      <c r="E1754" s="12" t="s">
        <v>48</v>
      </c>
      <c r="F1754" s="13" t="s">
        <v>45</v>
      </c>
      <c r="G1754" s="13"/>
      <c r="H1754" s="14" t="n">
        <v>65</v>
      </c>
      <c r="I1754" s="14" t="n">
        <v>75</v>
      </c>
      <c r="J1754" s="14" t="n">
        <v>70</v>
      </c>
      <c r="K1754" s="14" t="n">
        <v>70</v>
      </c>
    </row>
    <row r="1755" customFormat="false" ht="14.25" hidden="false" customHeight="false" outlineLevel="0" collapsed="false">
      <c r="A1755" s="1" t="n">
        <v>109</v>
      </c>
      <c r="B1755" s="1" t="n">
        <v>2048</v>
      </c>
      <c r="C1755" s="3" t="n">
        <v>45705</v>
      </c>
      <c r="E1755" s="12" t="s">
        <v>49</v>
      </c>
      <c r="F1755" s="13" t="s">
        <v>50</v>
      </c>
      <c r="G1755" s="14" t="n">
        <v>60</v>
      </c>
      <c r="H1755" s="14" t="n">
        <v>50</v>
      </c>
      <c r="I1755" s="14" t="n">
        <v>60</v>
      </c>
      <c r="J1755" s="14" t="n">
        <v>55</v>
      </c>
      <c r="K1755" s="14" t="n">
        <v>55</v>
      </c>
    </row>
    <row r="1756" customFormat="false" ht="14.25" hidden="false" customHeight="false" outlineLevel="0" collapsed="false">
      <c r="A1756" s="1" t="n">
        <v>110</v>
      </c>
      <c r="B1756" s="1" t="n">
        <v>2049</v>
      </c>
      <c r="C1756" s="3" t="n">
        <v>45706</v>
      </c>
      <c r="E1756" s="12" t="s">
        <v>52</v>
      </c>
      <c r="F1756" s="13" t="s">
        <v>43</v>
      </c>
      <c r="G1756" s="13"/>
      <c r="H1756" s="14" t="n">
        <v>60</v>
      </c>
      <c r="I1756" s="14" t="n">
        <v>100</v>
      </c>
      <c r="J1756" s="14" t="n">
        <v>80</v>
      </c>
      <c r="K1756" s="14" t="n">
        <v>80</v>
      </c>
    </row>
    <row r="1757" customFormat="false" ht="14.25" hidden="false" customHeight="false" outlineLevel="0" collapsed="false">
      <c r="A1757" s="1" t="n">
        <v>111</v>
      </c>
      <c r="B1757" s="1" t="n">
        <v>2050</v>
      </c>
      <c r="C1757" s="3" t="n">
        <v>45707</v>
      </c>
      <c r="E1757" s="12" t="s">
        <v>53</v>
      </c>
      <c r="F1757" s="13" t="s">
        <v>43</v>
      </c>
      <c r="G1757" s="13"/>
      <c r="H1757" s="14" t="n">
        <v>45</v>
      </c>
      <c r="I1757" s="14" t="n">
        <v>90</v>
      </c>
      <c r="J1757" s="14" t="n">
        <v>63.75</v>
      </c>
      <c r="K1757" s="14" t="n">
        <v>60</v>
      </c>
    </row>
    <row r="1758" customFormat="false" ht="14.25" hidden="false" customHeight="false" outlineLevel="0" collapsed="false">
      <c r="A1758" s="1" t="n">
        <v>112</v>
      </c>
      <c r="B1758" s="1" t="n">
        <v>2051</v>
      </c>
      <c r="C1758" s="3" t="n">
        <v>45708</v>
      </c>
      <c r="E1758" s="12" t="s">
        <v>54</v>
      </c>
      <c r="F1758" s="13" t="s">
        <v>40</v>
      </c>
      <c r="G1758" s="13"/>
      <c r="H1758" s="14" t="n">
        <v>70</v>
      </c>
      <c r="I1758" s="14" t="n">
        <v>100</v>
      </c>
      <c r="J1758" s="14" t="n">
        <v>85</v>
      </c>
      <c r="K1758" s="14" t="n">
        <v>85</v>
      </c>
    </row>
    <row r="1759" customFormat="false" ht="14.25" hidden="false" customHeight="false" outlineLevel="0" collapsed="false">
      <c r="A1759" s="1" t="n">
        <v>113</v>
      </c>
      <c r="B1759" s="1" t="n">
        <v>2052</v>
      </c>
      <c r="C1759" s="3" t="n">
        <v>45709</v>
      </c>
      <c r="E1759" s="12" t="s">
        <v>56</v>
      </c>
      <c r="F1759" s="13" t="s">
        <v>43</v>
      </c>
      <c r="G1759" s="13"/>
      <c r="H1759" s="14" t="n">
        <v>50</v>
      </c>
      <c r="I1759" s="14" t="n">
        <v>75</v>
      </c>
      <c r="J1759" s="14" t="n">
        <v>62.5</v>
      </c>
      <c r="K1759" s="14" t="n">
        <v>62.5</v>
      </c>
    </row>
    <row r="1760" customFormat="false" ht="14.25" hidden="false" customHeight="false" outlineLevel="0" collapsed="false">
      <c r="A1760" s="1" t="n">
        <v>114</v>
      </c>
      <c r="B1760" s="1" t="n">
        <v>2053</v>
      </c>
      <c r="C1760" s="3" t="n">
        <v>45710</v>
      </c>
      <c r="E1760" s="12" t="s">
        <v>57</v>
      </c>
      <c r="F1760" s="13" t="s">
        <v>40</v>
      </c>
      <c r="G1760" s="14" t="n">
        <v>80</v>
      </c>
      <c r="H1760" s="14" t="n">
        <v>45</v>
      </c>
      <c r="I1760" s="14" t="n">
        <v>80</v>
      </c>
      <c r="J1760" s="14" t="n">
        <v>68.33</v>
      </c>
      <c r="K1760" s="14" t="n">
        <v>80</v>
      </c>
    </row>
    <row r="1761" customFormat="false" ht="14.25" hidden="false" customHeight="false" outlineLevel="0" collapsed="false">
      <c r="A1761" s="1" t="n">
        <v>115</v>
      </c>
      <c r="B1761" s="1" t="n">
        <v>2054</v>
      </c>
      <c r="C1761" s="3" t="n">
        <v>45711</v>
      </c>
      <c r="E1761" s="12" t="s">
        <v>58</v>
      </c>
      <c r="F1761" s="13" t="s">
        <v>40</v>
      </c>
      <c r="G1761" s="14" t="n">
        <v>90</v>
      </c>
      <c r="H1761" s="14" t="n">
        <v>80</v>
      </c>
      <c r="I1761" s="14" t="n">
        <v>120</v>
      </c>
      <c r="J1761" s="14" t="n">
        <v>95</v>
      </c>
      <c r="K1761" s="14" t="n">
        <v>90</v>
      </c>
    </row>
    <row r="1762" customFormat="false" ht="14.25" hidden="false" customHeight="false" outlineLevel="0" collapsed="false">
      <c r="A1762" s="1" t="n">
        <v>116</v>
      </c>
      <c r="B1762" s="1" t="n">
        <v>2055</v>
      </c>
      <c r="C1762" s="3" t="n">
        <v>45712</v>
      </c>
      <c r="E1762" s="12" t="s">
        <v>59</v>
      </c>
      <c r="F1762" s="13" t="s">
        <v>45</v>
      </c>
      <c r="G1762" s="14" t="n">
        <v>30</v>
      </c>
      <c r="H1762" s="14" t="n">
        <v>20</v>
      </c>
      <c r="I1762" s="14" t="n">
        <v>40</v>
      </c>
      <c r="J1762" s="14" t="n">
        <v>30</v>
      </c>
      <c r="K1762" s="14" t="n">
        <v>30</v>
      </c>
    </row>
    <row r="1763" customFormat="false" ht="14.25" hidden="false" customHeight="false" outlineLevel="0" collapsed="false">
      <c r="A1763" s="1" t="n">
        <v>117</v>
      </c>
      <c r="B1763" s="1" t="n">
        <v>2056</v>
      </c>
      <c r="C1763" s="3" t="n">
        <v>45713</v>
      </c>
      <c r="E1763" s="12" t="s">
        <v>60</v>
      </c>
      <c r="F1763" s="13" t="s">
        <v>61</v>
      </c>
      <c r="G1763" s="14" t="n">
        <v>90</v>
      </c>
      <c r="H1763" s="14" t="n">
        <v>50</v>
      </c>
      <c r="I1763" s="14" t="n">
        <v>90</v>
      </c>
      <c r="J1763" s="14" t="n">
        <v>78.75</v>
      </c>
      <c r="K1763" s="14" t="n">
        <v>87.5</v>
      </c>
    </row>
    <row r="1764" customFormat="false" ht="14.25" hidden="false" customHeight="false" outlineLevel="0" collapsed="false">
      <c r="A1764" s="1" t="n">
        <v>118</v>
      </c>
      <c r="B1764" s="1" t="n">
        <v>2057</v>
      </c>
      <c r="C1764" s="3" t="n">
        <v>45714</v>
      </c>
      <c r="E1764" s="12" t="s">
        <v>63</v>
      </c>
      <c r="F1764" s="13" t="s">
        <v>40</v>
      </c>
      <c r="G1764" s="13"/>
      <c r="H1764" s="14" t="n">
        <v>60</v>
      </c>
      <c r="I1764" s="14" t="n">
        <v>120</v>
      </c>
      <c r="J1764" s="14" t="n">
        <v>92.5</v>
      </c>
      <c r="K1764" s="14" t="n">
        <v>95</v>
      </c>
    </row>
    <row r="1765" customFormat="false" ht="14.25" hidden="false" customHeight="false" outlineLevel="0" collapsed="false">
      <c r="A1765" s="1" t="n">
        <v>119</v>
      </c>
      <c r="B1765" s="1" t="n">
        <v>2058</v>
      </c>
      <c r="C1765" s="3" t="n">
        <v>45715</v>
      </c>
      <c r="E1765" s="12" t="s">
        <v>64</v>
      </c>
      <c r="F1765" s="13" t="s">
        <v>40</v>
      </c>
      <c r="G1765" s="14" t="n">
        <v>50</v>
      </c>
      <c r="H1765" s="14" t="n">
        <v>50</v>
      </c>
      <c r="I1765" s="14" t="n">
        <v>70</v>
      </c>
      <c r="J1765" s="14" t="n">
        <v>56.67</v>
      </c>
      <c r="K1765" s="14" t="n">
        <v>50</v>
      </c>
    </row>
    <row r="1766" customFormat="false" ht="14.25" hidden="false" customHeight="false" outlineLevel="0" collapsed="false">
      <c r="A1766" s="1" t="n">
        <v>120</v>
      </c>
      <c r="B1766" s="1" t="n">
        <v>2059</v>
      </c>
      <c r="C1766" s="3" t="n">
        <v>45716</v>
      </c>
      <c r="E1766" s="12" t="s">
        <v>66</v>
      </c>
      <c r="F1766" s="13" t="s">
        <v>45</v>
      </c>
      <c r="G1766" s="13"/>
      <c r="H1766" s="13"/>
      <c r="I1766" s="13"/>
      <c r="J1766" s="13"/>
      <c r="K1766" s="13"/>
    </row>
    <row r="1767" customFormat="false" ht="14.25" hidden="false" customHeight="false" outlineLevel="0" collapsed="false">
      <c r="A1767" s="1" t="n">
        <v>121</v>
      </c>
      <c r="B1767" s="1" t="n">
        <v>2060</v>
      </c>
      <c r="C1767" s="3" t="n">
        <v>45717</v>
      </c>
      <c r="E1767" s="12" t="s">
        <v>67</v>
      </c>
      <c r="F1767" s="13" t="s">
        <v>45</v>
      </c>
      <c r="G1767" s="13"/>
      <c r="H1767" s="13"/>
      <c r="I1767" s="13"/>
      <c r="J1767" s="13"/>
      <c r="K1767" s="13"/>
    </row>
    <row r="1768" customFormat="false" ht="14.25" hidden="false" customHeight="false" outlineLevel="0" collapsed="false">
      <c r="A1768" s="1" t="n">
        <v>122</v>
      </c>
      <c r="B1768" s="1" t="n">
        <v>2061</v>
      </c>
      <c r="C1768" s="3" t="n">
        <v>45718</v>
      </c>
      <c r="E1768" s="12" t="s">
        <v>68</v>
      </c>
      <c r="F1768" s="13" t="s">
        <v>45</v>
      </c>
      <c r="G1768" s="13"/>
      <c r="H1768" s="13"/>
      <c r="I1768" s="13"/>
      <c r="J1768" s="13"/>
      <c r="K1768" s="13"/>
    </row>
    <row r="1769" customFormat="false" ht="14.25" hidden="false" customHeight="false" outlineLevel="0" collapsed="false">
      <c r="A1769" s="1" t="n">
        <v>123</v>
      </c>
      <c r="B1769" s="1" t="n">
        <v>2062</v>
      </c>
      <c r="C1769" s="3" t="n">
        <v>45719</v>
      </c>
      <c r="E1769" s="12" t="s">
        <v>69</v>
      </c>
      <c r="F1769" s="13" t="s">
        <v>45</v>
      </c>
      <c r="G1769" s="13"/>
      <c r="H1769" s="13"/>
      <c r="I1769" s="13"/>
      <c r="J1769" s="13"/>
      <c r="K1769" s="13"/>
    </row>
    <row r="1770" customFormat="false" ht="14.25" hidden="false" customHeight="false" outlineLevel="0" collapsed="false">
      <c r="A1770" s="1" t="n">
        <v>124</v>
      </c>
      <c r="B1770" s="1" t="n">
        <v>2063</v>
      </c>
      <c r="C1770" s="3" t="n">
        <v>45720</v>
      </c>
      <c r="E1770" s="12" t="s">
        <v>70</v>
      </c>
      <c r="F1770" s="13" t="s">
        <v>71</v>
      </c>
      <c r="G1770" s="13"/>
      <c r="H1770" s="13"/>
      <c r="I1770" s="13"/>
      <c r="J1770" s="13"/>
      <c r="K1770" s="13"/>
    </row>
    <row r="1771" customFormat="false" ht="14.25" hidden="false" customHeight="false" outlineLevel="0" collapsed="false">
      <c r="A1771" s="1" t="n">
        <v>86</v>
      </c>
      <c r="B1771" s="1" t="n">
        <v>2024</v>
      </c>
      <c r="C1771" s="3" t="n">
        <v>45667</v>
      </c>
      <c r="E1771" s="1" t="s">
        <v>12</v>
      </c>
      <c r="F1771" s="1" t="s">
        <v>13</v>
      </c>
      <c r="G1771" s="1" t="s">
        <v>430</v>
      </c>
      <c r="H1771" s="1" t="s">
        <v>360</v>
      </c>
      <c r="I1771" s="1" t="s">
        <v>360</v>
      </c>
      <c r="J1771" s="1" t="s">
        <v>358</v>
      </c>
      <c r="K1771" s="1" t="s">
        <v>458</v>
      </c>
    </row>
    <row r="1772" customFormat="false" ht="14.25" hidden="false" customHeight="false" outlineLevel="0" collapsed="false">
      <c r="A1772" s="1" t="n">
        <v>86</v>
      </c>
      <c r="B1772" s="1" t="n">
        <v>2024</v>
      </c>
      <c r="C1772" s="3" t="n">
        <v>45667</v>
      </c>
      <c r="E1772" s="1" t="s">
        <v>14</v>
      </c>
      <c r="F1772" s="1" t="s">
        <v>13</v>
      </c>
      <c r="G1772" s="1" t="s">
        <v>361</v>
      </c>
      <c r="H1772" s="1" t="s">
        <v>361</v>
      </c>
      <c r="I1772" s="1" t="s">
        <v>472</v>
      </c>
      <c r="J1772" s="1" t="s">
        <v>361</v>
      </c>
      <c r="K1772" s="1" t="s">
        <v>517</v>
      </c>
    </row>
    <row r="1773" customFormat="false" ht="14.25" hidden="false" customHeight="false" outlineLevel="0" collapsed="false">
      <c r="A1773" s="1" t="n">
        <v>86</v>
      </c>
      <c r="B1773" s="1" t="n">
        <v>2024</v>
      </c>
      <c r="C1773" s="3" t="n">
        <v>45667</v>
      </c>
      <c r="E1773" s="1" t="s">
        <v>15</v>
      </c>
      <c r="F1773" s="1" t="s">
        <v>13</v>
      </c>
      <c r="G1773" s="1" t="s">
        <v>390</v>
      </c>
      <c r="H1773" s="1" t="s">
        <v>430</v>
      </c>
      <c r="I1773" s="1" t="s">
        <v>358</v>
      </c>
      <c r="J1773" s="1" t="s">
        <v>518</v>
      </c>
      <c r="K1773" s="1" t="s">
        <v>390</v>
      </c>
    </row>
    <row r="1774" customFormat="false" ht="14.25" hidden="false" customHeight="false" outlineLevel="0" collapsed="false">
      <c r="A1774" s="1" t="n">
        <v>86</v>
      </c>
      <c r="B1774" s="1" t="n">
        <v>2024</v>
      </c>
      <c r="C1774" s="3" t="n">
        <v>45667</v>
      </c>
      <c r="E1774" s="1" t="s">
        <v>16</v>
      </c>
      <c r="F1774" s="1" t="s">
        <v>13</v>
      </c>
      <c r="G1774" s="1" t="s">
        <v>362</v>
      </c>
      <c r="H1774" s="1" t="s">
        <v>366</v>
      </c>
      <c r="I1774" s="1" t="s">
        <v>357</v>
      </c>
      <c r="J1774" s="1" t="s">
        <v>519</v>
      </c>
      <c r="K1774" s="1" t="s">
        <v>362</v>
      </c>
    </row>
    <row r="1775" customFormat="false" ht="14.25" hidden="false" customHeight="false" outlineLevel="0" collapsed="false">
      <c r="A1775" s="1" t="n">
        <v>86</v>
      </c>
      <c r="B1775" s="1" t="n">
        <v>2024</v>
      </c>
      <c r="C1775" s="3" t="n">
        <v>45667</v>
      </c>
      <c r="E1775" s="1" t="s">
        <v>17</v>
      </c>
      <c r="F1775" s="1" t="s">
        <v>13</v>
      </c>
      <c r="G1775" s="0"/>
      <c r="H1775" s="1" t="s">
        <v>366</v>
      </c>
      <c r="I1775" s="1" t="s">
        <v>357</v>
      </c>
      <c r="J1775" s="1" t="s">
        <v>520</v>
      </c>
      <c r="K1775" s="1" t="s">
        <v>384</v>
      </c>
    </row>
    <row r="1776" customFormat="false" ht="14.25" hidden="false" customHeight="false" outlineLevel="0" collapsed="false">
      <c r="A1776" s="1" t="n">
        <v>86</v>
      </c>
      <c r="B1776" s="1" t="n">
        <v>2024</v>
      </c>
      <c r="C1776" s="3" t="n">
        <v>45667</v>
      </c>
      <c r="E1776" s="1" t="s">
        <v>18</v>
      </c>
      <c r="F1776" s="1" t="s">
        <v>13</v>
      </c>
      <c r="G1776" s="1" t="s">
        <v>358</v>
      </c>
      <c r="H1776" s="1" t="s">
        <v>358</v>
      </c>
      <c r="I1776" s="1" t="s">
        <v>416</v>
      </c>
      <c r="J1776" s="1" t="s">
        <v>456</v>
      </c>
      <c r="K1776" s="1" t="s">
        <v>358</v>
      </c>
    </row>
    <row r="1777" customFormat="false" ht="14.25" hidden="false" customHeight="false" outlineLevel="0" collapsed="false">
      <c r="A1777" s="1" t="n">
        <v>86</v>
      </c>
      <c r="B1777" s="1" t="n">
        <v>2024</v>
      </c>
      <c r="C1777" s="3" t="n">
        <v>45667</v>
      </c>
      <c r="E1777" s="1" t="s">
        <v>19</v>
      </c>
      <c r="F1777" s="1" t="s">
        <v>13</v>
      </c>
      <c r="G1777" s="0"/>
      <c r="H1777" s="1" t="s">
        <v>357</v>
      </c>
      <c r="I1777" s="1" t="s">
        <v>417</v>
      </c>
      <c r="J1777" s="1" t="s">
        <v>456</v>
      </c>
      <c r="K1777" s="1" t="s">
        <v>358</v>
      </c>
    </row>
    <row r="1778" customFormat="false" ht="14.25" hidden="false" customHeight="false" outlineLevel="0" collapsed="false">
      <c r="A1778" s="1" t="n">
        <v>86</v>
      </c>
      <c r="B1778" s="1" t="n">
        <v>2024</v>
      </c>
      <c r="C1778" s="3" t="n">
        <v>45667</v>
      </c>
      <c r="E1778" s="1" t="s">
        <v>20</v>
      </c>
      <c r="F1778" s="1" t="s">
        <v>13</v>
      </c>
      <c r="G1778" s="1" t="s">
        <v>362</v>
      </c>
      <c r="H1778" s="1" t="s">
        <v>360</v>
      </c>
      <c r="I1778" s="1" t="s">
        <v>361</v>
      </c>
      <c r="J1778" s="1" t="s">
        <v>360</v>
      </c>
      <c r="K1778" s="1" t="s">
        <v>521</v>
      </c>
    </row>
    <row r="1779" customFormat="false" ht="14.25" hidden="false" customHeight="false" outlineLevel="0" collapsed="false">
      <c r="A1779" s="1" t="n">
        <v>86</v>
      </c>
      <c r="B1779" s="1" t="n">
        <v>2024</v>
      </c>
      <c r="C1779" s="3" t="n">
        <v>45667</v>
      </c>
      <c r="E1779" s="1" t="s">
        <v>21</v>
      </c>
      <c r="F1779" s="1" t="s">
        <v>13</v>
      </c>
      <c r="G1779" s="1" t="s">
        <v>366</v>
      </c>
      <c r="H1779" s="1" t="s">
        <v>366</v>
      </c>
      <c r="I1779" s="1" t="s">
        <v>362</v>
      </c>
      <c r="J1779" s="1" t="s">
        <v>522</v>
      </c>
      <c r="K1779" s="1" t="s">
        <v>366</v>
      </c>
    </row>
    <row r="1780" customFormat="false" ht="14.25" hidden="false" customHeight="false" outlineLevel="0" collapsed="false">
      <c r="A1780" s="1" t="n">
        <v>86</v>
      </c>
      <c r="B1780" s="1" t="n">
        <v>2024</v>
      </c>
      <c r="C1780" s="3" t="n">
        <v>45667</v>
      </c>
      <c r="E1780" s="1" t="s">
        <v>73</v>
      </c>
      <c r="F1780" s="1" t="s">
        <v>13</v>
      </c>
      <c r="G1780" s="1" t="s">
        <v>361</v>
      </c>
      <c r="H1780" s="1" t="s">
        <v>360</v>
      </c>
      <c r="I1780" s="1" t="s">
        <v>472</v>
      </c>
      <c r="J1780" s="1" t="s">
        <v>361</v>
      </c>
      <c r="K1780" s="1" t="s">
        <v>361</v>
      </c>
    </row>
    <row r="1781" customFormat="false" ht="14.25" hidden="false" customHeight="false" outlineLevel="0" collapsed="false">
      <c r="A1781" s="1" t="n">
        <v>86</v>
      </c>
      <c r="B1781" s="1" t="n">
        <v>2024</v>
      </c>
      <c r="C1781" s="3" t="n">
        <v>45667</v>
      </c>
      <c r="E1781" s="1" t="s">
        <v>23</v>
      </c>
      <c r="F1781" s="1" t="s">
        <v>13</v>
      </c>
      <c r="G1781" s="0"/>
      <c r="H1781" s="1" t="s">
        <v>366</v>
      </c>
      <c r="I1781" s="1" t="s">
        <v>358</v>
      </c>
      <c r="J1781" s="1" t="s">
        <v>362</v>
      </c>
      <c r="K1781" s="1" t="s">
        <v>388</v>
      </c>
    </row>
    <row r="1782" customFormat="false" ht="14.25" hidden="false" customHeight="false" outlineLevel="0" collapsed="false">
      <c r="A1782" s="1" t="n">
        <v>86</v>
      </c>
      <c r="B1782" s="1" t="n">
        <v>2024</v>
      </c>
      <c r="C1782" s="3" t="n">
        <v>45667</v>
      </c>
      <c r="E1782" s="1" t="s">
        <v>24</v>
      </c>
      <c r="F1782" s="1" t="s">
        <v>13</v>
      </c>
      <c r="G1782" s="1" t="s">
        <v>360</v>
      </c>
      <c r="H1782" s="1" t="s">
        <v>358</v>
      </c>
      <c r="I1782" s="1" t="s">
        <v>361</v>
      </c>
      <c r="J1782" s="1" t="s">
        <v>360</v>
      </c>
      <c r="K1782" s="1" t="s">
        <v>360</v>
      </c>
    </row>
    <row r="1783" customFormat="false" ht="14.25" hidden="false" customHeight="false" outlineLevel="0" collapsed="false">
      <c r="A1783" s="1" t="n">
        <v>86</v>
      </c>
      <c r="B1783" s="1" t="n">
        <v>2024</v>
      </c>
      <c r="C1783" s="3" t="n">
        <v>45667</v>
      </c>
      <c r="E1783" s="1" t="s">
        <v>25</v>
      </c>
      <c r="F1783" s="1" t="s">
        <v>26</v>
      </c>
      <c r="G1783" s="1" t="s">
        <v>357</v>
      </c>
      <c r="H1783" s="1" t="s">
        <v>360</v>
      </c>
      <c r="I1783" s="1" t="s">
        <v>360</v>
      </c>
      <c r="J1783" s="1" t="s">
        <v>523</v>
      </c>
      <c r="K1783" s="1" t="s">
        <v>358</v>
      </c>
    </row>
    <row r="1784" customFormat="false" ht="14.25" hidden="false" customHeight="false" outlineLevel="0" collapsed="false">
      <c r="A1784" s="1" t="n">
        <v>86</v>
      </c>
      <c r="B1784" s="1" t="n">
        <v>2024</v>
      </c>
      <c r="C1784" s="3" t="n">
        <v>45667</v>
      </c>
      <c r="E1784" s="1" t="s">
        <v>27</v>
      </c>
      <c r="F1784" s="1" t="s">
        <v>13</v>
      </c>
      <c r="G1784" s="1" t="s">
        <v>393</v>
      </c>
      <c r="H1784" s="1" t="s">
        <v>358</v>
      </c>
      <c r="I1784" s="1" t="s">
        <v>360</v>
      </c>
      <c r="J1784" s="1" t="s">
        <v>393</v>
      </c>
      <c r="K1784" s="1" t="s">
        <v>524</v>
      </c>
    </row>
    <row r="1785" customFormat="false" ht="14.25" hidden="false" customHeight="false" outlineLevel="0" collapsed="false">
      <c r="A1785" s="1" t="n">
        <v>86</v>
      </c>
      <c r="B1785" s="1" t="n">
        <v>2024</v>
      </c>
      <c r="C1785" s="3" t="n">
        <v>45667</v>
      </c>
      <c r="E1785" s="1" t="s">
        <v>28</v>
      </c>
      <c r="F1785" s="1" t="s">
        <v>13</v>
      </c>
      <c r="G1785" s="1" t="s">
        <v>390</v>
      </c>
      <c r="H1785" s="1" t="s">
        <v>430</v>
      </c>
      <c r="I1785" s="1" t="s">
        <v>357</v>
      </c>
      <c r="J1785" s="1" t="s">
        <v>363</v>
      </c>
      <c r="K1785" s="1" t="s">
        <v>390</v>
      </c>
    </row>
    <row r="1786" customFormat="false" ht="14.25" hidden="false" customHeight="false" outlineLevel="0" collapsed="false">
      <c r="A1786" s="1" t="n">
        <v>86</v>
      </c>
      <c r="B1786" s="1" t="n">
        <v>2024</v>
      </c>
      <c r="C1786" s="3" t="n">
        <v>45667</v>
      </c>
      <c r="E1786" s="1" t="s">
        <v>29</v>
      </c>
      <c r="F1786" s="1" t="s">
        <v>13</v>
      </c>
      <c r="G1786" s="1" t="s">
        <v>357</v>
      </c>
      <c r="H1786" s="1" t="s">
        <v>359</v>
      </c>
      <c r="I1786" s="1" t="s">
        <v>358</v>
      </c>
      <c r="J1786" s="1" t="s">
        <v>510</v>
      </c>
      <c r="K1786" s="1" t="s">
        <v>359</v>
      </c>
    </row>
    <row r="1787" customFormat="false" ht="14.25" hidden="false" customHeight="false" outlineLevel="0" collapsed="false">
      <c r="A1787" s="1" t="n">
        <v>86</v>
      </c>
      <c r="B1787" s="1" t="n">
        <v>2024</v>
      </c>
      <c r="C1787" s="3" t="n">
        <v>45667</v>
      </c>
      <c r="E1787" s="1" t="s">
        <v>31</v>
      </c>
      <c r="F1787" s="1" t="s">
        <v>32</v>
      </c>
      <c r="G1787" s="1" t="s">
        <v>460</v>
      </c>
      <c r="H1787" s="1" t="s">
        <v>378</v>
      </c>
      <c r="I1787" s="1" t="s">
        <v>378</v>
      </c>
      <c r="J1787" s="1" t="s">
        <v>378</v>
      </c>
      <c r="K1787" s="1" t="s">
        <v>481</v>
      </c>
    </row>
    <row r="1788" customFormat="false" ht="14.25" hidden="false" customHeight="false" outlineLevel="0" collapsed="false">
      <c r="A1788" s="1" t="n">
        <v>86</v>
      </c>
      <c r="B1788" s="1" t="n">
        <v>2024</v>
      </c>
      <c r="C1788" s="3" t="n">
        <v>45667</v>
      </c>
      <c r="E1788" s="1" t="s">
        <v>34</v>
      </c>
      <c r="F1788" s="1" t="s">
        <v>35</v>
      </c>
      <c r="G1788" s="1" t="s">
        <v>382</v>
      </c>
      <c r="H1788" s="1" t="s">
        <v>382</v>
      </c>
      <c r="I1788" s="1" t="s">
        <v>419</v>
      </c>
      <c r="J1788" s="1" t="s">
        <v>373</v>
      </c>
      <c r="K1788" s="1" t="s">
        <v>382</v>
      </c>
    </row>
    <row r="1789" customFormat="false" ht="14.25" hidden="false" customHeight="false" outlineLevel="0" collapsed="false">
      <c r="A1789" s="1" t="n">
        <v>86</v>
      </c>
      <c r="B1789" s="1" t="n">
        <v>2024</v>
      </c>
      <c r="C1789" s="3" t="n">
        <v>45667</v>
      </c>
      <c r="E1789" s="1" t="s">
        <v>36</v>
      </c>
      <c r="F1789" s="1" t="s">
        <v>35</v>
      </c>
      <c r="G1789" s="1" t="s">
        <v>419</v>
      </c>
      <c r="H1789" s="1" t="s">
        <v>362</v>
      </c>
      <c r="I1789" s="1" t="s">
        <v>362</v>
      </c>
      <c r="J1789" s="1" t="s">
        <v>362</v>
      </c>
      <c r="K1789" s="1" t="s">
        <v>525</v>
      </c>
    </row>
    <row r="1790" customFormat="false" ht="14.25" hidden="false" customHeight="false" outlineLevel="0" collapsed="false">
      <c r="A1790" s="1" t="n">
        <v>86</v>
      </c>
      <c r="B1790" s="1" t="n">
        <v>2024</v>
      </c>
      <c r="C1790" s="3" t="n">
        <v>45667</v>
      </c>
      <c r="E1790" s="1" t="s">
        <v>153</v>
      </c>
      <c r="F1790" s="1" t="s">
        <v>154</v>
      </c>
      <c r="G1790" s="1" t="s">
        <v>370</v>
      </c>
      <c r="H1790" s="1" t="s">
        <v>370</v>
      </c>
      <c r="I1790" s="1" t="s">
        <v>370</v>
      </c>
      <c r="J1790" s="1" t="s">
        <v>370</v>
      </c>
      <c r="K1790" s="1" t="s">
        <v>370</v>
      </c>
    </row>
    <row r="1791" customFormat="false" ht="14.25" hidden="false" customHeight="false" outlineLevel="0" collapsed="false">
      <c r="A1791" s="1" t="n">
        <v>86</v>
      </c>
      <c r="B1791" s="1" t="n">
        <v>2024</v>
      </c>
      <c r="C1791" s="3" t="n">
        <v>45667</v>
      </c>
      <c r="E1791" s="1" t="s">
        <v>39</v>
      </c>
      <c r="F1791" s="1" t="s">
        <v>40</v>
      </c>
      <c r="G1791" s="1" t="s">
        <v>405</v>
      </c>
      <c r="H1791" s="1" t="s">
        <v>415</v>
      </c>
      <c r="I1791" s="1" t="s">
        <v>415</v>
      </c>
      <c r="J1791" s="1" t="s">
        <v>415</v>
      </c>
      <c r="K1791" s="1" t="s">
        <v>526</v>
      </c>
    </row>
    <row r="1792" customFormat="false" ht="14.25" hidden="false" customHeight="false" outlineLevel="0" collapsed="false">
      <c r="A1792" s="1" t="n">
        <v>86</v>
      </c>
      <c r="B1792" s="1" t="n">
        <v>2024</v>
      </c>
      <c r="C1792" s="3" t="n">
        <v>45667</v>
      </c>
      <c r="E1792" s="1" t="s">
        <v>42</v>
      </c>
      <c r="F1792" s="1" t="s">
        <v>43</v>
      </c>
      <c r="G1792" s="0"/>
      <c r="H1792" s="1" t="s">
        <v>390</v>
      </c>
      <c r="I1792" s="1" t="s">
        <v>370</v>
      </c>
      <c r="J1792" s="1" t="s">
        <v>399</v>
      </c>
      <c r="K1792" s="1" t="s">
        <v>399</v>
      </c>
    </row>
    <row r="1793" customFormat="false" ht="14.25" hidden="false" customHeight="false" outlineLevel="0" collapsed="false">
      <c r="A1793" s="1" t="n">
        <v>86</v>
      </c>
      <c r="B1793" s="1" t="n">
        <v>2024</v>
      </c>
      <c r="C1793" s="3" t="n">
        <v>45667</v>
      </c>
      <c r="E1793" s="1" t="s">
        <v>44</v>
      </c>
      <c r="F1793" s="1" t="s">
        <v>45</v>
      </c>
      <c r="G1793" s="1" t="s">
        <v>393</v>
      </c>
      <c r="H1793" s="1" t="s">
        <v>397</v>
      </c>
      <c r="I1793" s="1" t="s">
        <v>393</v>
      </c>
      <c r="J1793" s="1" t="s">
        <v>404</v>
      </c>
      <c r="K1793" s="1" t="s">
        <v>393</v>
      </c>
    </row>
    <row r="1794" customFormat="false" ht="14.25" hidden="false" customHeight="false" outlineLevel="0" collapsed="false">
      <c r="A1794" s="1" t="n">
        <v>86</v>
      </c>
      <c r="B1794" s="1" t="n">
        <v>2024</v>
      </c>
      <c r="C1794" s="3" t="n">
        <v>45667</v>
      </c>
      <c r="E1794" s="1" t="s">
        <v>49</v>
      </c>
      <c r="F1794" s="1" t="s">
        <v>50</v>
      </c>
      <c r="G1794" s="1" t="s">
        <v>393</v>
      </c>
      <c r="H1794" s="1" t="s">
        <v>370</v>
      </c>
      <c r="I1794" s="1" t="s">
        <v>370</v>
      </c>
      <c r="J1794" s="1" t="s">
        <v>394</v>
      </c>
      <c r="K1794" s="1" t="s">
        <v>391</v>
      </c>
    </row>
    <row r="1795" customFormat="false" ht="14.25" hidden="false" customHeight="false" outlineLevel="0" collapsed="false">
      <c r="A1795" s="1" t="n">
        <v>86</v>
      </c>
      <c r="B1795" s="1" t="n">
        <v>2024</v>
      </c>
      <c r="C1795" s="3" t="n">
        <v>45667</v>
      </c>
      <c r="E1795" s="1" t="s">
        <v>52</v>
      </c>
      <c r="F1795" s="1" t="s">
        <v>43</v>
      </c>
      <c r="G1795" s="0"/>
      <c r="H1795" s="1" t="s">
        <v>358</v>
      </c>
      <c r="I1795" s="1" t="s">
        <v>446</v>
      </c>
      <c r="J1795" s="1" t="s">
        <v>387</v>
      </c>
      <c r="K1795" s="1" t="s">
        <v>527</v>
      </c>
    </row>
    <row r="1796" customFormat="false" ht="14.25" hidden="false" customHeight="false" outlineLevel="0" collapsed="false">
      <c r="A1796" s="1" t="n">
        <v>86</v>
      </c>
      <c r="B1796" s="1" t="n">
        <v>2024</v>
      </c>
      <c r="C1796" s="3" t="n">
        <v>45667</v>
      </c>
      <c r="E1796" s="1" t="s">
        <v>53</v>
      </c>
      <c r="F1796" s="1" t="s">
        <v>43</v>
      </c>
      <c r="G1796" s="1" t="s">
        <v>358</v>
      </c>
      <c r="H1796" s="1" t="s">
        <v>393</v>
      </c>
      <c r="I1796" s="1" t="s">
        <v>370</v>
      </c>
      <c r="J1796" s="1" t="s">
        <v>358</v>
      </c>
      <c r="K1796" s="1" t="s">
        <v>358</v>
      </c>
    </row>
    <row r="1797" customFormat="false" ht="14.25" hidden="false" customHeight="false" outlineLevel="0" collapsed="false">
      <c r="A1797" s="1" t="n">
        <v>86</v>
      </c>
      <c r="B1797" s="1" t="n">
        <v>2024</v>
      </c>
      <c r="C1797" s="3" t="n">
        <v>45667</v>
      </c>
      <c r="E1797" s="1" t="s">
        <v>54</v>
      </c>
      <c r="F1797" s="1" t="s">
        <v>40</v>
      </c>
      <c r="G1797" s="1" t="s">
        <v>358</v>
      </c>
      <c r="H1797" s="1" t="s">
        <v>358</v>
      </c>
      <c r="I1797" s="1" t="s">
        <v>386</v>
      </c>
      <c r="J1797" s="1" t="s">
        <v>358</v>
      </c>
      <c r="K1797" s="1" t="s">
        <v>528</v>
      </c>
    </row>
    <row r="1798" customFormat="false" ht="14.25" hidden="false" customHeight="false" outlineLevel="0" collapsed="false">
      <c r="A1798" s="1" t="n">
        <v>86</v>
      </c>
      <c r="B1798" s="1" t="n">
        <v>2024</v>
      </c>
      <c r="C1798" s="3" t="n">
        <v>45667</v>
      </c>
      <c r="E1798" s="1" t="s">
        <v>56</v>
      </c>
      <c r="F1798" s="1" t="s">
        <v>43</v>
      </c>
      <c r="G1798" s="0"/>
      <c r="H1798" s="1" t="s">
        <v>358</v>
      </c>
      <c r="I1798" s="1" t="s">
        <v>358</v>
      </c>
      <c r="J1798" s="1" t="s">
        <v>358</v>
      </c>
      <c r="K1798" s="1" t="s">
        <v>358</v>
      </c>
    </row>
    <row r="1799" customFormat="false" ht="14.25" hidden="false" customHeight="false" outlineLevel="0" collapsed="false">
      <c r="A1799" s="1" t="n">
        <v>86</v>
      </c>
      <c r="B1799" s="1" t="n">
        <v>2024</v>
      </c>
      <c r="C1799" s="3" t="n">
        <v>45667</v>
      </c>
      <c r="E1799" s="1" t="s">
        <v>57</v>
      </c>
      <c r="F1799" s="1" t="s">
        <v>40</v>
      </c>
      <c r="G1799" s="1" t="s">
        <v>370</v>
      </c>
      <c r="H1799" s="1" t="s">
        <v>405</v>
      </c>
      <c r="I1799" s="1" t="s">
        <v>386</v>
      </c>
      <c r="J1799" s="1" t="s">
        <v>405</v>
      </c>
      <c r="K1799" s="1" t="s">
        <v>484</v>
      </c>
    </row>
    <row r="1800" customFormat="false" ht="14.25" hidden="false" customHeight="false" outlineLevel="0" collapsed="false">
      <c r="A1800" s="1" t="n">
        <v>86</v>
      </c>
      <c r="B1800" s="1" t="n">
        <v>2024</v>
      </c>
      <c r="C1800" s="3" t="n">
        <v>45667</v>
      </c>
      <c r="E1800" s="1" t="s">
        <v>58</v>
      </c>
      <c r="F1800" s="1" t="s">
        <v>40</v>
      </c>
      <c r="G1800" s="0"/>
      <c r="H1800" s="1" t="s">
        <v>405</v>
      </c>
      <c r="I1800" s="1" t="s">
        <v>405</v>
      </c>
      <c r="J1800" s="1" t="s">
        <v>405</v>
      </c>
      <c r="K1800" s="1" t="s">
        <v>405</v>
      </c>
    </row>
    <row r="1801" customFormat="false" ht="14.25" hidden="false" customHeight="false" outlineLevel="0" collapsed="false">
      <c r="A1801" s="1" t="n">
        <v>86</v>
      </c>
      <c r="B1801" s="1" t="n">
        <v>2024</v>
      </c>
      <c r="C1801" s="3" t="n">
        <v>45667</v>
      </c>
      <c r="E1801" s="1" t="s">
        <v>59</v>
      </c>
      <c r="F1801" s="1" t="s">
        <v>45</v>
      </c>
      <c r="G1801" s="1" t="s">
        <v>362</v>
      </c>
      <c r="H1801" s="1" t="s">
        <v>362</v>
      </c>
      <c r="I1801" s="1" t="s">
        <v>390</v>
      </c>
      <c r="J1801" s="1" t="s">
        <v>529</v>
      </c>
      <c r="K1801" s="1" t="s">
        <v>388</v>
      </c>
    </row>
    <row r="1802" customFormat="false" ht="14.25" hidden="false" customHeight="false" outlineLevel="0" collapsed="false">
      <c r="A1802" s="1" t="n">
        <v>86</v>
      </c>
      <c r="B1802" s="1" t="n">
        <v>2024</v>
      </c>
      <c r="C1802" s="3" t="n">
        <v>45667</v>
      </c>
      <c r="E1802" s="1" t="s">
        <v>60</v>
      </c>
      <c r="F1802" s="1" t="s">
        <v>61</v>
      </c>
      <c r="G1802" s="1" t="s">
        <v>415</v>
      </c>
      <c r="H1802" s="1" t="s">
        <v>385</v>
      </c>
      <c r="I1802" s="1" t="s">
        <v>415</v>
      </c>
      <c r="J1802" s="1" t="s">
        <v>405</v>
      </c>
      <c r="K1802" s="1" t="s">
        <v>530</v>
      </c>
    </row>
    <row r="1803" customFormat="false" ht="14.25" hidden="false" customHeight="false" outlineLevel="0" collapsed="false">
      <c r="A1803" s="1" t="n">
        <v>86</v>
      </c>
      <c r="B1803" s="1" t="n">
        <v>2024</v>
      </c>
      <c r="C1803" s="3" t="n">
        <v>45667</v>
      </c>
      <c r="E1803" s="1" t="s">
        <v>63</v>
      </c>
      <c r="F1803" s="1" t="s">
        <v>40</v>
      </c>
      <c r="G1803" s="1" t="s">
        <v>370</v>
      </c>
      <c r="H1803" s="1" t="s">
        <v>393</v>
      </c>
      <c r="I1803" s="1" t="s">
        <v>370</v>
      </c>
      <c r="J1803" s="1" t="s">
        <v>391</v>
      </c>
      <c r="K1803" s="1" t="s">
        <v>394</v>
      </c>
    </row>
    <row r="1804" customFormat="false" ht="14.25" hidden="false" customHeight="false" outlineLevel="0" collapsed="false">
      <c r="A1804" s="1" t="n">
        <v>86</v>
      </c>
      <c r="B1804" s="1" t="n">
        <v>2024</v>
      </c>
      <c r="C1804" s="3" t="n">
        <v>45667</v>
      </c>
      <c r="E1804" s="1" t="s">
        <v>64</v>
      </c>
      <c r="F1804" s="1" t="s">
        <v>40</v>
      </c>
      <c r="G1804" s="0"/>
      <c r="H1804" s="1" t="s">
        <v>393</v>
      </c>
      <c r="I1804" s="1" t="s">
        <v>386</v>
      </c>
      <c r="J1804" s="1" t="s">
        <v>528</v>
      </c>
      <c r="K1804" s="1" t="s">
        <v>370</v>
      </c>
    </row>
    <row r="1805" customFormat="false" ht="14.25" hidden="false" customHeight="false" outlineLevel="0" collapsed="false">
      <c r="A1805" s="1" t="n">
        <v>87</v>
      </c>
      <c r="B1805" s="1" t="n">
        <v>2025</v>
      </c>
      <c r="C1805" s="3" t="n">
        <v>45674</v>
      </c>
      <c r="E1805" s="1" t="s">
        <v>12</v>
      </c>
      <c r="F1805" s="1" t="s">
        <v>13</v>
      </c>
      <c r="G1805" s="0"/>
      <c r="H1805" s="1" t="s">
        <v>430</v>
      </c>
      <c r="I1805" s="1" t="s">
        <v>360</v>
      </c>
      <c r="J1805" s="1" t="s">
        <v>359</v>
      </c>
      <c r="K1805" s="1" t="s">
        <v>359</v>
      </c>
    </row>
    <row r="1806" customFormat="false" ht="14.25" hidden="false" customHeight="false" outlineLevel="0" collapsed="false">
      <c r="A1806" s="1" t="n">
        <v>87</v>
      </c>
      <c r="B1806" s="1" t="n">
        <v>2025</v>
      </c>
      <c r="C1806" s="3" t="n">
        <v>45674</v>
      </c>
      <c r="E1806" s="1" t="s">
        <v>14</v>
      </c>
      <c r="F1806" s="1" t="s">
        <v>13</v>
      </c>
      <c r="G1806" s="1" t="s">
        <v>472</v>
      </c>
      <c r="H1806" s="1" t="s">
        <v>359</v>
      </c>
      <c r="I1806" s="1" t="s">
        <v>401</v>
      </c>
      <c r="J1806" s="1" t="s">
        <v>531</v>
      </c>
      <c r="K1806" s="1" t="s">
        <v>472</v>
      </c>
    </row>
    <row r="1807" customFormat="false" ht="14.25" hidden="false" customHeight="false" outlineLevel="0" collapsed="false">
      <c r="A1807" s="1" t="n">
        <v>87</v>
      </c>
      <c r="B1807" s="1" t="n">
        <v>2025</v>
      </c>
      <c r="C1807" s="3" t="n">
        <v>45674</v>
      </c>
      <c r="E1807" s="1" t="s">
        <v>15</v>
      </c>
      <c r="F1807" s="1" t="s">
        <v>13</v>
      </c>
      <c r="G1807" s="1" t="s">
        <v>357</v>
      </c>
      <c r="H1807" s="1" t="s">
        <v>363</v>
      </c>
      <c r="I1807" s="1" t="s">
        <v>358</v>
      </c>
      <c r="J1807" s="1" t="s">
        <v>532</v>
      </c>
      <c r="K1807" s="1" t="s">
        <v>357</v>
      </c>
    </row>
    <row r="1808" customFormat="false" ht="14.25" hidden="false" customHeight="false" outlineLevel="0" collapsed="false">
      <c r="A1808" s="1" t="n">
        <v>87</v>
      </c>
      <c r="B1808" s="1" t="n">
        <v>2025</v>
      </c>
      <c r="C1808" s="3" t="n">
        <v>45674</v>
      </c>
      <c r="E1808" s="1" t="s">
        <v>16</v>
      </c>
      <c r="F1808" s="1" t="s">
        <v>13</v>
      </c>
      <c r="G1808" s="1" t="s">
        <v>366</v>
      </c>
      <c r="H1808" s="1" t="s">
        <v>393</v>
      </c>
      <c r="I1808" s="1" t="s">
        <v>366</v>
      </c>
      <c r="J1808" s="1" t="s">
        <v>533</v>
      </c>
      <c r="K1808" s="1" t="s">
        <v>362</v>
      </c>
    </row>
    <row r="1809" customFormat="false" ht="14.25" hidden="false" customHeight="false" outlineLevel="0" collapsed="false">
      <c r="A1809" s="1" t="n">
        <v>87</v>
      </c>
      <c r="B1809" s="1" t="n">
        <v>2025</v>
      </c>
      <c r="C1809" s="3" t="n">
        <v>45674</v>
      </c>
      <c r="E1809" s="1" t="s">
        <v>17</v>
      </c>
      <c r="F1809" s="1" t="s">
        <v>13</v>
      </c>
      <c r="G1809" s="1" t="s">
        <v>362</v>
      </c>
      <c r="H1809" s="1" t="s">
        <v>362</v>
      </c>
      <c r="I1809" s="1" t="s">
        <v>366</v>
      </c>
      <c r="J1809" s="1" t="s">
        <v>534</v>
      </c>
      <c r="K1809" s="1" t="s">
        <v>362</v>
      </c>
    </row>
    <row r="1810" customFormat="false" ht="14.25" hidden="false" customHeight="false" outlineLevel="0" collapsed="false">
      <c r="A1810" s="1" t="n">
        <v>87</v>
      </c>
      <c r="B1810" s="1" t="n">
        <v>2025</v>
      </c>
      <c r="C1810" s="3" t="n">
        <v>45674</v>
      </c>
      <c r="E1810" s="1" t="s">
        <v>18</v>
      </c>
      <c r="F1810" s="1" t="s">
        <v>13</v>
      </c>
      <c r="G1810" s="1" t="s">
        <v>358</v>
      </c>
      <c r="H1810" s="1" t="s">
        <v>358</v>
      </c>
      <c r="I1810" s="1" t="s">
        <v>416</v>
      </c>
      <c r="J1810" s="1" t="s">
        <v>456</v>
      </c>
      <c r="K1810" s="1" t="s">
        <v>358</v>
      </c>
    </row>
    <row r="1811" customFormat="false" ht="14.25" hidden="false" customHeight="false" outlineLevel="0" collapsed="false">
      <c r="A1811" s="1" t="n">
        <v>87</v>
      </c>
      <c r="B1811" s="1" t="n">
        <v>2025</v>
      </c>
      <c r="C1811" s="3" t="n">
        <v>45674</v>
      </c>
      <c r="E1811" s="1" t="s">
        <v>19</v>
      </c>
      <c r="F1811" s="1" t="s">
        <v>13</v>
      </c>
      <c r="G1811" s="1" t="s">
        <v>358</v>
      </c>
      <c r="H1811" s="1" t="s">
        <v>358</v>
      </c>
      <c r="I1811" s="1" t="s">
        <v>360</v>
      </c>
      <c r="J1811" s="1" t="s">
        <v>416</v>
      </c>
      <c r="K1811" s="1" t="s">
        <v>416</v>
      </c>
    </row>
    <row r="1812" customFormat="false" ht="14.25" hidden="false" customHeight="false" outlineLevel="0" collapsed="false">
      <c r="A1812" s="1" t="n">
        <v>87</v>
      </c>
      <c r="B1812" s="1" t="n">
        <v>2025</v>
      </c>
      <c r="C1812" s="3" t="n">
        <v>45674</v>
      </c>
      <c r="E1812" s="1" t="s">
        <v>20</v>
      </c>
      <c r="F1812" s="1" t="s">
        <v>13</v>
      </c>
      <c r="G1812" s="1" t="s">
        <v>361</v>
      </c>
      <c r="H1812" s="1" t="s">
        <v>472</v>
      </c>
      <c r="I1812" s="1" t="s">
        <v>360</v>
      </c>
      <c r="J1812" s="1" t="s">
        <v>535</v>
      </c>
      <c r="K1812" s="1" t="s">
        <v>361</v>
      </c>
    </row>
    <row r="1813" customFormat="false" ht="14.25" hidden="false" customHeight="false" outlineLevel="0" collapsed="false">
      <c r="A1813" s="1" t="n">
        <v>87</v>
      </c>
      <c r="B1813" s="1" t="n">
        <v>2025</v>
      </c>
      <c r="C1813" s="3" t="n">
        <v>45674</v>
      </c>
      <c r="E1813" s="1" t="s">
        <v>21</v>
      </c>
      <c r="F1813" s="1" t="s">
        <v>13</v>
      </c>
      <c r="G1813" s="1" t="s">
        <v>366</v>
      </c>
      <c r="H1813" s="1" t="s">
        <v>382</v>
      </c>
      <c r="I1813" s="1" t="s">
        <v>362</v>
      </c>
      <c r="J1813" s="1" t="s">
        <v>536</v>
      </c>
      <c r="K1813" s="1" t="s">
        <v>366</v>
      </c>
    </row>
    <row r="1814" customFormat="false" ht="14.25" hidden="false" customHeight="false" outlineLevel="0" collapsed="false">
      <c r="A1814" s="1" t="n">
        <v>87</v>
      </c>
      <c r="B1814" s="1" t="n">
        <v>2025</v>
      </c>
      <c r="C1814" s="3" t="n">
        <v>45674</v>
      </c>
      <c r="E1814" s="1" t="s">
        <v>73</v>
      </c>
      <c r="F1814" s="1" t="s">
        <v>13</v>
      </c>
      <c r="G1814" s="1" t="s">
        <v>472</v>
      </c>
      <c r="H1814" s="1" t="s">
        <v>405</v>
      </c>
      <c r="I1814" s="1" t="s">
        <v>415</v>
      </c>
      <c r="J1814" s="1" t="s">
        <v>537</v>
      </c>
      <c r="K1814" s="1" t="s">
        <v>472</v>
      </c>
    </row>
    <row r="1815" customFormat="false" ht="14.25" hidden="false" customHeight="false" outlineLevel="0" collapsed="false">
      <c r="A1815" s="1" t="n">
        <v>87</v>
      </c>
      <c r="B1815" s="1" t="n">
        <v>2025</v>
      </c>
      <c r="C1815" s="3" t="n">
        <v>45674</v>
      </c>
      <c r="E1815" s="1" t="s">
        <v>23</v>
      </c>
      <c r="F1815" s="1" t="s">
        <v>13</v>
      </c>
      <c r="G1815" s="1" t="s">
        <v>366</v>
      </c>
      <c r="H1815" s="1" t="s">
        <v>393</v>
      </c>
      <c r="I1815" s="1" t="s">
        <v>366</v>
      </c>
      <c r="J1815" s="1" t="s">
        <v>533</v>
      </c>
      <c r="K1815" s="1" t="s">
        <v>362</v>
      </c>
    </row>
    <row r="1816" customFormat="false" ht="14.25" hidden="false" customHeight="false" outlineLevel="0" collapsed="false">
      <c r="A1816" s="1" t="n">
        <v>87</v>
      </c>
      <c r="B1816" s="1" t="n">
        <v>2025</v>
      </c>
      <c r="C1816" s="3" t="n">
        <v>45674</v>
      </c>
      <c r="E1816" s="1" t="s">
        <v>24</v>
      </c>
      <c r="F1816" s="1" t="s">
        <v>13</v>
      </c>
      <c r="G1816" s="1" t="s">
        <v>358</v>
      </c>
      <c r="H1816" s="1" t="s">
        <v>358</v>
      </c>
      <c r="I1816" s="1" t="s">
        <v>472</v>
      </c>
      <c r="J1816" s="1" t="s">
        <v>360</v>
      </c>
      <c r="K1816" s="1" t="s">
        <v>416</v>
      </c>
    </row>
    <row r="1817" customFormat="false" ht="14.25" hidden="false" customHeight="false" outlineLevel="0" collapsed="false">
      <c r="A1817" s="1" t="n">
        <v>87</v>
      </c>
      <c r="B1817" s="1" t="n">
        <v>2025</v>
      </c>
      <c r="C1817" s="3" t="n">
        <v>45674</v>
      </c>
      <c r="E1817" s="1" t="s">
        <v>25</v>
      </c>
      <c r="F1817" s="1" t="s">
        <v>26</v>
      </c>
      <c r="G1817" s="1" t="s">
        <v>358</v>
      </c>
      <c r="H1817" s="1" t="s">
        <v>357</v>
      </c>
      <c r="I1817" s="1" t="s">
        <v>360</v>
      </c>
      <c r="J1817" s="1" t="s">
        <v>478</v>
      </c>
      <c r="K1817" s="1" t="s">
        <v>358</v>
      </c>
    </row>
    <row r="1818" customFormat="false" ht="14.25" hidden="false" customHeight="false" outlineLevel="0" collapsed="false">
      <c r="A1818" s="1" t="n">
        <v>87</v>
      </c>
      <c r="B1818" s="1" t="n">
        <v>2025</v>
      </c>
      <c r="C1818" s="3" t="n">
        <v>45674</v>
      </c>
      <c r="E1818" s="1" t="s">
        <v>27</v>
      </c>
      <c r="F1818" s="1" t="s">
        <v>13</v>
      </c>
      <c r="G1818" s="0"/>
      <c r="H1818" s="1" t="s">
        <v>357</v>
      </c>
      <c r="I1818" s="1" t="s">
        <v>385</v>
      </c>
      <c r="J1818" s="1" t="s">
        <v>538</v>
      </c>
      <c r="K1818" s="1" t="s">
        <v>428</v>
      </c>
    </row>
    <row r="1819" customFormat="false" ht="14.25" hidden="false" customHeight="false" outlineLevel="0" collapsed="false">
      <c r="A1819" s="1" t="n">
        <v>87</v>
      </c>
      <c r="B1819" s="1" t="n">
        <v>2025</v>
      </c>
      <c r="C1819" s="3" t="n">
        <v>45674</v>
      </c>
      <c r="E1819" s="1" t="s">
        <v>28</v>
      </c>
      <c r="F1819" s="1" t="s">
        <v>13</v>
      </c>
      <c r="G1819" s="1" t="s">
        <v>363</v>
      </c>
      <c r="H1819" s="1" t="s">
        <v>357</v>
      </c>
      <c r="I1819" s="1" t="s">
        <v>430</v>
      </c>
      <c r="J1819" s="1" t="s">
        <v>539</v>
      </c>
      <c r="K1819" s="1" t="s">
        <v>363</v>
      </c>
    </row>
    <row r="1820" customFormat="false" ht="14.25" hidden="false" customHeight="false" outlineLevel="0" collapsed="false">
      <c r="A1820" s="1" t="n">
        <v>87</v>
      </c>
      <c r="B1820" s="1" t="n">
        <v>2025</v>
      </c>
      <c r="C1820" s="3" t="n">
        <v>45674</v>
      </c>
      <c r="E1820" s="1" t="s">
        <v>29</v>
      </c>
      <c r="F1820" s="1" t="s">
        <v>13</v>
      </c>
      <c r="G1820" s="1" t="s">
        <v>358</v>
      </c>
      <c r="H1820" s="1" t="s">
        <v>358</v>
      </c>
      <c r="I1820" s="1" t="s">
        <v>357</v>
      </c>
      <c r="J1820" s="1" t="s">
        <v>540</v>
      </c>
      <c r="K1820" s="1" t="s">
        <v>458</v>
      </c>
    </row>
    <row r="1821" customFormat="false" ht="14.25" hidden="false" customHeight="false" outlineLevel="0" collapsed="false">
      <c r="A1821" s="1" t="n">
        <v>87</v>
      </c>
      <c r="B1821" s="1" t="n">
        <v>2025</v>
      </c>
      <c r="C1821" s="3" t="n">
        <v>45674</v>
      </c>
      <c r="E1821" s="1" t="s">
        <v>31</v>
      </c>
      <c r="F1821" s="1" t="s">
        <v>32</v>
      </c>
      <c r="G1821" s="1" t="s">
        <v>378</v>
      </c>
      <c r="H1821" s="1" t="s">
        <v>460</v>
      </c>
      <c r="I1821" s="1" t="s">
        <v>378</v>
      </c>
      <c r="J1821" s="1" t="s">
        <v>481</v>
      </c>
      <c r="K1821" s="1" t="s">
        <v>378</v>
      </c>
    </row>
    <row r="1822" customFormat="false" ht="14.25" hidden="false" customHeight="false" outlineLevel="0" collapsed="false">
      <c r="A1822" s="1" t="n">
        <v>87</v>
      </c>
      <c r="B1822" s="1" t="n">
        <v>2025</v>
      </c>
      <c r="C1822" s="3" t="n">
        <v>45674</v>
      </c>
      <c r="E1822" s="1" t="s">
        <v>34</v>
      </c>
      <c r="F1822" s="1" t="s">
        <v>35</v>
      </c>
      <c r="G1822" s="1" t="s">
        <v>419</v>
      </c>
      <c r="H1822" s="1" t="s">
        <v>382</v>
      </c>
      <c r="I1822" s="1" t="s">
        <v>419</v>
      </c>
      <c r="J1822" s="1" t="s">
        <v>459</v>
      </c>
      <c r="K1822" s="1" t="s">
        <v>419</v>
      </c>
    </row>
    <row r="1823" customFormat="false" ht="14.25" hidden="false" customHeight="false" outlineLevel="0" collapsed="false">
      <c r="A1823" s="1" t="n">
        <v>87</v>
      </c>
      <c r="B1823" s="1" t="n">
        <v>2025</v>
      </c>
      <c r="C1823" s="3" t="n">
        <v>45674</v>
      </c>
      <c r="E1823" s="1" t="s">
        <v>36</v>
      </c>
      <c r="F1823" s="1" t="s">
        <v>35</v>
      </c>
      <c r="G1823" s="1" t="s">
        <v>419</v>
      </c>
      <c r="H1823" s="1" t="s">
        <v>382</v>
      </c>
      <c r="I1823" s="1" t="s">
        <v>362</v>
      </c>
      <c r="J1823" s="1" t="s">
        <v>419</v>
      </c>
      <c r="K1823" s="1" t="s">
        <v>419</v>
      </c>
    </row>
    <row r="1824" customFormat="false" ht="14.25" hidden="false" customHeight="false" outlineLevel="0" collapsed="false">
      <c r="A1824" s="1" t="n">
        <v>87</v>
      </c>
      <c r="B1824" s="1" t="n">
        <v>2025</v>
      </c>
      <c r="C1824" s="3" t="n">
        <v>45674</v>
      </c>
      <c r="E1824" s="1" t="s">
        <v>153</v>
      </c>
      <c r="F1824" s="1" t="s">
        <v>154</v>
      </c>
      <c r="G1824" s="0"/>
      <c r="H1824" s="1" t="s">
        <v>370</v>
      </c>
      <c r="I1824" s="1" t="s">
        <v>370</v>
      </c>
      <c r="J1824" s="1" t="s">
        <v>370</v>
      </c>
      <c r="K1824" s="1" t="s">
        <v>370</v>
      </c>
    </row>
    <row r="1825" customFormat="false" ht="14.25" hidden="false" customHeight="false" outlineLevel="0" collapsed="false">
      <c r="A1825" s="1" t="n">
        <v>87</v>
      </c>
      <c r="B1825" s="1" t="n">
        <v>2025</v>
      </c>
      <c r="C1825" s="3" t="n">
        <v>45674</v>
      </c>
      <c r="E1825" s="1" t="s">
        <v>39</v>
      </c>
      <c r="F1825" s="1" t="s">
        <v>40</v>
      </c>
      <c r="G1825" s="0"/>
      <c r="H1825" s="1" t="s">
        <v>370</v>
      </c>
      <c r="I1825" s="1" t="s">
        <v>405</v>
      </c>
      <c r="J1825" s="1" t="s">
        <v>386</v>
      </c>
      <c r="K1825" s="1" t="s">
        <v>386</v>
      </c>
    </row>
    <row r="1826" customFormat="false" ht="14.25" hidden="false" customHeight="false" outlineLevel="0" collapsed="false">
      <c r="A1826" s="1" t="n">
        <v>87</v>
      </c>
      <c r="B1826" s="1" t="n">
        <v>2025</v>
      </c>
      <c r="C1826" s="3" t="n">
        <v>45674</v>
      </c>
      <c r="E1826" s="1" t="s">
        <v>42</v>
      </c>
      <c r="F1826" s="1" t="s">
        <v>43</v>
      </c>
      <c r="G1826" s="0"/>
      <c r="H1826" s="1" t="s">
        <v>394</v>
      </c>
      <c r="I1826" s="1" t="s">
        <v>390</v>
      </c>
      <c r="J1826" s="1" t="s">
        <v>441</v>
      </c>
      <c r="K1826" s="1" t="s">
        <v>393</v>
      </c>
    </row>
    <row r="1827" customFormat="false" ht="14.25" hidden="false" customHeight="false" outlineLevel="0" collapsed="false">
      <c r="A1827" s="1" t="n">
        <v>87</v>
      </c>
      <c r="B1827" s="1" t="n">
        <v>2025</v>
      </c>
      <c r="C1827" s="3" t="n">
        <v>45674</v>
      </c>
      <c r="E1827" s="1" t="s">
        <v>44</v>
      </c>
      <c r="F1827" s="1" t="s">
        <v>45</v>
      </c>
      <c r="G1827" s="1" t="s">
        <v>393</v>
      </c>
      <c r="H1827" s="1" t="s">
        <v>393</v>
      </c>
      <c r="I1827" s="1" t="s">
        <v>393</v>
      </c>
      <c r="J1827" s="1" t="s">
        <v>393</v>
      </c>
      <c r="K1827" s="1" t="s">
        <v>393</v>
      </c>
    </row>
    <row r="1828" customFormat="false" ht="14.25" hidden="false" customHeight="false" outlineLevel="0" collapsed="false">
      <c r="A1828" s="1" t="n">
        <v>87</v>
      </c>
      <c r="B1828" s="1" t="n">
        <v>2025</v>
      </c>
      <c r="C1828" s="3" t="n">
        <v>45674</v>
      </c>
      <c r="E1828" s="1" t="s">
        <v>49</v>
      </c>
      <c r="F1828" s="1" t="s">
        <v>50</v>
      </c>
      <c r="G1828" s="1" t="s">
        <v>394</v>
      </c>
      <c r="H1828" s="1" t="s">
        <v>394</v>
      </c>
      <c r="I1828" s="1" t="s">
        <v>370</v>
      </c>
      <c r="J1828" s="1" t="s">
        <v>528</v>
      </c>
      <c r="K1828" s="1" t="s">
        <v>394</v>
      </c>
    </row>
    <row r="1829" customFormat="false" ht="14.25" hidden="false" customHeight="false" outlineLevel="0" collapsed="false">
      <c r="A1829" s="1" t="n">
        <v>87</v>
      </c>
      <c r="B1829" s="1" t="n">
        <v>2025</v>
      </c>
      <c r="C1829" s="3" t="n">
        <v>45674</v>
      </c>
      <c r="E1829" s="1" t="s">
        <v>52</v>
      </c>
      <c r="F1829" s="1" t="s">
        <v>43</v>
      </c>
      <c r="G1829" s="0"/>
      <c r="H1829" s="1" t="s">
        <v>394</v>
      </c>
      <c r="I1829" s="1" t="s">
        <v>405</v>
      </c>
      <c r="J1829" s="1" t="s">
        <v>385</v>
      </c>
      <c r="K1829" s="1" t="s">
        <v>370</v>
      </c>
    </row>
    <row r="1830" customFormat="false" ht="14.25" hidden="false" customHeight="false" outlineLevel="0" collapsed="false">
      <c r="A1830" s="1" t="n">
        <v>87</v>
      </c>
      <c r="B1830" s="1" t="n">
        <v>2025</v>
      </c>
      <c r="C1830" s="3" t="n">
        <v>45674</v>
      </c>
      <c r="E1830" s="1" t="s">
        <v>53</v>
      </c>
      <c r="F1830" s="1" t="s">
        <v>43</v>
      </c>
      <c r="G1830" s="0"/>
      <c r="H1830" s="1" t="s">
        <v>386</v>
      </c>
      <c r="I1830" s="1" t="s">
        <v>415</v>
      </c>
      <c r="J1830" s="1" t="s">
        <v>405</v>
      </c>
      <c r="K1830" s="1" t="s">
        <v>405</v>
      </c>
    </row>
    <row r="1831" customFormat="false" ht="14.25" hidden="false" customHeight="false" outlineLevel="0" collapsed="false">
      <c r="A1831" s="1" t="n">
        <v>87</v>
      </c>
      <c r="B1831" s="1" t="n">
        <v>2025</v>
      </c>
      <c r="C1831" s="3" t="n">
        <v>45674</v>
      </c>
      <c r="E1831" s="1" t="s">
        <v>54</v>
      </c>
      <c r="F1831" s="1" t="s">
        <v>40</v>
      </c>
      <c r="G1831" s="1" t="s">
        <v>370</v>
      </c>
      <c r="H1831" s="1" t="s">
        <v>370</v>
      </c>
      <c r="I1831" s="1" t="s">
        <v>370</v>
      </c>
      <c r="J1831" s="1" t="s">
        <v>370</v>
      </c>
      <c r="K1831" s="1" t="s">
        <v>370</v>
      </c>
    </row>
    <row r="1832" customFormat="false" ht="14.25" hidden="false" customHeight="false" outlineLevel="0" collapsed="false">
      <c r="A1832" s="1" t="n">
        <v>87</v>
      </c>
      <c r="B1832" s="1" t="n">
        <v>2025</v>
      </c>
      <c r="C1832" s="3" t="n">
        <v>45674</v>
      </c>
      <c r="E1832" s="1" t="s">
        <v>56</v>
      </c>
      <c r="F1832" s="1" t="s">
        <v>43</v>
      </c>
      <c r="G1832" s="0"/>
      <c r="H1832" s="1" t="s">
        <v>385</v>
      </c>
      <c r="I1832" s="1" t="s">
        <v>385</v>
      </c>
      <c r="J1832" s="1" t="s">
        <v>385</v>
      </c>
      <c r="K1832" s="1" t="s">
        <v>385</v>
      </c>
    </row>
    <row r="1833" customFormat="false" ht="14.25" hidden="false" customHeight="false" outlineLevel="0" collapsed="false">
      <c r="A1833" s="1" t="n">
        <v>87</v>
      </c>
      <c r="B1833" s="1" t="n">
        <v>2025</v>
      </c>
      <c r="C1833" s="3" t="n">
        <v>45674</v>
      </c>
      <c r="E1833" s="1" t="s">
        <v>57</v>
      </c>
      <c r="F1833" s="1" t="s">
        <v>40</v>
      </c>
      <c r="G1833" s="0"/>
      <c r="H1833" s="1" t="s">
        <v>386</v>
      </c>
      <c r="I1833" s="1" t="s">
        <v>386</v>
      </c>
      <c r="J1833" s="1" t="s">
        <v>386</v>
      </c>
      <c r="K1833" s="1" t="s">
        <v>386</v>
      </c>
    </row>
    <row r="1834" customFormat="false" ht="14.25" hidden="false" customHeight="false" outlineLevel="0" collapsed="false">
      <c r="A1834" s="1" t="n">
        <v>87</v>
      </c>
      <c r="B1834" s="1" t="n">
        <v>2025</v>
      </c>
      <c r="C1834" s="3" t="n">
        <v>45674</v>
      </c>
      <c r="E1834" s="1" t="s">
        <v>58</v>
      </c>
      <c r="F1834" s="1" t="s">
        <v>40</v>
      </c>
      <c r="G1834" s="0"/>
      <c r="H1834" s="1" t="s">
        <v>484</v>
      </c>
      <c r="I1834" s="1" t="s">
        <v>401</v>
      </c>
      <c r="J1834" s="1" t="s">
        <v>541</v>
      </c>
      <c r="K1834" s="1" t="s">
        <v>415</v>
      </c>
    </row>
    <row r="1835" customFormat="false" ht="14.25" hidden="false" customHeight="false" outlineLevel="0" collapsed="false">
      <c r="A1835" s="1" t="n">
        <v>87</v>
      </c>
      <c r="B1835" s="1" t="n">
        <v>2025</v>
      </c>
      <c r="C1835" s="3" t="n">
        <v>45674</v>
      </c>
      <c r="E1835" s="1" t="s">
        <v>59</v>
      </c>
      <c r="F1835" s="1" t="s">
        <v>45</v>
      </c>
      <c r="G1835" s="0"/>
      <c r="H1835" s="1" t="s">
        <v>362</v>
      </c>
      <c r="I1835" s="1" t="s">
        <v>393</v>
      </c>
      <c r="J1835" s="1" t="s">
        <v>397</v>
      </c>
      <c r="K1835" s="1" t="s">
        <v>397</v>
      </c>
    </row>
    <row r="1836" customFormat="false" ht="14.25" hidden="false" customHeight="false" outlineLevel="0" collapsed="false">
      <c r="A1836" s="1" t="n">
        <v>87</v>
      </c>
      <c r="B1836" s="1" t="n">
        <v>2025</v>
      </c>
      <c r="C1836" s="3" t="n">
        <v>45674</v>
      </c>
      <c r="E1836" s="1" t="s">
        <v>60</v>
      </c>
      <c r="F1836" s="1" t="s">
        <v>61</v>
      </c>
      <c r="G1836" s="1" t="s">
        <v>451</v>
      </c>
      <c r="H1836" s="1" t="s">
        <v>403</v>
      </c>
      <c r="I1836" s="1" t="s">
        <v>451</v>
      </c>
      <c r="J1836" s="1" t="s">
        <v>414</v>
      </c>
      <c r="K1836" s="1" t="s">
        <v>451</v>
      </c>
    </row>
    <row r="1837" customFormat="false" ht="14.25" hidden="false" customHeight="false" outlineLevel="0" collapsed="false">
      <c r="A1837" s="1" t="n">
        <v>87</v>
      </c>
      <c r="B1837" s="1" t="n">
        <v>2025</v>
      </c>
      <c r="C1837" s="3" t="n">
        <v>45674</v>
      </c>
      <c r="E1837" s="1" t="s">
        <v>63</v>
      </c>
      <c r="F1837" s="1" t="s">
        <v>40</v>
      </c>
      <c r="G1837" s="1" t="s">
        <v>358</v>
      </c>
      <c r="H1837" s="1" t="s">
        <v>358</v>
      </c>
      <c r="I1837" s="1" t="s">
        <v>386</v>
      </c>
      <c r="J1837" s="1" t="s">
        <v>528</v>
      </c>
      <c r="K1837" s="1" t="s">
        <v>358</v>
      </c>
    </row>
    <row r="1838" customFormat="false" ht="14.25" hidden="false" customHeight="false" outlineLevel="0" collapsed="false">
      <c r="A1838" s="1" t="n">
        <v>87</v>
      </c>
      <c r="B1838" s="1" t="n">
        <v>2025</v>
      </c>
      <c r="C1838" s="3" t="n">
        <v>45674</v>
      </c>
      <c r="E1838" s="1" t="s">
        <v>64</v>
      </c>
      <c r="F1838" s="1" t="s">
        <v>40</v>
      </c>
      <c r="G1838" s="0"/>
      <c r="H1838" s="1" t="s">
        <v>411</v>
      </c>
      <c r="I1838" s="1" t="s">
        <v>405</v>
      </c>
      <c r="J1838" s="1" t="s">
        <v>500</v>
      </c>
      <c r="K1838" s="1" t="s">
        <v>415</v>
      </c>
    </row>
    <row r="1839" customFormat="false" ht="14.25" hidden="false" customHeight="false" outlineLevel="0" collapsed="false">
      <c r="A1839" s="1" t="n">
        <v>88</v>
      </c>
      <c r="B1839" s="1" t="n">
        <v>2025</v>
      </c>
      <c r="C1839" s="3" t="n">
        <v>45681</v>
      </c>
      <c r="E1839" s="12" t="s">
        <v>12</v>
      </c>
      <c r="F1839" s="13" t="s">
        <v>13</v>
      </c>
      <c r="G1839" s="13"/>
      <c r="H1839" s="14" t="n">
        <v>36</v>
      </c>
      <c r="I1839" s="14" t="n">
        <v>72</v>
      </c>
      <c r="J1839" s="14" t="n">
        <v>54</v>
      </c>
      <c r="K1839" s="14" t="n">
        <v>54</v>
      </c>
    </row>
    <row r="1840" customFormat="false" ht="14.25" hidden="false" customHeight="false" outlineLevel="0" collapsed="false">
      <c r="A1840" s="1" t="n">
        <v>88</v>
      </c>
      <c r="B1840" s="1" t="n">
        <v>2025</v>
      </c>
      <c r="C1840" s="3" t="n">
        <v>45681</v>
      </c>
      <c r="E1840" s="12" t="s">
        <v>14</v>
      </c>
      <c r="F1840" s="13" t="s">
        <v>13</v>
      </c>
      <c r="G1840" s="14" t="n">
        <v>96</v>
      </c>
      <c r="H1840" s="14" t="n">
        <v>54</v>
      </c>
      <c r="I1840" s="14" t="n">
        <v>96</v>
      </c>
      <c r="J1840" s="14" t="n">
        <v>82.5</v>
      </c>
      <c r="K1840" s="14" t="n">
        <v>90</v>
      </c>
    </row>
    <row r="1841" customFormat="false" ht="14.25" hidden="false" customHeight="false" outlineLevel="0" collapsed="false">
      <c r="A1841" s="1" t="n">
        <v>88</v>
      </c>
      <c r="B1841" s="1" t="n">
        <v>2025</v>
      </c>
      <c r="C1841" s="3" t="n">
        <v>45681</v>
      </c>
      <c r="E1841" s="12" t="s">
        <v>15</v>
      </c>
      <c r="F1841" s="13" t="s">
        <v>13</v>
      </c>
      <c r="G1841" s="13"/>
      <c r="H1841" s="14" t="n">
        <v>40</v>
      </c>
      <c r="I1841" s="14" t="n">
        <v>60</v>
      </c>
      <c r="J1841" s="14" t="n">
        <v>48.25</v>
      </c>
      <c r="K1841" s="14" t="n">
        <v>46.5</v>
      </c>
    </row>
    <row r="1842" customFormat="false" ht="14.25" hidden="false" customHeight="false" outlineLevel="0" collapsed="false">
      <c r="A1842" s="1" t="n">
        <v>88</v>
      </c>
      <c r="B1842" s="1" t="n">
        <v>2025</v>
      </c>
      <c r="C1842" s="3" t="n">
        <v>45681</v>
      </c>
      <c r="E1842" s="12" t="s">
        <v>16</v>
      </c>
      <c r="F1842" s="13" t="s">
        <v>13</v>
      </c>
      <c r="G1842" s="14" t="n">
        <v>30</v>
      </c>
      <c r="H1842" s="14" t="n">
        <v>25</v>
      </c>
      <c r="I1842" s="14" t="n">
        <v>50</v>
      </c>
      <c r="J1842" s="14" t="n">
        <v>33.75</v>
      </c>
      <c r="K1842" s="14" t="n">
        <v>30</v>
      </c>
    </row>
    <row r="1843" customFormat="false" ht="14.25" hidden="false" customHeight="false" outlineLevel="0" collapsed="false">
      <c r="A1843" s="1" t="n">
        <v>88</v>
      </c>
      <c r="B1843" s="1" t="n">
        <v>2025</v>
      </c>
      <c r="C1843" s="3" t="n">
        <v>45681</v>
      </c>
      <c r="E1843" s="12" t="s">
        <v>17</v>
      </c>
      <c r="F1843" s="13" t="s">
        <v>13</v>
      </c>
      <c r="G1843" s="14" t="n">
        <v>30</v>
      </c>
      <c r="H1843" s="14" t="n">
        <v>25</v>
      </c>
      <c r="I1843" s="14" t="n">
        <v>50</v>
      </c>
      <c r="J1843" s="14" t="n">
        <v>33.75</v>
      </c>
      <c r="K1843" s="14" t="n">
        <v>30</v>
      </c>
    </row>
    <row r="1844" customFormat="false" ht="14.25" hidden="false" customHeight="false" outlineLevel="0" collapsed="false">
      <c r="A1844" s="1" t="n">
        <v>88</v>
      </c>
      <c r="B1844" s="1" t="n">
        <v>2025</v>
      </c>
      <c r="C1844" s="3" t="n">
        <v>45681</v>
      </c>
      <c r="E1844" s="12" t="s">
        <v>18</v>
      </c>
      <c r="F1844" s="13" t="s">
        <v>13</v>
      </c>
      <c r="G1844" s="14" t="n">
        <v>60</v>
      </c>
      <c r="H1844" s="14" t="n">
        <v>60</v>
      </c>
      <c r="I1844" s="14" t="n">
        <v>120</v>
      </c>
      <c r="J1844" s="14" t="n">
        <v>76.5</v>
      </c>
      <c r="K1844" s="14" t="n">
        <v>63</v>
      </c>
    </row>
    <row r="1845" customFormat="false" ht="14.25" hidden="false" customHeight="false" outlineLevel="0" collapsed="false">
      <c r="A1845" s="1" t="n">
        <v>88</v>
      </c>
      <c r="B1845" s="1" t="n">
        <v>2025</v>
      </c>
      <c r="C1845" s="3" t="n">
        <v>45681</v>
      </c>
      <c r="E1845" s="12" t="s">
        <v>19</v>
      </c>
      <c r="F1845" s="13" t="s">
        <v>13</v>
      </c>
      <c r="G1845" s="14" t="n">
        <v>84</v>
      </c>
      <c r="H1845" s="14" t="n">
        <v>78</v>
      </c>
      <c r="I1845" s="14" t="n">
        <v>84</v>
      </c>
      <c r="J1845" s="14" t="n">
        <v>81</v>
      </c>
      <c r="K1845" s="14" t="n">
        <v>81</v>
      </c>
    </row>
    <row r="1846" customFormat="false" ht="14.25" hidden="false" customHeight="false" outlineLevel="0" collapsed="false">
      <c r="A1846" s="1" t="n">
        <v>88</v>
      </c>
      <c r="B1846" s="1" t="n">
        <v>2025</v>
      </c>
      <c r="C1846" s="3" t="n">
        <v>45681</v>
      </c>
      <c r="E1846" s="12" t="s">
        <v>20</v>
      </c>
      <c r="F1846" s="13" t="s">
        <v>13</v>
      </c>
      <c r="G1846" s="14" t="n">
        <v>84</v>
      </c>
      <c r="H1846" s="14" t="n">
        <v>72</v>
      </c>
      <c r="I1846" s="14" t="n">
        <v>96</v>
      </c>
      <c r="J1846" s="14" t="n">
        <v>84</v>
      </c>
      <c r="K1846" s="14" t="n">
        <v>84</v>
      </c>
    </row>
    <row r="1847" customFormat="false" ht="14.25" hidden="false" customHeight="false" outlineLevel="0" collapsed="false">
      <c r="A1847" s="1" t="n">
        <v>88</v>
      </c>
      <c r="B1847" s="1" t="n">
        <v>2025</v>
      </c>
      <c r="C1847" s="3" t="n">
        <v>45681</v>
      </c>
      <c r="E1847" s="12" t="s">
        <v>21</v>
      </c>
      <c r="F1847" s="13" t="s">
        <v>13</v>
      </c>
      <c r="G1847" s="14" t="n">
        <v>24</v>
      </c>
      <c r="H1847" s="14" t="n">
        <v>24</v>
      </c>
      <c r="I1847" s="14" t="n">
        <v>30</v>
      </c>
      <c r="J1847" s="14" t="n">
        <v>25.5</v>
      </c>
      <c r="K1847" s="14" t="n">
        <v>24</v>
      </c>
    </row>
    <row r="1848" customFormat="false" ht="14.25" hidden="false" customHeight="false" outlineLevel="0" collapsed="false">
      <c r="A1848" s="1" t="n">
        <v>88</v>
      </c>
      <c r="B1848" s="1" t="n">
        <v>2025</v>
      </c>
      <c r="C1848" s="3" t="n">
        <v>45681</v>
      </c>
      <c r="E1848" s="12" t="s">
        <v>73</v>
      </c>
      <c r="F1848" s="13" t="s">
        <v>13</v>
      </c>
      <c r="G1848" s="14" t="n">
        <v>96</v>
      </c>
      <c r="H1848" s="14" t="n">
        <v>72</v>
      </c>
      <c r="I1848" s="14" t="n">
        <v>96</v>
      </c>
      <c r="J1848" s="14" t="n">
        <v>87</v>
      </c>
      <c r="K1848" s="14" t="n">
        <v>90</v>
      </c>
    </row>
    <row r="1849" customFormat="false" ht="14.25" hidden="false" customHeight="false" outlineLevel="0" collapsed="false">
      <c r="A1849" s="1" t="n">
        <v>88</v>
      </c>
      <c r="B1849" s="1" t="n">
        <v>2025</v>
      </c>
      <c r="C1849" s="3" t="n">
        <v>45681</v>
      </c>
      <c r="E1849" s="12" t="s">
        <v>23</v>
      </c>
      <c r="F1849" s="13" t="s">
        <v>13</v>
      </c>
      <c r="G1849" s="14" t="n">
        <v>30</v>
      </c>
      <c r="H1849" s="14" t="n">
        <v>25</v>
      </c>
      <c r="I1849" s="14" t="n">
        <v>36</v>
      </c>
      <c r="J1849" s="14" t="n">
        <v>30.25</v>
      </c>
      <c r="K1849" s="14" t="n">
        <v>30</v>
      </c>
    </row>
    <row r="1850" customFormat="false" ht="14.25" hidden="false" customHeight="false" outlineLevel="0" collapsed="false">
      <c r="A1850" s="1" t="n">
        <v>88</v>
      </c>
      <c r="B1850" s="1" t="n">
        <v>2025</v>
      </c>
      <c r="C1850" s="3" t="n">
        <v>45681</v>
      </c>
      <c r="E1850" s="12" t="s">
        <v>24</v>
      </c>
      <c r="F1850" s="13" t="s">
        <v>13</v>
      </c>
      <c r="G1850" s="14" t="n">
        <v>72</v>
      </c>
      <c r="H1850" s="14" t="n">
        <v>60</v>
      </c>
      <c r="I1850" s="14" t="n">
        <v>84</v>
      </c>
      <c r="J1850" s="14" t="n">
        <v>72</v>
      </c>
      <c r="K1850" s="14" t="n">
        <v>72</v>
      </c>
    </row>
    <row r="1851" customFormat="false" ht="14.25" hidden="false" customHeight="false" outlineLevel="0" collapsed="false">
      <c r="A1851" s="1" t="n">
        <v>88</v>
      </c>
      <c r="B1851" s="1" t="n">
        <v>2025</v>
      </c>
      <c r="C1851" s="3" t="n">
        <v>45681</v>
      </c>
      <c r="E1851" s="12" t="s">
        <v>25</v>
      </c>
      <c r="F1851" s="13" t="s">
        <v>26</v>
      </c>
      <c r="G1851" s="14" t="n">
        <v>72</v>
      </c>
      <c r="H1851" s="14" t="n">
        <v>60</v>
      </c>
      <c r="I1851" s="14" t="n">
        <v>96</v>
      </c>
      <c r="J1851" s="14" t="n">
        <v>75</v>
      </c>
      <c r="K1851" s="14" t="n">
        <v>72</v>
      </c>
    </row>
    <row r="1852" customFormat="false" ht="14.25" hidden="false" customHeight="false" outlineLevel="0" collapsed="false">
      <c r="A1852" s="1" t="n">
        <v>88</v>
      </c>
      <c r="B1852" s="1" t="n">
        <v>2025</v>
      </c>
      <c r="C1852" s="3" t="n">
        <v>45681</v>
      </c>
      <c r="E1852" s="12" t="s">
        <v>27</v>
      </c>
      <c r="F1852" s="13" t="s">
        <v>13</v>
      </c>
      <c r="G1852" s="14" t="n">
        <v>60</v>
      </c>
      <c r="H1852" s="14" t="n">
        <v>54</v>
      </c>
      <c r="I1852" s="14" t="n">
        <v>72</v>
      </c>
      <c r="J1852" s="14" t="n">
        <v>61.5</v>
      </c>
      <c r="K1852" s="14" t="n">
        <v>60</v>
      </c>
    </row>
    <row r="1853" customFormat="false" ht="14.25" hidden="false" customHeight="false" outlineLevel="0" collapsed="false">
      <c r="A1853" s="1" t="n">
        <v>88</v>
      </c>
      <c r="B1853" s="1" t="n">
        <v>2025</v>
      </c>
      <c r="C1853" s="3" t="n">
        <v>45681</v>
      </c>
      <c r="E1853" s="12" t="s">
        <v>28</v>
      </c>
      <c r="F1853" s="13" t="s">
        <v>13</v>
      </c>
      <c r="G1853" s="14" t="n">
        <v>48</v>
      </c>
      <c r="H1853" s="14" t="n">
        <v>36</v>
      </c>
      <c r="I1853" s="14" t="n">
        <v>48</v>
      </c>
      <c r="J1853" s="14" t="n">
        <v>42</v>
      </c>
      <c r="K1853" s="14" t="n">
        <v>42</v>
      </c>
    </row>
    <row r="1854" customFormat="false" ht="14.25" hidden="false" customHeight="false" outlineLevel="0" collapsed="false">
      <c r="A1854" s="1" t="n">
        <v>88</v>
      </c>
      <c r="B1854" s="1" t="n">
        <v>2025</v>
      </c>
      <c r="C1854" s="3" t="n">
        <v>45681</v>
      </c>
      <c r="E1854" s="12" t="s">
        <v>29</v>
      </c>
      <c r="F1854" s="13" t="s">
        <v>13</v>
      </c>
      <c r="G1854" s="14" t="n">
        <v>54</v>
      </c>
      <c r="H1854" s="14" t="n">
        <v>48</v>
      </c>
      <c r="I1854" s="14" t="n">
        <v>60</v>
      </c>
      <c r="J1854" s="14" t="n">
        <v>54</v>
      </c>
      <c r="K1854" s="14" t="n">
        <v>54</v>
      </c>
    </row>
    <row r="1855" customFormat="false" ht="14.25" hidden="false" customHeight="false" outlineLevel="0" collapsed="false">
      <c r="A1855" s="1" t="n">
        <v>88</v>
      </c>
      <c r="B1855" s="1" t="n">
        <v>2025</v>
      </c>
      <c r="C1855" s="3" t="n">
        <v>45681</v>
      </c>
      <c r="E1855" s="12" t="s">
        <v>31</v>
      </c>
      <c r="F1855" s="13" t="s">
        <v>32</v>
      </c>
      <c r="G1855" s="14" t="n">
        <v>5</v>
      </c>
      <c r="H1855" s="14" t="n">
        <v>5</v>
      </c>
      <c r="I1855" s="14" t="n">
        <v>5</v>
      </c>
      <c r="J1855" s="14" t="n">
        <v>5</v>
      </c>
      <c r="K1855" s="14" t="n">
        <v>5</v>
      </c>
    </row>
    <row r="1856" customFormat="false" ht="14.25" hidden="false" customHeight="false" outlineLevel="0" collapsed="false">
      <c r="A1856" s="1" t="n">
        <v>88</v>
      </c>
      <c r="B1856" s="1" t="n">
        <v>2025</v>
      </c>
      <c r="C1856" s="3" t="n">
        <v>45681</v>
      </c>
      <c r="E1856" s="12" t="s">
        <v>34</v>
      </c>
      <c r="F1856" s="13" t="s">
        <v>35</v>
      </c>
      <c r="G1856" s="14" t="n">
        <v>20</v>
      </c>
      <c r="H1856" s="14" t="n">
        <v>20</v>
      </c>
      <c r="I1856" s="14" t="n">
        <v>25</v>
      </c>
      <c r="J1856" s="14" t="n">
        <v>22.5</v>
      </c>
      <c r="K1856" s="14" t="n">
        <v>22.5</v>
      </c>
    </row>
    <row r="1857" customFormat="false" ht="14.25" hidden="false" customHeight="false" outlineLevel="0" collapsed="false">
      <c r="A1857" s="1" t="n">
        <v>88</v>
      </c>
      <c r="B1857" s="1" t="n">
        <v>2025</v>
      </c>
      <c r="C1857" s="3" t="n">
        <v>45681</v>
      </c>
      <c r="E1857" s="12" t="s">
        <v>36</v>
      </c>
      <c r="F1857" s="13" t="s">
        <v>35</v>
      </c>
      <c r="G1857" s="14" t="n">
        <v>25</v>
      </c>
      <c r="H1857" s="14" t="n">
        <v>25</v>
      </c>
      <c r="I1857" s="14" t="n">
        <v>30</v>
      </c>
      <c r="J1857" s="14" t="n">
        <v>27.5</v>
      </c>
      <c r="K1857" s="14" t="n">
        <v>27.5</v>
      </c>
    </row>
    <row r="1858" customFormat="false" ht="14.25" hidden="false" customHeight="false" outlineLevel="0" collapsed="false">
      <c r="A1858" s="1" t="n">
        <v>88</v>
      </c>
      <c r="B1858" s="1" t="n">
        <v>2025</v>
      </c>
      <c r="C1858" s="3" t="n">
        <v>45681</v>
      </c>
      <c r="E1858" s="12" t="s">
        <v>516</v>
      </c>
      <c r="F1858" s="13" t="s">
        <v>154</v>
      </c>
      <c r="G1858" s="14" t="n">
        <v>70</v>
      </c>
      <c r="H1858" s="14" t="n">
        <v>70</v>
      </c>
      <c r="I1858" s="14" t="n">
        <v>75</v>
      </c>
      <c r="J1858" s="14" t="n">
        <v>71.67</v>
      </c>
      <c r="K1858" s="14" t="n">
        <v>70</v>
      </c>
    </row>
    <row r="1859" customFormat="false" ht="14.25" hidden="false" customHeight="false" outlineLevel="0" collapsed="false">
      <c r="A1859" s="1" t="n">
        <v>88</v>
      </c>
      <c r="B1859" s="1" t="n">
        <v>2025</v>
      </c>
      <c r="C1859" s="3" t="n">
        <v>45681</v>
      </c>
      <c r="E1859" s="12" t="s">
        <v>39</v>
      </c>
      <c r="F1859" s="13" t="s">
        <v>40</v>
      </c>
      <c r="G1859" s="14" t="n">
        <v>50</v>
      </c>
      <c r="H1859" s="14" t="n">
        <v>50</v>
      </c>
      <c r="I1859" s="14" t="n">
        <v>60</v>
      </c>
      <c r="J1859" s="14" t="n">
        <v>53.33</v>
      </c>
      <c r="K1859" s="14" t="n">
        <v>50</v>
      </c>
    </row>
    <row r="1860" customFormat="false" ht="14.25" hidden="false" customHeight="false" outlineLevel="0" collapsed="false">
      <c r="A1860" s="1" t="n">
        <v>88</v>
      </c>
      <c r="B1860" s="1" t="n">
        <v>2025</v>
      </c>
      <c r="C1860" s="3" t="n">
        <v>45681</v>
      </c>
      <c r="E1860" s="12" t="s">
        <v>42</v>
      </c>
      <c r="F1860" s="13" t="s">
        <v>43</v>
      </c>
      <c r="G1860" s="14" t="n">
        <v>70</v>
      </c>
      <c r="H1860" s="14" t="n">
        <v>45</v>
      </c>
      <c r="I1860" s="14" t="n">
        <v>70</v>
      </c>
      <c r="J1860" s="14" t="n">
        <v>62.5</v>
      </c>
      <c r="K1860" s="14" t="n">
        <v>67.5</v>
      </c>
    </row>
    <row r="1861" customFormat="false" ht="14.25" hidden="false" customHeight="false" outlineLevel="0" collapsed="false">
      <c r="A1861" s="1" t="n">
        <v>88</v>
      </c>
      <c r="B1861" s="1" t="n">
        <v>2025</v>
      </c>
      <c r="C1861" s="3" t="n">
        <v>45681</v>
      </c>
      <c r="E1861" s="12" t="s">
        <v>44</v>
      </c>
      <c r="F1861" s="13" t="s">
        <v>45</v>
      </c>
      <c r="G1861" s="13"/>
      <c r="H1861" s="14" t="n">
        <v>40</v>
      </c>
      <c r="I1861" s="14" t="n">
        <v>65</v>
      </c>
      <c r="J1861" s="14" t="n">
        <v>53.75</v>
      </c>
      <c r="K1861" s="14" t="n">
        <v>55</v>
      </c>
    </row>
    <row r="1862" customFormat="false" ht="14.25" hidden="false" customHeight="false" outlineLevel="0" collapsed="false">
      <c r="A1862" s="1" t="n">
        <v>88</v>
      </c>
      <c r="B1862" s="1" t="n">
        <v>2025</v>
      </c>
      <c r="C1862" s="3" t="n">
        <v>45681</v>
      </c>
      <c r="E1862" s="12" t="s">
        <v>48</v>
      </c>
      <c r="F1862" s="13" t="s">
        <v>45</v>
      </c>
      <c r="G1862" s="13"/>
      <c r="H1862" s="14" t="n">
        <v>65</v>
      </c>
      <c r="I1862" s="14" t="n">
        <v>75</v>
      </c>
      <c r="J1862" s="14" t="n">
        <v>70</v>
      </c>
      <c r="K1862" s="14" t="n">
        <v>70</v>
      </c>
    </row>
    <row r="1863" customFormat="false" ht="14.25" hidden="false" customHeight="false" outlineLevel="0" collapsed="false">
      <c r="A1863" s="1" t="n">
        <v>88</v>
      </c>
      <c r="B1863" s="1" t="n">
        <v>2025</v>
      </c>
      <c r="C1863" s="3" t="n">
        <v>45681</v>
      </c>
      <c r="E1863" s="12" t="s">
        <v>49</v>
      </c>
      <c r="F1863" s="13" t="s">
        <v>50</v>
      </c>
      <c r="G1863" s="14" t="n">
        <v>60</v>
      </c>
      <c r="H1863" s="14" t="n">
        <v>50</v>
      </c>
      <c r="I1863" s="14" t="n">
        <v>60</v>
      </c>
      <c r="J1863" s="14" t="n">
        <v>55</v>
      </c>
      <c r="K1863" s="14" t="n">
        <v>55</v>
      </c>
    </row>
    <row r="1864" customFormat="false" ht="14.25" hidden="false" customHeight="false" outlineLevel="0" collapsed="false">
      <c r="A1864" s="1" t="n">
        <v>88</v>
      </c>
      <c r="B1864" s="1" t="n">
        <v>2025</v>
      </c>
      <c r="C1864" s="3" t="n">
        <v>45681</v>
      </c>
      <c r="E1864" s="12" t="s">
        <v>52</v>
      </c>
      <c r="F1864" s="13" t="s">
        <v>43</v>
      </c>
      <c r="G1864" s="13"/>
      <c r="H1864" s="14" t="n">
        <v>60</v>
      </c>
      <c r="I1864" s="14" t="n">
        <v>100</v>
      </c>
      <c r="J1864" s="14" t="n">
        <v>80</v>
      </c>
      <c r="K1864" s="14" t="n">
        <v>80</v>
      </c>
    </row>
    <row r="1865" customFormat="false" ht="14.25" hidden="false" customHeight="false" outlineLevel="0" collapsed="false">
      <c r="A1865" s="1" t="n">
        <v>88</v>
      </c>
      <c r="B1865" s="1" t="n">
        <v>2025</v>
      </c>
      <c r="C1865" s="3" t="n">
        <v>45681</v>
      </c>
      <c r="E1865" s="12" t="s">
        <v>53</v>
      </c>
      <c r="F1865" s="13" t="s">
        <v>43</v>
      </c>
      <c r="G1865" s="13"/>
      <c r="H1865" s="14" t="n">
        <v>45</v>
      </c>
      <c r="I1865" s="14" t="n">
        <v>90</v>
      </c>
      <c r="J1865" s="14" t="n">
        <v>63.75</v>
      </c>
      <c r="K1865" s="14" t="n">
        <v>60</v>
      </c>
    </row>
    <row r="1866" customFormat="false" ht="14.25" hidden="false" customHeight="false" outlineLevel="0" collapsed="false">
      <c r="A1866" s="1" t="n">
        <v>88</v>
      </c>
      <c r="B1866" s="1" t="n">
        <v>2025</v>
      </c>
      <c r="C1866" s="3" t="n">
        <v>45681</v>
      </c>
      <c r="E1866" s="12" t="s">
        <v>54</v>
      </c>
      <c r="F1866" s="13" t="s">
        <v>40</v>
      </c>
      <c r="G1866" s="13"/>
      <c r="H1866" s="14" t="n">
        <v>70</v>
      </c>
      <c r="I1866" s="14" t="n">
        <v>100</v>
      </c>
      <c r="J1866" s="14" t="n">
        <v>85</v>
      </c>
      <c r="K1866" s="14" t="n">
        <v>85</v>
      </c>
    </row>
    <row r="1867" customFormat="false" ht="14.25" hidden="false" customHeight="false" outlineLevel="0" collapsed="false">
      <c r="A1867" s="1" t="n">
        <v>88</v>
      </c>
      <c r="B1867" s="1" t="n">
        <v>2025</v>
      </c>
      <c r="C1867" s="3" t="n">
        <v>45681</v>
      </c>
      <c r="E1867" s="12" t="s">
        <v>56</v>
      </c>
      <c r="F1867" s="13" t="s">
        <v>43</v>
      </c>
      <c r="G1867" s="13"/>
      <c r="H1867" s="14" t="n">
        <v>50</v>
      </c>
      <c r="I1867" s="14" t="n">
        <v>75</v>
      </c>
      <c r="J1867" s="14" t="n">
        <v>62.5</v>
      </c>
      <c r="K1867" s="14" t="n">
        <v>62.5</v>
      </c>
    </row>
    <row r="1868" customFormat="false" ht="14.25" hidden="false" customHeight="false" outlineLevel="0" collapsed="false">
      <c r="A1868" s="1" t="n">
        <v>88</v>
      </c>
      <c r="B1868" s="1" t="n">
        <v>2025</v>
      </c>
      <c r="C1868" s="3" t="n">
        <v>45681</v>
      </c>
      <c r="E1868" s="12" t="s">
        <v>57</v>
      </c>
      <c r="F1868" s="13" t="s">
        <v>40</v>
      </c>
      <c r="G1868" s="14" t="n">
        <v>80</v>
      </c>
      <c r="H1868" s="14" t="n">
        <v>45</v>
      </c>
      <c r="I1868" s="14" t="n">
        <v>80</v>
      </c>
      <c r="J1868" s="14" t="n">
        <v>68.33</v>
      </c>
      <c r="K1868" s="14" t="n">
        <v>80</v>
      </c>
    </row>
    <row r="1869" customFormat="false" ht="14.25" hidden="false" customHeight="false" outlineLevel="0" collapsed="false">
      <c r="A1869" s="1" t="n">
        <v>88</v>
      </c>
      <c r="B1869" s="1" t="n">
        <v>2025</v>
      </c>
      <c r="C1869" s="3" t="n">
        <v>45681</v>
      </c>
      <c r="E1869" s="12" t="s">
        <v>58</v>
      </c>
      <c r="F1869" s="13" t="s">
        <v>40</v>
      </c>
      <c r="G1869" s="14" t="n">
        <v>90</v>
      </c>
      <c r="H1869" s="14" t="n">
        <v>80</v>
      </c>
      <c r="I1869" s="14" t="n">
        <v>120</v>
      </c>
      <c r="J1869" s="14" t="n">
        <v>95</v>
      </c>
      <c r="K1869" s="14" t="n">
        <v>90</v>
      </c>
    </row>
    <row r="1870" customFormat="false" ht="14.25" hidden="false" customHeight="false" outlineLevel="0" collapsed="false">
      <c r="A1870" s="1" t="n">
        <v>88</v>
      </c>
      <c r="B1870" s="1" t="n">
        <v>2025</v>
      </c>
      <c r="C1870" s="3" t="n">
        <v>45681</v>
      </c>
      <c r="E1870" s="12" t="s">
        <v>59</v>
      </c>
      <c r="F1870" s="13" t="s">
        <v>45</v>
      </c>
      <c r="G1870" s="14" t="n">
        <v>30</v>
      </c>
      <c r="H1870" s="14" t="n">
        <v>20</v>
      </c>
      <c r="I1870" s="14" t="n">
        <v>40</v>
      </c>
      <c r="J1870" s="14" t="n">
        <v>30</v>
      </c>
      <c r="K1870" s="14" t="n">
        <v>30</v>
      </c>
    </row>
    <row r="1871" customFormat="false" ht="14.25" hidden="false" customHeight="false" outlineLevel="0" collapsed="false">
      <c r="A1871" s="1" t="n">
        <v>88</v>
      </c>
      <c r="B1871" s="1" t="n">
        <v>2025</v>
      </c>
      <c r="C1871" s="3" t="n">
        <v>45681</v>
      </c>
      <c r="E1871" s="12" t="s">
        <v>60</v>
      </c>
      <c r="F1871" s="13" t="s">
        <v>61</v>
      </c>
      <c r="G1871" s="14" t="n">
        <v>90</v>
      </c>
      <c r="H1871" s="14" t="n">
        <v>50</v>
      </c>
      <c r="I1871" s="14" t="n">
        <v>90</v>
      </c>
      <c r="J1871" s="14" t="n">
        <v>78.75</v>
      </c>
      <c r="K1871" s="14" t="n">
        <v>87.5</v>
      </c>
    </row>
    <row r="1872" customFormat="false" ht="14.25" hidden="false" customHeight="false" outlineLevel="0" collapsed="false">
      <c r="A1872" s="1" t="n">
        <v>88</v>
      </c>
      <c r="B1872" s="1" t="n">
        <v>2025</v>
      </c>
      <c r="C1872" s="3" t="n">
        <v>45681</v>
      </c>
      <c r="E1872" s="12" t="s">
        <v>63</v>
      </c>
      <c r="F1872" s="13" t="s">
        <v>40</v>
      </c>
      <c r="G1872" s="13" t="s">
        <v>542</v>
      </c>
      <c r="H1872" s="14" t="n">
        <v>60</v>
      </c>
      <c r="I1872" s="14" t="n">
        <v>120</v>
      </c>
      <c r="J1872" s="14" t="n">
        <v>92.5</v>
      </c>
      <c r="K1872" s="14" t="n">
        <v>95</v>
      </c>
    </row>
    <row r="1873" customFormat="false" ht="14.25" hidden="false" customHeight="false" outlineLevel="0" collapsed="false">
      <c r="A1873" s="1" t="n">
        <v>88</v>
      </c>
      <c r="B1873" s="1" t="n">
        <v>2025</v>
      </c>
      <c r="C1873" s="3" t="n">
        <v>45681</v>
      </c>
      <c r="E1873" s="12" t="s">
        <v>64</v>
      </c>
      <c r="F1873" s="13" t="s">
        <v>40</v>
      </c>
      <c r="G1873" s="14" t="n">
        <v>50</v>
      </c>
      <c r="H1873" s="14" t="n">
        <v>50</v>
      </c>
      <c r="I1873" s="14" t="n">
        <v>70</v>
      </c>
      <c r="J1873" s="14" t="n">
        <v>56.67</v>
      </c>
      <c r="K1873" s="14" t="n">
        <v>50</v>
      </c>
    </row>
    <row r="1874" customFormat="false" ht="14.25" hidden="false" customHeight="false" outlineLevel="0" collapsed="false">
      <c r="A1874" s="1" t="n">
        <v>89</v>
      </c>
      <c r="B1874" s="1" t="n">
        <v>2025</v>
      </c>
      <c r="C1874" s="3" t="n">
        <v>45688</v>
      </c>
      <c r="E1874" s="1" t="s">
        <v>12</v>
      </c>
      <c r="F1874" s="1" t="s">
        <v>13</v>
      </c>
      <c r="G1874" s="1" t="s">
        <v>358</v>
      </c>
      <c r="H1874" s="1" t="s">
        <v>358</v>
      </c>
      <c r="I1874" s="1" t="s">
        <v>360</v>
      </c>
      <c r="J1874" s="1" t="s">
        <v>369</v>
      </c>
      <c r="K1874" s="1" t="s">
        <v>358</v>
      </c>
    </row>
    <row r="1875" customFormat="false" ht="14.25" hidden="false" customHeight="false" outlineLevel="0" collapsed="false">
      <c r="A1875" s="1" t="n">
        <v>89</v>
      </c>
      <c r="B1875" s="1" t="n">
        <v>2025</v>
      </c>
      <c r="C1875" s="3" t="n">
        <v>45688</v>
      </c>
      <c r="E1875" s="1" t="s">
        <v>14</v>
      </c>
      <c r="F1875" s="1" t="s">
        <v>13</v>
      </c>
      <c r="G1875" s="1" t="s">
        <v>361</v>
      </c>
      <c r="H1875" s="1" t="s">
        <v>361</v>
      </c>
      <c r="I1875" s="1" t="s">
        <v>472</v>
      </c>
      <c r="J1875" s="1" t="s">
        <v>543</v>
      </c>
      <c r="K1875" s="1" t="s">
        <v>361</v>
      </c>
    </row>
    <row r="1876" customFormat="false" ht="14.25" hidden="false" customHeight="false" outlineLevel="0" collapsed="false">
      <c r="A1876" s="1" t="n">
        <v>89</v>
      </c>
      <c r="B1876" s="1" t="n">
        <v>2025</v>
      </c>
      <c r="C1876" s="3" t="n">
        <v>45688</v>
      </c>
      <c r="E1876" s="1" t="s">
        <v>15</v>
      </c>
      <c r="F1876" s="1" t="s">
        <v>13</v>
      </c>
      <c r="G1876" s="0"/>
      <c r="H1876" s="1" t="s">
        <v>397</v>
      </c>
      <c r="I1876" s="1" t="s">
        <v>358</v>
      </c>
      <c r="J1876" s="1" t="s">
        <v>544</v>
      </c>
      <c r="K1876" s="1" t="s">
        <v>545</v>
      </c>
    </row>
    <row r="1877" customFormat="false" ht="14.25" hidden="false" customHeight="false" outlineLevel="0" collapsed="false">
      <c r="A1877" s="1" t="n">
        <v>89</v>
      </c>
      <c r="B1877" s="1" t="n">
        <v>2025</v>
      </c>
      <c r="C1877" s="3" t="n">
        <v>45688</v>
      </c>
      <c r="E1877" s="1" t="s">
        <v>16</v>
      </c>
      <c r="F1877" s="1" t="s">
        <v>13</v>
      </c>
      <c r="G1877" s="0"/>
      <c r="H1877" s="1" t="s">
        <v>382</v>
      </c>
      <c r="I1877" s="1" t="s">
        <v>357</v>
      </c>
      <c r="J1877" s="1" t="s">
        <v>546</v>
      </c>
      <c r="K1877" s="1" t="s">
        <v>547</v>
      </c>
    </row>
    <row r="1878" customFormat="false" ht="14.25" hidden="false" customHeight="false" outlineLevel="0" collapsed="false">
      <c r="A1878" s="1" t="n">
        <v>89</v>
      </c>
      <c r="B1878" s="1" t="n">
        <v>2025</v>
      </c>
      <c r="C1878" s="3" t="n">
        <v>45688</v>
      </c>
      <c r="E1878" s="1" t="s">
        <v>17</v>
      </c>
      <c r="F1878" s="1" t="s">
        <v>13</v>
      </c>
      <c r="G1878" s="0"/>
      <c r="H1878" s="1" t="s">
        <v>382</v>
      </c>
      <c r="I1878" s="1" t="s">
        <v>357</v>
      </c>
      <c r="J1878" s="1" t="s">
        <v>546</v>
      </c>
      <c r="K1878" s="1" t="s">
        <v>547</v>
      </c>
    </row>
    <row r="1879" customFormat="false" ht="14.25" hidden="false" customHeight="false" outlineLevel="0" collapsed="false">
      <c r="A1879" s="1" t="n">
        <v>89</v>
      </c>
      <c r="B1879" s="1" t="n">
        <v>2025</v>
      </c>
      <c r="C1879" s="3" t="n">
        <v>45688</v>
      </c>
      <c r="E1879" s="1" t="s">
        <v>18</v>
      </c>
      <c r="F1879" s="1" t="s">
        <v>13</v>
      </c>
      <c r="G1879" s="1" t="s">
        <v>358</v>
      </c>
      <c r="H1879" s="1" t="s">
        <v>358</v>
      </c>
      <c r="I1879" s="1" t="s">
        <v>416</v>
      </c>
      <c r="J1879" s="1" t="s">
        <v>474</v>
      </c>
      <c r="K1879" s="1" t="s">
        <v>358</v>
      </c>
    </row>
    <row r="1880" customFormat="false" ht="14.25" hidden="false" customHeight="false" outlineLevel="0" collapsed="false">
      <c r="A1880" s="1" t="n">
        <v>89</v>
      </c>
      <c r="B1880" s="1" t="n">
        <v>2025</v>
      </c>
      <c r="C1880" s="3" t="n">
        <v>45688</v>
      </c>
      <c r="E1880" s="1" t="s">
        <v>19</v>
      </c>
      <c r="F1880" s="1" t="s">
        <v>13</v>
      </c>
      <c r="G1880" s="1" t="s">
        <v>417</v>
      </c>
      <c r="H1880" s="1" t="s">
        <v>360</v>
      </c>
      <c r="I1880" s="1" t="s">
        <v>417</v>
      </c>
      <c r="J1880" s="1" t="s">
        <v>490</v>
      </c>
      <c r="K1880" s="1" t="s">
        <v>417</v>
      </c>
    </row>
    <row r="1881" customFormat="false" ht="14.25" hidden="false" customHeight="false" outlineLevel="0" collapsed="false">
      <c r="A1881" s="1" t="n">
        <v>89</v>
      </c>
      <c r="B1881" s="1" t="n">
        <v>2025</v>
      </c>
      <c r="C1881" s="3" t="n">
        <v>45688</v>
      </c>
      <c r="E1881" s="1" t="s">
        <v>20</v>
      </c>
      <c r="F1881" s="1" t="s">
        <v>13</v>
      </c>
      <c r="G1881" s="1" t="s">
        <v>361</v>
      </c>
      <c r="H1881" s="1" t="s">
        <v>361</v>
      </c>
      <c r="I1881" s="1" t="s">
        <v>361</v>
      </c>
      <c r="J1881" s="1" t="s">
        <v>361</v>
      </c>
      <c r="K1881" s="1" t="s">
        <v>361</v>
      </c>
    </row>
    <row r="1882" customFormat="false" ht="14.25" hidden="false" customHeight="false" outlineLevel="0" collapsed="false">
      <c r="A1882" s="1" t="n">
        <v>89</v>
      </c>
      <c r="B1882" s="1" t="n">
        <v>2025</v>
      </c>
      <c r="C1882" s="3" t="n">
        <v>45688</v>
      </c>
      <c r="E1882" s="1" t="s">
        <v>21</v>
      </c>
      <c r="F1882" s="1" t="s">
        <v>13</v>
      </c>
      <c r="G1882" s="1" t="s">
        <v>366</v>
      </c>
      <c r="H1882" s="1" t="s">
        <v>366</v>
      </c>
      <c r="I1882" s="1" t="s">
        <v>362</v>
      </c>
      <c r="J1882" s="1" t="s">
        <v>548</v>
      </c>
      <c r="K1882" s="1" t="s">
        <v>436</v>
      </c>
    </row>
    <row r="1883" customFormat="false" ht="14.25" hidden="false" customHeight="false" outlineLevel="0" collapsed="false">
      <c r="A1883" s="1" t="n">
        <v>89</v>
      </c>
      <c r="B1883" s="1" t="n">
        <v>2025</v>
      </c>
      <c r="C1883" s="3" t="n">
        <v>45688</v>
      </c>
      <c r="E1883" s="1" t="s">
        <v>73</v>
      </c>
      <c r="F1883" s="1" t="s">
        <v>13</v>
      </c>
      <c r="G1883" s="0"/>
      <c r="H1883" s="1" t="s">
        <v>360</v>
      </c>
      <c r="I1883" s="1" t="s">
        <v>405</v>
      </c>
      <c r="J1883" s="1" t="s">
        <v>505</v>
      </c>
      <c r="K1883" s="1" t="s">
        <v>361</v>
      </c>
    </row>
    <row r="1884" customFormat="false" ht="14.25" hidden="false" customHeight="false" outlineLevel="0" collapsed="false">
      <c r="A1884" s="1" t="n">
        <v>89</v>
      </c>
      <c r="B1884" s="1" t="n">
        <v>2025</v>
      </c>
      <c r="C1884" s="3" t="n">
        <v>45688</v>
      </c>
      <c r="E1884" s="1" t="s">
        <v>23</v>
      </c>
      <c r="F1884" s="1" t="s">
        <v>13</v>
      </c>
      <c r="G1884" s="1" t="s">
        <v>382</v>
      </c>
      <c r="H1884" s="1" t="s">
        <v>366</v>
      </c>
      <c r="I1884" s="1" t="s">
        <v>362</v>
      </c>
      <c r="J1884" s="1" t="s">
        <v>436</v>
      </c>
      <c r="K1884" s="1" t="s">
        <v>366</v>
      </c>
    </row>
    <row r="1885" customFormat="false" ht="14.25" hidden="false" customHeight="false" outlineLevel="0" collapsed="false">
      <c r="A1885" s="1" t="n">
        <v>89</v>
      </c>
      <c r="B1885" s="1" t="n">
        <v>2025</v>
      </c>
      <c r="C1885" s="3" t="n">
        <v>45688</v>
      </c>
      <c r="E1885" s="1" t="s">
        <v>24</v>
      </c>
      <c r="F1885" s="1" t="s">
        <v>13</v>
      </c>
      <c r="G1885" s="1" t="s">
        <v>358</v>
      </c>
      <c r="H1885" s="1" t="s">
        <v>360</v>
      </c>
      <c r="I1885" s="1" t="s">
        <v>360</v>
      </c>
      <c r="J1885" s="1" t="s">
        <v>429</v>
      </c>
      <c r="K1885" s="1" t="s">
        <v>360</v>
      </c>
    </row>
    <row r="1886" customFormat="false" ht="14.25" hidden="false" customHeight="false" outlineLevel="0" collapsed="false">
      <c r="A1886" s="1" t="n">
        <v>89</v>
      </c>
      <c r="B1886" s="1" t="n">
        <v>2025</v>
      </c>
      <c r="C1886" s="3" t="n">
        <v>45688</v>
      </c>
      <c r="E1886" s="1" t="s">
        <v>25</v>
      </c>
      <c r="F1886" s="1" t="s">
        <v>26</v>
      </c>
      <c r="G1886" s="1" t="s">
        <v>360</v>
      </c>
      <c r="H1886" s="1" t="s">
        <v>360</v>
      </c>
      <c r="I1886" s="1" t="s">
        <v>360</v>
      </c>
      <c r="J1886" s="1" t="s">
        <v>360</v>
      </c>
      <c r="K1886" s="1" t="s">
        <v>360</v>
      </c>
    </row>
    <row r="1887" customFormat="false" ht="14.25" hidden="false" customHeight="false" outlineLevel="0" collapsed="false">
      <c r="A1887" s="1" t="n">
        <v>89</v>
      </c>
      <c r="B1887" s="1" t="n">
        <v>2025</v>
      </c>
      <c r="C1887" s="3" t="n">
        <v>45688</v>
      </c>
      <c r="E1887" s="1" t="s">
        <v>27</v>
      </c>
      <c r="F1887" s="1" t="s">
        <v>13</v>
      </c>
      <c r="G1887" s="0"/>
      <c r="H1887" s="1" t="s">
        <v>358</v>
      </c>
      <c r="I1887" s="1" t="s">
        <v>417</v>
      </c>
      <c r="J1887" s="1" t="s">
        <v>549</v>
      </c>
      <c r="K1887" s="1" t="s">
        <v>394</v>
      </c>
    </row>
    <row r="1888" customFormat="false" ht="14.25" hidden="false" customHeight="false" outlineLevel="0" collapsed="false">
      <c r="A1888" s="1" t="n">
        <v>89</v>
      </c>
      <c r="B1888" s="1" t="n">
        <v>2025</v>
      </c>
      <c r="C1888" s="3" t="n">
        <v>45688</v>
      </c>
      <c r="E1888" s="1" t="s">
        <v>28</v>
      </c>
      <c r="F1888" s="1" t="s">
        <v>13</v>
      </c>
      <c r="G1888" s="1" t="s">
        <v>390</v>
      </c>
      <c r="H1888" s="1" t="s">
        <v>390</v>
      </c>
      <c r="I1888" s="1" t="s">
        <v>357</v>
      </c>
      <c r="J1888" s="1" t="s">
        <v>485</v>
      </c>
      <c r="K1888" s="1" t="s">
        <v>390</v>
      </c>
    </row>
    <row r="1889" customFormat="false" ht="14.25" hidden="false" customHeight="false" outlineLevel="0" collapsed="false">
      <c r="A1889" s="1" t="n">
        <v>89</v>
      </c>
      <c r="B1889" s="1" t="n">
        <v>2025</v>
      </c>
      <c r="C1889" s="3" t="n">
        <v>45688</v>
      </c>
      <c r="E1889" s="1" t="s">
        <v>29</v>
      </c>
      <c r="F1889" s="1" t="s">
        <v>13</v>
      </c>
      <c r="G1889" s="1" t="s">
        <v>357</v>
      </c>
      <c r="H1889" s="1" t="s">
        <v>359</v>
      </c>
      <c r="I1889" s="1" t="s">
        <v>358</v>
      </c>
      <c r="J1889" s="1" t="s">
        <v>359</v>
      </c>
      <c r="K1889" s="1" t="s">
        <v>359</v>
      </c>
    </row>
    <row r="1890" customFormat="false" ht="14.25" hidden="false" customHeight="false" outlineLevel="0" collapsed="false">
      <c r="A1890" s="1" t="n">
        <v>89</v>
      </c>
      <c r="B1890" s="1" t="n">
        <v>2025</v>
      </c>
      <c r="C1890" s="3" t="n">
        <v>45688</v>
      </c>
      <c r="E1890" s="1" t="s">
        <v>31</v>
      </c>
      <c r="F1890" s="1" t="s">
        <v>32</v>
      </c>
      <c r="G1890" s="1" t="s">
        <v>378</v>
      </c>
      <c r="H1890" s="1" t="s">
        <v>378</v>
      </c>
      <c r="I1890" s="1" t="s">
        <v>378</v>
      </c>
      <c r="J1890" s="1" t="s">
        <v>378</v>
      </c>
      <c r="K1890" s="1" t="s">
        <v>378</v>
      </c>
    </row>
    <row r="1891" customFormat="false" ht="14.25" hidden="false" customHeight="false" outlineLevel="0" collapsed="false">
      <c r="A1891" s="1" t="n">
        <v>89</v>
      </c>
      <c r="B1891" s="1" t="n">
        <v>2025</v>
      </c>
      <c r="C1891" s="3" t="n">
        <v>45688</v>
      </c>
      <c r="E1891" s="1" t="s">
        <v>34</v>
      </c>
      <c r="F1891" s="1" t="s">
        <v>35</v>
      </c>
      <c r="G1891" s="1" t="s">
        <v>382</v>
      </c>
      <c r="H1891" s="1" t="s">
        <v>419</v>
      </c>
      <c r="I1891" s="1" t="s">
        <v>419</v>
      </c>
      <c r="J1891" s="1" t="s">
        <v>368</v>
      </c>
      <c r="K1891" s="1" t="s">
        <v>368</v>
      </c>
    </row>
    <row r="1892" customFormat="false" ht="14.25" hidden="false" customHeight="false" outlineLevel="0" collapsed="false">
      <c r="A1892" s="1" t="n">
        <v>89</v>
      </c>
      <c r="B1892" s="1" t="n">
        <v>2025</v>
      </c>
      <c r="C1892" s="3" t="n">
        <v>45688</v>
      </c>
      <c r="E1892" s="1" t="s">
        <v>36</v>
      </c>
      <c r="F1892" s="1" t="s">
        <v>35</v>
      </c>
      <c r="G1892" s="1" t="s">
        <v>419</v>
      </c>
      <c r="H1892" s="1" t="s">
        <v>419</v>
      </c>
      <c r="I1892" s="1" t="s">
        <v>388</v>
      </c>
      <c r="J1892" s="1" t="s">
        <v>550</v>
      </c>
      <c r="K1892" s="1" t="s">
        <v>384</v>
      </c>
    </row>
    <row r="1893" customFormat="false" ht="14.25" hidden="false" customHeight="false" outlineLevel="0" collapsed="false">
      <c r="A1893" s="1" t="n">
        <v>89</v>
      </c>
      <c r="B1893" s="1" t="n">
        <v>2025</v>
      </c>
      <c r="C1893" s="3" t="n">
        <v>45688</v>
      </c>
      <c r="E1893" s="1" t="s">
        <v>153</v>
      </c>
      <c r="F1893" s="1" t="s">
        <v>154</v>
      </c>
      <c r="G1893" s="0"/>
      <c r="H1893" s="1" t="s">
        <v>358</v>
      </c>
      <c r="I1893" s="1" t="s">
        <v>394</v>
      </c>
      <c r="J1893" s="1" t="s">
        <v>391</v>
      </c>
      <c r="K1893" s="1" t="s">
        <v>391</v>
      </c>
    </row>
    <row r="1894" customFormat="false" ht="14.25" hidden="false" customHeight="false" outlineLevel="0" collapsed="false">
      <c r="A1894" s="1" t="n">
        <v>89</v>
      </c>
      <c r="B1894" s="1" t="n">
        <v>2025</v>
      </c>
      <c r="C1894" s="3" t="n">
        <v>45688</v>
      </c>
      <c r="E1894" s="1" t="s">
        <v>39</v>
      </c>
      <c r="F1894" s="1" t="s">
        <v>40</v>
      </c>
      <c r="G1894" s="1" t="s">
        <v>393</v>
      </c>
      <c r="H1894" s="1" t="s">
        <v>393</v>
      </c>
      <c r="I1894" s="1" t="s">
        <v>394</v>
      </c>
      <c r="J1894" s="1" t="s">
        <v>551</v>
      </c>
      <c r="K1894" s="1" t="s">
        <v>393</v>
      </c>
    </row>
    <row r="1895" customFormat="false" ht="14.25" hidden="false" customHeight="false" outlineLevel="0" collapsed="false">
      <c r="A1895" s="1" t="n">
        <v>89</v>
      </c>
      <c r="B1895" s="1" t="n">
        <v>2025</v>
      </c>
      <c r="C1895" s="3" t="n">
        <v>45688</v>
      </c>
      <c r="E1895" s="1" t="s">
        <v>42</v>
      </c>
      <c r="F1895" s="1" t="s">
        <v>43</v>
      </c>
      <c r="G1895" s="1" t="s">
        <v>394</v>
      </c>
      <c r="H1895" s="1" t="s">
        <v>390</v>
      </c>
      <c r="I1895" s="1" t="s">
        <v>394</v>
      </c>
      <c r="J1895" s="1" t="s">
        <v>399</v>
      </c>
      <c r="K1895" s="1" t="s">
        <v>358</v>
      </c>
    </row>
    <row r="1896" customFormat="false" ht="14.25" hidden="false" customHeight="false" outlineLevel="0" collapsed="false">
      <c r="A1896" s="1" t="n">
        <v>89</v>
      </c>
      <c r="B1896" s="1" t="n">
        <v>2025</v>
      </c>
      <c r="C1896" s="3" t="n">
        <v>45688</v>
      </c>
      <c r="E1896" s="1" t="s">
        <v>44</v>
      </c>
      <c r="F1896" s="1" t="s">
        <v>45</v>
      </c>
      <c r="G1896" s="1" t="s">
        <v>393</v>
      </c>
      <c r="H1896" s="1" t="s">
        <v>393</v>
      </c>
      <c r="I1896" s="1" t="s">
        <v>393</v>
      </c>
      <c r="J1896" s="1" t="s">
        <v>393</v>
      </c>
      <c r="K1896" s="1" t="s">
        <v>393</v>
      </c>
    </row>
    <row r="1897" customFormat="false" ht="14.25" hidden="false" customHeight="false" outlineLevel="0" collapsed="false">
      <c r="A1897" s="1" t="n">
        <v>89</v>
      </c>
      <c r="B1897" s="1" t="n">
        <v>2025</v>
      </c>
      <c r="C1897" s="3" t="n">
        <v>45688</v>
      </c>
      <c r="E1897" s="1" t="s">
        <v>48</v>
      </c>
      <c r="F1897" s="1" t="s">
        <v>45</v>
      </c>
      <c r="G1897" s="0"/>
      <c r="H1897" s="1" t="s">
        <v>386</v>
      </c>
      <c r="I1897" s="1" t="s">
        <v>386</v>
      </c>
      <c r="J1897" s="1" t="s">
        <v>386</v>
      </c>
      <c r="K1897" s="1" t="s">
        <v>386</v>
      </c>
    </row>
    <row r="1898" customFormat="false" ht="14.25" hidden="false" customHeight="false" outlineLevel="0" collapsed="false">
      <c r="A1898" s="1" t="n">
        <v>89</v>
      </c>
      <c r="B1898" s="1" t="n">
        <v>2025</v>
      </c>
      <c r="C1898" s="3" t="n">
        <v>45688</v>
      </c>
      <c r="E1898" s="1" t="s">
        <v>49</v>
      </c>
      <c r="F1898" s="1" t="s">
        <v>50</v>
      </c>
      <c r="G1898" s="1" t="s">
        <v>393</v>
      </c>
      <c r="H1898" s="1" t="s">
        <v>358</v>
      </c>
      <c r="I1898" s="1" t="s">
        <v>358</v>
      </c>
      <c r="J1898" s="1" t="s">
        <v>399</v>
      </c>
      <c r="K1898" s="1" t="s">
        <v>358</v>
      </c>
    </row>
    <row r="1899" customFormat="false" ht="14.25" hidden="false" customHeight="false" outlineLevel="0" collapsed="false">
      <c r="A1899" s="1" t="n">
        <v>89</v>
      </c>
      <c r="B1899" s="1" t="n">
        <v>2025</v>
      </c>
      <c r="C1899" s="3" t="n">
        <v>45688</v>
      </c>
      <c r="E1899" s="1" t="s">
        <v>52</v>
      </c>
      <c r="F1899" s="1" t="s">
        <v>43</v>
      </c>
      <c r="G1899" s="1" t="s">
        <v>358</v>
      </c>
      <c r="H1899" s="1" t="s">
        <v>358</v>
      </c>
      <c r="I1899" s="1" t="s">
        <v>386</v>
      </c>
      <c r="J1899" s="1" t="s">
        <v>434</v>
      </c>
      <c r="K1899" s="1" t="s">
        <v>394</v>
      </c>
    </row>
    <row r="1900" customFormat="false" ht="14.25" hidden="false" customHeight="false" outlineLevel="0" collapsed="false">
      <c r="A1900" s="1" t="n">
        <v>89</v>
      </c>
      <c r="B1900" s="1" t="n">
        <v>2025</v>
      </c>
      <c r="C1900" s="3" t="n">
        <v>45688</v>
      </c>
      <c r="E1900" s="1" t="s">
        <v>53</v>
      </c>
      <c r="F1900" s="1" t="s">
        <v>43</v>
      </c>
      <c r="G1900" s="0"/>
      <c r="H1900" s="1" t="s">
        <v>358</v>
      </c>
      <c r="I1900" s="1" t="s">
        <v>386</v>
      </c>
      <c r="J1900" s="1" t="s">
        <v>370</v>
      </c>
      <c r="K1900" s="1" t="s">
        <v>370</v>
      </c>
    </row>
    <row r="1901" customFormat="false" ht="14.25" hidden="false" customHeight="false" outlineLevel="0" collapsed="false">
      <c r="A1901" s="1" t="n">
        <v>89</v>
      </c>
      <c r="B1901" s="1" t="n">
        <v>2025</v>
      </c>
      <c r="C1901" s="3" t="n">
        <v>45688</v>
      </c>
      <c r="E1901" s="1" t="s">
        <v>54</v>
      </c>
      <c r="F1901" s="1" t="s">
        <v>40</v>
      </c>
      <c r="G1901" s="1" t="s">
        <v>358</v>
      </c>
      <c r="H1901" s="1" t="s">
        <v>358</v>
      </c>
      <c r="I1901" s="1" t="s">
        <v>370</v>
      </c>
      <c r="J1901" s="1" t="s">
        <v>374</v>
      </c>
      <c r="K1901" s="1" t="s">
        <v>358</v>
      </c>
    </row>
    <row r="1902" customFormat="false" ht="14.25" hidden="false" customHeight="false" outlineLevel="0" collapsed="false">
      <c r="A1902" s="1" t="n">
        <v>89</v>
      </c>
      <c r="B1902" s="1" t="n">
        <v>2025</v>
      </c>
      <c r="C1902" s="3" t="n">
        <v>45688</v>
      </c>
      <c r="E1902" s="1" t="s">
        <v>56</v>
      </c>
      <c r="F1902" s="1" t="s">
        <v>43</v>
      </c>
      <c r="G1902" s="0"/>
      <c r="H1902" s="1" t="s">
        <v>386</v>
      </c>
      <c r="I1902" s="1" t="s">
        <v>386</v>
      </c>
      <c r="J1902" s="1" t="s">
        <v>386</v>
      </c>
      <c r="K1902" s="1" t="s">
        <v>386</v>
      </c>
    </row>
    <row r="1903" customFormat="false" ht="14.25" hidden="false" customHeight="false" outlineLevel="0" collapsed="false">
      <c r="A1903" s="1" t="n">
        <v>89</v>
      </c>
      <c r="B1903" s="1" t="n">
        <v>2025</v>
      </c>
      <c r="C1903" s="3" t="n">
        <v>45688</v>
      </c>
      <c r="E1903" s="1" t="s">
        <v>57</v>
      </c>
      <c r="F1903" s="1" t="s">
        <v>40</v>
      </c>
      <c r="G1903" s="1" t="s">
        <v>394</v>
      </c>
      <c r="H1903" s="1" t="s">
        <v>394</v>
      </c>
      <c r="I1903" s="1" t="s">
        <v>394</v>
      </c>
      <c r="J1903" s="1" t="s">
        <v>394</v>
      </c>
      <c r="K1903" s="1" t="s">
        <v>394</v>
      </c>
    </row>
    <row r="1904" customFormat="false" ht="14.25" hidden="false" customHeight="false" outlineLevel="0" collapsed="false">
      <c r="A1904" s="1" t="n">
        <v>89</v>
      </c>
      <c r="B1904" s="1" t="n">
        <v>2025</v>
      </c>
      <c r="C1904" s="3" t="n">
        <v>45688</v>
      </c>
      <c r="E1904" s="1" t="s">
        <v>58</v>
      </c>
      <c r="F1904" s="1" t="s">
        <v>40</v>
      </c>
      <c r="G1904" s="0"/>
      <c r="H1904" s="1" t="s">
        <v>385</v>
      </c>
      <c r="I1904" s="1" t="s">
        <v>401</v>
      </c>
      <c r="J1904" s="1" t="s">
        <v>552</v>
      </c>
      <c r="K1904" s="1" t="s">
        <v>412</v>
      </c>
    </row>
    <row r="1905" customFormat="false" ht="14.25" hidden="false" customHeight="false" outlineLevel="0" collapsed="false">
      <c r="A1905" s="1" t="n">
        <v>89</v>
      </c>
      <c r="B1905" s="1" t="n">
        <v>2025</v>
      </c>
      <c r="C1905" s="3" t="n">
        <v>45688</v>
      </c>
      <c r="E1905" s="1" t="s">
        <v>59</v>
      </c>
      <c r="F1905" s="1" t="s">
        <v>45</v>
      </c>
      <c r="G1905" s="0"/>
      <c r="H1905" s="1" t="s">
        <v>419</v>
      </c>
      <c r="I1905" s="1" t="s">
        <v>484</v>
      </c>
      <c r="J1905" s="1" t="s">
        <v>390</v>
      </c>
      <c r="K1905" s="1" t="s">
        <v>388</v>
      </c>
    </row>
    <row r="1906" customFormat="false" ht="14.25" hidden="false" customHeight="false" outlineLevel="0" collapsed="false">
      <c r="A1906" s="1" t="n">
        <v>89</v>
      </c>
      <c r="B1906" s="1" t="n">
        <v>2025</v>
      </c>
      <c r="C1906" s="3" t="n">
        <v>45688</v>
      </c>
      <c r="E1906" s="1" t="s">
        <v>60</v>
      </c>
      <c r="F1906" s="1" t="s">
        <v>61</v>
      </c>
      <c r="G1906" s="1" t="s">
        <v>393</v>
      </c>
      <c r="H1906" s="1" t="s">
        <v>393</v>
      </c>
      <c r="I1906" s="1" t="s">
        <v>358</v>
      </c>
      <c r="J1906" s="1" t="s">
        <v>396</v>
      </c>
      <c r="K1906" s="1" t="s">
        <v>396</v>
      </c>
    </row>
    <row r="1907" customFormat="false" ht="14.25" hidden="false" customHeight="false" outlineLevel="0" collapsed="false">
      <c r="A1907" s="1" t="n">
        <v>89</v>
      </c>
      <c r="B1907" s="1" t="n">
        <v>2025</v>
      </c>
      <c r="C1907" s="3" t="n">
        <v>45688</v>
      </c>
      <c r="E1907" s="1" t="s">
        <v>63</v>
      </c>
      <c r="F1907" s="1" t="s">
        <v>40</v>
      </c>
      <c r="G1907" s="1" t="s">
        <v>405</v>
      </c>
      <c r="H1907" s="1" t="s">
        <v>358</v>
      </c>
      <c r="I1907" s="1" t="s">
        <v>405</v>
      </c>
      <c r="J1907" s="1" t="s">
        <v>553</v>
      </c>
      <c r="K1907" s="1" t="s">
        <v>387</v>
      </c>
    </row>
    <row r="1908" customFormat="false" ht="14.25" hidden="false" customHeight="false" outlineLevel="0" collapsed="false">
      <c r="A1908" s="1" t="n">
        <v>89</v>
      </c>
      <c r="B1908" s="1" t="n">
        <v>2025</v>
      </c>
      <c r="C1908" s="3" t="n">
        <v>45688</v>
      </c>
      <c r="E1908" s="1" t="s">
        <v>64</v>
      </c>
      <c r="F1908" s="1" t="s">
        <v>40</v>
      </c>
      <c r="G1908" s="0"/>
      <c r="H1908" s="1" t="s">
        <v>358</v>
      </c>
      <c r="I1908" s="1" t="s">
        <v>415</v>
      </c>
      <c r="J1908" s="1" t="s">
        <v>386</v>
      </c>
      <c r="K1908" s="1" t="s">
        <v>386</v>
      </c>
    </row>
    <row r="1909" customFormat="false" ht="14.25" hidden="false" customHeight="false" outlineLevel="0" collapsed="false">
      <c r="A1909" s="1" t="n">
        <v>90</v>
      </c>
      <c r="B1909" s="1" t="n">
        <v>2025</v>
      </c>
      <c r="C1909" s="3" t="n">
        <v>45695</v>
      </c>
      <c r="E1909" s="1" t="s">
        <v>12</v>
      </c>
      <c r="F1909" s="1" t="s">
        <v>13</v>
      </c>
      <c r="G1909" s="0"/>
      <c r="H1909" s="1" t="s">
        <v>363</v>
      </c>
      <c r="I1909" s="1" t="s">
        <v>360</v>
      </c>
      <c r="J1909" s="1" t="s">
        <v>359</v>
      </c>
      <c r="K1909" s="1" t="s">
        <v>377</v>
      </c>
    </row>
    <row r="1910" customFormat="false" ht="14.25" hidden="false" customHeight="false" outlineLevel="0" collapsed="false">
      <c r="A1910" s="1" t="n">
        <v>90</v>
      </c>
      <c r="B1910" s="1" t="n">
        <v>2025</v>
      </c>
      <c r="C1910" s="3" t="n">
        <v>45695</v>
      </c>
      <c r="E1910" s="1" t="s">
        <v>14</v>
      </c>
      <c r="F1910" s="1" t="s">
        <v>13</v>
      </c>
      <c r="G1910" s="1" t="s">
        <v>361</v>
      </c>
      <c r="H1910" s="1" t="s">
        <v>361</v>
      </c>
      <c r="I1910" s="1" t="s">
        <v>472</v>
      </c>
      <c r="J1910" s="1" t="s">
        <v>405</v>
      </c>
      <c r="K1910" s="1" t="s">
        <v>405</v>
      </c>
    </row>
    <row r="1911" customFormat="false" ht="14.25" hidden="false" customHeight="false" outlineLevel="0" collapsed="false">
      <c r="A1911" s="1" t="n">
        <v>90</v>
      </c>
      <c r="B1911" s="1" t="n">
        <v>2025</v>
      </c>
      <c r="C1911" s="3" t="n">
        <v>45695</v>
      </c>
      <c r="E1911" s="1" t="s">
        <v>15</v>
      </c>
      <c r="F1911" s="1" t="s">
        <v>13</v>
      </c>
      <c r="G1911" s="0"/>
      <c r="H1911" s="1" t="s">
        <v>397</v>
      </c>
      <c r="I1911" s="1" t="s">
        <v>358</v>
      </c>
      <c r="J1911" s="1" t="s">
        <v>554</v>
      </c>
      <c r="K1911" s="1" t="s">
        <v>486</v>
      </c>
    </row>
    <row r="1912" customFormat="false" ht="14.25" hidden="false" customHeight="false" outlineLevel="0" collapsed="false">
      <c r="A1912" s="1" t="n">
        <v>90</v>
      </c>
      <c r="B1912" s="1" t="n">
        <v>2025</v>
      </c>
      <c r="C1912" s="3" t="n">
        <v>45695</v>
      </c>
      <c r="E1912" s="1" t="s">
        <v>16</v>
      </c>
      <c r="F1912" s="1" t="s">
        <v>13</v>
      </c>
      <c r="G1912" s="1" t="s">
        <v>365</v>
      </c>
      <c r="H1912" s="1" t="s">
        <v>362</v>
      </c>
      <c r="I1912" s="1" t="s">
        <v>358</v>
      </c>
      <c r="J1912" s="1" t="s">
        <v>454</v>
      </c>
      <c r="K1912" s="1" t="s">
        <v>365</v>
      </c>
    </row>
    <row r="1913" customFormat="false" ht="14.25" hidden="false" customHeight="false" outlineLevel="0" collapsed="false">
      <c r="A1913" s="1" t="n">
        <v>90</v>
      </c>
      <c r="B1913" s="1" t="n">
        <v>2025</v>
      </c>
      <c r="C1913" s="3" t="n">
        <v>45695</v>
      </c>
      <c r="E1913" s="1" t="s">
        <v>17</v>
      </c>
      <c r="F1913" s="1" t="s">
        <v>13</v>
      </c>
      <c r="G1913" s="1" t="s">
        <v>365</v>
      </c>
      <c r="H1913" s="1" t="s">
        <v>362</v>
      </c>
      <c r="I1913" s="1" t="s">
        <v>358</v>
      </c>
      <c r="J1913" s="1" t="s">
        <v>454</v>
      </c>
      <c r="K1913" s="1" t="s">
        <v>365</v>
      </c>
    </row>
    <row r="1914" customFormat="false" ht="14.25" hidden="false" customHeight="false" outlineLevel="0" collapsed="false">
      <c r="A1914" s="1" t="n">
        <v>90</v>
      </c>
      <c r="B1914" s="1" t="n">
        <v>2025</v>
      </c>
      <c r="C1914" s="3" t="n">
        <v>45695</v>
      </c>
      <c r="E1914" s="1" t="s">
        <v>18</v>
      </c>
      <c r="F1914" s="1" t="s">
        <v>13</v>
      </c>
      <c r="G1914" s="1" t="s">
        <v>358</v>
      </c>
      <c r="H1914" s="1" t="s">
        <v>358</v>
      </c>
      <c r="I1914" s="1" t="s">
        <v>360</v>
      </c>
      <c r="J1914" s="1" t="s">
        <v>555</v>
      </c>
      <c r="K1914" s="1" t="s">
        <v>375</v>
      </c>
    </row>
    <row r="1915" customFormat="false" ht="14.25" hidden="false" customHeight="false" outlineLevel="0" collapsed="false">
      <c r="A1915" s="1" t="n">
        <v>90</v>
      </c>
      <c r="B1915" s="1" t="n">
        <v>2025</v>
      </c>
      <c r="C1915" s="3" t="n">
        <v>45695</v>
      </c>
      <c r="E1915" s="1" t="s">
        <v>19</v>
      </c>
      <c r="F1915" s="1" t="s">
        <v>13</v>
      </c>
      <c r="G1915" s="1" t="s">
        <v>472</v>
      </c>
      <c r="H1915" s="1" t="s">
        <v>472</v>
      </c>
      <c r="I1915" s="1" t="s">
        <v>472</v>
      </c>
      <c r="J1915" s="1" t="s">
        <v>472</v>
      </c>
      <c r="K1915" s="1" t="s">
        <v>472</v>
      </c>
    </row>
    <row r="1916" customFormat="false" ht="14.25" hidden="false" customHeight="false" outlineLevel="0" collapsed="false">
      <c r="A1916" s="1" t="n">
        <v>90</v>
      </c>
      <c r="B1916" s="1" t="n">
        <v>2025</v>
      </c>
      <c r="C1916" s="3" t="n">
        <v>45695</v>
      </c>
      <c r="E1916" s="1" t="s">
        <v>20</v>
      </c>
      <c r="F1916" s="1" t="s">
        <v>13</v>
      </c>
      <c r="G1916" s="1" t="s">
        <v>360</v>
      </c>
      <c r="H1916" s="1" t="s">
        <v>360</v>
      </c>
      <c r="I1916" s="1" t="s">
        <v>472</v>
      </c>
      <c r="J1916" s="1" t="s">
        <v>497</v>
      </c>
      <c r="K1916" s="1" t="s">
        <v>502</v>
      </c>
    </row>
    <row r="1917" customFormat="false" ht="14.25" hidden="false" customHeight="false" outlineLevel="0" collapsed="false">
      <c r="A1917" s="1" t="n">
        <v>90</v>
      </c>
      <c r="B1917" s="1" t="n">
        <v>2025</v>
      </c>
      <c r="C1917" s="3" t="n">
        <v>45695</v>
      </c>
      <c r="E1917" s="1" t="s">
        <v>21</v>
      </c>
      <c r="F1917" s="1" t="s">
        <v>13</v>
      </c>
      <c r="G1917" s="1" t="s">
        <v>366</v>
      </c>
      <c r="H1917" s="1" t="s">
        <v>366</v>
      </c>
      <c r="I1917" s="1" t="s">
        <v>362</v>
      </c>
      <c r="J1917" s="1" t="s">
        <v>547</v>
      </c>
      <c r="K1917" s="1" t="s">
        <v>547</v>
      </c>
    </row>
    <row r="1918" customFormat="false" ht="14.25" hidden="false" customHeight="false" outlineLevel="0" collapsed="false">
      <c r="A1918" s="1" t="n">
        <v>90</v>
      </c>
      <c r="B1918" s="1" t="n">
        <v>2025</v>
      </c>
      <c r="C1918" s="3" t="n">
        <v>45695</v>
      </c>
      <c r="E1918" s="1" t="s">
        <v>73</v>
      </c>
      <c r="F1918" s="1" t="s">
        <v>13</v>
      </c>
      <c r="G1918" s="1" t="s">
        <v>472</v>
      </c>
      <c r="H1918" s="1" t="s">
        <v>361</v>
      </c>
      <c r="I1918" s="1" t="s">
        <v>472</v>
      </c>
      <c r="J1918" s="1" t="s">
        <v>531</v>
      </c>
      <c r="K1918" s="1" t="s">
        <v>556</v>
      </c>
    </row>
    <row r="1919" customFormat="false" ht="14.25" hidden="false" customHeight="false" outlineLevel="0" collapsed="false">
      <c r="A1919" s="1" t="n">
        <v>90</v>
      </c>
      <c r="B1919" s="1" t="n">
        <v>2025</v>
      </c>
      <c r="C1919" s="3" t="n">
        <v>45695</v>
      </c>
      <c r="E1919" s="1" t="s">
        <v>23</v>
      </c>
      <c r="F1919" s="1" t="s">
        <v>13</v>
      </c>
      <c r="G1919" s="1" t="s">
        <v>362</v>
      </c>
      <c r="H1919" s="1" t="s">
        <v>365</v>
      </c>
      <c r="I1919" s="1" t="s">
        <v>472</v>
      </c>
      <c r="J1919" s="1" t="s">
        <v>357</v>
      </c>
      <c r="K1919" s="1" t="s">
        <v>365</v>
      </c>
    </row>
    <row r="1920" customFormat="false" ht="14.25" hidden="false" customHeight="false" outlineLevel="0" collapsed="false">
      <c r="A1920" s="1" t="n">
        <v>90</v>
      </c>
      <c r="B1920" s="1" t="n">
        <v>2025</v>
      </c>
      <c r="C1920" s="3" t="n">
        <v>45695</v>
      </c>
      <c r="E1920" s="1" t="s">
        <v>24</v>
      </c>
      <c r="F1920" s="1" t="s">
        <v>13</v>
      </c>
      <c r="G1920" s="1" t="s">
        <v>360</v>
      </c>
      <c r="H1920" s="1" t="s">
        <v>360</v>
      </c>
      <c r="I1920" s="1" t="s">
        <v>361</v>
      </c>
      <c r="J1920" s="1" t="s">
        <v>557</v>
      </c>
      <c r="K1920" s="1" t="s">
        <v>385</v>
      </c>
    </row>
    <row r="1921" customFormat="false" ht="14.25" hidden="false" customHeight="false" outlineLevel="0" collapsed="false">
      <c r="A1921" s="1" t="n">
        <v>90</v>
      </c>
      <c r="B1921" s="1" t="n">
        <v>2025</v>
      </c>
      <c r="C1921" s="3" t="n">
        <v>45695</v>
      </c>
      <c r="E1921" s="1" t="s">
        <v>25</v>
      </c>
      <c r="F1921" s="1" t="s">
        <v>26</v>
      </c>
      <c r="G1921" s="1" t="s">
        <v>358</v>
      </c>
      <c r="H1921" s="1" t="s">
        <v>357</v>
      </c>
      <c r="I1921" s="1" t="s">
        <v>360</v>
      </c>
      <c r="J1921" s="1" t="s">
        <v>358</v>
      </c>
      <c r="K1921" s="1" t="s">
        <v>358</v>
      </c>
    </row>
    <row r="1922" customFormat="false" ht="14.25" hidden="false" customHeight="false" outlineLevel="0" collapsed="false">
      <c r="A1922" s="1" t="n">
        <v>90</v>
      </c>
      <c r="B1922" s="1" t="n">
        <v>2025</v>
      </c>
      <c r="C1922" s="3" t="n">
        <v>45695</v>
      </c>
      <c r="E1922" s="1" t="s">
        <v>27</v>
      </c>
      <c r="F1922" s="1" t="s">
        <v>13</v>
      </c>
      <c r="G1922" s="0"/>
      <c r="H1922" s="1" t="s">
        <v>358</v>
      </c>
      <c r="I1922" s="1" t="s">
        <v>361</v>
      </c>
      <c r="J1922" s="1" t="s">
        <v>558</v>
      </c>
      <c r="K1922" s="1" t="s">
        <v>385</v>
      </c>
    </row>
    <row r="1923" customFormat="false" ht="14.25" hidden="false" customHeight="false" outlineLevel="0" collapsed="false">
      <c r="A1923" s="1" t="n">
        <v>90</v>
      </c>
      <c r="B1923" s="1" t="n">
        <v>2025</v>
      </c>
      <c r="C1923" s="3" t="n">
        <v>45695</v>
      </c>
      <c r="E1923" s="1" t="s">
        <v>28</v>
      </c>
      <c r="F1923" s="1" t="s">
        <v>13</v>
      </c>
      <c r="G1923" s="1" t="s">
        <v>357</v>
      </c>
      <c r="H1923" s="1" t="s">
        <v>357</v>
      </c>
      <c r="I1923" s="1" t="s">
        <v>358</v>
      </c>
      <c r="J1923" s="1" t="s">
        <v>359</v>
      </c>
      <c r="K1923" s="1" t="s">
        <v>359</v>
      </c>
    </row>
    <row r="1924" customFormat="false" ht="14.25" hidden="false" customHeight="false" outlineLevel="0" collapsed="false">
      <c r="A1924" s="1" t="n">
        <v>90</v>
      </c>
      <c r="B1924" s="1" t="n">
        <v>2025</v>
      </c>
      <c r="C1924" s="3" t="n">
        <v>45695</v>
      </c>
      <c r="E1924" s="1" t="s">
        <v>29</v>
      </c>
      <c r="F1924" s="1" t="s">
        <v>13</v>
      </c>
      <c r="G1924" s="1" t="s">
        <v>359</v>
      </c>
      <c r="H1924" s="1" t="s">
        <v>359</v>
      </c>
      <c r="I1924" s="1" t="s">
        <v>358</v>
      </c>
      <c r="J1924" s="1" t="s">
        <v>540</v>
      </c>
      <c r="K1924" s="1" t="s">
        <v>359</v>
      </c>
    </row>
    <row r="1925" customFormat="false" ht="14.25" hidden="false" customHeight="false" outlineLevel="0" collapsed="false">
      <c r="A1925" s="1" t="n">
        <v>90</v>
      </c>
      <c r="B1925" s="1" t="n">
        <v>2025</v>
      </c>
      <c r="C1925" s="3" t="n">
        <v>45695</v>
      </c>
      <c r="E1925" s="1" t="s">
        <v>31</v>
      </c>
      <c r="F1925" s="1" t="s">
        <v>32</v>
      </c>
      <c r="G1925" s="1" t="s">
        <v>378</v>
      </c>
      <c r="H1925" s="1" t="s">
        <v>378</v>
      </c>
      <c r="I1925" s="1" t="s">
        <v>378</v>
      </c>
      <c r="J1925" s="1" t="s">
        <v>378</v>
      </c>
      <c r="K1925" s="1" t="s">
        <v>378</v>
      </c>
    </row>
    <row r="1926" customFormat="false" ht="14.25" hidden="false" customHeight="false" outlineLevel="0" collapsed="false">
      <c r="A1926" s="1" t="n">
        <v>90</v>
      </c>
      <c r="B1926" s="1" t="n">
        <v>2025</v>
      </c>
      <c r="C1926" s="3" t="n">
        <v>45695</v>
      </c>
      <c r="E1926" s="1" t="s">
        <v>34</v>
      </c>
      <c r="F1926" s="1" t="s">
        <v>35</v>
      </c>
      <c r="G1926" s="0"/>
      <c r="H1926" s="1" t="s">
        <v>419</v>
      </c>
      <c r="I1926" s="1" t="s">
        <v>397</v>
      </c>
      <c r="J1926" s="1" t="s">
        <v>559</v>
      </c>
      <c r="K1926" s="1" t="s">
        <v>506</v>
      </c>
    </row>
    <row r="1927" customFormat="false" ht="14.25" hidden="false" customHeight="false" outlineLevel="0" collapsed="false">
      <c r="A1927" s="1" t="n">
        <v>90</v>
      </c>
      <c r="B1927" s="1" t="n">
        <v>2025</v>
      </c>
      <c r="C1927" s="3" t="n">
        <v>45695</v>
      </c>
      <c r="E1927" s="1" t="s">
        <v>36</v>
      </c>
      <c r="F1927" s="1" t="s">
        <v>35</v>
      </c>
      <c r="G1927" s="1" t="s">
        <v>419</v>
      </c>
      <c r="H1927" s="1" t="s">
        <v>419</v>
      </c>
      <c r="I1927" s="1" t="s">
        <v>388</v>
      </c>
      <c r="J1927" s="1" t="s">
        <v>550</v>
      </c>
      <c r="K1927" s="1" t="s">
        <v>384</v>
      </c>
    </row>
    <row r="1928" customFormat="false" ht="14.25" hidden="false" customHeight="false" outlineLevel="0" collapsed="false">
      <c r="A1928" s="1" t="n">
        <v>90</v>
      </c>
      <c r="B1928" s="1" t="n">
        <v>2025</v>
      </c>
      <c r="C1928" s="3" t="n">
        <v>45695</v>
      </c>
      <c r="E1928" s="1" t="s">
        <v>153</v>
      </c>
      <c r="F1928" s="1" t="s">
        <v>154</v>
      </c>
      <c r="G1928" s="1" t="s">
        <v>394</v>
      </c>
      <c r="H1928" s="1" t="s">
        <v>394</v>
      </c>
      <c r="I1928" s="1" t="s">
        <v>394</v>
      </c>
      <c r="J1928" s="1" t="s">
        <v>394</v>
      </c>
      <c r="K1928" s="1" t="s">
        <v>394</v>
      </c>
    </row>
    <row r="1929" customFormat="false" ht="14.25" hidden="false" customHeight="false" outlineLevel="0" collapsed="false">
      <c r="A1929" s="1" t="n">
        <v>90</v>
      </c>
      <c r="B1929" s="1" t="n">
        <v>2025</v>
      </c>
      <c r="C1929" s="3" t="n">
        <v>45695</v>
      </c>
      <c r="E1929" s="1" t="s">
        <v>39</v>
      </c>
      <c r="F1929" s="1" t="s">
        <v>40</v>
      </c>
      <c r="G1929" s="0"/>
      <c r="H1929" s="1" t="s">
        <v>385</v>
      </c>
      <c r="I1929" s="1" t="s">
        <v>405</v>
      </c>
      <c r="J1929" s="1" t="s">
        <v>497</v>
      </c>
      <c r="K1929" s="1" t="s">
        <v>497</v>
      </c>
    </row>
    <row r="1930" customFormat="false" ht="14.25" hidden="false" customHeight="false" outlineLevel="0" collapsed="false">
      <c r="A1930" s="1" t="n">
        <v>90</v>
      </c>
      <c r="B1930" s="1" t="n">
        <v>2025</v>
      </c>
      <c r="C1930" s="3" t="n">
        <v>45695</v>
      </c>
      <c r="E1930" s="1" t="s">
        <v>42</v>
      </c>
      <c r="F1930" s="1" t="s">
        <v>43</v>
      </c>
      <c r="G1930" s="1" t="s">
        <v>390</v>
      </c>
      <c r="H1930" s="1" t="s">
        <v>390</v>
      </c>
      <c r="I1930" s="1" t="s">
        <v>370</v>
      </c>
      <c r="J1930" s="1" t="s">
        <v>395</v>
      </c>
      <c r="K1930" s="1" t="s">
        <v>396</v>
      </c>
    </row>
    <row r="1931" customFormat="false" ht="14.25" hidden="false" customHeight="false" outlineLevel="0" collapsed="false">
      <c r="A1931" s="1" t="n">
        <v>90</v>
      </c>
      <c r="B1931" s="1" t="n">
        <v>2025</v>
      </c>
      <c r="C1931" s="3" t="n">
        <v>45695</v>
      </c>
      <c r="E1931" s="1" t="s">
        <v>44</v>
      </c>
      <c r="F1931" s="1" t="s">
        <v>45</v>
      </c>
      <c r="G1931" s="1" t="s">
        <v>397</v>
      </c>
      <c r="H1931" s="1" t="s">
        <v>393</v>
      </c>
      <c r="I1931" s="1" t="s">
        <v>393</v>
      </c>
      <c r="J1931" s="1" t="s">
        <v>404</v>
      </c>
      <c r="K1931" s="1" t="s">
        <v>393</v>
      </c>
    </row>
    <row r="1932" customFormat="false" ht="14.25" hidden="false" customHeight="false" outlineLevel="0" collapsed="false">
      <c r="A1932" s="1" t="n">
        <v>90</v>
      </c>
      <c r="B1932" s="1" t="n">
        <v>2025</v>
      </c>
      <c r="C1932" s="3" t="n">
        <v>45695</v>
      </c>
      <c r="E1932" s="1" t="s">
        <v>48</v>
      </c>
      <c r="F1932" s="1" t="s">
        <v>45</v>
      </c>
      <c r="G1932" s="0"/>
      <c r="H1932" s="1" t="s">
        <v>386</v>
      </c>
      <c r="I1932" s="1" t="s">
        <v>386</v>
      </c>
      <c r="J1932" s="1" t="s">
        <v>386</v>
      </c>
      <c r="K1932" s="1" t="s">
        <v>386</v>
      </c>
    </row>
    <row r="1933" customFormat="false" ht="14.25" hidden="false" customHeight="false" outlineLevel="0" collapsed="false">
      <c r="A1933" s="1" t="n">
        <v>90</v>
      </c>
      <c r="B1933" s="1" t="n">
        <v>2025</v>
      </c>
      <c r="C1933" s="3" t="n">
        <v>45695</v>
      </c>
      <c r="E1933" s="1" t="s">
        <v>49</v>
      </c>
      <c r="F1933" s="1" t="s">
        <v>50</v>
      </c>
      <c r="G1933" s="1" t="s">
        <v>358</v>
      </c>
      <c r="H1933" s="1" t="s">
        <v>393</v>
      </c>
      <c r="I1933" s="1" t="s">
        <v>358</v>
      </c>
      <c r="J1933" s="1" t="s">
        <v>399</v>
      </c>
      <c r="K1933" s="1" t="s">
        <v>358</v>
      </c>
    </row>
    <row r="1934" customFormat="false" ht="14.25" hidden="false" customHeight="false" outlineLevel="0" collapsed="false">
      <c r="A1934" s="1" t="n">
        <v>90</v>
      </c>
      <c r="B1934" s="1" t="n">
        <v>2025</v>
      </c>
      <c r="C1934" s="3" t="n">
        <v>45695</v>
      </c>
      <c r="E1934" s="1" t="s">
        <v>52</v>
      </c>
      <c r="F1934" s="1" t="s">
        <v>43</v>
      </c>
      <c r="G1934" s="1" t="s">
        <v>386</v>
      </c>
      <c r="H1934" s="1" t="s">
        <v>358</v>
      </c>
      <c r="I1934" s="1" t="s">
        <v>386</v>
      </c>
      <c r="J1934" s="1" t="s">
        <v>527</v>
      </c>
      <c r="K1934" s="1" t="s">
        <v>385</v>
      </c>
    </row>
    <row r="1935" customFormat="false" ht="14.25" hidden="false" customHeight="false" outlineLevel="0" collapsed="false">
      <c r="A1935" s="1" t="n">
        <v>90</v>
      </c>
      <c r="B1935" s="1" t="n">
        <v>2025</v>
      </c>
      <c r="C1935" s="3" t="n">
        <v>45695</v>
      </c>
      <c r="E1935" s="1" t="s">
        <v>53</v>
      </c>
      <c r="F1935" s="1" t="s">
        <v>43</v>
      </c>
      <c r="G1935" s="1" t="s">
        <v>370</v>
      </c>
      <c r="H1935" s="1" t="s">
        <v>370</v>
      </c>
      <c r="I1935" s="1" t="s">
        <v>405</v>
      </c>
      <c r="J1935" s="1" t="s">
        <v>387</v>
      </c>
      <c r="K1935" s="1" t="s">
        <v>385</v>
      </c>
    </row>
    <row r="1936" customFormat="false" ht="14.25" hidden="false" customHeight="false" outlineLevel="0" collapsed="false">
      <c r="A1936" s="1" t="n">
        <v>90</v>
      </c>
      <c r="B1936" s="1" t="n">
        <v>2025</v>
      </c>
      <c r="C1936" s="3" t="n">
        <v>45695</v>
      </c>
      <c r="E1936" s="1" t="s">
        <v>54</v>
      </c>
      <c r="F1936" s="1" t="s">
        <v>40</v>
      </c>
      <c r="G1936" s="1" t="s">
        <v>358</v>
      </c>
      <c r="H1936" s="1" t="s">
        <v>358</v>
      </c>
      <c r="I1936" s="1" t="s">
        <v>385</v>
      </c>
      <c r="J1936" s="1" t="s">
        <v>394</v>
      </c>
      <c r="K1936" s="1" t="s">
        <v>358</v>
      </c>
    </row>
    <row r="1937" customFormat="false" ht="14.25" hidden="false" customHeight="false" outlineLevel="0" collapsed="false">
      <c r="A1937" s="1" t="n">
        <v>90</v>
      </c>
      <c r="B1937" s="1" t="n">
        <v>2025</v>
      </c>
      <c r="C1937" s="3" t="n">
        <v>45695</v>
      </c>
      <c r="E1937" s="1" t="s">
        <v>56</v>
      </c>
      <c r="F1937" s="1" t="s">
        <v>43</v>
      </c>
      <c r="G1937" s="0"/>
      <c r="H1937" s="1" t="s">
        <v>385</v>
      </c>
      <c r="I1937" s="1" t="s">
        <v>385</v>
      </c>
      <c r="J1937" s="1" t="s">
        <v>385</v>
      </c>
      <c r="K1937" s="1" t="s">
        <v>385</v>
      </c>
    </row>
    <row r="1938" customFormat="false" ht="14.25" hidden="false" customHeight="false" outlineLevel="0" collapsed="false">
      <c r="A1938" s="1" t="n">
        <v>90</v>
      </c>
      <c r="B1938" s="1" t="n">
        <v>2025</v>
      </c>
      <c r="C1938" s="3" t="n">
        <v>45695</v>
      </c>
      <c r="E1938" s="1" t="s">
        <v>57</v>
      </c>
      <c r="F1938" s="1" t="s">
        <v>40</v>
      </c>
      <c r="G1938" s="0"/>
      <c r="H1938" s="1" t="s">
        <v>385</v>
      </c>
      <c r="I1938" s="1" t="s">
        <v>386</v>
      </c>
      <c r="J1938" s="1" t="s">
        <v>387</v>
      </c>
      <c r="K1938" s="1" t="s">
        <v>387</v>
      </c>
    </row>
    <row r="1939" customFormat="false" ht="14.25" hidden="false" customHeight="false" outlineLevel="0" collapsed="false">
      <c r="A1939" s="1" t="n">
        <v>90</v>
      </c>
      <c r="B1939" s="1" t="n">
        <v>2025</v>
      </c>
      <c r="C1939" s="3" t="n">
        <v>45695</v>
      </c>
      <c r="E1939" s="1" t="s">
        <v>58</v>
      </c>
      <c r="F1939" s="1" t="s">
        <v>40</v>
      </c>
      <c r="G1939" s="0"/>
      <c r="H1939" s="1" t="s">
        <v>358</v>
      </c>
      <c r="I1939" s="1" t="s">
        <v>403</v>
      </c>
      <c r="J1939" s="1" t="s">
        <v>560</v>
      </c>
      <c r="K1939" s="1" t="s">
        <v>561</v>
      </c>
    </row>
    <row r="1940" customFormat="false" ht="14.25" hidden="false" customHeight="false" outlineLevel="0" collapsed="false">
      <c r="A1940" s="1" t="n">
        <v>90</v>
      </c>
      <c r="B1940" s="1" t="n">
        <v>2025</v>
      </c>
      <c r="C1940" s="3" t="n">
        <v>45695</v>
      </c>
      <c r="E1940" s="1" t="s">
        <v>59</v>
      </c>
      <c r="F1940" s="1" t="s">
        <v>45</v>
      </c>
      <c r="G1940" s="0"/>
      <c r="H1940" s="1" t="s">
        <v>419</v>
      </c>
      <c r="I1940" s="1" t="s">
        <v>484</v>
      </c>
      <c r="J1940" s="1" t="s">
        <v>390</v>
      </c>
      <c r="K1940" s="1" t="s">
        <v>388</v>
      </c>
    </row>
    <row r="1941" customFormat="false" ht="14.25" hidden="false" customHeight="false" outlineLevel="0" collapsed="false">
      <c r="A1941" s="1" t="n">
        <v>90</v>
      </c>
      <c r="B1941" s="1" t="n">
        <v>2025</v>
      </c>
      <c r="C1941" s="3" t="n">
        <v>45695</v>
      </c>
      <c r="E1941" s="1" t="s">
        <v>60</v>
      </c>
      <c r="F1941" s="1" t="s">
        <v>61</v>
      </c>
      <c r="G1941" s="1" t="s">
        <v>370</v>
      </c>
      <c r="H1941" s="1" t="s">
        <v>370</v>
      </c>
      <c r="I1941" s="1" t="s">
        <v>415</v>
      </c>
      <c r="J1941" s="1" t="s">
        <v>386</v>
      </c>
      <c r="K1941" s="1" t="s">
        <v>370</v>
      </c>
    </row>
    <row r="1942" customFormat="false" ht="14.25" hidden="false" customHeight="false" outlineLevel="0" collapsed="false">
      <c r="A1942" s="1" t="n">
        <v>90</v>
      </c>
      <c r="B1942" s="1" t="n">
        <v>2025</v>
      </c>
      <c r="C1942" s="3" t="n">
        <v>45695</v>
      </c>
      <c r="E1942" s="1" t="s">
        <v>63</v>
      </c>
      <c r="F1942" s="1" t="s">
        <v>40</v>
      </c>
      <c r="G1942" s="0"/>
      <c r="H1942" s="1" t="s">
        <v>394</v>
      </c>
      <c r="I1942" s="1" t="s">
        <v>415</v>
      </c>
      <c r="J1942" s="1" t="s">
        <v>513</v>
      </c>
      <c r="K1942" s="1" t="s">
        <v>484</v>
      </c>
    </row>
    <row r="1943" customFormat="false" ht="14.25" hidden="false" customHeight="false" outlineLevel="0" collapsed="false">
      <c r="A1943" s="1" t="n">
        <v>90</v>
      </c>
      <c r="B1943" s="1" t="n">
        <v>2025</v>
      </c>
      <c r="C1943" s="3" t="n">
        <v>45695</v>
      </c>
      <c r="E1943" s="1" t="s">
        <v>64</v>
      </c>
      <c r="F1943" s="1" t="s">
        <v>40</v>
      </c>
      <c r="G1943" s="0"/>
      <c r="H1943" s="1" t="s">
        <v>386</v>
      </c>
      <c r="I1943" s="1" t="s">
        <v>408</v>
      </c>
      <c r="J1943" s="1" t="s">
        <v>562</v>
      </c>
      <c r="K1943" s="1" t="s">
        <v>562</v>
      </c>
    </row>
    <row r="1944" customFormat="false" ht="14.25" hidden="false" customHeight="false" outlineLevel="0" collapsed="false">
      <c r="A1944" s="1" t="n">
        <v>91</v>
      </c>
      <c r="B1944" s="1" t="n">
        <v>2025</v>
      </c>
      <c r="C1944" s="3" t="n">
        <v>45702</v>
      </c>
      <c r="E1944" s="1" t="s">
        <v>12</v>
      </c>
      <c r="F1944" s="1" t="s">
        <v>13</v>
      </c>
      <c r="G1944" s="0"/>
      <c r="H1944" s="1" t="s">
        <v>357</v>
      </c>
      <c r="I1944" s="1" t="s">
        <v>360</v>
      </c>
      <c r="J1944" s="1" t="s">
        <v>358</v>
      </c>
      <c r="K1944" s="1" t="s">
        <v>358</v>
      </c>
    </row>
    <row r="1945" customFormat="false" ht="14.25" hidden="false" customHeight="false" outlineLevel="0" collapsed="false">
      <c r="A1945" s="1" t="n">
        <v>91</v>
      </c>
      <c r="B1945" s="1" t="n">
        <v>2025</v>
      </c>
      <c r="C1945" s="3" t="n">
        <v>45702</v>
      </c>
      <c r="E1945" s="1" t="s">
        <v>14</v>
      </c>
      <c r="F1945" s="1" t="s">
        <v>13</v>
      </c>
      <c r="G1945" s="1" t="s">
        <v>472</v>
      </c>
      <c r="H1945" s="1" t="s">
        <v>359</v>
      </c>
      <c r="I1945" s="1" t="s">
        <v>472</v>
      </c>
      <c r="J1945" s="1" t="s">
        <v>505</v>
      </c>
      <c r="K1945" s="1" t="s">
        <v>472</v>
      </c>
    </row>
    <row r="1946" customFormat="false" ht="14.25" hidden="false" customHeight="false" outlineLevel="0" collapsed="false">
      <c r="A1946" s="1" t="n">
        <v>91</v>
      </c>
      <c r="B1946" s="1" t="n">
        <v>2025</v>
      </c>
      <c r="C1946" s="3" t="n">
        <v>45702</v>
      </c>
      <c r="E1946" s="1" t="s">
        <v>15</v>
      </c>
      <c r="F1946" s="1" t="s">
        <v>13</v>
      </c>
      <c r="G1946" s="1" t="s">
        <v>357</v>
      </c>
      <c r="H1946" s="1" t="s">
        <v>357</v>
      </c>
      <c r="I1946" s="1" t="s">
        <v>358</v>
      </c>
      <c r="J1946" s="1" t="s">
        <v>428</v>
      </c>
      <c r="K1946" s="1" t="s">
        <v>357</v>
      </c>
    </row>
    <row r="1947" customFormat="false" ht="14.25" hidden="false" customHeight="false" outlineLevel="0" collapsed="false">
      <c r="A1947" s="1" t="n">
        <v>91</v>
      </c>
      <c r="B1947" s="1" t="n">
        <v>2025</v>
      </c>
      <c r="C1947" s="3" t="n">
        <v>45702</v>
      </c>
      <c r="E1947" s="1" t="s">
        <v>16</v>
      </c>
      <c r="F1947" s="1" t="s">
        <v>13</v>
      </c>
      <c r="G1947" s="0"/>
      <c r="H1947" s="1" t="s">
        <v>362</v>
      </c>
      <c r="I1947" s="1" t="s">
        <v>430</v>
      </c>
      <c r="J1947" s="1" t="s">
        <v>365</v>
      </c>
      <c r="K1947" s="1" t="s">
        <v>365</v>
      </c>
    </row>
    <row r="1948" customFormat="false" ht="14.25" hidden="false" customHeight="false" outlineLevel="0" collapsed="false">
      <c r="A1948" s="1" t="n">
        <v>91</v>
      </c>
      <c r="B1948" s="1" t="n">
        <v>2025</v>
      </c>
      <c r="C1948" s="3" t="n">
        <v>45702</v>
      </c>
      <c r="E1948" s="1" t="s">
        <v>17</v>
      </c>
      <c r="F1948" s="1" t="s">
        <v>13</v>
      </c>
      <c r="G1948" s="1" t="s">
        <v>362</v>
      </c>
      <c r="H1948" s="1" t="s">
        <v>362</v>
      </c>
      <c r="I1948" s="1" t="s">
        <v>365</v>
      </c>
      <c r="J1948" s="1" t="s">
        <v>563</v>
      </c>
      <c r="K1948" s="1" t="s">
        <v>362</v>
      </c>
    </row>
    <row r="1949" customFormat="false" ht="14.25" hidden="false" customHeight="false" outlineLevel="0" collapsed="false">
      <c r="A1949" s="1" t="n">
        <v>91</v>
      </c>
      <c r="B1949" s="1" t="n">
        <v>2025</v>
      </c>
      <c r="C1949" s="3" t="n">
        <v>45702</v>
      </c>
      <c r="E1949" s="1" t="s">
        <v>18</v>
      </c>
      <c r="F1949" s="1" t="s">
        <v>13</v>
      </c>
      <c r="G1949" s="1" t="s">
        <v>358</v>
      </c>
      <c r="H1949" s="1" t="s">
        <v>358</v>
      </c>
      <c r="I1949" s="1" t="s">
        <v>416</v>
      </c>
      <c r="J1949" s="1" t="s">
        <v>474</v>
      </c>
      <c r="K1949" s="1" t="s">
        <v>358</v>
      </c>
    </row>
    <row r="1950" customFormat="false" ht="14.25" hidden="false" customHeight="false" outlineLevel="0" collapsed="false">
      <c r="A1950" s="1" t="n">
        <v>91</v>
      </c>
      <c r="B1950" s="1" t="n">
        <v>2025</v>
      </c>
      <c r="C1950" s="3" t="n">
        <v>45702</v>
      </c>
      <c r="E1950" s="1" t="s">
        <v>19</v>
      </c>
      <c r="F1950" s="1" t="s">
        <v>13</v>
      </c>
      <c r="G1950" s="0"/>
      <c r="H1950" s="1" t="s">
        <v>358</v>
      </c>
      <c r="I1950" s="1" t="s">
        <v>564</v>
      </c>
      <c r="J1950" s="1" t="s">
        <v>565</v>
      </c>
      <c r="K1950" s="1" t="s">
        <v>566</v>
      </c>
    </row>
    <row r="1951" customFormat="false" ht="14.25" hidden="false" customHeight="false" outlineLevel="0" collapsed="false">
      <c r="A1951" s="1" t="n">
        <v>91</v>
      </c>
      <c r="B1951" s="1" t="n">
        <v>2025</v>
      </c>
      <c r="C1951" s="3" t="n">
        <v>45702</v>
      </c>
      <c r="E1951" s="1" t="s">
        <v>20</v>
      </c>
      <c r="F1951" s="1" t="s">
        <v>13</v>
      </c>
      <c r="G1951" s="0"/>
      <c r="H1951" s="1" t="s">
        <v>360</v>
      </c>
      <c r="I1951" s="1" t="s">
        <v>401</v>
      </c>
      <c r="J1951" s="1" t="s">
        <v>567</v>
      </c>
      <c r="K1951" s="1" t="s">
        <v>568</v>
      </c>
    </row>
    <row r="1952" customFormat="false" ht="14.25" hidden="false" customHeight="false" outlineLevel="0" collapsed="false">
      <c r="A1952" s="1" t="n">
        <v>91</v>
      </c>
      <c r="B1952" s="1" t="n">
        <v>2025</v>
      </c>
      <c r="C1952" s="3" t="n">
        <v>45702</v>
      </c>
      <c r="E1952" s="1" t="s">
        <v>21</v>
      </c>
      <c r="F1952" s="1" t="s">
        <v>13</v>
      </c>
      <c r="G1952" s="0"/>
      <c r="H1952" s="1" t="s">
        <v>419</v>
      </c>
      <c r="I1952" s="1" t="s">
        <v>363</v>
      </c>
      <c r="J1952" s="1" t="s">
        <v>569</v>
      </c>
      <c r="K1952" s="1" t="s">
        <v>362</v>
      </c>
    </row>
    <row r="1953" customFormat="false" ht="14.25" hidden="false" customHeight="false" outlineLevel="0" collapsed="false">
      <c r="A1953" s="1" t="n">
        <v>91</v>
      </c>
      <c r="B1953" s="1" t="n">
        <v>2025</v>
      </c>
      <c r="C1953" s="3" t="n">
        <v>45702</v>
      </c>
      <c r="E1953" s="1" t="s">
        <v>73</v>
      </c>
      <c r="F1953" s="1" t="s">
        <v>13</v>
      </c>
      <c r="G1953" s="1" t="s">
        <v>401</v>
      </c>
      <c r="H1953" s="1" t="s">
        <v>401</v>
      </c>
      <c r="I1953" s="1" t="s">
        <v>401</v>
      </c>
      <c r="J1953" s="1" t="s">
        <v>401</v>
      </c>
      <c r="K1953" s="1" t="s">
        <v>401</v>
      </c>
    </row>
    <row r="1954" customFormat="false" ht="14.25" hidden="false" customHeight="false" outlineLevel="0" collapsed="false">
      <c r="A1954" s="1" t="n">
        <v>91</v>
      </c>
      <c r="B1954" s="1" t="n">
        <v>2025</v>
      </c>
      <c r="C1954" s="3" t="n">
        <v>45702</v>
      </c>
      <c r="E1954" s="1" t="s">
        <v>23</v>
      </c>
      <c r="F1954" s="1" t="s">
        <v>13</v>
      </c>
      <c r="G1954" s="0"/>
      <c r="H1954" s="1" t="s">
        <v>362</v>
      </c>
      <c r="I1954" s="1" t="s">
        <v>430</v>
      </c>
      <c r="J1954" s="1" t="s">
        <v>365</v>
      </c>
      <c r="K1954" s="1" t="s">
        <v>365</v>
      </c>
    </row>
    <row r="1955" customFormat="false" ht="14.25" hidden="false" customHeight="false" outlineLevel="0" collapsed="false">
      <c r="A1955" s="1" t="n">
        <v>91</v>
      </c>
      <c r="B1955" s="1" t="n">
        <v>2025</v>
      </c>
      <c r="C1955" s="3" t="n">
        <v>45702</v>
      </c>
      <c r="E1955" s="1" t="s">
        <v>24</v>
      </c>
      <c r="F1955" s="1" t="s">
        <v>13</v>
      </c>
      <c r="G1955" s="1" t="s">
        <v>360</v>
      </c>
      <c r="H1955" s="1" t="s">
        <v>360</v>
      </c>
      <c r="I1955" s="1" t="s">
        <v>417</v>
      </c>
      <c r="J1955" s="1" t="s">
        <v>443</v>
      </c>
      <c r="K1955" s="1" t="s">
        <v>360</v>
      </c>
    </row>
    <row r="1956" customFormat="false" ht="14.25" hidden="false" customHeight="false" outlineLevel="0" collapsed="false">
      <c r="A1956" s="1" t="n">
        <v>91</v>
      </c>
      <c r="B1956" s="1" t="n">
        <v>2025</v>
      </c>
      <c r="C1956" s="3" t="n">
        <v>45702</v>
      </c>
      <c r="E1956" s="1" t="s">
        <v>25</v>
      </c>
      <c r="F1956" s="1" t="s">
        <v>26</v>
      </c>
      <c r="G1956" s="1" t="s">
        <v>358</v>
      </c>
      <c r="H1956" s="1" t="s">
        <v>358</v>
      </c>
      <c r="I1956" s="1" t="s">
        <v>417</v>
      </c>
      <c r="J1956" s="1" t="s">
        <v>416</v>
      </c>
      <c r="K1956" s="1" t="s">
        <v>358</v>
      </c>
    </row>
    <row r="1957" customFormat="false" ht="14.25" hidden="false" customHeight="false" outlineLevel="0" collapsed="false">
      <c r="A1957" s="1" t="n">
        <v>91</v>
      </c>
      <c r="B1957" s="1" t="n">
        <v>2025</v>
      </c>
      <c r="C1957" s="3" t="n">
        <v>45702</v>
      </c>
      <c r="E1957" s="1" t="s">
        <v>27</v>
      </c>
      <c r="F1957" s="1" t="s">
        <v>13</v>
      </c>
      <c r="G1957" s="1" t="s">
        <v>361</v>
      </c>
      <c r="H1957" s="1" t="s">
        <v>358</v>
      </c>
      <c r="I1957" s="1" t="s">
        <v>361</v>
      </c>
      <c r="J1957" s="1" t="s">
        <v>490</v>
      </c>
      <c r="K1957" s="1" t="s">
        <v>361</v>
      </c>
    </row>
    <row r="1958" customFormat="false" ht="14.25" hidden="false" customHeight="false" outlineLevel="0" collapsed="false">
      <c r="A1958" s="1" t="n">
        <v>91</v>
      </c>
      <c r="B1958" s="1" t="n">
        <v>2025</v>
      </c>
      <c r="C1958" s="3" t="n">
        <v>45702</v>
      </c>
      <c r="E1958" s="1" t="s">
        <v>28</v>
      </c>
      <c r="F1958" s="1" t="s">
        <v>13</v>
      </c>
      <c r="G1958" s="0"/>
      <c r="H1958" s="1" t="s">
        <v>390</v>
      </c>
      <c r="I1958" s="1" t="s">
        <v>358</v>
      </c>
      <c r="J1958" s="1" t="s">
        <v>377</v>
      </c>
      <c r="K1958" s="1" t="s">
        <v>357</v>
      </c>
    </row>
    <row r="1959" customFormat="false" ht="14.25" hidden="false" customHeight="false" outlineLevel="0" collapsed="false">
      <c r="A1959" s="1" t="n">
        <v>91</v>
      </c>
      <c r="B1959" s="1" t="n">
        <v>2025</v>
      </c>
      <c r="C1959" s="3" t="n">
        <v>45702</v>
      </c>
      <c r="E1959" s="1" t="s">
        <v>29</v>
      </c>
      <c r="F1959" s="1" t="s">
        <v>13</v>
      </c>
      <c r="G1959" s="1" t="s">
        <v>358</v>
      </c>
      <c r="H1959" s="1" t="s">
        <v>358</v>
      </c>
      <c r="I1959" s="1" t="s">
        <v>358</v>
      </c>
      <c r="J1959" s="1" t="s">
        <v>358</v>
      </c>
      <c r="K1959" s="1" t="s">
        <v>358</v>
      </c>
    </row>
    <row r="1960" customFormat="false" ht="14.25" hidden="false" customHeight="false" outlineLevel="0" collapsed="false">
      <c r="A1960" s="1" t="n">
        <v>91</v>
      </c>
      <c r="B1960" s="1" t="n">
        <v>2025</v>
      </c>
      <c r="C1960" s="3" t="n">
        <v>45702</v>
      </c>
      <c r="E1960" s="1" t="s">
        <v>31</v>
      </c>
      <c r="F1960" s="1" t="s">
        <v>32</v>
      </c>
      <c r="G1960" s="1" t="s">
        <v>378</v>
      </c>
      <c r="H1960" s="1" t="s">
        <v>378</v>
      </c>
      <c r="I1960" s="1" t="s">
        <v>378</v>
      </c>
      <c r="J1960" s="1" t="s">
        <v>378</v>
      </c>
      <c r="K1960" s="1" t="s">
        <v>378</v>
      </c>
    </row>
    <row r="1961" customFormat="false" ht="14.25" hidden="false" customHeight="false" outlineLevel="0" collapsed="false">
      <c r="A1961" s="1" t="n">
        <v>91</v>
      </c>
      <c r="B1961" s="1" t="n">
        <v>2025</v>
      </c>
      <c r="C1961" s="3" t="n">
        <v>45702</v>
      </c>
      <c r="E1961" s="1" t="s">
        <v>34</v>
      </c>
      <c r="F1961" s="1" t="s">
        <v>35</v>
      </c>
      <c r="G1961" s="0"/>
      <c r="H1961" s="1" t="s">
        <v>388</v>
      </c>
      <c r="I1961" s="1" t="s">
        <v>390</v>
      </c>
      <c r="J1961" s="1" t="s">
        <v>397</v>
      </c>
      <c r="K1961" s="1" t="s">
        <v>397</v>
      </c>
    </row>
    <row r="1962" customFormat="false" ht="14.25" hidden="false" customHeight="false" outlineLevel="0" collapsed="false">
      <c r="A1962" s="1" t="n">
        <v>91</v>
      </c>
      <c r="B1962" s="1" t="n">
        <v>2025</v>
      </c>
      <c r="C1962" s="3" t="n">
        <v>45702</v>
      </c>
      <c r="E1962" s="1" t="s">
        <v>36</v>
      </c>
      <c r="F1962" s="1" t="s">
        <v>35</v>
      </c>
      <c r="G1962" s="1" t="s">
        <v>388</v>
      </c>
      <c r="H1962" s="1" t="s">
        <v>362</v>
      </c>
      <c r="I1962" s="1" t="s">
        <v>388</v>
      </c>
      <c r="J1962" s="1" t="s">
        <v>467</v>
      </c>
      <c r="K1962" s="1" t="s">
        <v>388</v>
      </c>
    </row>
    <row r="1963" customFormat="false" ht="14.25" hidden="false" customHeight="false" outlineLevel="0" collapsed="false">
      <c r="A1963" s="1" t="n">
        <v>91</v>
      </c>
      <c r="B1963" s="1" t="n">
        <v>2025</v>
      </c>
      <c r="C1963" s="3" t="n">
        <v>45702</v>
      </c>
      <c r="E1963" s="1" t="s">
        <v>153</v>
      </c>
      <c r="F1963" s="1" t="s">
        <v>154</v>
      </c>
      <c r="G1963" s="1" t="s">
        <v>358</v>
      </c>
      <c r="H1963" s="1" t="s">
        <v>358</v>
      </c>
      <c r="I1963" s="1" t="s">
        <v>394</v>
      </c>
      <c r="J1963" s="1" t="s">
        <v>512</v>
      </c>
      <c r="K1963" s="1" t="s">
        <v>358</v>
      </c>
    </row>
    <row r="1964" customFormat="false" ht="14.25" hidden="false" customHeight="false" outlineLevel="0" collapsed="false">
      <c r="A1964" s="1" t="n">
        <v>91</v>
      </c>
      <c r="B1964" s="1" t="n">
        <v>2025</v>
      </c>
      <c r="C1964" s="3" t="n">
        <v>45702</v>
      </c>
      <c r="E1964" s="1" t="s">
        <v>39</v>
      </c>
      <c r="F1964" s="1" t="s">
        <v>40</v>
      </c>
      <c r="G1964" s="1" t="s">
        <v>405</v>
      </c>
      <c r="H1964" s="1" t="s">
        <v>405</v>
      </c>
      <c r="I1964" s="1" t="s">
        <v>403</v>
      </c>
      <c r="J1964" s="1" t="s">
        <v>526</v>
      </c>
      <c r="K1964" s="1" t="s">
        <v>412</v>
      </c>
    </row>
    <row r="1965" customFormat="false" ht="14.25" hidden="false" customHeight="false" outlineLevel="0" collapsed="false">
      <c r="A1965" s="1" t="n">
        <v>91</v>
      </c>
      <c r="B1965" s="1" t="n">
        <v>2025</v>
      </c>
      <c r="C1965" s="3" t="n">
        <v>45702</v>
      </c>
      <c r="E1965" s="1" t="s">
        <v>42</v>
      </c>
      <c r="F1965" s="1" t="s">
        <v>43</v>
      </c>
      <c r="G1965" s="0"/>
      <c r="H1965" s="1" t="s">
        <v>390</v>
      </c>
      <c r="I1965" s="1" t="s">
        <v>370</v>
      </c>
      <c r="J1965" s="1" t="s">
        <v>358</v>
      </c>
      <c r="K1965" s="1" t="s">
        <v>391</v>
      </c>
    </row>
    <row r="1966" customFormat="false" ht="14.25" hidden="false" customHeight="false" outlineLevel="0" collapsed="false">
      <c r="A1966" s="1" t="n">
        <v>91</v>
      </c>
      <c r="B1966" s="1" t="n">
        <v>2025</v>
      </c>
      <c r="C1966" s="3" t="n">
        <v>45702</v>
      </c>
      <c r="E1966" s="1" t="s">
        <v>44</v>
      </c>
      <c r="F1966" s="1" t="s">
        <v>45</v>
      </c>
      <c r="G1966" s="1" t="s">
        <v>393</v>
      </c>
      <c r="H1966" s="1" t="s">
        <v>393</v>
      </c>
      <c r="I1966" s="1" t="s">
        <v>394</v>
      </c>
      <c r="J1966" s="1" t="s">
        <v>396</v>
      </c>
      <c r="K1966" s="1" t="s">
        <v>400</v>
      </c>
    </row>
    <row r="1967" customFormat="false" ht="14.25" hidden="false" customHeight="false" outlineLevel="0" collapsed="false">
      <c r="A1967" s="1" t="n">
        <v>91</v>
      </c>
      <c r="B1967" s="1" t="n">
        <v>2025</v>
      </c>
      <c r="C1967" s="3" t="n">
        <v>45702</v>
      </c>
      <c r="E1967" s="1" t="s">
        <v>48</v>
      </c>
      <c r="F1967" s="1" t="s">
        <v>45</v>
      </c>
      <c r="G1967" s="0"/>
      <c r="H1967" s="1" t="s">
        <v>358</v>
      </c>
      <c r="I1967" s="1" t="s">
        <v>386</v>
      </c>
      <c r="J1967" s="1" t="s">
        <v>370</v>
      </c>
      <c r="K1967" s="1" t="s">
        <v>370</v>
      </c>
    </row>
    <row r="1968" customFormat="false" ht="14.25" hidden="false" customHeight="false" outlineLevel="0" collapsed="false">
      <c r="A1968" s="1" t="n">
        <v>91</v>
      </c>
      <c r="B1968" s="1" t="n">
        <v>2025</v>
      </c>
      <c r="C1968" s="3" t="n">
        <v>45702</v>
      </c>
      <c r="E1968" s="1" t="s">
        <v>49</v>
      </c>
      <c r="F1968" s="1" t="s">
        <v>50</v>
      </c>
      <c r="G1968" s="1" t="s">
        <v>393</v>
      </c>
      <c r="H1968" s="1" t="s">
        <v>358</v>
      </c>
      <c r="I1968" s="1" t="s">
        <v>358</v>
      </c>
      <c r="J1968" s="1" t="s">
        <v>458</v>
      </c>
      <c r="K1968" s="1" t="s">
        <v>447</v>
      </c>
    </row>
    <row r="1969" customFormat="false" ht="14.25" hidden="false" customHeight="false" outlineLevel="0" collapsed="false">
      <c r="A1969" s="1" t="n">
        <v>91</v>
      </c>
      <c r="B1969" s="1" t="n">
        <v>2025</v>
      </c>
      <c r="C1969" s="3" t="n">
        <v>45702</v>
      </c>
      <c r="E1969" s="1" t="s">
        <v>52</v>
      </c>
      <c r="F1969" s="1" t="s">
        <v>43</v>
      </c>
      <c r="G1969" s="1" t="s">
        <v>394</v>
      </c>
      <c r="H1969" s="1" t="s">
        <v>405</v>
      </c>
      <c r="I1969" s="1" t="s">
        <v>405</v>
      </c>
      <c r="J1969" s="1" t="s">
        <v>413</v>
      </c>
      <c r="K1969" s="1" t="s">
        <v>484</v>
      </c>
    </row>
    <row r="1970" customFormat="false" ht="14.25" hidden="false" customHeight="false" outlineLevel="0" collapsed="false">
      <c r="A1970" s="1" t="n">
        <v>91</v>
      </c>
      <c r="B1970" s="1" t="n">
        <v>2025</v>
      </c>
      <c r="C1970" s="3" t="n">
        <v>45702</v>
      </c>
      <c r="E1970" s="1" t="s">
        <v>53</v>
      </c>
      <c r="F1970" s="1" t="s">
        <v>43</v>
      </c>
      <c r="G1970" s="1" t="s">
        <v>370</v>
      </c>
      <c r="H1970" s="1" t="s">
        <v>370</v>
      </c>
      <c r="I1970" s="1" t="s">
        <v>405</v>
      </c>
      <c r="J1970" s="1" t="s">
        <v>387</v>
      </c>
      <c r="K1970" s="1" t="s">
        <v>385</v>
      </c>
    </row>
    <row r="1971" customFormat="false" ht="14.25" hidden="false" customHeight="false" outlineLevel="0" collapsed="false">
      <c r="A1971" s="1" t="n">
        <v>91</v>
      </c>
      <c r="B1971" s="1" t="n">
        <v>2025</v>
      </c>
      <c r="C1971" s="3" t="n">
        <v>45702</v>
      </c>
      <c r="E1971" s="1" t="s">
        <v>54</v>
      </c>
      <c r="F1971" s="1" t="s">
        <v>40</v>
      </c>
      <c r="G1971" s="0"/>
      <c r="H1971" s="1" t="s">
        <v>358</v>
      </c>
      <c r="I1971" s="1" t="s">
        <v>415</v>
      </c>
      <c r="J1971" s="1" t="s">
        <v>497</v>
      </c>
      <c r="K1971" s="1" t="s">
        <v>484</v>
      </c>
    </row>
    <row r="1972" customFormat="false" ht="14.25" hidden="false" customHeight="false" outlineLevel="0" collapsed="false">
      <c r="A1972" s="1" t="n">
        <v>91</v>
      </c>
      <c r="B1972" s="1" t="n">
        <v>2025</v>
      </c>
      <c r="C1972" s="3" t="n">
        <v>45702</v>
      </c>
      <c r="E1972" s="1" t="s">
        <v>56</v>
      </c>
      <c r="F1972" s="1" t="s">
        <v>43</v>
      </c>
      <c r="G1972" s="0"/>
      <c r="H1972" s="1" t="s">
        <v>393</v>
      </c>
      <c r="I1972" s="1" t="s">
        <v>484</v>
      </c>
      <c r="J1972" s="1" t="s">
        <v>434</v>
      </c>
      <c r="K1972" s="1" t="s">
        <v>434</v>
      </c>
    </row>
    <row r="1973" customFormat="false" ht="14.25" hidden="false" customHeight="false" outlineLevel="0" collapsed="false">
      <c r="A1973" s="1" t="n">
        <v>91</v>
      </c>
      <c r="B1973" s="1" t="n">
        <v>2025</v>
      </c>
      <c r="C1973" s="3" t="n">
        <v>45702</v>
      </c>
      <c r="E1973" s="1" t="s">
        <v>57</v>
      </c>
      <c r="F1973" s="1" t="s">
        <v>40</v>
      </c>
      <c r="G1973" s="1" t="s">
        <v>370</v>
      </c>
      <c r="H1973" s="1" t="s">
        <v>370</v>
      </c>
      <c r="I1973" s="1" t="s">
        <v>386</v>
      </c>
      <c r="J1973" s="1" t="s">
        <v>570</v>
      </c>
      <c r="K1973" s="1" t="s">
        <v>370</v>
      </c>
    </row>
    <row r="1974" customFormat="false" ht="14.25" hidden="false" customHeight="false" outlineLevel="0" collapsed="false">
      <c r="A1974" s="1" t="n">
        <v>91</v>
      </c>
      <c r="B1974" s="1" t="n">
        <v>2025</v>
      </c>
      <c r="C1974" s="3" t="n">
        <v>45702</v>
      </c>
      <c r="E1974" s="1" t="s">
        <v>58</v>
      </c>
      <c r="F1974" s="1" t="s">
        <v>40</v>
      </c>
      <c r="G1974" s="1" t="s">
        <v>405</v>
      </c>
      <c r="H1974" s="1" t="s">
        <v>401</v>
      </c>
      <c r="I1974" s="1" t="s">
        <v>401</v>
      </c>
      <c r="J1974" s="1" t="s">
        <v>403</v>
      </c>
      <c r="K1974" s="1" t="s">
        <v>562</v>
      </c>
    </row>
    <row r="1975" customFormat="false" ht="14.25" hidden="false" customHeight="false" outlineLevel="0" collapsed="false">
      <c r="A1975" s="1" t="n">
        <v>91</v>
      </c>
      <c r="B1975" s="1" t="n">
        <v>2025</v>
      </c>
      <c r="C1975" s="3" t="n">
        <v>45702</v>
      </c>
      <c r="E1975" s="1" t="s">
        <v>59</v>
      </c>
      <c r="F1975" s="1" t="s">
        <v>45</v>
      </c>
      <c r="G1975" s="1" t="s">
        <v>419</v>
      </c>
      <c r="H1975" s="1" t="s">
        <v>397</v>
      </c>
      <c r="I1975" s="1" t="s">
        <v>390</v>
      </c>
      <c r="J1975" s="1" t="s">
        <v>571</v>
      </c>
      <c r="K1975" s="1" t="s">
        <v>397</v>
      </c>
    </row>
    <row r="1976" customFormat="false" ht="14.25" hidden="false" customHeight="false" outlineLevel="0" collapsed="false">
      <c r="A1976" s="1" t="n">
        <v>91</v>
      </c>
      <c r="B1976" s="1" t="n">
        <v>2025</v>
      </c>
      <c r="C1976" s="3" t="n">
        <v>45702</v>
      </c>
      <c r="E1976" s="1" t="s">
        <v>60</v>
      </c>
      <c r="F1976" s="1" t="s">
        <v>61</v>
      </c>
      <c r="G1976" s="0"/>
      <c r="H1976" s="1" t="s">
        <v>370</v>
      </c>
      <c r="I1976" s="1" t="s">
        <v>415</v>
      </c>
      <c r="J1976" s="1" t="s">
        <v>427</v>
      </c>
      <c r="K1976" s="1" t="s">
        <v>386</v>
      </c>
    </row>
    <row r="1977" customFormat="false" ht="14.25" hidden="false" customHeight="false" outlineLevel="0" collapsed="false">
      <c r="A1977" s="1" t="n">
        <v>91</v>
      </c>
      <c r="B1977" s="1" t="n">
        <v>2025</v>
      </c>
      <c r="C1977" s="3" t="n">
        <v>45702</v>
      </c>
      <c r="E1977" s="1" t="s">
        <v>63</v>
      </c>
      <c r="F1977" s="1" t="s">
        <v>40</v>
      </c>
      <c r="G1977" s="1" t="s">
        <v>405</v>
      </c>
      <c r="H1977" s="1" t="s">
        <v>401</v>
      </c>
      <c r="I1977" s="1" t="s">
        <v>401</v>
      </c>
      <c r="J1977" s="1" t="s">
        <v>572</v>
      </c>
      <c r="K1977" s="1" t="s">
        <v>403</v>
      </c>
    </row>
    <row r="1978" customFormat="false" ht="14.25" hidden="false" customHeight="false" outlineLevel="0" collapsed="false">
      <c r="A1978" s="1" t="n">
        <v>91</v>
      </c>
      <c r="B1978" s="1" t="n">
        <v>2025</v>
      </c>
      <c r="C1978" s="3" t="n">
        <v>45702</v>
      </c>
      <c r="E1978" s="1" t="s">
        <v>64</v>
      </c>
      <c r="F1978" s="1" t="s">
        <v>40</v>
      </c>
      <c r="G1978" s="0"/>
      <c r="H1978" s="1" t="s">
        <v>408</v>
      </c>
      <c r="I1978" s="1" t="s">
        <v>573</v>
      </c>
      <c r="J1978" s="1" t="s">
        <v>425</v>
      </c>
      <c r="K1978" s="1" t="s">
        <v>425</v>
      </c>
    </row>
    <row r="1979" customFormat="false" ht="14.25" hidden="false" customHeight="false" outlineLevel="0" collapsed="false">
      <c r="A1979" s="1" t="n">
        <v>92</v>
      </c>
      <c r="B1979" s="1" t="n">
        <v>2025</v>
      </c>
      <c r="C1979" s="3" t="n">
        <v>45709</v>
      </c>
      <c r="E1979" s="1" t="s">
        <v>12</v>
      </c>
      <c r="F1979" s="1" t="s">
        <v>13</v>
      </c>
      <c r="G1979" s="0"/>
      <c r="H1979" s="1" t="s">
        <v>357</v>
      </c>
      <c r="I1979" s="1" t="s">
        <v>358</v>
      </c>
      <c r="J1979" s="1" t="s">
        <v>359</v>
      </c>
      <c r="K1979" s="1" t="s">
        <v>359</v>
      </c>
    </row>
    <row r="1980" customFormat="false" ht="14.25" hidden="false" customHeight="false" outlineLevel="0" collapsed="false">
      <c r="A1980" s="1" t="n">
        <v>92</v>
      </c>
      <c r="B1980" s="1" t="n">
        <v>2025</v>
      </c>
      <c r="C1980" s="3" t="n">
        <v>45709</v>
      </c>
      <c r="E1980" s="1" t="s">
        <v>14</v>
      </c>
      <c r="F1980" s="1" t="s">
        <v>13</v>
      </c>
      <c r="G1980" s="1" t="s">
        <v>472</v>
      </c>
      <c r="H1980" s="1" t="s">
        <v>360</v>
      </c>
      <c r="I1980" s="1" t="s">
        <v>472</v>
      </c>
      <c r="J1980" s="1" t="s">
        <v>543</v>
      </c>
      <c r="K1980" s="1" t="s">
        <v>472</v>
      </c>
    </row>
    <row r="1981" customFormat="false" ht="14.25" hidden="false" customHeight="false" outlineLevel="0" collapsed="false">
      <c r="A1981" s="1" t="n">
        <v>92</v>
      </c>
      <c r="B1981" s="1" t="n">
        <v>2025</v>
      </c>
      <c r="C1981" s="3" t="n">
        <v>45709</v>
      </c>
      <c r="E1981" s="1" t="s">
        <v>15</v>
      </c>
      <c r="F1981" s="1" t="s">
        <v>13</v>
      </c>
      <c r="G1981" s="1" t="s">
        <v>357</v>
      </c>
      <c r="H1981" s="1" t="s">
        <v>397</v>
      </c>
      <c r="I1981" s="1" t="s">
        <v>358</v>
      </c>
      <c r="J1981" s="1" t="s">
        <v>450</v>
      </c>
      <c r="K1981" s="1" t="s">
        <v>357</v>
      </c>
    </row>
    <row r="1982" customFormat="false" ht="14.25" hidden="false" customHeight="false" outlineLevel="0" collapsed="false">
      <c r="A1982" s="1" t="n">
        <v>92</v>
      </c>
      <c r="B1982" s="1" t="n">
        <v>2025</v>
      </c>
      <c r="C1982" s="3" t="n">
        <v>45709</v>
      </c>
      <c r="E1982" s="1" t="s">
        <v>16</v>
      </c>
      <c r="F1982" s="1" t="s">
        <v>13</v>
      </c>
      <c r="G1982" s="1" t="s">
        <v>362</v>
      </c>
      <c r="H1982" s="1" t="s">
        <v>362</v>
      </c>
      <c r="I1982" s="1" t="s">
        <v>358</v>
      </c>
      <c r="J1982" s="1" t="s">
        <v>571</v>
      </c>
      <c r="K1982" s="1" t="s">
        <v>362</v>
      </c>
    </row>
    <row r="1983" customFormat="false" ht="14.25" hidden="false" customHeight="false" outlineLevel="0" collapsed="false">
      <c r="A1983" s="1" t="n">
        <v>92</v>
      </c>
      <c r="B1983" s="1" t="n">
        <v>2025</v>
      </c>
      <c r="C1983" s="3" t="n">
        <v>45709</v>
      </c>
      <c r="E1983" s="1" t="s">
        <v>17</v>
      </c>
      <c r="F1983" s="1" t="s">
        <v>13</v>
      </c>
      <c r="G1983" s="1" t="s">
        <v>362</v>
      </c>
      <c r="H1983" s="1" t="s">
        <v>362</v>
      </c>
      <c r="I1983" s="1" t="s">
        <v>358</v>
      </c>
      <c r="J1983" s="1" t="s">
        <v>571</v>
      </c>
      <c r="K1983" s="1" t="s">
        <v>362</v>
      </c>
    </row>
    <row r="1984" customFormat="false" ht="14.25" hidden="false" customHeight="false" outlineLevel="0" collapsed="false">
      <c r="A1984" s="1" t="n">
        <v>92</v>
      </c>
      <c r="B1984" s="1" t="n">
        <v>2025</v>
      </c>
      <c r="C1984" s="3" t="n">
        <v>45709</v>
      </c>
      <c r="E1984" s="1" t="s">
        <v>18</v>
      </c>
      <c r="F1984" s="1" t="s">
        <v>13</v>
      </c>
      <c r="G1984" s="1" t="s">
        <v>358</v>
      </c>
      <c r="H1984" s="1" t="s">
        <v>358</v>
      </c>
      <c r="I1984" s="1" t="s">
        <v>358</v>
      </c>
      <c r="J1984" s="1" t="s">
        <v>358</v>
      </c>
      <c r="K1984" s="1" t="s">
        <v>358</v>
      </c>
    </row>
    <row r="1985" customFormat="false" ht="14.25" hidden="false" customHeight="false" outlineLevel="0" collapsed="false">
      <c r="A1985" s="1" t="n">
        <v>92</v>
      </c>
      <c r="B1985" s="1" t="n">
        <v>2025</v>
      </c>
      <c r="C1985" s="3" t="n">
        <v>45709</v>
      </c>
      <c r="E1985" s="1" t="s">
        <v>19</v>
      </c>
      <c r="F1985" s="1" t="s">
        <v>13</v>
      </c>
      <c r="G1985" s="1" t="s">
        <v>472</v>
      </c>
      <c r="H1985" s="1" t="s">
        <v>472</v>
      </c>
      <c r="I1985" s="1" t="s">
        <v>566</v>
      </c>
      <c r="J1985" s="1" t="s">
        <v>415</v>
      </c>
      <c r="K1985" s="1" t="s">
        <v>472</v>
      </c>
    </row>
    <row r="1986" customFormat="false" ht="14.25" hidden="false" customHeight="false" outlineLevel="0" collapsed="false">
      <c r="A1986" s="1" t="n">
        <v>92</v>
      </c>
      <c r="B1986" s="1" t="n">
        <v>2025</v>
      </c>
      <c r="C1986" s="3" t="n">
        <v>45709</v>
      </c>
      <c r="E1986" s="1" t="s">
        <v>20</v>
      </c>
      <c r="F1986" s="1" t="s">
        <v>13</v>
      </c>
      <c r="G1986" s="1" t="s">
        <v>361</v>
      </c>
      <c r="H1986" s="1" t="s">
        <v>472</v>
      </c>
      <c r="I1986" s="1" t="s">
        <v>472</v>
      </c>
      <c r="J1986" s="1" t="s">
        <v>531</v>
      </c>
      <c r="K1986" s="1" t="s">
        <v>556</v>
      </c>
    </row>
    <row r="1987" customFormat="false" ht="14.25" hidden="false" customHeight="false" outlineLevel="0" collapsed="false">
      <c r="A1987" s="1" t="n">
        <v>92</v>
      </c>
      <c r="B1987" s="1" t="n">
        <v>2025</v>
      </c>
      <c r="C1987" s="3" t="n">
        <v>45709</v>
      </c>
      <c r="E1987" s="1" t="s">
        <v>21</v>
      </c>
      <c r="F1987" s="1" t="s">
        <v>13</v>
      </c>
      <c r="G1987" s="1" t="s">
        <v>362</v>
      </c>
      <c r="H1987" s="1" t="s">
        <v>362</v>
      </c>
      <c r="I1987" s="1" t="s">
        <v>430</v>
      </c>
      <c r="J1987" s="1" t="s">
        <v>455</v>
      </c>
      <c r="K1987" s="1" t="s">
        <v>362</v>
      </c>
    </row>
    <row r="1988" customFormat="false" ht="14.25" hidden="false" customHeight="false" outlineLevel="0" collapsed="false">
      <c r="A1988" s="1" t="n">
        <v>92</v>
      </c>
      <c r="B1988" s="1" t="n">
        <v>2025</v>
      </c>
      <c r="C1988" s="3" t="n">
        <v>45709</v>
      </c>
      <c r="E1988" s="1" t="s">
        <v>73</v>
      </c>
      <c r="F1988" s="1" t="s">
        <v>13</v>
      </c>
      <c r="G1988" s="0"/>
      <c r="H1988" s="1" t="s">
        <v>358</v>
      </c>
      <c r="I1988" s="1" t="s">
        <v>401</v>
      </c>
      <c r="J1988" s="1" t="s">
        <v>543</v>
      </c>
      <c r="K1988" s="1" t="s">
        <v>361</v>
      </c>
    </row>
    <row r="1989" customFormat="false" ht="14.25" hidden="false" customHeight="false" outlineLevel="0" collapsed="false">
      <c r="A1989" s="1" t="n">
        <v>92</v>
      </c>
      <c r="B1989" s="1" t="n">
        <v>2025</v>
      </c>
      <c r="C1989" s="3" t="n">
        <v>45709</v>
      </c>
      <c r="E1989" s="1" t="s">
        <v>23</v>
      </c>
      <c r="F1989" s="1" t="s">
        <v>13</v>
      </c>
      <c r="G1989" s="1" t="s">
        <v>362</v>
      </c>
      <c r="H1989" s="1" t="s">
        <v>362</v>
      </c>
      <c r="I1989" s="1" t="s">
        <v>358</v>
      </c>
      <c r="J1989" s="1" t="s">
        <v>571</v>
      </c>
      <c r="K1989" s="1" t="s">
        <v>362</v>
      </c>
    </row>
    <row r="1990" customFormat="false" ht="14.25" hidden="false" customHeight="false" outlineLevel="0" collapsed="false">
      <c r="A1990" s="1" t="n">
        <v>92</v>
      </c>
      <c r="B1990" s="1" t="n">
        <v>2025</v>
      </c>
      <c r="C1990" s="3" t="n">
        <v>45709</v>
      </c>
      <c r="E1990" s="1" t="s">
        <v>24</v>
      </c>
      <c r="F1990" s="1" t="s">
        <v>13</v>
      </c>
      <c r="G1990" s="1" t="s">
        <v>358</v>
      </c>
      <c r="H1990" s="1" t="s">
        <v>358</v>
      </c>
      <c r="I1990" s="1" t="s">
        <v>361</v>
      </c>
      <c r="J1990" s="1" t="s">
        <v>429</v>
      </c>
      <c r="K1990" s="1" t="s">
        <v>358</v>
      </c>
    </row>
    <row r="1991" customFormat="false" ht="14.25" hidden="false" customHeight="false" outlineLevel="0" collapsed="false">
      <c r="A1991" s="1" t="n">
        <v>92</v>
      </c>
      <c r="B1991" s="1" t="n">
        <v>2025</v>
      </c>
      <c r="C1991" s="3" t="n">
        <v>45709</v>
      </c>
      <c r="E1991" s="1" t="s">
        <v>25</v>
      </c>
      <c r="F1991" s="1" t="s">
        <v>26</v>
      </c>
      <c r="G1991" s="1" t="s">
        <v>358</v>
      </c>
      <c r="H1991" s="1" t="s">
        <v>358</v>
      </c>
      <c r="I1991" s="1" t="s">
        <v>358</v>
      </c>
      <c r="J1991" s="1" t="s">
        <v>358</v>
      </c>
      <c r="K1991" s="1" t="s">
        <v>358</v>
      </c>
    </row>
    <row r="1992" customFormat="false" ht="14.25" hidden="false" customHeight="false" outlineLevel="0" collapsed="false">
      <c r="A1992" s="1" t="n">
        <v>92</v>
      </c>
      <c r="B1992" s="1" t="n">
        <v>2025</v>
      </c>
      <c r="C1992" s="3" t="n">
        <v>45709</v>
      </c>
      <c r="E1992" s="1" t="s">
        <v>27</v>
      </c>
      <c r="F1992" s="1" t="s">
        <v>13</v>
      </c>
      <c r="G1992" s="0"/>
      <c r="H1992" s="1" t="s">
        <v>357</v>
      </c>
      <c r="I1992" s="1" t="s">
        <v>361</v>
      </c>
      <c r="J1992" s="1" t="s">
        <v>574</v>
      </c>
      <c r="K1992" s="1" t="s">
        <v>396</v>
      </c>
    </row>
    <row r="1993" customFormat="false" ht="14.25" hidden="false" customHeight="false" outlineLevel="0" collapsed="false">
      <c r="A1993" s="1" t="n">
        <v>92</v>
      </c>
      <c r="B1993" s="1" t="n">
        <v>2025</v>
      </c>
      <c r="C1993" s="3" t="n">
        <v>45709</v>
      </c>
      <c r="E1993" s="1" t="s">
        <v>28</v>
      </c>
      <c r="F1993" s="1" t="s">
        <v>13</v>
      </c>
      <c r="G1993" s="1" t="s">
        <v>358</v>
      </c>
      <c r="H1993" s="1" t="s">
        <v>390</v>
      </c>
      <c r="I1993" s="1" t="s">
        <v>358</v>
      </c>
      <c r="J1993" s="1" t="s">
        <v>551</v>
      </c>
      <c r="K1993" s="1" t="s">
        <v>396</v>
      </c>
    </row>
    <row r="1994" customFormat="false" ht="14.25" hidden="false" customHeight="false" outlineLevel="0" collapsed="false">
      <c r="A1994" s="1" t="n">
        <v>92</v>
      </c>
      <c r="B1994" s="1" t="n">
        <v>2025</v>
      </c>
      <c r="C1994" s="3" t="n">
        <v>45709</v>
      </c>
      <c r="E1994" s="1" t="s">
        <v>29</v>
      </c>
      <c r="F1994" s="1" t="s">
        <v>13</v>
      </c>
      <c r="G1994" s="1" t="s">
        <v>358</v>
      </c>
      <c r="H1994" s="1" t="s">
        <v>359</v>
      </c>
      <c r="I1994" s="1" t="s">
        <v>360</v>
      </c>
      <c r="J1994" s="1" t="s">
        <v>456</v>
      </c>
      <c r="K1994" s="1" t="s">
        <v>358</v>
      </c>
    </row>
    <row r="1995" customFormat="false" ht="14.25" hidden="false" customHeight="false" outlineLevel="0" collapsed="false">
      <c r="A1995" s="1" t="n">
        <v>92</v>
      </c>
      <c r="B1995" s="1" t="n">
        <v>2025</v>
      </c>
      <c r="C1995" s="3" t="n">
        <v>45709</v>
      </c>
      <c r="E1995" s="1" t="s">
        <v>31</v>
      </c>
      <c r="F1995" s="1" t="s">
        <v>32</v>
      </c>
      <c r="G1995" s="1" t="s">
        <v>378</v>
      </c>
      <c r="H1995" s="1" t="s">
        <v>378</v>
      </c>
      <c r="I1995" s="1" t="s">
        <v>378</v>
      </c>
      <c r="J1995" s="1" t="s">
        <v>378</v>
      </c>
      <c r="K1995" s="1" t="s">
        <v>378</v>
      </c>
    </row>
    <row r="1996" customFormat="false" ht="14.25" hidden="false" customHeight="false" outlineLevel="0" collapsed="false">
      <c r="A1996" s="1" t="n">
        <v>92</v>
      </c>
      <c r="B1996" s="1" t="n">
        <v>2025</v>
      </c>
      <c r="C1996" s="3" t="n">
        <v>45709</v>
      </c>
      <c r="E1996" s="1" t="s">
        <v>34</v>
      </c>
      <c r="F1996" s="1" t="s">
        <v>35</v>
      </c>
      <c r="G1996" s="1" t="s">
        <v>390</v>
      </c>
      <c r="H1996" s="1" t="s">
        <v>397</v>
      </c>
      <c r="I1996" s="1" t="s">
        <v>357</v>
      </c>
      <c r="J1996" s="1" t="s">
        <v>575</v>
      </c>
      <c r="K1996" s="1" t="s">
        <v>390</v>
      </c>
    </row>
    <row r="1997" customFormat="false" ht="14.25" hidden="false" customHeight="false" outlineLevel="0" collapsed="false">
      <c r="A1997" s="1" t="n">
        <v>92</v>
      </c>
      <c r="B1997" s="1" t="n">
        <v>2025</v>
      </c>
      <c r="C1997" s="3" t="n">
        <v>45709</v>
      </c>
      <c r="E1997" s="1" t="s">
        <v>36</v>
      </c>
      <c r="F1997" s="1" t="s">
        <v>35</v>
      </c>
      <c r="G1997" s="1" t="s">
        <v>362</v>
      </c>
      <c r="H1997" s="1" t="s">
        <v>362</v>
      </c>
      <c r="I1997" s="1" t="s">
        <v>390</v>
      </c>
      <c r="J1997" s="1" t="s">
        <v>529</v>
      </c>
      <c r="K1997" s="1" t="s">
        <v>388</v>
      </c>
    </row>
    <row r="1998" customFormat="false" ht="14.25" hidden="false" customHeight="false" outlineLevel="0" collapsed="false">
      <c r="A1998" s="1" t="n">
        <v>92</v>
      </c>
      <c r="B1998" s="1" t="n">
        <v>2025</v>
      </c>
      <c r="C1998" s="3" t="n">
        <v>45709</v>
      </c>
      <c r="E1998" s="1" t="s">
        <v>153</v>
      </c>
      <c r="F1998" s="1" t="s">
        <v>154</v>
      </c>
      <c r="G1998" s="0"/>
      <c r="H1998" s="1" t="s">
        <v>396</v>
      </c>
      <c r="I1998" s="1" t="s">
        <v>358</v>
      </c>
      <c r="J1998" s="1" t="s">
        <v>399</v>
      </c>
      <c r="K1998" s="1" t="s">
        <v>399</v>
      </c>
    </row>
    <row r="1999" customFormat="false" ht="14.25" hidden="false" customHeight="false" outlineLevel="0" collapsed="false">
      <c r="A1999" s="1" t="n">
        <v>92</v>
      </c>
      <c r="B1999" s="1" t="n">
        <v>2025</v>
      </c>
      <c r="C1999" s="3" t="n">
        <v>45709</v>
      </c>
      <c r="E1999" s="1" t="s">
        <v>39</v>
      </c>
      <c r="F1999" s="1" t="s">
        <v>40</v>
      </c>
      <c r="G1999" s="1" t="s">
        <v>370</v>
      </c>
      <c r="H1999" s="1" t="s">
        <v>370</v>
      </c>
      <c r="I1999" s="1" t="s">
        <v>370</v>
      </c>
      <c r="J1999" s="1" t="s">
        <v>370</v>
      </c>
      <c r="K1999" s="1" t="s">
        <v>370</v>
      </c>
    </row>
    <row r="2000" customFormat="false" ht="14.25" hidden="false" customHeight="false" outlineLevel="0" collapsed="false">
      <c r="A2000" s="1" t="n">
        <v>92</v>
      </c>
      <c r="B2000" s="1" t="n">
        <v>2025</v>
      </c>
      <c r="C2000" s="3" t="n">
        <v>45709</v>
      </c>
      <c r="E2000" s="1" t="s">
        <v>42</v>
      </c>
      <c r="F2000" s="1" t="s">
        <v>43</v>
      </c>
      <c r="G2000" s="0"/>
      <c r="H2000" s="1" t="s">
        <v>390</v>
      </c>
      <c r="I2000" s="1" t="s">
        <v>394</v>
      </c>
      <c r="J2000" s="1" t="s">
        <v>396</v>
      </c>
      <c r="K2000" s="1" t="s">
        <v>396</v>
      </c>
    </row>
    <row r="2001" customFormat="false" ht="14.25" hidden="false" customHeight="false" outlineLevel="0" collapsed="false">
      <c r="A2001" s="1" t="n">
        <v>92</v>
      </c>
      <c r="B2001" s="1" t="n">
        <v>2025</v>
      </c>
      <c r="C2001" s="3" t="n">
        <v>45709</v>
      </c>
      <c r="E2001" s="1" t="s">
        <v>44</v>
      </c>
      <c r="F2001" s="1" t="s">
        <v>45</v>
      </c>
      <c r="G2001" s="1" t="s">
        <v>393</v>
      </c>
      <c r="H2001" s="1" t="s">
        <v>393</v>
      </c>
      <c r="I2001" s="1" t="s">
        <v>396</v>
      </c>
      <c r="J2001" s="1" t="s">
        <v>498</v>
      </c>
      <c r="K2001" s="1" t="s">
        <v>393</v>
      </c>
    </row>
    <row r="2002" customFormat="false" ht="14.25" hidden="false" customHeight="false" outlineLevel="0" collapsed="false">
      <c r="A2002" s="1" t="n">
        <v>92</v>
      </c>
      <c r="B2002" s="1" t="n">
        <v>2025</v>
      </c>
      <c r="C2002" s="3" t="n">
        <v>45709</v>
      </c>
      <c r="E2002" s="1" t="s">
        <v>48</v>
      </c>
      <c r="F2002" s="1" t="s">
        <v>45</v>
      </c>
      <c r="G2002" s="0"/>
      <c r="H2002" s="1" t="s">
        <v>386</v>
      </c>
      <c r="I2002" s="1" t="s">
        <v>386</v>
      </c>
      <c r="J2002" s="1" t="s">
        <v>386</v>
      </c>
      <c r="K2002" s="1" t="s">
        <v>386</v>
      </c>
    </row>
    <row r="2003" customFormat="false" ht="14.25" hidden="false" customHeight="false" outlineLevel="0" collapsed="false">
      <c r="A2003" s="1" t="n">
        <v>92</v>
      </c>
      <c r="B2003" s="1" t="n">
        <v>2025</v>
      </c>
      <c r="C2003" s="3" t="n">
        <v>45709</v>
      </c>
      <c r="E2003" s="1" t="s">
        <v>49</v>
      </c>
      <c r="F2003" s="1" t="s">
        <v>50</v>
      </c>
      <c r="G2003" s="1" t="s">
        <v>396</v>
      </c>
      <c r="H2003" s="1" t="s">
        <v>358</v>
      </c>
      <c r="I2003" s="1" t="s">
        <v>394</v>
      </c>
      <c r="J2003" s="1" t="s">
        <v>358</v>
      </c>
      <c r="K2003" s="1" t="s">
        <v>358</v>
      </c>
    </row>
    <row r="2004" customFormat="false" ht="14.25" hidden="false" customHeight="false" outlineLevel="0" collapsed="false">
      <c r="A2004" s="1" t="n">
        <v>92</v>
      </c>
      <c r="B2004" s="1" t="n">
        <v>2025</v>
      </c>
      <c r="C2004" s="3" t="n">
        <v>45709</v>
      </c>
      <c r="E2004" s="1" t="s">
        <v>52</v>
      </c>
      <c r="F2004" s="1" t="s">
        <v>43</v>
      </c>
      <c r="G2004" s="1" t="s">
        <v>370</v>
      </c>
      <c r="H2004" s="1" t="s">
        <v>370</v>
      </c>
      <c r="I2004" s="1" t="s">
        <v>446</v>
      </c>
      <c r="J2004" s="1" t="s">
        <v>576</v>
      </c>
      <c r="K2004" s="1" t="s">
        <v>370</v>
      </c>
    </row>
    <row r="2005" customFormat="false" ht="14.25" hidden="false" customHeight="false" outlineLevel="0" collapsed="false">
      <c r="A2005" s="1" t="n">
        <v>92</v>
      </c>
      <c r="B2005" s="1" t="n">
        <v>2025</v>
      </c>
      <c r="C2005" s="3" t="n">
        <v>45709</v>
      </c>
      <c r="E2005" s="1" t="s">
        <v>53</v>
      </c>
      <c r="F2005" s="1" t="s">
        <v>43</v>
      </c>
      <c r="G2005" s="1" t="s">
        <v>370</v>
      </c>
      <c r="H2005" s="1" t="s">
        <v>370</v>
      </c>
      <c r="I2005" s="1" t="s">
        <v>405</v>
      </c>
      <c r="J2005" s="1" t="s">
        <v>387</v>
      </c>
      <c r="K2005" s="1" t="s">
        <v>385</v>
      </c>
    </row>
    <row r="2006" customFormat="false" ht="14.25" hidden="false" customHeight="false" outlineLevel="0" collapsed="false">
      <c r="A2006" s="1" t="n">
        <v>92</v>
      </c>
      <c r="B2006" s="1" t="n">
        <v>2025</v>
      </c>
      <c r="C2006" s="3" t="n">
        <v>45709</v>
      </c>
      <c r="E2006" s="1" t="s">
        <v>54</v>
      </c>
      <c r="F2006" s="1" t="s">
        <v>40</v>
      </c>
      <c r="G2006" s="1" t="s">
        <v>358</v>
      </c>
      <c r="H2006" s="1" t="s">
        <v>386</v>
      </c>
      <c r="I2006" s="1" t="s">
        <v>386</v>
      </c>
      <c r="J2006" s="1" t="s">
        <v>570</v>
      </c>
      <c r="K2006" s="1" t="s">
        <v>386</v>
      </c>
    </row>
    <row r="2007" customFormat="false" ht="14.25" hidden="false" customHeight="false" outlineLevel="0" collapsed="false">
      <c r="A2007" s="1" t="n">
        <v>92</v>
      </c>
      <c r="B2007" s="1" t="n">
        <v>2025</v>
      </c>
      <c r="C2007" s="3" t="n">
        <v>45709</v>
      </c>
      <c r="E2007" s="1" t="s">
        <v>56</v>
      </c>
      <c r="F2007" s="1" t="s">
        <v>43</v>
      </c>
      <c r="G2007" s="0"/>
      <c r="H2007" s="1" t="s">
        <v>385</v>
      </c>
      <c r="I2007" s="1" t="s">
        <v>385</v>
      </c>
      <c r="J2007" s="1" t="s">
        <v>385</v>
      </c>
      <c r="K2007" s="1" t="s">
        <v>385</v>
      </c>
    </row>
    <row r="2008" customFormat="false" ht="14.25" hidden="false" customHeight="false" outlineLevel="0" collapsed="false">
      <c r="A2008" s="1" t="n">
        <v>92</v>
      </c>
      <c r="B2008" s="1" t="n">
        <v>2025</v>
      </c>
      <c r="C2008" s="3" t="n">
        <v>45709</v>
      </c>
      <c r="E2008" s="1" t="s">
        <v>57</v>
      </c>
      <c r="F2008" s="1" t="s">
        <v>40</v>
      </c>
      <c r="G2008" s="0"/>
      <c r="H2008" s="1" t="s">
        <v>358</v>
      </c>
      <c r="I2008" s="1" t="s">
        <v>370</v>
      </c>
      <c r="J2008" s="1" t="s">
        <v>394</v>
      </c>
      <c r="K2008" s="1" t="s">
        <v>394</v>
      </c>
    </row>
    <row r="2009" customFormat="false" ht="14.25" hidden="false" customHeight="false" outlineLevel="0" collapsed="false">
      <c r="A2009" s="1" t="n">
        <v>92</v>
      </c>
      <c r="B2009" s="1" t="n">
        <v>2025</v>
      </c>
      <c r="C2009" s="3" t="n">
        <v>45709</v>
      </c>
      <c r="E2009" s="1" t="s">
        <v>58</v>
      </c>
      <c r="F2009" s="1" t="s">
        <v>40</v>
      </c>
      <c r="G2009" s="1" t="s">
        <v>386</v>
      </c>
      <c r="H2009" s="1" t="s">
        <v>386</v>
      </c>
      <c r="I2009" s="1" t="s">
        <v>562</v>
      </c>
      <c r="J2009" s="1" t="s">
        <v>552</v>
      </c>
      <c r="K2009" s="1" t="s">
        <v>412</v>
      </c>
    </row>
    <row r="2010" customFormat="false" ht="14.25" hidden="false" customHeight="false" outlineLevel="0" collapsed="false">
      <c r="A2010" s="1" t="n">
        <v>92</v>
      </c>
      <c r="B2010" s="1" t="n">
        <v>2025</v>
      </c>
      <c r="C2010" s="3" t="n">
        <v>45709</v>
      </c>
      <c r="E2010" s="1" t="s">
        <v>59</v>
      </c>
      <c r="F2010" s="1" t="s">
        <v>45</v>
      </c>
      <c r="G2010" s="1" t="s">
        <v>382</v>
      </c>
      <c r="H2010" s="1" t="s">
        <v>362</v>
      </c>
      <c r="I2010" s="1" t="s">
        <v>385</v>
      </c>
      <c r="J2010" s="1" t="s">
        <v>577</v>
      </c>
      <c r="K2010" s="1" t="s">
        <v>362</v>
      </c>
    </row>
    <row r="2011" customFormat="false" ht="14.25" hidden="false" customHeight="false" outlineLevel="0" collapsed="false">
      <c r="A2011" s="1" t="n">
        <v>92</v>
      </c>
      <c r="B2011" s="1" t="n">
        <v>2025</v>
      </c>
      <c r="C2011" s="3" t="n">
        <v>45709</v>
      </c>
      <c r="E2011" s="1" t="s">
        <v>60</v>
      </c>
      <c r="F2011" s="1" t="s">
        <v>61</v>
      </c>
      <c r="G2011" s="0"/>
      <c r="H2011" s="1" t="s">
        <v>394</v>
      </c>
      <c r="I2011" s="1" t="s">
        <v>415</v>
      </c>
      <c r="J2011" s="1" t="s">
        <v>578</v>
      </c>
      <c r="K2011" s="1" t="s">
        <v>385</v>
      </c>
    </row>
    <row r="2012" customFormat="false" ht="14.25" hidden="false" customHeight="false" outlineLevel="0" collapsed="false">
      <c r="A2012" s="1" t="n">
        <v>92</v>
      </c>
      <c r="B2012" s="1" t="n">
        <v>2025</v>
      </c>
      <c r="C2012" s="3" t="n">
        <v>45709</v>
      </c>
      <c r="E2012" s="1" t="s">
        <v>63</v>
      </c>
      <c r="F2012" s="1" t="s">
        <v>40</v>
      </c>
      <c r="G2012" s="0"/>
      <c r="H2012" s="1" t="s">
        <v>370</v>
      </c>
      <c r="I2012" s="1" t="s">
        <v>403</v>
      </c>
      <c r="J2012" s="1" t="s">
        <v>530</v>
      </c>
      <c r="K2012" s="1" t="s">
        <v>561</v>
      </c>
    </row>
    <row r="2013" customFormat="false" ht="14.25" hidden="false" customHeight="false" outlineLevel="0" collapsed="false">
      <c r="A2013" s="1" t="n">
        <v>92</v>
      </c>
      <c r="B2013" s="1" t="n">
        <v>2025</v>
      </c>
      <c r="C2013" s="3" t="n">
        <v>45709</v>
      </c>
      <c r="E2013" s="1" t="s">
        <v>64</v>
      </c>
      <c r="F2013" s="1" t="s">
        <v>40</v>
      </c>
      <c r="G2013" s="0"/>
      <c r="H2013" s="1" t="s">
        <v>370</v>
      </c>
      <c r="I2013" s="1" t="s">
        <v>499</v>
      </c>
      <c r="J2013" s="1" t="s">
        <v>403</v>
      </c>
      <c r="K2013" s="1" t="s">
        <v>401</v>
      </c>
    </row>
    <row r="2014" customFormat="false" ht="14.25" hidden="false" customHeight="false" outlineLevel="0" collapsed="false">
      <c r="A2014" s="1" t="n">
        <v>93</v>
      </c>
      <c r="B2014" s="1" t="n">
        <v>2025</v>
      </c>
      <c r="C2014" s="3" t="n">
        <v>45716</v>
      </c>
      <c r="E2014" s="1" t="s">
        <v>12</v>
      </c>
      <c r="F2014" s="1" t="s">
        <v>13</v>
      </c>
      <c r="G2014" s="1" t="s">
        <v>358</v>
      </c>
      <c r="H2014" s="1" t="s">
        <v>358</v>
      </c>
      <c r="I2014" s="1" t="s">
        <v>358</v>
      </c>
      <c r="J2014" s="1" t="s">
        <v>358</v>
      </c>
      <c r="K2014" s="1" t="s">
        <v>358</v>
      </c>
    </row>
    <row r="2015" customFormat="false" ht="14.25" hidden="false" customHeight="false" outlineLevel="0" collapsed="false">
      <c r="A2015" s="1" t="n">
        <v>93</v>
      </c>
      <c r="B2015" s="1" t="n">
        <v>2025</v>
      </c>
      <c r="C2015" s="3" t="n">
        <v>45716</v>
      </c>
      <c r="E2015" s="1" t="s">
        <v>14</v>
      </c>
      <c r="F2015" s="1" t="s">
        <v>13</v>
      </c>
      <c r="G2015" s="1" t="s">
        <v>472</v>
      </c>
      <c r="H2015" s="1" t="s">
        <v>358</v>
      </c>
      <c r="I2015" s="1" t="s">
        <v>472</v>
      </c>
      <c r="J2015" s="1" t="s">
        <v>361</v>
      </c>
      <c r="K2015" s="1" t="s">
        <v>472</v>
      </c>
    </row>
    <row r="2016" customFormat="false" ht="14.25" hidden="false" customHeight="false" outlineLevel="0" collapsed="false">
      <c r="A2016" s="1" t="n">
        <v>93</v>
      </c>
      <c r="B2016" s="1" t="n">
        <v>2025</v>
      </c>
      <c r="C2016" s="3" t="n">
        <v>45716</v>
      </c>
      <c r="E2016" s="1" t="s">
        <v>15</v>
      </c>
      <c r="F2016" s="1" t="s">
        <v>13</v>
      </c>
      <c r="G2016" s="1" t="s">
        <v>357</v>
      </c>
      <c r="H2016" s="1" t="s">
        <v>357</v>
      </c>
      <c r="I2016" s="1" t="s">
        <v>359</v>
      </c>
      <c r="J2016" s="1" t="s">
        <v>393</v>
      </c>
      <c r="K2016" s="1" t="s">
        <v>357</v>
      </c>
    </row>
    <row r="2017" customFormat="false" ht="14.25" hidden="false" customHeight="false" outlineLevel="0" collapsed="false">
      <c r="A2017" s="1" t="n">
        <v>93</v>
      </c>
      <c r="B2017" s="1" t="n">
        <v>2025</v>
      </c>
      <c r="C2017" s="3" t="n">
        <v>45716</v>
      </c>
      <c r="E2017" s="1" t="s">
        <v>16</v>
      </c>
      <c r="F2017" s="1" t="s">
        <v>13</v>
      </c>
      <c r="G2017" s="1" t="s">
        <v>362</v>
      </c>
      <c r="H2017" s="1" t="s">
        <v>362</v>
      </c>
      <c r="I2017" s="1" t="s">
        <v>362</v>
      </c>
      <c r="J2017" s="1" t="s">
        <v>362</v>
      </c>
      <c r="K2017" s="1" t="s">
        <v>362</v>
      </c>
    </row>
    <row r="2018" customFormat="false" ht="14.25" hidden="false" customHeight="false" outlineLevel="0" collapsed="false">
      <c r="A2018" s="1" t="n">
        <v>93</v>
      </c>
      <c r="B2018" s="1" t="n">
        <v>2025</v>
      </c>
      <c r="C2018" s="3" t="n">
        <v>45716</v>
      </c>
      <c r="E2018" s="1" t="s">
        <v>17</v>
      </c>
      <c r="F2018" s="1" t="s">
        <v>13</v>
      </c>
      <c r="G2018" s="1" t="s">
        <v>362</v>
      </c>
      <c r="H2018" s="1" t="s">
        <v>362</v>
      </c>
      <c r="I2018" s="1" t="s">
        <v>362</v>
      </c>
      <c r="J2018" s="1" t="s">
        <v>362</v>
      </c>
      <c r="K2018" s="1" t="s">
        <v>362</v>
      </c>
    </row>
    <row r="2019" customFormat="false" ht="14.25" hidden="false" customHeight="false" outlineLevel="0" collapsed="false">
      <c r="A2019" s="1" t="n">
        <v>93</v>
      </c>
      <c r="B2019" s="1" t="n">
        <v>2025</v>
      </c>
      <c r="C2019" s="3" t="n">
        <v>45716</v>
      </c>
      <c r="E2019" s="1" t="s">
        <v>18</v>
      </c>
      <c r="F2019" s="1" t="s">
        <v>13</v>
      </c>
      <c r="G2019" s="1" t="s">
        <v>360</v>
      </c>
      <c r="H2019" s="1" t="s">
        <v>358</v>
      </c>
      <c r="I2019" s="1" t="s">
        <v>360</v>
      </c>
      <c r="J2019" s="1" t="s">
        <v>429</v>
      </c>
      <c r="K2019" s="1" t="s">
        <v>360</v>
      </c>
    </row>
    <row r="2020" customFormat="false" ht="14.25" hidden="false" customHeight="false" outlineLevel="0" collapsed="false">
      <c r="A2020" s="1" t="n">
        <v>93</v>
      </c>
      <c r="B2020" s="1" t="n">
        <v>2025</v>
      </c>
      <c r="C2020" s="3" t="n">
        <v>45716</v>
      </c>
      <c r="E2020" s="1" t="s">
        <v>19</v>
      </c>
      <c r="F2020" s="1" t="s">
        <v>13</v>
      </c>
      <c r="G2020" s="0"/>
      <c r="H2020" s="1" t="s">
        <v>412</v>
      </c>
      <c r="I2020" s="1" t="s">
        <v>566</v>
      </c>
      <c r="J2020" s="1" t="s">
        <v>579</v>
      </c>
      <c r="K2020" s="1" t="s">
        <v>472</v>
      </c>
    </row>
    <row r="2021" customFormat="false" ht="14.25" hidden="false" customHeight="false" outlineLevel="0" collapsed="false">
      <c r="A2021" s="1" t="n">
        <v>93</v>
      </c>
      <c r="B2021" s="1" t="n">
        <v>2025</v>
      </c>
      <c r="C2021" s="3" t="n">
        <v>45716</v>
      </c>
      <c r="E2021" s="1" t="s">
        <v>20</v>
      </c>
      <c r="F2021" s="1" t="s">
        <v>13</v>
      </c>
      <c r="G2021" s="0"/>
      <c r="H2021" s="1" t="s">
        <v>361</v>
      </c>
      <c r="I2021" s="1" t="s">
        <v>568</v>
      </c>
      <c r="J2021" s="1" t="s">
        <v>580</v>
      </c>
      <c r="K2021" s="1" t="s">
        <v>415</v>
      </c>
    </row>
    <row r="2022" customFormat="false" ht="14.25" hidden="false" customHeight="false" outlineLevel="0" collapsed="false">
      <c r="A2022" s="1" t="n">
        <v>93</v>
      </c>
      <c r="B2022" s="1" t="n">
        <v>2025</v>
      </c>
      <c r="C2022" s="3" t="n">
        <v>45716</v>
      </c>
      <c r="E2022" s="1" t="s">
        <v>21</v>
      </c>
      <c r="F2022" s="1" t="s">
        <v>13</v>
      </c>
      <c r="G2022" s="0"/>
      <c r="H2022" s="1" t="s">
        <v>362</v>
      </c>
      <c r="I2022" s="1" t="s">
        <v>430</v>
      </c>
      <c r="J2022" s="1" t="s">
        <v>581</v>
      </c>
      <c r="K2022" s="1" t="s">
        <v>582</v>
      </c>
    </row>
    <row r="2023" customFormat="false" ht="14.25" hidden="false" customHeight="false" outlineLevel="0" collapsed="false">
      <c r="A2023" s="1" t="n">
        <v>93</v>
      </c>
      <c r="B2023" s="1" t="n">
        <v>2025</v>
      </c>
      <c r="C2023" s="3" t="n">
        <v>45716</v>
      </c>
      <c r="E2023" s="1" t="s">
        <v>73</v>
      </c>
      <c r="F2023" s="1" t="s">
        <v>13</v>
      </c>
      <c r="G2023" s="0"/>
      <c r="H2023" s="1" t="s">
        <v>446</v>
      </c>
      <c r="I2023" s="1" t="s">
        <v>401</v>
      </c>
      <c r="J2023" s="1" t="s">
        <v>583</v>
      </c>
      <c r="K2023" s="1" t="s">
        <v>566</v>
      </c>
    </row>
    <row r="2024" customFormat="false" ht="14.25" hidden="false" customHeight="false" outlineLevel="0" collapsed="false">
      <c r="A2024" s="1" t="n">
        <v>93</v>
      </c>
      <c r="B2024" s="1" t="n">
        <v>2025</v>
      </c>
      <c r="C2024" s="3" t="n">
        <v>45716</v>
      </c>
      <c r="E2024" s="1" t="s">
        <v>23</v>
      </c>
      <c r="F2024" s="1" t="s">
        <v>13</v>
      </c>
      <c r="G2024" s="1" t="s">
        <v>362</v>
      </c>
      <c r="H2024" s="1" t="s">
        <v>362</v>
      </c>
      <c r="I2024" s="1" t="s">
        <v>362</v>
      </c>
      <c r="J2024" s="1" t="s">
        <v>362</v>
      </c>
      <c r="K2024" s="1" t="s">
        <v>362</v>
      </c>
    </row>
    <row r="2025" customFormat="false" ht="14.25" hidden="false" customHeight="false" outlineLevel="0" collapsed="false">
      <c r="A2025" s="1" t="n">
        <v>93</v>
      </c>
      <c r="B2025" s="1" t="n">
        <v>2025</v>
      </c>
      <c r="C2025" s="3" t="n">
        <v>45716</v>
      </c>
      <c r="E2025" s="1" t="s">
        <v>24</v>
      </c>
      <c r="F2025" s="1" t="s">
        <v>13</v>
      </c>
      <c r="G2025" s="1" t="s">
        <v>370</v>
      </c>
      <c r="H2025" s="1" t="s">
        <v>358</v>
      </c>
      <c r="I2025" s="1" t="s">
        <v>370</v>
      </c>
      <c r="J2025" s="1" t="s">
        <v>528</v>
      </c>
      <c r="K2025" s="1" t="s">
        <v>370</v>
      </c>
    </row>
    <row r="2026" customFormat="false" ht="14.25" hidden="false" customHeight="false" outlineLevel="0" collapsed="false">
      <c r="A2026" s="1" t="n">
        <v>93</v>
      </c>
      <c r="B2026" s="1" t="n">
        <v>2025</v>
      </c>
      <c r="C2026" s="3" t="n">
        <v>45716</v>
      </c>
      <c r="E2026" s="1" t="s">
        <v>25</v>
      </c>
      <c r="F2026" s="1" t="s">
        <v>26</v>
      </c>
      <c r="G2026" s="1" t="s">
        <v>358</v>
      </c>
      <c r="H2026" s="1" t="s">
        <v>358</v>
      </c>
      <c r="I2026" s="1" t="s">
        <v>358</v>
      </c>
      <c r="J2026" s="1" t="s">
        <v>358</v>
      </c>
      <c r="K2026" s="1" t="s">
        <v>358</v>
      </c>
    </row>
    <row r="2027" customFormat="false" ht="14.25" hidden="false" customHeight="false" outlineLevel="0" collapsed="false">
      <c r="A2027" s="1" t="n">
        <v>93</v>
      </c>
      <c r="B2027" s="1" t="n">
        <v>2025</v>
      </c>
      <c r="C2027" s="3" t="n">
        <v>45716</v>
      </c>
      <c r="E2027" s="1" t="s">
        <v>27</v>
      </c>
      <c r="F2027" s="1" t="s">
        <v>13</v>
      </c>
      <c r="G2027" s="1" t="s">
        <v>361</v>
      </c>
      <c r="H2027" s="1" t="s">
        <v>361</v>
      </c>
      <c r="I2027" s="1" t="s">
        <v>584</v>
      </c>
      <c r="J2027" s="1" t="s">
        <v>585</v>
      </c>
      <c r="K2027" s="1" t="s">
        <v>361</v>
      </c>
    </row>
    <row r="2028" customFormat="false" ht="14.25" hidden="false" customHeight="false" outlineLevel="0" collapsed="false">
      <c r="A2028" s="1" t="n">
        <v>93</v>
      </c>
      <c r="B2028" s="1" t="n">
        <v>2025</v>
      </c>
      <c r="C2028" s="3" t="n">
        <v>45716</v>
      </c>
      <c r="E2028" s="1" t="s">
        <v>28</v>
      </c>
      <c r="F2028" s="1" t="s">
        <v>13</v>
      </c>
      <c r="G2028" s="1" t="s">
        <v>405</v>
      </c>
      <c r="H2028" s="1" t="s">
        <v>358</v>
      </c>
      <c r="I2028" s="1" t="s">
        <v>405</v>
      </c>
      <c r="J2028" s="1" t="s">
        <v>386</v>
      </c>
      <c r="K2028" s="1" t="s">
        <v>405</v>
      </c>
    </row>
    <row r="2029" customFormat="false" ht="14.25" hidden="false" customHeight="false" outlineLevel="0" collapsed="false">
      <c r="A2029" s="1" t="n">
        <v>93</v>
      </c>
      <c r="B2029" s="1" t="n">
        <v>2025</v>
      </c>
      <c r="C2029" s="3" t="n">
        <v>45716</v>
      </c>
      <c r="E2029" s="1" t="s">
        <v>29</v>
      </c>
      <c r="F2029" s="1" t="s">
        <v>13</v>
      </c>
      <c r="G2029" s="1" t="s">
        <v>358</v>
      </c>
      <c r="H2029" s="1" t="s">
        <v>358</v>
      </c>
      <c r="I2029" s="1" t="s">
        <v>421</v>
      </c>
      <c r="J2029" s="1" t="s">
        <v>586</v>
      </c>
      <c r="K2029" s="1" t="s">
        <v>358</v>
      </c>
    </row>
    <row r="2030" customFormat="false" ht="14.25" hidden="false" customHeight="false" outlineLevel="0" collapsed="false">
      <c r="A2030" s="1" t="n">
        <v>93</v>
      </c>
      <c r="B2030" s="1" t="n">
        <v>2025</v>
      </c>
      <c r="C2030" s="3" t="n">
        <v>45716</v>
      </c>
      <c r="E2030" s="1" t="s">
        <v>31</v>
      </c>
      <c r="F2030" s="1" t="s">
        <v>32</v>
      </c>
      <c r="G2030" s="1" t="s">
        <v>378</v>
      </c>
      <c r="H2030" s="1" t="s">
        <v>378</v>
      </c>
      <c r="I2030" s="1" t="s">
        <v>378</v>
      </c>
      <c r="J2030" s="1" t="s">
        <v>378</v>
      </c>
      <c r="K2030" s="1" t="s">
        <v>378</v>
      </c>
    </row>
    <row r="2031" customFormat="false" ht="14.25" hidden="false" customHeight="false" outlineLevel="0" collapsed="false">
      <c r="A2031" s="1" t="n">
        <v>93</v>
      </c>
      <c r="B2031" s="1" t="n">
        <v>2025</v>
      </c>
      <c r="C2031" s="3" t="n">
        <v>45716</v>
      </c>
      <c r="E2031" s="1" t="s">
        <v>34</v>
      </c>
      <c r="F2031" s="1" t="s">
        <v>35</v>
      </c>
      <c r="G2031" s="1" t="s">
        <v>388</v>
      </c>
      <c r="H2031" s="1" t="s">
        <v>388</v>
      </c>
      <c r="I2031" s="1" t="s">
        <v>397</v>
      </c>
      <c r="J2031" s="1" t="s">
        <v>587</v>
      </c>
      <c r="K2031" s="1" t="s">
        <v>388</v>
      </c>
    </row>
    <row r="2032" customFormat="false" ht="14.25" hidden="false" customHeight="false" outlineLevel="0" collapsed="false">
      <c r="A2032" s="1" t="n">
        <v>93</v>
      </c>
      <c r="B2032" s="1" t="n">
        <v>2025</v>
      </c>
      <c r="C2032" s="3" t="n">
        <v>45716</v>
      </c>
      <c r="E2032" s="1" t="s">
        <v>36</v>
      </c>
      <c r="F2032" s="1" t="s">
        <v>35</v>
      </c>
      <c r="G2032" s="1" t="s">
        <v>390</v>
      </c>
      <c r="H2032" s="1" t="s">
        <v>362</v>
      </c>
      <c r="I2032" s="1" t="s">
        <v>390</v>
      </c>
      <c r="J2032" s="1" t="s">
        <v>397</v>
      </c>
      <c r="K2032" s="1" t="s">
        <v>390</v>
      </c>
    </row>
    <row r="2033" customFormat="false" ht="14.25" hidden="false" customHeight="false" outlineLevel="0" collapsed="false">
      <c r="A2033" s="1" t="n">
        <v>93</v>
      </c>
      <c r="B2033" s="1" t="n">
        <v>2025</v>
      </c>
      <c r="C2033" s="3" t="n">
        <v>45716</v>
      </c>
      <c r="E2033" s="1" t="s">
        <v>153</v>
      </c>
      <c r="F2033" s="1" t="s">
        <v>154</v>
      </c>
      <c r="G2033" s="0"/>
      <c r="H2033" s="1" t="s">
        <v>396</v>
      </c>
      <c r="I2033" s="1" t="s">
        <v>394</v>
      </c>
      <c r="J2033" s="1" t="s">
        <v>358</v>
      </c>
      <c r="K2033" s="1" t="s">
        <v>358</v>
      </c>
    </row>
    <row r="2034" customFormat="false" ht="14.25" hidden="false" customHeight="false" outlineLevel="0" collapsed="false">
      <c r="A2034" s="1" t="n">
        <v>93</v>
      </c>
      <c r="B2034" s="1" t="n">
        <v>2025</v>
      </c>
      <c r="C2034" s="3" t="n">
        <v>45716</v>
      </c>
      <c r="E2034" s="1" t="s">
        <v>39</v>
      </c>
      <c r="F2034" s="1" t="s">
        <v>40</v>
      </c>
      <c r="G2034" s="1" t="s">
        <v>370</v>
      </c>
      <c r="H2034" s="1" t="s">
        <v>397</v>
      </c>
      <c r="I2034" s="1" t="s">
        <v>370</v>
      </c>
      <c r="J2034" s="1" t="s">
        <v>421</v>
      </c>
      <c r="K2034" s="1" t="s">
        <v>370</v>
      </c>
    </row>
    <row r="2035" customFormat="false" ht="14.25" hidden="false" customHeight="false" outlineLevel="0" collapsed="false">
      <c r="A2035" s="1" t="n">
        <v>93</v>
      </c>
      <c r="B2035" s="1" t="n">
        <v>2025</v>
      </c>
      <c r="C2035" s="3" t="n">
        <v>45716</v>
      </c>
      <c r="E2035" s="1" t="s">
        <v>42</v>
      </c>
      <c r="F2035" s="1" t="s">
        <v>43</v>
      </c>
      <c r="G2035" s="1" t="s">
        <v>358</v>
      </c>
      <c r="H2035" s="1" t="s">
        <v>390</v>
      </c>
      <c r="I2035" s="1" t="s">
        <v>370</v>
      </c>
      <c r="J2035" s="1" t="s">
        <v>447</v>
      </c>
      <c r="K2035" s="1" t="s">
        <v>358</v>
      </c>
    </row>
    <row r="2036" customFormat="false" ht="14.25" hidden="false" customHeight="false" outlineLevel="0" collapsed="false">
      <c r="A2036" s="1" t="n">
        <v>93</v>
      </c>
      <c r="B2036" s="1" t="n">
        <v>2025</v>
      </c>
      <c r="C2036" s="3" t="n">
        <v>45716</v>
      </c>
      <c r="E2036" s="1" t="s">
        <v>44</v>
      </c>
      <c r="F2036" s="1" t="s">
        <v>45</v>
      </c>
      <c r="G2036" s="0"/>
      <c r="H2036" s="1" t="s">
        <v>390</v>
      </c>
      <c r="I2036" s="1" t="s">
        <v>370</v>
      </c>
      <c r="J2036" s="1" t="s">
        <v>433</v>
      </c>
      <c r="K2036" s="1" t="s">
        <v>396</v>
      </c>
    </row>
    <row r="2037" customFormat="false" ht="14.25" hidden="false" customHeight="false" outlineLevel="0" collapsed="false">
      <c r="A2037" s="1" t="n">
        <v>93</v>
      </c>
      <c r="B2037" s="1" t="n">
        <v>2025</v>
      </c>
      <c r="C2037" s="3" t="n">
        <v>45716</v>
      </c>
      <c r="E2037" s="1" t="s">
        <v>48</v>
      </c>
      <c r="F2037" s="1" t="s">
        <v>45</v>
      </c>
      <c r="G2037" s="0"/>
      <c r="H2037" s="1" t="s">
        <v>386</v>
      </c>
      <c r="I2037" s="1" t="s">
        <v>405</v>
      </c>
      <c r="J2037" s="1" t="s">
        <v>484</v>
      </c>
      <c r="K2037" s="1" t="s">
        <v>484</v>
      </c>
    </row>
    <row r="2038" customFormat="false" ht="14.25" hidden="false" customHeight="false" outlineLevel="0" collapsed="false">
      <c r="A2038" s="1" t="n">
        <v>93</v>
      </c>
      <c r="B2038" s="1" t="n">
        <v>2025</v>
      </c>
      <c r="C2038" s="3" t="n">
        <v>45716</v>
      </c>
      <c r="E2038" s="1" t="s">
        <v>49</v>
      </c>
      <c r="F2038" s="1" t="s">
        <v>50</v>
      </c>
      <c r="G2038" s="1" t="s">
        <v>358</v>
      </c>
      <c r="H2038" s="1" t="s">
        <v>396</v>
      </c>
      <c r="I2038" s="1" t="s">
        <v>394</v>
      </c>
      <c r="J2038" s="1" t="s">
        <v>358</v>
      </c>
      <c r="K2038" s="1" t="s">
        <v>358</v>
      </c>
    </row>
    <row r="2039" customFormat="false" ht="14.25" hidden="false" customHeight="false" outlineLevel="0" collapsed="false">
      <c r="A2039" s="1" t="n">
        <v>93</v>
      </c>
      <c r="B2039" s="1" t="n">
        <v>2025</v>
      </c>
      <c r="C2039" s="3" t="n">
        <v>45716</v>
      </c>
      <c r="E2039" s="1" t="s">
        <v>52</v>
      </c>
      <c r="F2039" s="1" t="s">
        <v>43</v>
      </c>
      <c r="G2039" s="0"/>
      <c r="H2039" s="1" t="s">
        <v>358</v>
      </c>
      <c r="I2039" s="1" t="s">
        <v>403</v>
      </c>
      <c r="J2039" s="1" t="s">
        <v>484</v>
      </c>
      <c r="K2039" s="1" t="s">
        <v>405</v>
      </c>
    </row>
    <row r="2040" customFormat="false" ht="14.25" hidden="false" customHeight="false" outlineLevel="0" collapsed="false">
      <c r="A2040" s="1" t="n">
        <v>93</v>
      </c>
      <c r="B2040" s="1" t="n">
        <v>2025</v>
      </c>
      <c r="C2040" s="3" t="n">
        <v>45716</v>
      </c>
      <c r="E2040" s="1" t="s">
        <v>53</v>
      </c>
      <c r="F2040" s="1" t="s">
        <v>43</v>
      </c>
      <c r="G2040" s="0"/>
      <c r="H2040" s="1" t="s">
        <v>393</v>
      </c>
      <c r="I2040" s="1" t="s">
        <v>386</v>
      </c>
      <c r="J2040" s="1" t="s">
        <v>588</v>
      </c>
      <c r="K2040" s="1" t="s">
        <v>391</v>
      </c>
    </row>
    <row r="2041" customFormat="false" ht="14.25" hidden="false" customHeight="false" outlineLevel="0" collapsed="false">
      <c r="A2041" s="1" t="n">
        <v>93</v>
      </c>
      <c r="B2041" s="1" t="n">
        <v>2025</v>
      </c>
      <c r="C2041" s="3" t="n">
        <v>45716</v>
      </c>
      <c r="E2041" s="1" t="s">
        <v>54</v>
      </c>
      <c r="F2041" s="1" t="s">
        <v>40</v>
      </c>
      <c r="G2041" s="1" t="s">
        <v>405</v>
      </c>
      <c r="H2041" s="1" t="s">
        <v>370</v>
      </c>
      <c r="I2041" s="1" t="s">
        <v>405</v>
      </c>
      <c r="J2041" s="1" t="s">
        <v>497</v>
      </c>
      <c r="K2041" s="1" t="s">
        <v>484</v>
      </c>
    </row>
    <row r="2042" customFormat="false" ht="14.25" hidden="false" customHeight="false" outlineLevel="0" collapsed="false">
      <c r="A2042" s="1" t="n">
        <v>93</v>
      </c>
      <c r="B2042" s="1" t="n">
        <v>2025</v>
      </c>
      <c r="C2042" s="3" t="n">
        <v>45716</v>
      </c>
      <c r="E2042" s="1" t="s">
        <v>56</v>
      </c>
      <c r="F2042" s="1" t="s">
        <v>43</v>
      </c>
      <c r="G2042" s="0"/>
      <c r="H2042" s="1" t="s">
        <v>370</v>
      </c>
      <c r="I2042" s="1" t="s">
        <v>385</v>
      </c>
      <c r="J2042" s="1" t="s">
        <v>527</v>
      </c>
      <c r="K2042" s="1" t="s">
        <v>527</v>
      </c>
    </row>
    <row r="2043" customFormat="false" ht="14.25" hidden="false" customHeight="false" outlineLevel="0" collapsed="false">
      <c r="A2043" s="1" t="n">
        <v>93</v>
      </c>
      <c r="B2043" s="1" t="n">
        <v>2025</v>
      </c>
      <c r="C2043" s="3" t="n">
        <v>45716</v>
      </c>
      <c r="E2043" s="1" t="s">
        <v>57</v>
      </c>
      <c r="F2043" s="1" t="s">
        <v>40</v>
      </c>
      <c r="G2043" s="0"/>
      <c r="H2043" s="1" t="s">
        <v>370</v>
      </c>
      <c r="I2043" s="1" t="s">
        <v>386</v>
      </c>
      <c r="J2043" s="1" t="s">
        <v>385</v>
      </c>
      <c r="K2043" s="1" t="s">
        <v>385</v>
      </c>
    </row>
    <row r="2044" customFormat="false" ht="14.25" hidden="false" customHeight="false" outlineLevel="0" collapsed="false">
      <c r="A2044" s="1" t="n">
        <v>93</v>
      </c>
      <c r="B2044" s="1" t="n">
        <v>2025</v>
      </c>
      <c r="C2044" s="3" t="n">
        <v>45716</v>
      </c>
      <c r="E2044" s="1" t="s">
        <v>58</v>
      </c>
      <c r="F2044" s="1" t="s">
        <v>40</v>
      </c>
      <c r="G2044" s="1" t="s">
        <v>415</v>
      </c>
      <c r="H2044" s="1" t="s">
        <v>386</v>
      </c>
      <c r="I2044" s="1" t="s">
        <v>401</v>
      </c>
      <c r="J2044" s="1" t="s">
        <v>567</v>
      </c>
      <c r="K2044" s="1" t="s">
        <v>415</v>
      </c>
    </row>
    <row r="2045" customFormat="false" ht="14.25" hidden="false" customHeight="false" outlineLevel="0" collapsed="false">
      <c r="A2045" s="1" t="n">
        <v>93</v>
      </c>
      <c r="B2045" s="1" t="n">
        <v>2025</v>
      </c>
      <c r="C2045" s="3" t="n">
        <v>45716</v>
      </c>
      <c r="E2045" s="1" t="s">
        <v>59</v>
      </c>
      <c r="F2045" s="1" t="s">
        <v>45</v>
      </c>
      <c r="G2045" s="1" t="s">
        <v>362</v>
      </c>
      <c r="H2045" s="1" t="s">
        <v>362</v>
      </c>
      <c r="I2045" s="1" t="s">
        <v>370</v>
      </c>
      <c r="J2045" s="1" t="s">
        <v>390</v>
      </c>
      <c r="K2045" s="1" t="s">
        <v>397</v>
      </c>
    </row>
    <row r="2046" customFormat="false" ht="14.25" hidden="false" customHeight="false" outlineLevel="0" collapsed="false">
      <c r="A2046" s="1" t="n">
        <v>93</v>
      </c>
      <c r="B2046" s="1" t="n">
        <v>2025</v>
      </c>
      <c r="C2046" s="3" t="n">
        <v>45716</v>
      </c>
      <c r="E2046" s="1" t="s">
        <v>60</v>
      </c>
      <c r="F2046" s="1" t="s">
        <v>61</v>
      </c>
      <c r="G2046" s="1" t="s">
        <v>358</v>
      </c>
      <c r="H2046" s="1" t="s">
        <v>358</v>
      </c>
      <c r="I2046" s="1" t="s">
        <v>415</v>
      </c>
      <c r="J2046" s="1" t="s">
        <v>370</v>
      </c>
      <c r="K2046" s="1" t="s">
        <v>358</v>
      </c>
    </row>
    <row r="2047" customFormat="false" ht="14.25" hidden="false" customHeight="false" outlineLevel="0" collapsed="false">
      <c r="A2047" s="1" t="n">
        <v>93</v>
      </c>
      <c r="B2047" s="1" t="n">
        <v>2025</v>
      </c>
      <c r="C2047" s="3" t="n">
        <v>45716</v>
      </c>
      <c r="E2047" s="1" t="s">
        <v>63</v>
      </c>
      <c r="F2047" s="1" t="s">
        <v>40</v>
      </c>
      <c r="G2047" s="0"/>
      <c r="H2047" s="1" t="s">
        <v>394</v>
      </c>
      <c r="I2047" s="1" t="s">
        <v>401</v>
      </c>
      <c r="J2047" s="1" t="s">
        <v>589</v>
      </c>
      <c r="K2047" s="1" t="s">
        <v>405</v>
      </c>
    </row>
    <row r="2048" customFormat="false" ht="14.25" hidden="false" customHeight="false" outlineLevel="0" collapsed="false">
      <c r="A2048" s="1" t="n">
        <v>93</v>
      </c>
      <c r="B2048" s="1" t="n">
        <v>2025</v>
      </c>
      <c r="C2048" s="3" t="n">
        <v>45716</v>
      </c>
      <c r="E2048" s="1" t="s">
        <v>64</v>
      </c>
      <c r="F2048" s="1" t="s">
        <v>40</v>
      </c>
      <c r="G2048" s="1" t="s">
        <v>408</v>
      </c>
      <c r="H2048" s="1" t="s">
        <v>405</v>
      </c>
      <c r="I2048" s="1" t="s">
        <v>408</v>
      </c>
      <c r="J2048" s="1" t="s">
        <v>590</v>
      </c>
      <c r="K2048" s="1" t="s">
        <v>591</v>
      </c>
    </row>
    <row r="2049" customFormat="false" ht="14.25" hidden="false" customHeight="false" outlineLevel="0" collapsed="false">
      <c r="A2049" s="1" t="n">
        <v>94</v>
      </c>
      <c r="B2049" s="1" t="n">
        <v>2025</v>
      </c>
      <c r="C2049" s="3" t="n">
        <v>45723</v>
      </c>
      <c r="E2049" s="1" t="s">
        <v>12</v>
      </c>
      <c r="F2049" s="1" t="s">
        <v>13</v>
      </c>
      <c r="G2049" s="1" t="s">
        <v>358</v>
      </c>
      <c r="H2049" s="1" t="s">
        <v>357</v>
      </c>
      <c r="I2049" s="1" t="s">
        <v>358</v>
      </c>
      <c r="J2049" s="1" t="s">
        <v>433</v>
      </c>
      <c r="K2049" s="1" t="s">
        <v>358</v>
      </c>
    </row>
    <row r="2050" customFormat="false" ht="14.25" hidden="false" customHeight="false" outlineLevel="0" collapsed="false">
      <c r="A2050" s="1" t="n">
        <v>94</v>
      </c>
      <c r="B2050" s="1" t="n">
        <v>2025</v>
      </c>
      <c r="C2050" s="3" t="n">
        <v>45723</v>
      </c>
      <c r="E2050" s="1" t="s">
        <v>14</v>
      </c>
      <c r="F2050" s="1" t="s">
        <v>13</v>
      </c>
      <c r="G2050" s="0"/>
      <c r="H2050" s="1" t="s">
        <v>361</v>
      </c>
      <c r="I2050" s="1" t="s">
        <v>472</v>
      </c>
      <c r="J2050" s="1" t="s">
        <v>405</v>
      </c>
      <c r="K2050" s="1" t="s">
        <v>405</v>
      </c>
    </row>
    <row r="2051" customFormat="false" ht="14.25" hidden="false" customHeight="false" outlineLevel="0" collapsed="false">
      <c r="A2051" s="1" t="n">
        <v>94</v>
      </c>
      <c r="B2051" s="1" t="n">
        <v>2025</v>
      </c>
      <c r="C2051" s="3" t="n">
        <v>45723</v>
      </c>
      <c r="E2051" s="1" t="s">
        <v>15</v>
      </c>
      <c r="F2051" s="1" t="s">
        <v>13</v>
      </c>
      <c r="G2051" s="1" t="s">
        <v>357</v>
      </c>
      <c r="H2051" s="1" t="s">
        <v>357</v>
      </c>
      <c r="I2051" s="1" t="s">
        <v>357</v>
      </c>
      <c r="J2051" s="1" t="s">
        <v>357</v>
      </c>
      <c r="K2051" s="1" t="s">
        <v>357</v>
      </c>
    </row>
    <row r="2052" customFormat="false" ht="14.25" hidden="false" customHeight="false" outlineLevel="0" collapsed="false">
      <c r="A2052" s="1" t="n">
        <v>94</v>
      </c>
      <c r="B2052" s="1" t="n">
        <v>2025</v>
      </c>
      <c r="C2052" s="3" t="n">
        <v>45723</v>
      </c>
      <c r="E2052" s="1" t="s">
        <v>16</v>
      </c>
      <c r="F2052" s="1" t="s">
        <v>13</v>
      </c>
      <c r="G2052" s="1" t="s">
        <v>362</v>
      </c>
      <c r="H2052" s="1" t="s">
        <v>362</v>
      </c>
      <c r="I2052" s="1" t="s">
        <v>362</v>
      </c>
      <c r="J2052" s="1" t="s">
        <v>362</v>
      </c>
      <c r="K2052" s="1" t="s">
        <v>362</v>
      </c>
    </row>
    <row r="2053" customFormat="false" ht="14.25" hidden="false" customHeight="false" outlineLevel="0" collapsed="false">
      <c r="A2053" s="1" t="n">
        <v>94</v>
      </c>
      <c r="B2053" s="1" t="n">
        <v>2025</v>
      </c>
      <c r="C2053" s="3" t="n">
        <v>45723</v>
      </c>
      <c r="E2053" s="1" t="s">
        <v>17</v>
      </c>
      <c r="F2053" s="1" t="s">
        <v>13</v>
      </c>
      <c r="G2053" s="1" t="s">
        <v>362</v>
      </c>
      <c r="H2053" s="1" t="s">
        <v>362</v>
      </c>
      <c r="I2053" s="1" t="s">
        <v>362</v>
      </c>
      <c r="J2053" s="1" t="s">
        <v>362</v>
      </c>
      <c r="K2053" s="1" t="s">
        <v>362</v>
      </c>
    </row>
    <row r="2054" customFormat="false" ht="14.25" hidden="false" customHeight="false" outlineLevel="0" collapsed="false">
      <c r="A2054" s="1" t="n">
        <v>94</v>
      </c>
      <c r="B2054" s="1" t="n">
        <v>2025</v>
      </c>
      <c r="C2054" s="3" t="n">
        <v>45723</v>
      </c>
      <c r="E2054" s="1" t="s">
        <v>18</v>
      </c>
      <c r="F2054" s="1" t="s">
        <v>13</v>
      </c>
      <c r="G2054" s="0"/>
      <c r="H2054" s="1" t="s">
        <v>360</v>
      </c>
      <c r="I2054" s="1" t="s">
        <v>401</v>
      </c>
      <c r="J2054" s="1" t="s">
        <v>472</v>
      </c>
      <c r="K2054" s="1" t="s">
        <v>472</v>
      </c>
    </row>
    <row r="2055" customFormat="false" ht="14.25" hidden="false" customHeight="false" outlineLevel="0" collapsed="false">
      <c r="A2055" s="1" t="n">
        <v>94</v>
      </c>
      <c r="B2055" s="1" t="n">
        <v>2025</v>
      </c>
      <c r="C2055" s="3" t="n">
        <v>45723</v>
      </c>
      <c r="E2055" s="1" t="s">
        <v>19</v>
      </c>
      <c r="F2055" s="1" t="s">
        <v>13</v>
      </c>
      <c r="G2055" s="0"/>
      <c r="H2055" s="1" t="s">
        <v>417</v>
      </c>
      <c r="I2055" s="1" t="s">
        <v>361</v>
      </c>
      <c r="J2055" s="1" t="s">
        <v>502</v>
      </c>
      <c r="K2055" s="1" t="s">
        <v>502</v>
      </c>
    </row>
    <row r="2056" customFormat="false" ht="14.25" hidden="false" customHeight="false" outlineLevel="0" collapsed="false">
      <c r="A2056" s="1" t="n">
        <v>94</v>
      </c>
      <c r="B2056" s="1" t="n">
        <v>2025</v>
      </c>
      <c r="C2056" s="3" t="n">
        <v>45723</v>
      </c>
      <c r="E2056" s="1" t="s">
        <v>20</v>
      </c>
      <c r="F2056" s="1" t="s">
        <v>13</v>
      </c>
      <c r="G2056" s="0"/>
      <c r="H2056" s="1" t="s">
        <v>360</v>
      </c>
      <c r="I2056" s="1" t="s">
        <v>568</v>
      </c>
      <c r="J2056" s="1" t="s">
        <v>543</v>
      </c>
      <c r="K2056" s="1" t="s">
        <v>405</v>
      </c>
    </row>
    <row r="2057" customFormat="false" ht="14.25" hidden="false" customHeight="false" outlineLevel="0" collapsed="false">
      <c r="A2057" s="1" t="n">
        <v>94</v>
      </c>
      <c r="B2057" s="1" t="n">
        <v>2025</v>
      </c>
      <c r="C2057" s="3" t="n">
        <v>45723</v>
      </c>
      <c r="E2057" s="1" t="s">
        <v>21</v>
      </c>
      <c r="F2057" s="1" t="s">
        <v>13</v>
      </c>
      <c r="G2057" s="0"/>
      <c r="H2057" s="1" t="s">
        <v>366</v>
      </c>
      <c r="I2057" s="1" t="s">
        <v>430</v>
      </c>
      <c r="J2057" s="1" t="s">
        <v>525</v>
      </c>
      <c r="K2057" s="1" t="s">
        <v>366</v>
      </c>
    </row>
    <row r="2058" customFormat="false" ht="14.25" hidden="false" customHeight="false" outlineLevel="0" collapsed="false">
      <c r="A2058" s="1" t="n">
        <v>94</v>
      </c>
      <c r="B2058" s="1" t="n">
        <v>2025</v>
      </c>
      <c r="C2058" s="3" t="n">
        <v>45723</v>
      </c>
      <c r="E2058" s="1" t="s">
        <v>73</v>
      </c>
      <c r="F2058" s="1" t="s">
        <v>13</v>
      </c>
      <c r="G2058" s="0"/>
      <c r="H2058" s="1" t="s">
        <v>361</v>
      </c>
      <c r="I2058" s="1" t="s">
        <v>401</v>
      </c>
      <c r="J2058" s="1" t="s">
        <v>568</v>
      </c>
      <c r="K2058" s="1" t="s">
        <v>568</v>
      </c>
    </row>
    <row r="2059" customFormat="false" ht="14.25" hidden="false" customHeight="false" outlineLevel="0" collapsed="false">
      <c r="A2059" s="1" t="n">
        <v>94</v>
      </c>
      <c r="B2059" s="1" t="n">
        <v>2025</v>
      </c>
      <c r="C2059" s="3" t="n">
        <v>45723</v>
      </c>
      <c r="E2059" s="1" t="s">
        <v>23</v>
      </c>
      <c r="F2059" s="1" t="s">
        <v>13</v>
      </c>
      <c r="G2059" s="0"/>
      <c r="H2059" s="1" t="s">
        <v>362</v>
      </c>
      <c r="I2059" s="1" t="s">
        <v>362</v>
      </c>
      <c r="J2059" s="1" t="s">
        <v>525</v>
      </c>
      <c r="K2059" s="1" t="s">
        <v>362</v>
      </c>
    </row>
    <row r="2060" customFormat="false" ht="14.25" hidden="false" customHeight="false" outlineLevel="0" collapsed="false">
      <c r="A2060" s="1" t="n">
        <v>94</v>
      </c>
      <c r="B2060" s="1" t="n">
        <v>2025</v>
      </c>
      <c r="C2060" s="3" t="n">
        <v>45723</v>
      </c>
      <c r="E2060" s="1" t="s">
        <v>24</v>
      </c>
      <c r="F2060" s="1" t="s">
        <v>13</v>
      </c>
      <c r="G2060" s="0"/>
      <c r="H2060" s="1" t="s">
        <v>360</v>
      </c>
      <c r="I2060" s="1" t="s">
        <v>401</v>
      </c>
      <c r="J2060" s="1" t="s">
        <v>472</v>
      </c>
      <c r="K2060" s="1" t="s">
        <v>472</v>
      </c>
    </row>
    <row r="2061" customFormat="false" ht="14.25" hidden="false" customHeight="false" outlineLevel="0" collapsed="false">
      <c r="A2061" s="1" t="n">
        <v>94</v>
      </c>
      <c r="B2061" s="1" t="n">
        <v>2025</v>
      </c>
      <c r="C2061" s="3" t="n">
        <v>45723</v>
      </c>
      <c r="E2061" s="1" t="s">
        <v>25</v>
      </c>
      <c r="F2061" s="1" t="s">
        <v>26</v>
      </c>
      <c r="G2061" s="0"/>
      <c r="H2061" s="1" t="s">
        <v>358</v>
      </c>
      <c r="I2061" s="1" t="s">
        <v>360</v>
      </c>
      <c r="J2061" s="1" t="s">
        <v>369</v>
      </c>
      <c r="K2061" s="1" t="s">
        <v>358</v>
      </c>
    </row>
    <row r="2062" customFormat="false" ht="14.25" hidden="false" customHeight="false" outlineLevel="0" collapsed="false">
      <c r="A2062" s="1" t="n">
        <v>94</v>
      </c>
      <c r="B2062" s="1" t="n">
        <v>2025</v>
      </c>
      <c r="C2062" s="3" t="n">
        <v>45723</v>
      </c>
      <c r="E2062" s="1" t="s">
        <v>27</v>
      </c>
      <c r="F2062" s="1" t="s">
        <v>13</v>
      </c>
      <c r="G2062" s="0"/>
      <c r="H2062" s="1" t="s">
        <v>361</v>
      </c>
      <c r="I2062" s="1" t="s">
        <v>361</v>
      </c>
      <c r="J2062" s="1" t="s">
        <v>361</v>
      </c>
      <c r="K2062" s="1" t="s">
        <v>361</v>
      </c>
    </row>
    <row r="2063" customFormat="false" ht="14.25" hidden="false" customHeight="false" outlineLevel="0" collapsed="false">
      <c r="A2063" s="1" t="n">
        <v>94</v>
      </c>
      <c r="B2063" s="1" t="n">
        <v>2025</v>
      </c>
      <c r="C2063" s="3" t="n">
        <v>45723</v>
      </c>
      <c r="E2063" s="1" t="s">
        <v>28</v>
      </c>
      <c r="F2063" s="1" t="s">
        <v>13</v>
      </c>
      <c r="G2063" s="0"/>
      <c r="H2063" s="1" t="s">
        <v>393</v>
      </c>
      <c r="I2063" s="1" t="s">
        <v>358</v>
      </c>
      <c r="J2063" s="1" t="s">
        <v>592</v>
      </c>
      <c r="K2063" s="1" t="s">
        <v>358</v>
      </c>
    </row>
    <row r="2064" customFormat="false" ht="14.25" hidden="false" customHeight="false" outlineLevel="0" collapsed="false">
      <c r="A2064" s="1" t="n">
        <v>94</v>
      </c>
      <c r="B2064" s="1" t="n">
        <v>2025</v>
      </c>
      <c r="C2064" s="3" t="n">
        <v>45723</v>
      </c>
      <c r="E2064" s="1" t="s">
        <v>29</v>
      </c>
      <c r="F2064" s="1" t="s">
        <v>13</v>
      </c>
      <c r="G2064" s="1" t="s">
        <v>359</v>
      </c>
      <c r="H2064" s="1" t="s">
        <v>358</v>
      </c>
      <c r="I2064" s="1" t="s">
        <v>358</v>
      </c>
      <c r="J2064" s="1" t="s">
        <v>423</v>
      </c>
      <c r="K2064" s="1" t="s">
        <v>358</v>
      </c>
    </row>
    <row r="2065" customFormat="false" ht="14.25" hidden="false" customHeight="false" outlineLevel="0" collapsed="false">
      <c r="A2065" s="1" t="n">
        <v>94</v>
      </c>
      <c r="B2065" s="1" t="n">
        <v>2025</v>
      </c>
      <c r="C2065" s="3" t="n">
        <v>45723</v>
      </c>
      <c r="E2065" s="1" t="s">
        <v>31</v>
      </c>
      <c r="F2065" s="1" t="s">
        <v>32</v>
      </c>
      <c r="G2065" s="1" t="s">
        <v>358</v>
      </c>
      <c r="H2065" s="1" t="s">
        <v>357</v>
      </c>
      <c r="I2065" s="1" t="s">
        <v>358</v>
      </c>
      <c r="J2065" s="1" t="s">
        <v>433</v>
      </c>
      <c r="K2065" s="1" t="s">
        <v>358</v>
      </c>
    </row>
    <row r="2066" customFormat="false" ht="14.25" hidden="false" customHeight="false" outlineLevel="0" collapsed="false">
      <c r="A2066" s="1" t="n">
        <v>94</v>
      </c>
      <c r="B2066" s="1" t="n">
        <v>2025</v>
      </c>
      <c r="C2066" s="3" t="n">
        <v>45723</v>
      </c>
      <c r="E2066" s="1" t="s">
        <v>34</v>
      </c>
      <c r="F2066" s="1" t="s">
        <v>35</v>
      </c>
      <c r="G2066" s="0"/>
      <c r="H2066" s="1" t="s">
        <v>361</v>
      </c>
      <c r="I2066" s="1" t="s">
        <v>472</v>
      </c>
      <c r="J2066" s="1" t="s">
        <v>405</v>
      </c>
      <c r="K2066" s="1" t="s">
        <v>405</v>
      </c>
    </row>
    <row r="2067" customFormat="false" ht="14.25" hidden="false" customHeight="false" outlineLevel="0" collapsed="false">
      <c r="A2067" s="1" t="n">
        <v>94</v>
      </c>
      <c r="B2067" s="1" t="n">
        <v>2025</v>
      </c>
      <c r="C2067" s="3" t="n">
        <v>45723</v>
      </c>
      <c r="E2067" s="1" t="s">
        <v>36</v>
      </c>
      <c r="F2067" s="1" t="s">
        <v>35</v>
      </c>
      <c r="G2067" s="1" t="s">
        <v>357</v>
      </c>
      <c r="H2067" s="1" t="s">
        <v>357</v>
      </c>
      <c r="I2067" s="1" t="s">
        <v>357</v>
      </c>
      <c r="J2067" s="1" t="s">
        <v>357</v>
      </c>
      <c r="K2067" s="1" t="s">
        <v>357</v>
      </c>
    </row>
    <row r="2068" customFormat="false" ht="14.25" hidden="false" customHeight="false" outlineLevel="0" collapsed="false">
      <c r="A2068" s="1" t="n">
        <v>94</v>
      </c>
      <c r="B2068" s="1" t="n">
        <v>2025</v>
      </c>
      <c r="C2068" s="3" t="n">
        <v>45723</v>
      </c>
      <c r="E2068" s="1" t="s">
        <v>153</v>
      </c>
      <c r="F2068" s="1" t="s">
        <v>154</v>
      </c>
      <c r="G2068" s="1" t="s">
        <v>358</v>
      </c>
      <c r="H2068" s="1" t="s">
        <v>358</v>
      </c>
      <c r="I2068" s="1" t="s">
        <v>370</v>
      </c>
      <c r="J2068" s="1" t="s">
        <v>374</v>
      </c>
      <c r="K2068" s="1" t="s">
        <v>358</v>
      </c>
    </row>
    <row r="2069" customFormat="false" ht="14.25" hidden="false" customHeight="false" outlineLevel="0" collapsed="false">
      <c r="A2069" s="1" t="n">
        <v>94</v>
      </c>
      <c r="B2069" s="1" t="n">
        <v>2025</v>
      </c>
      <c r="C2069" s="3" t="n">
        <v>45723</v>
      </c>
      <c r="E2069" s="1" t="s">
        <v>39</v>
      </c>
      <c r="F2069" s="1" t="s">
        <v>40</v>
      </c>
      <c r="G2069" s="1" t="s">
        <v>397</v>
      </c>
      <c r="H2069" s="1" t="s">
        <v>393</v>
      </c>
      <c r="I2069" s="1" t="s">
        <v>358</v>
      </c>
      <c r="J2069" s="1" t="s">
        <v>393</v>
      </c>
      <c r="K2069" s="1" t="s">
        <v>393</v>
      </c>
    </row>
    <row r="2070" customFormat="false" ht="14.25" hidden="false" customHeight="false" outlineLevel="0" collapsed="false">
      <c r="A2070" s="1" t="n">
        <v>94</v>
      </c>
      <c r="B2070" s="1" t="n">
        <v>2025</v>
      </c>
      <c r="C2070" s="3" t="n">
        <v>45723</v>
      </c>
      <c r="E2070" s="1" t="s">
        <v>42</v>
      </c>
      <c r="F2070" s="1" t="s">
        <v>43</v>
      </c>
      <c r="G2070" s="1" t="s">
        <v>358</v>
      </c>
      <c r="H2070" s="1" t="s">
        <v>362</v>
      </c>
      <c r="I2070" s="1" t="s">
        <v>394</v>
      </c>
      <c r="J2070" s="1" t="s">
        <v>428</v>
      </c>
      <c r="K2070" s="1" t="s">
        <v>358</v>
      </c>
    </row>
    <row r="2071" customFormat="false" ht="14.25" hidden="false" customHeight="false" outlineLevel="0" collapsed="false">
      <c r="A2071" s="1" t="n">
        <v>94</v>
      </c>
      <c r="B2071" s="1" t="n">
        <v>2025</v>
      </c>
      <c r="C2071" s="3" t="n">
        <v>45723</v>
      </c>
      <c r="E2071" s="1" t="s">
        <v>44</v>
      </c>
      <c r="F2071" s="1" t="s">
        <v>45</v>
      </c>
      <c r="G2071" s="1" t="s">
        <v>396</v>
      </c>
      <c r="H2071" s="1" t="s">
        <v>388</v>
      </c>
      <c r="I2071" s="1" t="s">
        <v>396</v>
      </c>
      <c r="J2071" s="1" t="s">
        <v>404</v>
      </c>
      <c r="K2071" s="1" t="s">
        <v>393</v>
      </c>
    </row>
    <row r="2072" customFormat="false" ht="14.25" hidden="false" customHeight="false" outlineLevel="0" collapsed="false">
      <c r="A2072" s="1" t="n">
        <v>94</v>
      </c>
      <c r="B2072" s="1" t="n">
        <v>2025</v>
      </c>
      <c r="C2072" s="3" t="n">
        <v>45723</v>
      </c>
      <c r="E2072" s="1" t="s">
        <v>48</v>
      </c>
      <c r="F2072" s="1" t="s">
        <v>45</v>
      </c>
      <c r="G2072" s="1" t="s">
        <v>386</v>
      </c>
      <c r="H2072" s="1" t="s">
        <v>386</v>
      </c>
      <c r="I2072" s="1" t="s">
        <v>386</v>
      </c>
      <c r="J2072" s="1" t="s">
        <v>386</v>
      </c>
      <c r="K2072" s="1" t="s">
        <v>386</v>
      </c>
    </row>
    <row r="2073" customFormat="false" ht="14.25" hidden="false" customHeight="false" outlineLevel="0" collapsed="false">
      <c r="A2073" s="1" t="n">
        <v>94</v>
      </c>
      <c r="B2073" s="1" t="n">
        <v>2025</v>
      </c>
      <c r="C2073" s="3" t="n">
        <v>45723</v>
      </c>
      <c r="E2073" s="1" t="s">
        <v>49</v>
      </c>
      <c r="F2073" s="1" t="s">
        <v>50</v>
      </c>
      <c r="G2073" s="1" t="s">
        <v>393</v>
      </c>
      <c r="H2073" s="1" t="s">
        <v>393</v>
      </c>
      <c r="I2073" s="1" t="s">
        <v>394</v>
      </c>
      <c r="J2073" s="1" t="s">
        <v>458</v>
      </c>
      <c r="K2073" s="1" t="s">
        <v>396</v>
      </c>
    </row>
    <row r="2074" customFormat="false" ht="14.25" hidden="false" customHeight="false" outlineLevel="0" collapsed="false">
      <c r="A2074" s="1" t="n">
        <v>94</v>
      </c>
      <c r="B2074" s="1" t="n">
        <v>2025</v>
      </c>
      <c r="C2074" s="3" t="n">
        <v>45723</v>
      </c>
      <c r="E2074" s="1" t="s">
        <v>52</v>
      </c>
      <c r="F2074" s="1" t="s">
        <v>43</v>
      </c>
      <c r="G2074" s="1" t="s">
        <v>393</v>
      </c>
      <c r="H2074" s="1" t="s">
        <v>390</v>
      </c>
      <c r="I2074" s="1" t="s">
        <v>415</v>
      </c>
      <c r="J2074" s="1" t="s">
        <v>387</v>
      </c>
      <c r="K2074" s="1" t="s">
        <v>386</v>
      </c>
    </row>
    <row r="2075" customFormat="false" ht="14.25" hidden="false" customHeight="false" outlineLevel="0" collapsed="false">
      <c r="A2075" s="1" t="n">
        <v>94</v>
      </c>
      <c r="B2075" s="1" t="n">
        <v>2025</v>
      </c>
      <c r="C2075" s="3" t="n">
        <v>45723</v>
      </c>
      <c r="E2075" s="1" t="s">
        <v>53</v>
      </c>
      <c r="F2075" s="1" t="s">
        <v>43</v>
      </c>
      <c r="G2075" s="1" t="s">
        <v>370</v>
      </c>
      <c r="H2075" s="1" t="s">
        <v>405</v>
      </c>
      <c r="I2075" s="1" t="s">
        <v>386</v>
      </c>
      <c r="J2075" s="1" t="s">
        <v>394</v>
      </c>
      <c r="K2075" s="1" t="s">
        <v>370</v>
      </c>
    </row>
    <row r="2076" customFormat="false" ht="14.25" hidden="false" customHeight="false" outlineLevel="0" collapsed="false">
      <c r="A2076" s="1" t="n">
        <v>94</v>
      </c>
      <c r="B2076" s="1" t="n">
        <v>2025</v>
      </c>
      <c r="C2076" s="3" t="n">
        <v>45723</v>
      </c>
      <c r="E2076" s="1" t="s">
        <v>54</v>
      </c>
      <c r="F2076" s="1" t="s">
        <v>40</v>
      </c>
      <c r="G2076" s="0"/>
      <c r="H2076" s="1" t="s">
        <v>358</v>
      </c>
      <c r="I2076" s="1" t="s">
        <v>415</v>
      </c>
      <c r="J2076" s="1" t="s">
        <v>576</v>
      </c>
      <c r="K2076" s="1" t="s">
        <v>484</v>
      </c>
    </row>
    <row r="2077" customFormat="false" ht="14.25" hidden="false" customHeight="false" outlineLevel="0" collapsed="false">
      <c r="A2077" s="1" t="n">
        <v>94</v>
      </c>
      <c r="B2077" s="1" t="n">
        <v>2025</v>
      </c>
      <c r="C2077" s="3" t="n">
        <v>45723</v>
      </c>
      <c r="E2077" s="1" t="s">
        <v>56</v>
      </c>
      <c r="F2077" s="1" t="s">
        <v>43</v>
      </c>
      <c r="G2077" s="0"/>
      <c r="H2077" s="1" t="s">
        <v>390</v>
      </c>
      <c r="I2077" s="1" t="s">
        <v>386</v>
      </c>
      <c r="J2077" s="1" t="s">
        <v>528</v>
      </c>
      <c r="K2077" s="1" t="s">
        <v>385</v>
      </c>
    </row>
    <row r="2078" customFormat="false" ht="14.25" hidden="false" customHeight="false" outlineLevel="0" collapsed="false">
      <c r="A2078" s="1" t="n">
        <v>94</v>
      </c>
      <c r="B2078" s="1" t="n">
        <v>2025</v>
      </c>
      <c r="C2078" s="3" t="n">
        <v>45723</v>
      </c>
      <c r="E2078" s="1" t="s">
        <v>57</v>
      </c>
      <c r="F2078" s="1" t="s">
        <v>40</v>
      </c>
      <c r="G2078" s="1" t="s">
        <v>370</v>
      </c>
      <c r="H2078" s="1" t="s">
        <v>370</v>
      </c>
      <c r="I2078" s="1" t="s">
        <v>370</v>
      </c>
      <c r="J2078" s="1" t="s">
        <v>370</v>
      </c>
      <c r="K2078" s="1" t="s">
        <v>370</v>
      </c>
    </row>
    <row r="2079" customFormat="false" ht="14.25" hidden="false" customHeight="false" outlineLevel="0" collapsed="false">
      <c r="A2079" s="1" t="n">
        <v>94</v>
      </c>
      <c r="B2079" s="1" t="n">
        <v>2025</v>
      </c>
      <c r="C2079" s="3" t="n">
        <v>45723</v>
      </c>
      <c r="E2079" s="1" t="s">
        <v>58</v>
      </c>
      <c r="F2079" s="1" t="s">
        <v>40</v>
      </c>
      <c r="G2079" s="0"/>
      <c r="H2079" s="1" t="s">
        <v>370</v>
      </c>
      <c r="I2079" s="1" t="s">
        <v>415</v>
      </c>
      <c r="J2079" s="1" t="s">
        <v>593</v>
      </c>
      <c r="K2079" s="1" t="s">
        <v>385</v>
      </c>
    </row>
    <row r="2080" customFormat="false" ht="14.25" hidden="false" customHeight="false" outlineLevel="0" collapsed="false">
      <c r="A2080" s="1" t="n">
        <v>94</v>
      </c>
      <c r="B2080" s="1" t="n">
        <v>2025</v>
      </c>
      <c r="C2080" s="3" t="n">
        <v>45723</v>
      </c>
      <c r="E2080" s="1" t="s">
        <v>59</v>
      </c>
      <c r="F2080" s="1" t="s">
        <v>45</v>
      </c>
      <c r="G2080" s="1" t="s">
        <v>358</v>
      </c>
      <c r="H2080" s="1" t="s">
        <v>358</v>
      </c>
      <c r="I2080" s="1" t="s">
        <v>358</v>
      </c>
      <c r="J2080" s="1" t="s">
        <v>464</v>
      </c>
      <c r="K2080" s="1" t="s">
        <v>440</v>
      </c>
    </row>
    <row r="2081" customFormat="false" ht="14.25" hidden="false" customHeight="false" outlineLevel="0" collapsed="false">
      <c r="A2081" s="1" t="n">
        <v>94</v>
      </c>
      <c r="B2081" s="1" t="n">
        <v>2025</v>
      </c>
      <c r="C2081" s="3" t="n">
        <v>45723</v>
      </c>
      <c r="E2081" s="1" t="s">
        <v>60</v>
      </c>
      <c r="F2081" s="1" t="s">
        <v>61</v>
      </c>
      <c r="G2081" s="1" t="s">
        <v>388</v>
      </c>
      <c r="H2081" s="1" t="s">
        <v>388</v>
      </c>
      <c r="I2081" s="1" t="s">
        <v>370</v>
      </c>
      <c r="J2081" s="1" t="s">
        <v>358</v>
      </c>
      <c r="K2081" s="1" t="s">
        <v>358</v>
      </c>
    </row>
    <row r="2082" customFormat="false" ht="14.25" hidden="false" customHeight="false" outlineLevel="0" collapsed="false">
      <c r="A2082" s="1" t="n">
        <v>94</v>
      </c>
      <c r="B2082" s="1" t="n">
        <v>2025</v>
      </c>
      <c r="C2082" s="3" t="n">
        <v>45723</v>
      </c>
      <c r="E2082" s="1" t="s">
        <v>63</v>
      </c>
      <c r="F2082" s="1" t="s">
        <v>40</v>
      </c>
      <c r="G2082" s="1" t="s">
        <v>358</v>
      </c>
      <c r="H2082" s="1" t="s">
        <v>393</v>
      </c>
      <c r="I2082" s="1" t="s">
        <v>451</v>
      </c>
      <c r="J2082" s="1" t="s">
        <v>594</v>
      </c>
      <c r="K2082" s="1" t="s">
        <v>403</v>
      </c>
    </row>
    <row r="2083" customFormat="false" ht="14.25" hidden="false" customHeight="false" outlineLevel="0" collapsed="false">
      <c r="A2083" s="1" t="n">
        <v>94</v>
      </c>
      <c r="B2083" s="1" t="n">
        <v>2025</v>
      </c>
      <c r="C2083" s="3" t="n">
        <v>45723</v>
      </c>
      <c r="E2083" s="1" t="s">
        <v>64</v>
      </c>
      <c r="F2083" s="1" t="s">
        <v>40</v>
      </c>
      <c r="G2083" s="0"/>
      <c r="H2083" s="1" t="s">
        <v>386</v>
      </c>
      <c r="I2083" s="1" t="s">
        <v>408</v>
      </c>
      <c r="J2083" s="1" t="s">
        <v>500</v>
      </c>
      <c r="K2083" s="1" t="s">
        <v>415</v>
      </c>
    </row>
    <row r="2084" customFormat="false" ht="14.25" hidden="false" customHeight="false" outlineLevel="0" collapsed="false">
      <c r="A2084" s="1" t="n">
        <v>95</v>
      </c>
      <c r="B2084" s="1" t="n">
        <v>2025</v>
      </c>
      <c r="C2084" s="3" t="n">
        <v>45730</v>
      </c>
      <c r="E2084" s="1" t="s">
        <v>12</v>
      </c>
      <c r="F2084" s="1" t="s">
        <v>13</v>
      </c>
      <c r="G2084" s="0"/>
      <c r="H2084" s="1" t="s">
        <v>358</v>
      </c>
      <c r="I2084" s="1" t="s">
        <v>416</v>
      </c>
      <c r="J2084" s="1" t="s">
        <v>416</v>
      </c>
      <c r="K2084" s="1" t="s">
        <v>360</v>
      </c>
    </row>
    <row r="2085" customFormat="false" ht="14.25" hidden="false" customHeight="false" outlineLevel="0" collapsed="false">
      <c r="A2085" s="1" t="n">
        <v>95</v>
      </c>
      <c r="B2085" s="1" t="n">
        <v>2025</v>
      </c>
      <c r="C2085" s="3" t="n">
        <v>45730</v>
      </c>
      <c r="E2085" s="1" t="s">
        <v>14</v>
      </c>
      <c r="F2085" s="1" t="s">
        <v>13</v>
      </c>
      <c r="G2085" s="0"/>
      <c r="H2085" s="1" t="s">
        <v>357</v>
      </c>
      <c r="I2085" s="1" t="s">
        <v>360</v>
      </c>
      <c r="J2085" s="1" t="s">
        <v>360</v>
      </c>
      <c r="K2085" s="1" t="s">
        <v>472</v>
      </c>
    </row>
    <row r="2086" customFormat="false" ht="14.25" hidden="false" customHeight="false" outlineLevel="0" collapsed="false">
      <c r="A2086" s="1" t="n">
        <v>95</v>
      </c>
      <c r="B2086" s="1" t="n">
        <v>2025</v>
      </c>
      <c r="C2086" s="3" t="n">
        <v>45730</v>
      </c>
      <c r="E2086" s="1" t="s">
        <v>15</v>
      </c>
      <c r="F2086" s="1" t="s">
        <v>13</v>
      </c>
      <c r="G2086" s="1" t="s">
        <v>357</v>
      </c>
      <c r="H2086" s="1" t="s">
        <v>363</v>
      </c>
      <c r="I2086" s="1" t="s">
        <v>485</v>
      </c>
      <c r="J2086" s="1" t="s">
        <v>357</v>
      </c>
      <c r="K2086" s="1" t="s">
        <v>357</v>
      </c>
    </row>
    <row r="2087" customFormat="false" ht="14.25" hidden="false" customHeight="false" outlineLevel="0" collapsed="false">
      <c r="A2087" s="1" t="n">
        <v>95</v>
      </c>
      <c r="B2087" s="1" t="n">
        <v>2025</v>
      </c>
      <c r="C2087" s="3" t="n">
        <v>45730</v>
      </c>
      <c r="E2087" s="1" t="s">
        <v>16</v>
      </c>
      <c r="F2087" s="1" t="s">
        <v>13</v>
      </c>
      <c r="G2087" s="1" t="s">
        <v>362</v>
      </c>
      <c r="H2087" s="1" t="s">
        <v>362</v>
      </c>
      <c r="I2087" s="1" t="s">
        <v>582</v>
      </c>
      <c r="J2087" s="1" t="s">
        <v>430</v>
      </c>
      <c r="K2087" s="1" t="s">
        <v>362</v>
      </c>
    </row>
    <row r="2088" customFormat="false" ht="14.25" hidden="false" customHeight="false" outlineLevel="0" collapsed="false">
      <c r="A2088" s="1" t="n">
        <v>95</v>
      </c>
      <c r="B2088" s="1" t="n">
        <v>2025</v>
      </c>
      <c r="C2088" s="3" t="n">
        <v>45730</v>
      </c>
      <c r="E2088" s="1" t="s">
        <v>17</v>
      </c>
      <c r="F2088" s="1" t="s">
        <v>13</v>
      </c>
      <c r="G2088" s="1" t="s">
        <v>362</v>
      </c>
      <c r="H2088" s="1" t="s">
        <v>362</v>
      </c>
      <c r="I2088" s="1" t="s">
        <v>362</v>
      </c>
      <c r="J2088" s="1" t="s">
        <v>362</v>
      </c>
      <c r="K2088" s="1" t="s">
        <v>362</v>
      </c>
    </row>
    <row r="2089" customFormat="false" ht="14.25" hidden="false" customHeight="false" outlineLevel="0" collapsed="false">
      <c r="A2089" s="1" t="n">
        <v>95</v>
      </c>
      <c r="B2089" s="1" t="n">
        <v>2025</v>
      </c>
      <c r="C2089" s="3" t="n">
        <v>45730</v>
      </c>
      <c r="E2089" s="1" t="s">
        <v>18</v>
      </c>
      <c r="F2089" s="1" t="s">
        <v>13</v>
      </c>
      <c r="G2089" s="0"/>
      <c r="H2089" s="1" t="s">
        <v>358</v>
      </c>
      <c r="I2089" s="1" t="s">
        <v>360</v>
      </c>
      <c r="J2089" s="1" t="s">
        <v>360</v>
      </c>
      <c r="K2089" s="1" t="s">
        <v>361</v>
      </c>
    </row>
    <row r="2090" customFormat="false" ht="14.25" hidden="false" customHeight="false" outlineLevel="0" collapsed="false">
      <c r="A2090" s="1" t="n">
        <v>95</v>
      </c>
      <c r="B2090" s="1" t="n">
        <v>2025</v>
      </c>
      <c r="C2090" s="3" t="n">
        <v>45730</v>
      </c>
      <c r="E2090" s="1" t="s">
        <v>19</v>
      </c>
      <c r="F2090" s="1" t="s">
        <v>13</v>
      </c>
      <c r="G2090" s="0"/>
      <c r="H2090" s="1" t="s">
        <v>405</v>
      </c>
      <c r="I2090" s="1" t="s">
        <v>566</v>
      </c>
      <c r="J2090" s="1" t="s">
        <v>595</v>
      </c>
      <c r="K2090" s="1" t="s">
        <v>595</v>
      </c>
    </row>
    <row r="2091" customFormat="false" ht="14.25" hidden="false" customHeight="false" outlineLevel="0" collapsed="false">
      <c r="A2091" s="1" t="n">
        <v>95</v>
      </c>
      <c r="B2091" s="1" t="n">
        <v>2025</v>
      </c>
      <c r="C2091" s="3" t="n">
        <v>45730</v>
      </c>
      <c r="E2091" s="1" t="s">
        <v>20</v>
      </c>
      <c r="F2091" s="1" t="s">
        <v>13</v>
      </c>
      <c r="G2091" s="0"/>
      <c r="H2091" s="1" t="s">
        <v>361</v>
      </c>
      <c r="I2091" s="1" t="s">
        <v>405</v>
      </c>
      <c r="J2091" s="1" t="s">
        <v>568</v>
      </c>
      <c r="K2091" s="1" t="s">
        <v>468</v>
      </c>
    </row>
    <row r="2092" customFormat="false" ht="14.25" hidden="false" customHeight="false" outlineLevel="0" collapsed="false">
      <c r="A2092" s="1" t="n">
        <v>95</v>
      </c>
      <c r="B2092" s="1" t="n">
        <v>2025</v>
      </c>
      <c r="C2092" s="3" t="n">
        <v>45730</v>
      </c>
      <c r="E2092" s="1" t="s">
        <v>21</v>
      </c>
      <c r="F2092" s="1" t="s">
        <v>13</v>
      </c>
      <c r="G2092" s="1" t="s">
        <v>362</v>
      </c>
      <c r="H2092" s="1" t="s">
        <v>362</v>
      </c>
      <c r="I2092" s="1" t="s">
        <v>430</v>
      </c>
      <c r="J2092" s="1" t="s">
        <v>582</v>
      </c>
      <c r="K2092" s="1" t="s">
        <v>362</v>
      </c>
    </row>
    <row r="2093" customFormat="false" ht="14.25" hidden="false" customHeight="false" outlineLevel="0" collapsed="false">
      <c r="A2093" s="1" t="n">
        <v>95</v>
      </c>
      <c r="B2093" s="1" t="n">
        <v>2025</v>
      </c>
      <c r="C2093" s="3" t="n">
        <v>45730</v>
      </c>
      <c r="E2093" s="1" t="s">
        <v>73</v>
      </c>
      <c r="F2093" s="1" t="s">
        <v>13</v>
      </c>
      <c r="G2093" s="0"/>
      <c r="H2093" s="1" t="s">
        <v>472</v>
      </c>
      <c r="I2093" s="1" t="s">
        <v>401</v>
      </c>
      <c r="J2093" s="1" t="s">
        <v>566</v>
      </c>
      <c r="K2093" s="1" t="s">
        <v>566</v>
      </c>
    </row>
    <row r="2094" customFormat="false" ht="14.25" hidden="false" customHeight="false" outlineLevel="0" collapsed="false">
      <c r="A2094" s="1" t="n">
        <v>95</v>
      </c>
      <c r="B2094" s="1" t="n">
        <v>2025</v>
      </c>
      <c r="C2094" s="3" t="n">
        <v>45730</v>
      </c>
      <c r="E2094" s="1" t="s">
        <v>23</v>
      </c>
      <c r="F2094" s="1" t="s">
        <v>13</v>
      </c>
      <c r="G2094" s="1" t="s">
        <v>362</v>
      </c>
      <c r="H2094" s="1" t="s">
        <v>362</v>
      </c>
      <c r="I2094" s="1" t="s">
        <v>362</v>
      </c>
      <c r="J2094" s="1" t="s">
        <v>362</v>
      </c>
      <c r="K2094" s="1" t="s">
        <v>362</v>
      </c>
    </row>
    <row r="2095" customFormat="false" ht="14.25" hidden="false" customHeight="false" outlineLevel="0" collapsed="false">
      <c r="A2095" s="1" t="n">
        <v>95</v>
      </c>
      <c r="B2095" s="1" t="n">
        <v>2025</v>
      </c>
      <c r="C2095" s="3" t="n">
        <v>45730</v>
      </c>
      <c r="E2095" s="1" t="s">
        <v>24</v>
      </c>
      <c r="F2095" s="1" t="s">
        <v>13</v>
      </c>
      <c r="G2095" s="0"/>
      <c r="H2095" s="1" t="s">
        <v>360</v>
      </c>
      <c r="I2095" s="1" t="s">
        <v>472</v>
      </c>
      <c r="J2095" s="1" t="s">
        <v>361</v>
      </c>
      <c r="K2095" s="1" t="s">
        <v>361</v>
      </c>
    </row>
    <row r="2096" customFormat="false" ht="14.25" hidden="false" customHeight="false" outlineLevel="0" collapsed="false">
      <c r="A2096" s="1" t="n">
        <v>95</v>
      </c>
      <c r="B2096" s="1" t="n">
        <v>2025</v>
      </c>
      <c r="C2096" s="3" t="n">
        <v>45730</v>
      </c>
      <c r="E2096" s="1" t="s">
        <v>25</v>
      </c>
      <c r="F2096" s="1" t="s">
        <v>26</v>
      </c>
      <c r="G2096" s="1" t="s">
        <v>358</v>
      </c>
      <c r="H2096" s="1" t="s">
        <v>358</v>
      </c>
      <c r="I2096" s="1" t="s">
        <v>360</v>
      </c>
      <c r="J2096" s="1" t="s">
        <v>369</v>
      </c>
      <c r="K2096" s="1" t="s">
        <v>358</v>
      </c>
    </row>
    <row r="2097" customFormat="false" ht="14.25" hidden="false" customHeight="false" outlineLevel="0" collapsed="false">
      <c r="A2097" s="1" t="n">
        <v>95</v>
      </c>
      <c r="B2097" s="1" t="n">
        <v>2025</v>
      </c>
      <c r="C2097" s="3" t="n">
        <v>45730</v>
      </c>
      <c r="E2097" s="1" t="s">
        <v>27</v>
      </c>
      <c r="F2097" s="1" t="s">
        <v>13</v>
      </c>
      <c r="G2097" s="0"/>
      <c r="H2097" s="1" t="s">
        <v>358</v>
      </c>
      <c r="I2097" s="1" t="s">
        <v>472</v>
      </c>
      <c r="J2097" s="1" t="s">
        <v>417</v>
      </c>
      <c r="K2097" s="1" t="s">
        <v>417</v>
      </c>
    </row>
    <row r="2098" customFormat="false" ht="14.25" hidden="false" customHeight="false" outlineLevel="0" collapsed="false">
      <c r="A2098" s="1" t="n">
        <v>95</v>
      </c>
      <c r="B2098" s="1" t="n">
        <v>2025</v>
      </c>
      <c r="C2098" s="3" t="n">
        <v>45730</v>
      </c>
      <c r="E2098" s="1" t="s">
        <v>28</v>
      </c>
      <c r="F2098" s="1" t="s">
        <v>13</v>
      </c>
      <c r="G2098" s="0"/>
      <c r="H2098" s="1" t="s">
        <v>393</v>
      </c>
      <c r="I2098" s="1" t="s">
        <v>394</v>
      </c>
      <c r="J2098" s="1" t="s">
        <v>596</v>
      </c>
      <c r="K2098" s="1" t="s">
        <v>361</v>
      </c>
    </row>
    <row r="2099" customFormat="false" ht="14.25" hidden="false" customHeight="false" outlineLevel="0" collapsed="false">
      <c r="A2099" s="1" t="n">
        <v>95</v>
      </c>
      <c r="B2099" s="1" t="n">
        <v>2025</v>
      </c>
      <c r="C2099" s="3" t="n">
        <v>45730</v>
      </c>
      <c r="E2099" s="1" t="s">
        <v>29</v>
      </c>
      <c r="F2099" s="1" t="s">
        <v>13</v>
      </c>
      <c r="G2099" s="0"/>
      <c r="H2099" s="1" t="s">
        <v>357</v>
      </c>
      <c r="I2099" s="1" t="s">
        <v>423</v>
      </c>
      <c r="J2099" s="1" t="s">
        <v>359</v>
      </c>
      <c r="K2099" s="1" t="s">
        <v>360</v>
      </c>
    </row>
    <row r="2100" customFormat="false" ht="14.25" hidden="false" customHeight="false" outlineLevel="0" collapsed="false">
      <c r="A2100" s="1" t="n">
        <v>95</v>
      </c>
      <c r="B2100" s="1" t="n">
        <v>2025</v>
      </c>
      <c r="C2100" s="3" t="n">
        <v>45730</v>
      </c>
      <c r="E2100" s="1" t="s">
        <v>31</v>
      </c>
      <c r="F2100" s="1" t="s">
        <v>32</v>
      </c>
      <c r="G2100" s="1" t="s">
        <v>378</v>
      </c>
      <c r="H2100" s="1" t="s">
        <v>378</v>
      </c>
      <c r="I2100" s="1" t="s">
        <v>597</v>
      </c>
      <c r="J2100" s="1" t="s">
        <v>378</v>
      </c>
      <c r="K2100" s="1" t="s">
        <v>598</v>
      </c>
    </row>
    <row r="2101" customFormat="false" ht="14.25" hidden="false" customHeight="false" outlineLevel="0" collapsed="false">
      <c r="A2101" s="1" t="n">
        <v>95</v>
      </c>
      <c r="B2101" s="1" t="n">
        <v>2025</v>
      </c>
      <c r="C2101" s="3" t="n">
        <v>45730</v>
      </c>
      <c r="E2101" s="1" t="s">
        <v>34</v>
      </c>
      <c r="F2101" s="1" t="s">
        <v>35</v>
      </c>
      <c r="G2101" s="1" t="s">
        <v>390</v>
      </c>
      <c r="H2101" s="1" t="s">
        <v>390</v>
      </c>
      <c r="I2101" s="1" t="s">
        <v>390</v>
      </c>
      <c r="J2101" s="1" t="s">
        <v>390</v>
      </c>
      <c r="K2101" s="1" t="s">
        <v>390</v>
      </c>
    </row>
    <row r="2102" customFormat="false" ht="14.25" hidden="false" customHeight="false" outlineLevel="0" collapsed="false">
      <c r="A2102" s="1" t="n">
        <v>95</v>
      </c>
      <c r="B2102" s="1" t="n">
        <v>2025</v>
      </c>
      <c r="C2102" s="3" t="n">
        <v>45730</v>
      </c>
      <c r="E2102" s="1" t="s">
        <v>36</v>
      </c>
      <c r="F2102" s="1" t="s">
        <v>35</v>
      </c>
      <c r="G2102" s="0"/>
      <c r="H2102" s="1" t="s">
        <v>362</v>
      </c>
      <c r="I2102" s="1" t="s">
        <v>397</v>
      </c>
      <c r="J2102" s="1" t="s">
        <v>388</v>
      </c>
      <c r="K2102" s="1" t="s">
        <v>388</v>
      </c>
    </row>
    <row r="2103" customFormat="false" ht="14.25" hidden="false" customHeight="false" outlineLevel="0" collapsed="false">
      <c r="A2103" s="1" t="n">
        <v>95</v>
      </c>
      <c r="B2103" s="1" t="n">
        <v>2025</v>
      </c>
      <c r="C2103" s="3" t="n">
        <v>45730</v>
      </c>
      <c r="E2103" s="1" t="s">
        <v>153</v>
      </c>
      <c r="F2103" s="1" t="s">
        <v>154</v>
      </c>
      <c r="G2103" s="1" t="s">
        <v>396</v>
      </c>
      <c r="H2103" s="1" t="s">
        <v>358</v>
      </c>
      <c r="I2103" s="1" t="s">
        <v>358</v>
      </c>
      <c r="J2103" s="1" t="s">
        <v>474</v>
      </c>
      <c r="K2103" s="1" t="s">
        <v>370</v>
      </c>
    </row>
    <row r="2104" customFormat="false" ht="14.25" hidden="false" customHeight="false" outlineLevel="0" collapsed="false">
      <c r="A2104" s="1" t="n">
        <v>95</v>
      </c>
      <c r="B2104" s="1" t="n">
        <v>2025</v>
      </c>
      <c r="C2104" s="3" t="n">
        <v>45730</v>
      </c>
      <c r="E2104" s="1" t="s">
        <v>39</v>
      </c>
      <c r="F2104" s="1" t="s">
        <v>40</v>
      </c>
      <c r="G2104" s="1" t="s">
        <v>393</v>
      </c>
      <c r="H2104" s="1" t="s">
        <v>393</v>
      </c>
      <c r="I2104" s="1" t="s">
        <v>359</v>
      </c>
      <c r="J2104" s="1" t="s">
        <v>393</v>
      </c>
      <c r="K2104" s="1" t="s">
        <v>358</v>
      </c>
    </row>
    <row r="2105" customFormat="false" ht="14.25" hidden="false" customHeight="false" outlineLevel="0" collapsed="false">
      <c r="A2105" s="1" t="n">
        <v>95</v>
      </c>
      <c r="B2105" s="1" t="n">
        <v>2025</v>
      </c>
      <c r="C2105" s="3" t="n">
        <v>45730</v>
      </c>
      <c r="E2105" s="1" t="s">
        <v>42</v>
      </c>
      <c r="F2105" s="1" t="s">
        <v>43</v>
      </c>
      <c r="G2105" s="1" t="s">
        <v>358</v>
      </c>
      <c r="H2105" s="1" t="s">
        <v>394</v>
      </c>
      <c r="I2105" s="1" t="s">
        <v>375</v>
      </c>
      <c r="J2105" s="1" t="s">
        <v>394</v>
      </c>
      <c r="K2105" s="1" t="s">
        <v>394</v>
      </c>
    </row>
    <row r="2106" customFormat="false" ht="14.25" hidden="false" customHeight="false" outlineLevel="0" collapsed="false">
      <c r="A2106" s="1" t="n">
        <v>95</v>
      </c>
      <c r="B2106" s="1" t="n">
        <v>2025</v>
      </c>
      <c r="C2106" s="3" t="n">
        <v>45730</v>
      </c>
      <c r="E2106" s="1" t="s">
        <v>44</v>
      </c>
      <c r="F2106" s="1" t="s">
        <v>45</v>
      </c>
      <c r="G2106" s="1" t="s">
        <v>358</v>
      </c>
      <c r="H2106" s="1" t="s">
        <v>393</v>
      </c>
      <c r="I2106" s="1" t="s">
        <v>394</v>
      </c>
      <c r="J2106" s="1" t="s">
        <v>466</v>
      </c>
      <c r="K2106" s="1" t="s">
        <v>358</v>
      </c>
    </row>
    <row r="2107" customFormat="false" ht="14.25" hidden="false" customHeight="false" outlineLevel="0" collapsed="false">
      <c r="A2107" s="1" t="n">
        <v>95</v>
      </c>
      <c r="B2107" s="1" t="n">
        <v>2025</v>
      </c>
      <c r="C2107" s="3" t="n">
        <v>45730</v>
      </c>
      <c r="E2107" s="1" t="s">
        <v>48</v>
      </c>
      <c r="F2107" s="1" t="s">
        <v>45</v>
      </c>
      <c r="G2107" s="1" t="s">
        <v>386</v>
      </c>
      <c r="H2107" s="1" t="s">
        <v>386</v>
      </c>
      <c r="I2107" s="1" t="s">
        <v>599</v>
      </c>
      <c r="J2107" s="1" t="s">
        <v>401</v>
      </c>
      <c r="K2107" s="1" t="s">
        <v>484</v>
      </c>
    </row>
    <row r="2108" customFormat="false" ht="14.25" hidden="false" customHeight="false" outlineLevel="0" collapsed="false">
      <c r="A2108" s="1" t="n">
        <v>95</v>
      </c>
      <c r="B2108" s="1" t="n">
        <v>2025</v>
      </c>
      <c r="C2108" s="3" t="n">
        <v>45730</v>
      </c>
      <c r="E2108" s="1" t="s">
        <v>49</v>
      </c>
      <c r="F2108" s="1" t="s">
        <v>50</v>
      </c>
      <c r="G2108" s="1" t="s">
        <v>396</v>
      </c>
      <c r="H2108" s="1" t="s">
        <v>358</v>
      </c>
      <c r="I2108" s="1" t="s">
        <v>421</v>
      </c>
      <c r="J2108" s="1" t="s">
        <v>394</v>
      </c>
      <c r="K2108" s="1" t="s">
        <v>358</v>
      </c>
    </row>
    <row r="2109" customFormat="false" ht="14.25" hidden="false" customHeight="false" outlineLevel="0" collapsed="false">
      <c r="A2109" s="1" t="n">
        <v>95</v>
      </c>
      <c r="B2109" s="1" t="n">
        <v>2025</v>
      </c>
      <c r="C2109" s="3" t="n">
        <v>45730</v>
      </c>
      <c r="E2109" s="1" t="s">
        <v>52</v>
      </c>
      <c r="F2109" s="1" t="s">
        <v>43</v>
      </c>
      <c r="G2109" s="1" t="s">
        <v>405</v>
      </c>
      <c r="H2109" s="1" t="s">
        <v>386</v>
      </c>
      <c r="I2109" s="1" t="s">
        <v>448</v>
      </c>
      <c r="J2109" s="1" t="s">
        <v>403</v>
      </c>
      <c r="K2109" s="1" t="s">
        <v>405</v>
      </c>
    </row>
    <row r="2110" customFormat="false" ht="14.25" hidden="false" customHeight="false" outlineLevel="0" collapsed="false">
      <c r="A2110" s="1" t="n">
        <v>95</v>
      </c>
      <c r="B2110" s="1" t="n">
        <v>2025</v>
      </c>
      <c r="C2110" s="3" t="n">
        <v>45730</v>
      </c>
      <c r="E2110" s="1" t="s">
        <v>53</v>
      </c>
      <c r="F2110" s="1" t="s">
        <v>43</v>
      </c>
      <c r="G2110" s="1" t="s">
        <v>358</v>
      </c>
      <c r="H2110" s="1" t="s">
        <v>358</v>
      </c>
      <c r="I2110" s="1" t="s">
        <v>386</v>
      </c>
      <c r="J2110" s="1" t="s">
        <v>434</v>
      </c>
      <c r="K2110" s="1" t="s">
        <v>394</v>
      </c>
    </row>
    <row r="2111" customFormat="false" ht="14.25" hidden="false" customHeight="false" outlineLevel="0" collapsed="false">
      <c r="A2111" s="1" t="n">
        <v>95</v>
      </c>
      <c r="B2111" s="1" t="n">
        <v>2025</v>
      </c>
      <c r="C2111" s="3" t="n">
        <v>45730</v>
      </c>
      <c r="E2111" s="1" t="s">
        <v>54</v>
      </c>
      <c r="F2111" s="1" t="s">
        <v>40</v>
      </c>
      <c r="G2111" s="1" t="s">
        <v>370</v>
      </c>
      <c r="H2111" s="1" t="s">
        <v>370</v>
      </c>
      <c r="I2111" s="1" t="s">
        <v>415</v>
      </c>
      <c r="J2111" s="1" t="s">
        <v>505</v>
      </c>
      <c r="K2111" s="1" t="s">
        <v>386</v>
      </c>
    </row>
    <row r="2112" customFormat="false" ht="14.25" hidden="false" customHeight="false" outlineLevel="0" collapsed="false">
      <c r="A2112" s="1" t="n">
        <v>95</v>
      </c>
      <c r="B2112" s="1" t="n">
        <v>2025</v>
      </c>
      <c r="C2112" s="3" t="n">
        <v>45730</v>
      </c>
      <c r="E2112" s="1" t="s">
        <v>56</v>
      </c>
      <c r="F2112" s="1" t="s">
        <v>43</v>
      </c>
      <c r="G2112" s="0"/>
      <c r="H2112" s="1" t="s">
        <v>393</v>
      </c>
      <c r="I2112" s="1" t="s">
        <v>386</v>
      </c>
      <c r="J2112" s="1" t="s">
        <v>600</v>
      </c>
      <c r="K2112" s="1" t="s">
        <v>385</v>
      </c>
    </row>
    <row r="2113" customFormat="false" ht="14.25" hidden="false" customHeight="false" outlineLevel="0" collapsed="false">
      <c r="A2113" s="1" t="n">
        <v>95</v>
      </c>
      <c r="B2113" s="1" t="n">
        <v>2025</v>
      </c>
      <c r="C2113" s="3" t="n">
        <v>45730</v>
      </c>
      <c r="E2113" s="1" t="s">
        <v>57</v>
      </c>
      <c r="F2113" s="1" t="s">
        <v>40</v>
      </c>
      <c r="G2113" s="0"/>
      <c r="H2113" s="1" t="s">
        <v>390</v>
      </c>
      <c r="I2113" s="1" t="s">
        <v>386</v>
      </c>
      <c r="J2113" s="1" t="s">
        <v>391</v>
      </c>
      <c r="K2113" s="1" t="s">
        <v>391</v>
      </c>
    </row>
    <row r="2114" customFormat="false" ht="14.25" hidden="false" customHeight="false" outlineLevel="0" collapsed="false">
      <c r="A2114" s="1" t="n">
        <v>95</v>
      </c>
      <c r="B2114" s="1" t="n">
        <v>2025</v>
      </c>
      <c r="C2114" s="3" t="n">
        <v>45730</v>
      </c>
      <c r="E2114" s="1" t="s">
        <v>58</v>
      </c>
      <c r="F2114" s="1" t="s">
        <v>40</v>
      </c>
      <c r="G2114" s="1" t="s">
        <v>386</v>
      </c>
      <c r="H2114" s="1" t="s">
        <v>415</v>
      </c>
      <c r="I2114" s="1" t="s">
        <v>415</v>
      </c>
      <c r="J2114" s="1" t="s">
        <v>403</v>
      </c>
      <c r="K2114" s="1" t="s">
        <v>601</v>
      </c>
    </row>
    <row r="2115" customFormat="false" ht="14.25" hidden="false" customHeight="false" outlineLevel="0" collapsed="false">
      <c r="A2115" s="1" t="n">
        <v>95</v>
      </c>
      <c r="B2115" s="1" t="n">
        <v>2025</v>
      </c>
      <c r="C2115" s="3" t="n">
        <v>45730</v>
      </c>
      <c r="E2115" s="1" t="s">
        <v>59</v>
      </c>
      <c r="F2115" s="1" t="s">
        <v>45</v>
      </c>
      <c r="G2115" s="1" t="s">
        <v>358</v>
      </c>
      <c r="H2115" s="1" t="s">
        <v>397</v>
      </c>
      <c r="I2115" s="1" t="s">
        <v>433</v>
      </c>
      <c r="J2115" s="1" t="s">
        <v>370</v>
      </c>
      <c r="K2115" s="1" t="s">
        <v>358</v>
      </c>
    </row>
    <row r="2116" customFormat="false" ht="14.25" hidden="false" customHeight="false" outlineLevel="0" collapsed="false">
      <c r="A2116" s="1" t="n">
        <v>95</v>
      </c>
      <c r="B2116" s="1" t="n">
        <v>2025</v>
      </c>
      <c r="C2116" s="3" t="n">
        <v>45730</v>
      </c>
      <c r="E2116" s="1" t="s">
        <v>60</v>
      </c>
      <c r="F2116" s="1" t="s">
        <v>61</v>
      </c>
      <c r="G2116" s="1" t="s">
        <v>415</v>
      </c>
      <c r="H2116" s="1" t="s">
        <v>386</v>
      </c>
      <c r="I2116" s="1" t="s">
        <v>415</v>
      </c>
      <c r="J2116" s="1" t="s">
        <v>572</v>
      </c>
      <c r="K2116" s="1" t="s">
        <v>408</v>
      </c>
    </row>
    <row r="2117" customFormat="false" ht="14.25" hidden="false" customHeight="false" outlineLevel="0" collapsed="false">
      <c r="A2117" s="1" t="n">
        <v>95</v>
      </c>
      <c r="B2117" s="1" t="n">
        <v>2025</v>
      </c>
      <c r="C2117" s="3" t="n">
        <v>45730</v>
      </c>
      <c r="E2117" s="1" t="s">
        <v>63</v>
      </c>
      <c r="F2117" s="1" t="s">
        <v>40</v>
      </c>
      <c r="G2117" s="0"/>
      <c r="H2117" s="1" t="s">
        <v>499</v>
      </c>
      <c r="I2117" s="1" t="s">
        <v>411</v>
      </c>
      <c r="J2117" s="1" t="s">
        <v>409</v>
      </c>
      <c r="K2117" s="1" t="s">
        <v>411</v>
      </c>
    </row>
    <row r="2118" customFormat="false" ht="14.25" hidden="false" customHeight="false" outlineLevel="0" collapsed="false">
      <c r="A2118" s="1" t="n">
        <v>95</v>
      </c>
      <c r="B2118" s="1" t="n">
        <v>2025</v>
      </c>
      <c r="C2118" s="3" t="n">
        <v>45730</v>
      </c>
      <c r="E2118" s="1" t="s">
        <v>64</v>
      </c>
      <c r="F2118" s="1" t="s">
        <v>40</v>
      </c>
      <c r="G2118" s="1" t="s">
        <v>415</v>
      </c>
      <c r="H2118" s="1" t="s">
        <v>415</v>
      </c>
      <c r="I2118" s="1" t="s">
        <v>562</v>
      </c>
      <c r="J2118" s="1" t="s">
        <v>499</v>
      </c>
      <c r="K2118" s="1" t="s">
        <v>403</v>
      </c>
    </row>
    <row r="2119" customFormat="false" ht="14.25" hidden="false" customHeight="false" outlineLevel="0" collapsed="false">
      <c r="A2119" s="1" t="n">
        <v>96</v>
      </c>
      <c r="B2119" s="1" t="n">
        <v>2025</v>
      </c>
      <c r="C2119" s="3" t="n">
        <v>45737</v>
      </c>
      <c r="E2119" s="1" t="s">
        <v>12</v>
      </c>
      <c r="F2119" s="1" t="s">
        <v>13</v>
      </c>
      <c r="G2119" s="0"/>
      <c r="H2119" s="1" t="s">
        <v>358</v>
      </c>
      <c r="I2119" s="1" t="s">
        <v>360</v>
      </c>
      <c r="J2119" s="1" t="s">
        <v>416</v>
      </c>
      <c r="K2119" s="1" t="s">
        <v>416</v>
      </c>
    </row>
    <row r="2120" customFormat="false" ht="14.25" hidden="false" customHeight="false" outlineLevel="0" collapsed="false">
      <c r="A2120" s="1" t="n">
        <v>96</v>
      </c>
      <c r="B2120" s="1" t="n">
        <v>2025</v>
      </c>
      <c r="C2120" s="3" t="n">
        <v>45737</v>
      </c>
      <c r="E2120" s="1" t="s">
        <v>14</v>
      </c>
      <c r="F2120" s="1" t="s">
        <v>13</v>
      </c>
      <c r="G2120" s="0"/>
      <c r="H2120" s="1" t="s">
        <v>358</v>
      </c>
      <c r="I2120" s="1" t="s">
        <v>472</v>
      </c>
      <c r="J2120" s="1" t="s">
        <v>417</v>
      </c>
      <c r="K2120" s="1" t="s">
        <v>417</v>
      </c>
    </row>
    <row r="2121" customFormat="false" ht="14.25" hidden="false" customHeight="false" outlineLevel="0" collapsed="false">
      <c r="A2121" s="1" t="n">
        <v>96</v>
      </c>
      <c r="B2121" s="1" t="n">
        <v>2025</v>
      </c>
      <c r="C2121" s="3" t="n">
        <v>45737</v>
      </c>
      <c r="E2121" s="1" t="s">
        <v>15</v>
      </c>
      <c r="F2121" s="1" t="s">
        <v>13</v>
      </c>
      <c r="G2121" s="0"/>
      <c r="H2121" s="1" t="s">
        <v>358</v>
      </c>
      <c r="I2121" s="1" t="s">
        <v>363</v>
      </c>
      <c r="J2121" s="1" t="s">
        <v>428</v>
      </c>
      <c r="K2121" s="1" t="s">
        <v>359</v>
      </c>
    </row>
    <row r="2122" customFormat="false" ht="14.25" hidden="false" customHeight="false" outlineLevel="0" collapsed="false">
      <c r="A2122" s="1" t="n">
        <v>96</v>
      </c>
      <c r="B2122" s="1" t="n">
        <v>2025</v>
      </c>
      <c r="C2122" s="3" t="n">
        <v>45737</v>
      </c>
      <c r="E2122" s="1" t="s">
        <v>16</v>
      </c>
      <c r="F2122" s="1" t="s">
        <v>13</v>
      </c>
      <c r="G2122" s="1" t="s">
        <v>362</v>
      </c>
      <c r="H2122" s="1" t="s">
        <v>362</v>
      </c>
      <c r="I2122" s="1" t="s">
        <v>365</v>
      </c>
      <c r="J2122" s="1" t="s">
        <v>563</v>
      </c>
      <c r="K2122" s="1" t="s">
        <v>362</v>
      </c>
    </row>
    <row r="2123" customFormat="false" ht="14.25" hidden="false" customHeight="false" outlineLevel="0" collapsed="false">
      <c r="A2123" s="1" t="n">
        <v>96</v>
      </c>
      <c r="B2123" s="1" t="n">
        <v>2025</v>
      </c>
      <c r="C2123" s="3" t="n">
        <v>45737</v>
      </c>
      <c r="E2123" s="1" t="s">
        <v>17</v>
      </c>
      <c r="F2123" s="1" t="s">
        <v>13</v>
      </c>
      <c r="G2123" s="1" t="s">
        <v>362</v>
      </c>
      <c r="H2123" s="1" t="s">
        <v>365</v>
      </c>
      <c r="I2123" s="1" t="s">
        <v>362</v>
      </c>
      <c r="J2123" s="1" t="s">
        <v>563</v>
      </c>
      <c r="K2123" s="1" t="s">
        <v>362</v>
      </c>
    </row>
    <row r="2124" customFormat="false" ht="14.25" hidden="false" customHeight="false" outlineLevel="0" collapsed="false">
      <c r="A2124" s="1" t="n">
        <v>96</v>
      </c>
      <c r="B2124" s="1" t="n">
        <v>2025</v>
      </c>
      <c r="C2124" s="3" t="n">
        <v>45737</v>
      </c>
      <c r="E2124" s="1" t="s">
        <v>18</v>
      </c>
      <c r="F2124" s="1" t="s">
        <v>13</v>
      </c>
      <c r="G2124" s="0"/>
      <c r="H2124" s="1" t="s">
        <v>472</v>
      </c>
      <c r="I2124" s="1" t="s">
        <v>416</v>
      </c>
      <c r="J2124" s="1" t="s">
        <v>502</v>
      </c>
      <c r="K2124" s="1" t="s">
        <v>502</v>
      </c>
    </row>
    <row r="2125" customFormat="false" ht="14.25" hidden="false" customHeight="false" outlineLevel="0" collapsed="false">
      <c r="A2125" s="1" t="n">
        <v>96</v>
      </c>
      <c r="B2125" s="1" t="n">
        <v>2025</v>
      </c>
      <c r="C2125" s="3" t="n">
        <v>45737</v>
      </c>
      <c r="E2125" s="1" t="s">
        <v>19</v>
      </c>
      <c r="F2125" s="1" t="s">
        <v>13</v>
      </c>
      <c r="G2125" s="0"/>
      <c r="H2125" s="1" t="s">
        <v>472</v>
      </c>
      <c r="I2125" s="1" t="s">
        <v>602</v>
      </c>
      <c r="J2125" s="1" t="s">
        <v>446</v>
      </c>
      <c r="K2125" s="1" t="s">
        <v>446</v>
      </c>
    </row>
    <row r="2126" customFormat="false" ht="14.25" hidden="false" customHeight="false" outlineLevel="0" collapsed="false">
      <c r="A2126" s="1" t="n">
        <v>96</v>
      </c>
      <c r="B2126" s="1" t="n">
        <v>2025</v>
      </c>
      <c r="C2126" s="3" t="n">
        <v>45737</v>
      </c>
      <c r="E2126" s="1" t="s">
        <v>20</v>
      </c>
      <c r="F2126" s="1" t="s">
        <v>13</v>
      </c>
      <c r="G2126" s="0"/>
      <c r="H2126" s="1" t="s">
        <v>401</v>
      </c>
      <c r="I2126" s="1" t="s">
        <v>361</v>
      </c>
      <c r="J2126" s="1" t="s">
        <v>415</v>
      </c>
      <c r="K2126" s="1" t="s">
        <v>472</v>
      </c>
    </row>
    <row r="2127" customFormat="false" ht="14.25" hidden="false" customHeight="false" outlineLevel="0" collapsed="false">
      <c r="A2127" s="1" t="n">
        <v>96</v>
      </c>
      <c r="B2127" s="1" t="n">
        <v>2025</v>
      </c>
      <c r="C2127" s="3" t="n">
        <v>45737</v>
      </c>
      <c r="E2127" s="1" t="s">
        <v>21</v>
      </c>
      <c r="F2127" s="1" t="s">
        <v>13</v>
      </c>
      <c r="G2127" s="0"/>
      <c r="H2127" s="1" t="s">
        <v>366</v>
      </c>
      <c r="I2127" s="1" t="s">
        <v>363</v>
      </c>
      <c r="J2127" s="1" t="s">
        <v>582</v>
      </c>
      <c r="K2127" s="1" t="s">
        <v>362</v>
      </c>
    </row>
    <row r="2128" customFormat="false" ht="14.25" hidden="false" customHeight="false" outlineLevel="0" collapsed="false">
      <c r="A2128" s="1" t="n">
        <v>96</v>
      </c>
      <c r="B2128" s="1" t="n">
        <v>2025</v>
      </c>
      <c r="C2128" s="3" t="n">
        <v>45737</v>
      </c>
      <c r="E2128" s="1" t="s">
        <v>73</v>
      </c>
      <c r="F2128" s="1" t="s">
        <v>13</v>
      </c>
      <c r="G2128" s="0"/>
      <c r="H2128" s="1" t="s">
        <v>472</v>
      </c>
      <c r="I2128" s="1" t="s">
        <v>401</v>
      </c>
      <c r="J2128" s="1" t="s">
        <v>566</v>
      </c>
      <c r="K2128" s="1" t="s">
        <v>566</v>
      </c>
    </row>
    <row r="2129" customFormat="false" ht="14.25" hidden="false" customHeight="false" outlineLevel="0" collapsed="false">
      <c r="A2129" s="1" t="n">
        <v>96</v>
      </c>
      <c r="B2129" s="1" t="n">
        <v>2025</v>
      </c>
      <c r="C2129" s="3" t="n">
        <v>45737</v>
      </c>
      <c r="E2129" s="1" t="s">
        <v>23</v>
      </c>
      <c r="F2129" s="1" t="s">
        <v>13</v>
      </c>
      <c r="G2129" s="1" t="s">
        <v>362</v>
      </c>
      <c r="H2129" s="1" t="s">
        <v>362</v>
      </c>
      <c r="I2129" s="1" t="s">
        <v>365</v>
      </c>
      <c r="J2129" s="1" t="s">
        <v>563</v>
      </c>
      <c r="K2129" s="1" t="s">
        <v>362</v>
      </c>
    </row>
    <row r="2130" customFormat="false" ht="14.25" hidden="false" customHeight="false" outlineLevel="0" collapsed="false">
      <c r="A2130" s="1" t="n">
        <v>96</v>
      </c>
      <c r="B2130" s="1" t="n">
        <v>2025</v>
      </c>
      <c r="C2130" s="3" t="n">
        <v>45737</v>
      </c>
      <c r="E2130" s="1" t="s">
        <v>24</v>
      </c>
      <c r="F2130" s="1" t="s">
        <v>13</v>
      </c>
      <c r="G2130" s="0"/>
      <c r="H2130" s="1" t="s">
        <v>360</v>
      </c>
      <c r="I2130" s="1" t="s">
        <v>472</v>
      </c>
      <c r="J2130" s="1" t="s">
        <v>361</v>
      </c>
      <c r="K2130" s="1" t="s">
        <v>361</v>
      </c>
    </row>
    <row r="2131" customFormat="false" ht="14.25" hidden="false" customHeight="false" outlineLevel="0" collapsed="false">
      <c r="A2131" s="1" t="n">
        <v>96</v>
      </c>
      <c r="B2131" s="1" t="n">
        <v>2025</v>
      </c>
      <c r="C2131" s="3" t="n">
        <v>45737</v>
      </c>
      <c r="E2131" s="1" t="s">
        <v>25</v>
      </c>
      <c r="F2131" s="1" t="s">
        <v>26</v>
      </c>
      <c r="G2131" s="1" t="s">
        <v>358</v>
      </c>
      <c r="H2131" s="1" t="s">
        <v>358</v>
      </c>
      <c r="I2131" s="1" t="s">
        <v>360</v>
      </c>
      <c r="J2131" s="1" t="s">
        <v>369</v>
      </c>
      <c r="K2131" s="1" t="s">
        <v>358</v>
      </c>
    </row>
    <row r="2132" customFormat="false" ht="14.25" hidden="false" customHeight="false" outlineLevel="0" collapsed="false">
      <c r="A2132" s="1" t="n">
        <v>96</v>
      </c>
      <c r="B2132" s="1" t="n">
        <v>2025</v>
      </c>
      <c r="C2132" s="3" t="n">
        <v>45737</v>
      </c>
      <c r="E2132" s="1" t="s">
        <v>27</v>
      </c>
      <c r="F2132" s="1" t="s">
        <v>13</v>
      </c>
      <c r="G2132" s="0"/>
      <c r="H2132" s="1" t="s">
        <v>472</v>
      </c>
      <c r="I2132" s="1" t="s">
        <v>361</v>
      </c>
      <c r="J2132" s="1" t="s">
        <v>405</v>
      </c>
      <c r="K2132" s="1" t="s">
        <v>405</v>
      </c>
    </row>
    <row r="2133" customFormat="false" ht="14.25" hidden="false" customHeight="false" outlineLevel="0" collapsed="false">
      <c r="A2133" s="1" t="n">
        <v>96</v>
      </c>
      <c r="B2133" s="1" t="n">
        <v>2025</v>
      </c>
      <c r="C2133" s="3" t="n">
        <v>45737</v>
      </c>
      <c r="E2133" s="1" t="s">
        <v>28</v>
      </c>
      <c r="F2133" s="1" t="s">
        <v>13</v>
      </c>
      <c r="G2133" s="0"/>
      <c r="H2133" s="1" t="s">
        <v>390</v>
      </c>
      <c r="I2133" s="1" t="s">
        <v>361</v>
      </c>
      <c r="J2133" s="1" t="s">
        <v>385</v>
      </c>
      <c r="K2133" s="1" t="s">
        <v>429</v>
      </c>
    </row>
    <row r="2134" customFormat="false" ht="14.25" hidden="false" customHeight="false" outlineLevel="0" collapsed="false">
      <c r="A2134" s="1" t="n">
        <v>96</v>
      </c>
      <c r="B2134" s="1" t="n">
        <v>2025</v>
      </c>
      <c r="C2134" s="3" t="n">
        <v>45737</v>
      </c>
      <c r="E2134" s="1" t="s">
        <v>29</v>
      </c>
      <c r="F2134" s="1" t="s">
        <v>13</v>
      </c>
      <c r="G2134" s="1" t="s">
        <v>358</v>
      </c>
      <c r="H2134" s="1" t="s">
        <v>358</v>
      </c>
      <c r="I2134" s="1" t="s">
        <v>358</v>
      </c>
      <c r="J2134" s="1" t="s">
        <v>358</v>
      </c>
      <c r="K2134" s="1" t="s">
        <v>358</v>
      </c>
    </row>
    <row r="2135" customFormat="false" ht="14.25" hidden="false" customHeight="false" outlineLevel="0" collapsed="false">
      <c r="A2135" s="1" t="n">
        <v>96</v>
      </c>
      <c r="B2135" s="1" t="n">
        <v>2025</v>
      </c>
      <c r="C2135" s="3" t="n">
        <v>45737</v>
      </c>
      <c r="E2135" s="1" t="s">
        <v>31</v>
      </c>
      <c r="F2135" s="1" t="s">
        <v>32</v>
      </c>
      <c r="G2135" s="1" t="s">
        <v>597</v>
      </c>
      <c r="H2135" s="1" t="s">
        <v>378</v>
      </c>
      <c r="I2135" s="1" t="s">
        <v>378</v>
      </c>
      <c r="J2135" s="1" t="s">
        <v>378</v>
      </c>
      <c r="K2135" s="1" t="s">
        <v>598</v>
      </c>
    </row>
    <row r="2136" customFormat="false" ht="14.25" hidden="false" customHeight="false" outlineLevel="0" collapsed="false">
      <c r="A2136" s="1" t="n">
        <v>96</v>
      </c>
      <c r="B2136" s="1" t="n">
        <v>2025</v>
      </c>
      <c r="C2136" s="3" t="n">
        <v>45737</v>
      </c>
      <c r="E2136" s="1" t="s">
        <v>34</v>
      </c>
      <c r="F2136" s="1" t="s">
        <v>35</v>
      </c>
      <c r="G2136" s="1" t="s">
        <v>390</v>
      </c>
      <c r="H2136" s="1" t="s">
        <v>603</v>
      </c>
      <c r="I2136" s="1" t="s">
        <v>390</v>
      </c>
      <c r="J2136" s="1" t="s">
        <v>390</v>
      </c>
      <c r="K2136" s="1" t="s">
        <v>604</v>
      </c>
    </row>
    <row r="2137" customFormat="false" ht="14.25" hidden="false" customHeight="false" outlineLevel="0" collapsed="false">
      <c r="A2137" s="1" t="n">
        <v>96</v>
      </c>
      <c r="B2137" s="1" t="n">
        <v>2025</v>
      </c>
      <c r="C2137" s="3" t="n">
        <v>45737</v>
      </c>
      <c r="E2137" s="1" t="s">
        <v>36</v>
      </c>
      <c r="F2137" s="1" t="s">
        <v>35</v>
      </c>
      <c r="G2137" s="0"/>
      <c r="H2137" s="1" t="s">
        <v>419</v>
      </c>
      <c r="I2137" s="1" t="s">
        <v>397</v>
      </c>
      <c r="J2137" s="1" t="s">
        <v>467</v>
      </c>
      <c r="K2137" s="1" t="s">
        <v>388</v>
      </c>
    </row>
    <row r="2138" customFormat="false" ht="14.25" hidden="false" customHeight="false" outlineLevel="0" collapsed="false">
      <c r="A2138" s="1" t="n">
        <v>96</v>
      </c>
      <c r="B2138" s="1" t="n">
        <v>2025</v>
      </c>
      <c r="C2138" s="3" t="n">
        <v>45737</v>
      </c>
      <c r="E2138" s="1" t="s">
        <v>153</v>
      </c>
      <c r="F2138" s="1" t="s">
        <v>154</v>
      </c>
      <c r="G2138" s="0"/>
      <c r="H2138" s="1" t="s">
        <v>358</v>
      </c>
      <c r="I2138" s="1" t="s">
        <v>396</v>
      </c>
      <c r="J2138" s="1" t="s">
        <v>399</v>
      </c>
      <c r="K2138" s="1" t="s">
        <v>399</v>
      </c>
    </row>
    <row r="2139" customFormat="false" ht="14.25" hidden="false" customHeight="false" outlineLevel="0" collapsed="false">
      <c r="A2139" s="1" t="n">
        <v>96</v>
      </c>
      <c r="B2139" s="1" t="n">
        <v>2025</v>
      </c>
      <c r="C2139" s="3" t="n">
        <v>45737</v>
      </c>
      <c r="E2139" s="1" t="s">
        <v>39</v>
      </c>
      <c r="F2139" s="1" t="s">
        <v>40</v>
      </c>
      <c r="G2139" s="1" t="s">
        <v>370</v>
      </c>
      <c r="H2139" s="1" t="s">
        <v>370</v>
      </c>
      <c r="I2139" s="1" t="s">
        <v>385</v>
      </c>
      <c r="J2139" s="1" t="s">
        <v>370</v>
      </c>
      <c r="K2139" s="1" t="s">
        <v>483</v>
      </c>
    </row>
    <row r="2140" customFormat="false" ht="14.25" hidden="false" customHeight="false" outlineLevel="0" collapsed="false">
      <c r="A2140" s="1" t="n">
        <v>96</v>
      </c>
      <c r="B2140" s="1" t="n">
        <v>2025</v>
      </c>
      <c r="C2140" s="3" t="n">
        <v>45737</v>
      </c>
      <c r="E2140" s="1" t="s">
        <v>42</v>
      </c>
      <c r="F2140" s="1" t="s">
        <v>43</v>
      </c>
      <c r="G2140" s="0"/>
      <c r="H2140" s="1" t="s">
        <v>390</v>
      </c>
      <c r="I2140" s="1" t="s">
        <v>370</v>
      </c>
      <c r="J2140" s="1" t="s">
        <v>358</v>
      </c>
      <c r="K2140" s="1" t="s">
        <v>394</v>
      </c>
    </row>
    <row r="2141" customFormat="false" ht="14.25" hidden="false" customHeight="false" outlineLevel="0" collapsed="false">
      <c r="A2141" s="1" t="n">
        <v>96</v>
      </c>
      <c r="B2141" s="1" t="n">
        <v>2025</v>
      </c>
      <c r="C2141" s="3" t="n">
        <v>45737</v>
      </c>
      <c r="E2141" s="1" t="s">
        <v>44</v>
      </c>
      <c r="F2141" s="1" t="s">
        <v>45</v>
      </c>
      <c r="G2141" s="0"/>
      <c r="H2141" s="1" t="s">
        <v>394</v>
      </c>
      <c r="I2141" s="1" t="s">
        <v>397</v>
      </c>
      <c r="J2141" s="1" t="s">
        <v>396</v>
      </c>
      <c r="K2141" s="1" t="s">
        <v>358</v>
      </c>
    </row>
    <row r="2142" customFormat="false" ht="14.25" hidden="false" customHeight="false" outlineLevel="0" collapsed="false">
      <c r="A2142" s="1" t="n">
        <v>96</v>
      </c>
      <c r="B2142" s="1" t="n">
        <v>2025</v>
      </c>
      <c r="C2142" s="3" t="n">
        <v>45737</v>
      </c>
      <c r="E2142" s="1" t="s">
        <v>48</v>
      </c>
      <c r="F2142" s="1" t="s">
        <v>45</v>
      </c>
      <c r="G2142" s="0"/>
      <c r="H2142" s="1" t="s">
        <v>386</v>
      </c>
      <c r="I2142" s="1" t="s">
        <v>370</v>
      </c>
      <c r="J2142" s="1" t="s">
        <v>385</v>
      </c>
      <c r="K2142" s="1" t="s">
        <v>385</v>
      </c>
    </row>
    <row r="2143" customFormat="false" ht="14.25" hidden="false" customHeight="false" outlineLevel="0" collapsed="false">
      <c r="A2143" s="1" t="n">
        <v>96</v>
      </c>
      <c r="B2143" s="1" t="n">
        <v>2025</v>
      </c>
      <c r="C2143" s="3" t="n">
        <v>45737</v>
      </c>
      <c r="E2143" s="1" t="s">
        <v>49</v>
      </c>
      <c r="F2143" s="1" t="s">
        <v>50</v>
      </c>
      <c r="G2143" s="1" t="s">
        <v>358</v>
      </c>
      <c r="H2143" s="1" t="s">
        <v>370</v>
      </c>
      <c r="I2143" s="1" t="s">
        <v>358</v>
      </c>
      <c r="J2143" s="1" t="s">
        <v>374</v>
      </c>
      <c r="K2143" s="1" t="s">
        <v>358</v>
      </c>
    </row>
    <row r="2144" customFormat="false" ht="14.25" hidden="false" customHeight="false" outlineLevel="0" collapsed="false">
      <c r="A2144" s="1" t="n">
        <v>96</v>
      </c>
      <c r="B2144" s="1" t="n">
        <v>2025</v>
      </c>
      <c r="C2144" s="3" t="n">
        <v>45737</v>
      </c>
      <c r="E2144" s="1" t="s">
        <v>52</v>
      </c>
      <c r="F2144" s="1" t="s">
        <v>43</v>
      </c>
      <c r="G2144" s="1" t="s">
        <v>370</v>
      </c>
      <c r="H2144" s="1" t="s">
        <v>415</v>
      </c>
      <c r="I2144" s="1" t="s">
        <v>415</v>
      </c>
      <c r="J2144" s="1" t="s">
        <v>405</v>
      </c>
      <c r="K2144" s="1" t="s">
        <v>415</v>
      </c>
    </row>
    <row r="2145" customFormat="false" ht="14.25" hidden="false" customHeight="false" outlineLevel="0" collapsed="false">
      <c r="A2145" s="1" t="n">
        <v>96</v>
      </c>
      <c r="B2145" s="1" t="n">
        <v>2025</v>
      </c>
      <c r="C2145" s="3" t="n">
        <v>45737</v>
      </c>
      <c r="E2145" s="1" t="s">
        <v>53</v>
      </c>
      <c r="F2145" s="1" t="s">
        <v>43</v>
      </c>
      <c r="G2145" s="0"/>
      <c r="H2145" s="1" t="s">
        <v>393</v>
      </c>
      <c r="I2145" s="1" t="s">
        <v>401</v>
      </c>
      <c r="J2145" s="1" t="s">
        <v>444</v>
      </c>
      <c r="K2145" s="1" t="s">
        <v>394</v>
      </c>
    </row>
    <row r="2146" customFormat="false" ht="14.25" hidden="false" customHeight="false" outlineLevel="0" collapsed="false">
      <c r="A2146" s="1" t="n">
        <v>96</v>
      </c>
      <c r="B2146" s="1" t="n">
        <v>2025</v>
      </c>
      <c r="C2146" s="3" t="n">
        <v>45737</v>
      </c>
      <c r="E2146" s="1" t="s">
        <v>54</v>
      </c>
      <c r="F2146" s="1" t="s">
        <v>40</v>
      </c>
      <c r="G2146" s="0"/>
      <c r="H2146" s="1" t="s">
        <v>405</v>
      </c>
      <c r="I2146" s="1" t="s">
        <v>415</v>
      </c>
      <c r="J2146" s="1" t="s">
        <v>412</v>
      </c>
      <c r="K2146" s="1" t="s">
        <v>412</v>
      </c>
    </row>
    <row r="2147" customFormat="false" ht="14.25" hidden="false" customHeight="false" outlineLevel="0" collapsed="false">
      <c r="A2147" s="1" t="n">
        <v>96</v>
      </c>
      <c r="B2147" s="1" t="n">
        <v>2025</v>
      </c>
      <c r="C2147" s="3" t="n">
        <v>45737</v>
      </c>
      <c r="E2147" s="1" t="s">
        <v>56</v>
      </c>
      <c r="F2147" s="1" t="s">
        <v>43</v>
      </c>
      <c r="G2147" s="0"/>
      <c r="H2147" s="1" t="s">
        <v>393</v>
      </c>
      <c r="I2147" s="1" t="s">
        <v>385</v>
      </c>
      <c r="J2147" s="1" t="s">
        <v>391</v>
      </c>
      <c r="K2147" s="1" t="s">
        <v>391</v>
      </c>
    </row>
    <row r="2148" customFormat="false" ht="14.25" hidden="false" customHeight="false" outlineLevel="0" collapsed="false">
      <c r="A2148" s="1" t="n">
        <v>96</v>
      </c>
      <c r="B2148" s="1" t="n">
        <v>2025</v>
      </c>
      <c r="C2148" s="3" t="n">
        <v>45737</v>
      </c>
      <c r="E2148" s="1" t="s">
        <v>57</v>
      </c>
      <c r="F2148" s="1" t="s">
        <v>40</v>
      </c>
      <c r="G2148" s="0"/>
      <c r="H2148" s="1" t="s">
        <v>370</v>
      </c>
      <c r="I2148" s="1" t="s">
        <v>386</v>
      </c>
      <c r="J2148" s="1" t="s">
        <v>385</v>
      </c>
      <c r="K2148" s="1" t="s">
        <v>385</v>
      </c>
    </row>
    <row r="2149" customFormat="false" ht="14.25" hidden="false" customHeight="false" outlineLevel="0" collapsed="false">
      <c r="A2149" s="1" t="n">
        <v>96</v>
      </c>
      <c r="B2149" s="1" t="n">
        <v>2025</v>
      </c>
      <c r="C2149" s="3" t="n">
        <v>45737</v>
      </c>
      <c r="E2149" s="1" t="s">
        <v>58</v>
      </c>
      <c r="F2149" s="1" t="s">
        <v>40</v>
      </c>
      <c r="G2149" s="0"/>
      <c r="H2149" s="1" t="s">
        <v>386</v>
      </c>
      <c r="I2149" s="1" t="s">
        <v>401</v>
      </c>
      <c r="J2149" s="1" t="s">
        <v>415</v>
      </c>
      <c r="K2149" s="1" t="s">
        <v>415</v>
      </c>
    </row>
    <row r="2150" customFormat="false" ht="14.25" hidden="false" customHeight="false" outlineLevel="0" collapsed="false">
      <c r="A2150" s="1" t="n">
        <v>96</v>
      </c>
      <c r="B2150" s="1" t="n">
        <v>2025</v>
      </c>
      <c r="C2150" s="3" t="n">
        <v>45737</v>
      </c>
      <c r="E2150" s="1" t="s">
        <v>59</v>
      </c>
      <c r="F2150" s="1" t="s">
        <v>45</v>
      </c>
      <c r="G2150" s="0"/>
      <c r="H2150" s="1" t="s">
        <v>397</v>
      </c>
      <c r="I2150" s="1" t="s">
        <v>370</v>
      </c>
      <c r="J2150" s="1" t="s">
        <v>592</v>
      </c>
      <c r="K2150" s="1" t="s">
        <v>358</v>
      </c>
    </row>
    <row r="2151" customFormat="false" ht="14.25" hidden="false" customHeight="false" outlineLevel="0" collapsed="false">
      <c r="A2151" s="1" t="n">
        <v>96</v>
      </c>
      <c r="B2151" s="1" t="n">
        <v>2025</v>
      </c>
      <c r="C2151" s="3" t="n">
        <v>45737</v>
      </c>
      <c r="E2151" s="1" t="s">
        <v>60</v>
      </c>
      <c r="F2151" s="1" t="s">
        <v>61</v>
      </c>
      <c r="G2151" s="0"/>
      <c r="H2151" s="1" t="s">
        <v>409</v>
      </c>
      <c r="I2151" s="1" t="s">
        <v>401</v>
      </c>
      <c r="J2151" s="1" t="s">
        <v>499</v>
      </c>
      <c r="K2151" s="1" t="s">
        <v>605</v>
      </c>
    </row>
    <row r="2152" customFormat="false" ht="14.25" hidden="false" customHeight="false" outlineLevel="0" collapsed="false">
      <c r="A2152" s="1" t="n">
        <v>96</v>
      </c>
      <c r="B2152" s="1" t="n">
        <v>2025</v>
      </c>
      <c r="C2152" s="3" t="n">
        <v>45737</v>
      </c>
      <c r="E2152" s="1" t="s">
        <v>63</v>
      </c>
      <c r="F2152" s="1" t="s">
        <v>40</v>
      </c>
      <c r="G2152" s="0"/>
      <c r="H2152" s="1" t="s">
        <v>403</v>
      </c>
      <c r="I2152" s="1" t="s">
        <v>425</v>
      </c>
      <c r="J2152" s="1" t="s">
        <v>606</v>
      </c>
      <c r="K2152" s="1" t="s">
        <v>411</v>
      </c>
    </row>
    <row r="2153" customFormat="false" ht="14.25" hidden="false" customHeight="false" outlineLevel="0" collapsed="false">
      <c r="A2153" s="1" t="n">
        <v>96</v>
      </c>
      <c r="B2153" s="1" t="n">
        <v>2025</v>
      </c>
      <c r="C2153" s="3" t="n">
        <v>45737</v>
      </c>
      <c r="E2153" s="1" t="s">
        <v>64</v>
      </c>
      <c r="F2153" s="1" t="s">
        <v>40</v>
      </c>
      <c r="G2153" s="0"/>
      <c r="H2153" s="1" t="s">
        <v>415</v>
      </c>
      <c r="I2153" s="1" t="s">
        <v>408</v>
      </c>
      <c r="J2153" s="1" t="s">
        <v>414</v>
      </c>
      <c r="K2153" s="1" t="s">
        <v>401</v>
      </c>
    </row>
    <row r="2154" customFormat="false" ht="14.25" hidden="false" customHeight="false" outlineLevel="0" collapsed="false">
      <c r="A2154" s="1" t="n">
        <v>97</v>
      </c>
      <c r="B2154" s="1" t="n">
        <v>2025</v>
      </c>
      <c r="C2154" s="3" t="n">
        <v>45744</v>
      </c>
      <c r="E2154" s="1" t="s">
        <v>12</v>
      </c>
      <c r="F2154" s="1" t="s">
        <v>13</v>
      </c>
      <c r="G2154" s="1" t="s">
        <v>358</v>
      </c>
      <c r="H2154" s="1" t="s">
        <v>358</v>
      </c>
      <c r="I2154" s="1" t="s">
        <v>360</v>
      </c>
      <c r="J2154" s="1" t="s">
        <v>369</v>
      </c>
      <c r="K2154" s="1" t="s">
        <v>358</v>
      </c>
    </row>
    <row r="2155" customFormat="false" ht="14.25" hidden="false" customHeight="false" outlineLevel="0" collapsed="false">
      <c r="A2155" s="1" t="n">
        <v>97</v>
      </c>
      <c r="B2155" s="1" t="n">
        <v>2025</v>
      </c>
      <c r="C2155" s="3" t="n">
        <v>45744</v>
      </c>
      <c r="E2155" s="1" t="s">
        <v>14</v>
      </c>
      <c r="F2155" s="1" t="s">
        <v>13</v>
      </c>
      <c r="G2155" s="0"/>
      <c r="H2155" s="1" t="s">
        <v>358</v>
      </c>
      <c r="I2155" s="1" t="s">
        <v>566</v>
      </c>
      <c r="J2155" s="1" t="s">
        <v>543</v>
      </c>
      <c r="K2155" s="1" t="s">
        <v>472</v>
      </c>
    </row>
    <row r="2156" customFormat="false" ht="14.25" hidden="false" customHeight="false" outlineLevel="0" collapsed="false">
      <c r="A2156" s="1" t="n">
        <v>97</v>
      </c>
      <c r="B2156" s="1" t="n">
        <v>2025</v>
      </c>
      <c r="C2156" s="3" t="n">
        <v>45744</v>
      </c>
      <c r="E2156" s="1" t="s">
        <v>15</v>
      </c>
      <c r="F2156" s="1" t="s">
        <v>13</v>
      </c>
      <c r="G2156" s="1" t="s">
        <v>390</v>
      </c>
      <c r="H2156" s="1" t="s">
        <v>357</v>
      </c>
      <c r="I2156" s="1" t="s">
        <v>358</v>
      </c>
      <c r="J2156" s="1" t="s">
        <v>607</v>
      </c>
      <c r="K2156" s="1" t="s">
        <v>357</v>
      </c>
    </row>
    <row r="2157" customFormat="false" ht="14.25" hidden="false" customHeight="false" outlineLevel="0" collapsed="false">
      <c r="A2157" s="1" t="n">
        <v>97</v>
      </c>
      <c r="B2157" s="1" t="n">
        <v>2025</v>
      </c>
      <c r="C2157" s="3" t="n">
        <v>45744</v>
      </c>
      <c r="E2157" s="1" t="s">
        <v>16</v>
      </c>
      <c r="F2157" s="1" t="s">
        <v>13</v>
      </c>
      <c r="G2157" s="1" t="s">
        <v>362</v>
      </c>
      <c r="H2157" s="1" t="s">
        <v>362</v>
      </c>
      <c r="I2157" s="1" t="s">
        <v>362</v>
      </c>
      <c r="J2157" s="1" t="s">
        <v>362</v>
      </c>
      <c r="K2157" s="1" t="s">
        <v>362</v>
      </c>
    </row>
    <row r="2158" customFormat="false" ht="14.25" hidden="false" customHeight="false" outlineLevel="0" collapsed="false">
      <c r="A2158" s="1" t="n">
        <v>97</v>
      </c>
      <c r="B2158" s="1" t="n">
        <v>2025</v>
      </c>
      <c r="C2158" s="3" t="n">
        <v>45744</v>
      </c>
      <c r="E2158" s="1" t="s">
        <v>17</v>
      </c>
      <c r="F2158" s="1" t="s">
        <v>13</v>
      </c>
      <c r="G2158" s="1" t="s">
        <v>362</v>
      </c>
      <c r="H2158" s="1" t="s">
        <v>362</v>
      </c>
      <c r="I2158" s="1" t="s">
        <v>362</v>
      </c>
      <c r="J2158" s="1" t="s">
        <v>362</v>
      </c>
      <c r="K2158" s="1" t="s">
        <v>362</v>
      </c>
    </row>
    <row r="2159" customFormat="false" ht="14.25" hidden="false" customHeight="false" outlineLevel="0" collapsed="false">
      <c r="A2159" s="1" t="n">
        <v>97</v>
      </c>
      <c r="B2159" s="1" t="n">
        <v>2025</v>
      </c>
      <c r="C2159" s="3" t="n">
        <v>45744</v>
      </c>
      <c r="E2159" s="1" t="s">
        <v>18</v>
      </c>
      <c r="F2159" s="1" t="s">
        <v>13</v>
      </c>
      <c r="G2159" s="1" t="s">
        <v>358</v>
      </c>
      <c r="H2159" s="1" t="s">
        <v>358</v>
      </c>
      <c r="I2159" s="1" t="s">
        <v>361</v>
      </c>
      <c r="J2159" s="1" t="s">
        <v>429</v>
      </c>
      <c r="K2159" s="1" t="s">
        <v>358</v>
      </c>
    </row>
    <row r="2160" customFormat="false" ht="14.25" hidden="false" customHeight="false" outlineLevel="0" collapsed="false">
      <c r="A2160" s="1" t="n">
        <v>97</v>
      </c>
      <c r="B2160" s="1" t="n">
        <v>2025</v>
      </c>
      <c r="C2160" s="3" t="n">
        <v>45744</v>
      </c>
      <c r="E2160" s="1" t="s">
        <v>19</v>
      </c>
      <c r="F2160" s="1" t="s">
        <v>13</v>
      </c>
      <c r="G2160" s="0"/>
      <c r="H2160" s="1" t="s">
        <v>361</v>
      </c>
      <c r="I2160" s="1" t="s">
        <v>566</v>
      </c>
      <c r="J2160" s="1" t="s">
        <v>472</v>
      </c>
      <c r="K2160" s="1" t="s">
        <v>472</v>
      </c>
    </row>
    <row r="2161" customFormat="false" ht="14.25" hidden="false" customHeight="false" outlineLevel="0" collapsed="false">
      <c r="A2161" s="1" t="n">
        <v>97</v>
      </c>
      <c r="B2161" s="1" t="n">
        <v>2025</v>
      </c>
      <c r="C2161" s="3" t="n">
        <v>45744</v>
      </c>
      <c r="E2161" s="1" t="s">
        <v>20</v>
      </c>
      <c r="F2161" s="1" t="s">
        <v>13</v>
      </c>
      <c r="G2161" s="0"/>
      <c r="H2161" s="1" t="s">
        <v>362</v>
      </c>
      <c r="I2161" s="1" t="s">
        <v>608</v>
      </c>
      <c r="J2161" s="1" t="s">
        <v>609</v>
      </c>
      <c r="K2161" s="1" t="s">
        <v>543</v>
      </c>
    </row>
    <row r="2162" customFormat="false" ht="14.25" hidden="false" customHeight="false" outlineLevel="0" collapsed="false">
      <c r="A2162" s="1" t="n">
        <v>97</v>
      </c>
      <c r="B2162" s="1" t="n">
        <v>2025</v>
      </c>
      <c r="C2162" s="3" t="n">
        <v>45744</v>
      </c>
      <c r="E2162" s="1" t="s">
        <v>21</v>
      </c>
      <c r="F2162" s="1" t="s">
        <v>13</v>
      </c>
      <c r="G2162" s="1" t="s">
        <v>362</v>
      </c>
      <c r="H2162" s="1" t="s">
        <v>366</v>
      </c>
      <c r="I2162" s="1" t="s">
        <v>430</v>
      </c>
      <c r="J2162" s="1" t="s">
        <v>362</v>
      </c>
      <c r="K2162" s="1" t="s">
        <v>362</v>
      </c>
    </row>
    <row r="2163" customFormat="false" ht="14.25" hidden="false" customHeight="false" outlineLevel="0" collapsed="false">
      <c r="A2163" s="1" t="n">
        <v>97</v>
      </c>
      <c r="B2163" s="1" t="n">
        <v>2025</v>
      </c>
      <c r="C2163" s="3" t="n">
        <v>45744</v>
      </c>
      <c r="E2163" s="1" t="s">
        <v>73</v>
      </c>
      <c r="F2163" s="1" t="s">
        <v>13</v>
      </c>
      <c r="G2163" s="1" t="s">
        <v>386</v>
      </c>
      <c r="H2163" s="1" t="s">
        <v>401</v>
      </c>
      <c r="I2163" s="1" t="s">
        <v>401</v>
      </c>
      <c r="J2163" s="1" t="s">
        <v>610</v>
      </c>
      <c r="K2163" s="1" t="s">
        <v>401</v>
      </c>
    </row>
    <row r="2164" customFormat="false" ht="14.25" hidden="false" customHeight="false" outlineLevel="0" collapsed="false">
      <c r="A2164" s="1" t="n">
        <v>97</v>
      </c>
      <c r="B2164" s="1" t="n">
        <v>2025</v>
      </c>
      <c r="C2164" s="3" t="n">
        <v>45744</v>
      </c>
      <c r="E2164" s="1" t="s">
        <v>23</v>
      </c>
      <c r="F2164" s="1" t="s">
        <v>13</v>
      </c>
      <c r="G2164" s="1" t="s">
        <v>366</v>
      </c>
      <c r="H2164" s="1" t="s">
        <v>362</v>
      </c>
      <c r="I2164" s="1" t="s">
        <v>362</v>
      </c>
      <c r="J2164" s="1" t="s">
        <v>438</v>
      </c>
      <c r="K2164" s="1" t="s">
        <v>362</v>
      </c>
    </row>
    <row r="2165" customFormat="false" ht="14.25" hidden="false" customHeight="false" outlineLevel="0" collapsed="false">
      <c r="A2165" s="1" t="n">
        <v>97</v>
      </c>
      <c r="B2165" s="1" t="n">
        <v>2025</v>
      </c>
      <c r="C2165" s="3" t="n">
        <v>45744</v>
      </c>
      <c r="E2165" s="1" t="s">
        <v>24</v>
      </c>
      <c r="F2165" s="1" t="s">
        <v>13</v>
      </c>
      <c r="G2165" s="1" t="s">
        <v>358</v>
      </c>
      <c r="H2165" s="1" t="s">
        <v>358</v>
      </c>
      <c r="I2165" s="1" t="s">
        <v>401</v>
      </c>
      <c r="J2165" s="1" t="s">
        <v>386</v>
      </c>
      <c r="K2165" s="1" t="s">
        <v>358</v>
      </c>
    </row>
    <row r="2166" customFormat="false" ht="14.25" hidden="false" customHeight="false" outlineLevel="0" collapsed="false">
      <c r="A2166" s="1" t="n">
        <v>97</v>
      </c>
      <c r="B2166" s="1" t="n">
        <v>2025</v>
      </c>
      <c r="C2166" s="3" t="n">
        <v>45744</v>
      </c>
      <c r="E2166" s="1" t="s">
        <v>25</v>
      </c>
      <c r="F2166" s="1" t="s">
        <v>26</v>
      </c>
      <c r="G2166" s="1" t="s">
        <v>358</v>
      </c>
      <c r="H2166" s="1" t="s">
        <v>358</v>
      </c>
      <c r="I2166" s="1" t="s">
        <v>360</v>
      </c>
      <c r="J2166" s="1" t="s">
        <v>375</v>
      </c>
      <c r="K2166" s="1" t="s">
        <v>358</v>
      </c>
    </row>
    <row r="2167" customFormat="false" ht="14.25" hidden="false" customHeight="false" outlineLevel="0" collapsed="false">
      <c r="A2167" s="1" t="n">
        <v>97</v>
      </c>
      <c r="B2167" s="1" t="n">
        <v>2025</v>
      </c>
      <c r="C2167" s="3" t="n">
        <v>45744</v>
      </c>
      <c r="E2167" s="1" t="s">
        <v>27</v>
      </c>
      <c r="F2167" s="1" t="s">
        <v>13</v>
      </c>
      <c r="G2167" s="1" t="s">
        <v>361</v>
      </c>
      <c r="H2167" s="1" t="s">
        <v>361</v>
      </c>
      <c r="I2167" s="1" t="s">
        <v>566</v>
      </c>
      <c r="J2167" s="1" t="s">
        <v>468</v>
      </c>
      <c r="K2167" s="1" t="s">
        <v>361</v>
      </c>
    </row>
    <row r="2168" customFormat="false" ht="14.25" hidden="false" customHeight="false" outlineLevel="0" collapsed="false">
      <c r="A2168" s="1" t="n">
        <v>97</v>
      </c>
      <c r="B2168" s="1" t="n">
        <v>2025</v>
      </c>
      <c r="C2168" s="3" t="n">
        <v>45744</v>
      </c>
      <c r="E2168" s="1" t="s">
        <v>28</v>
      </c>
      <c r="F2168" s="1" t="s">
        <v>13</v>
      </c>
      <c r="G2168" s="1" t="s">
        <v>362</v>
      </c>
      <c r="H2168" s="1" t="s">
        <v>358</v>
      </c>
      <c r="I2168" s="1" t="s">
        <v>361</v>
      </c>
      <c r="J2168" s="1" t="s">
        <v>457</v>
      </c>
      <c r="K2168" s="1" t="s">
        <v>358</v>
      </c>
    </row>
    <row r="2169" customFormat="false" ht="14.25" hidden="false" customHeight="false" outlineLevel="0" collapsed="false">
      <c r="A2169" s="1" t="n">
        <v>97</v>
      </c>
      <c r="B2169" s="1" t="n">
        <v>2025</v>
      </c>
      <c r="C2169" s="3" t="n">
        <v>45744</v>
      </c>
      <c r="E2169" s="1" t="s">
        <v>29</v>
      </c>
      <c r="F2169" s="1" t="s">
        <v>13</v>
      </c>
      <c r="G2169" s="1" t="s">
        <v>358</v>
      </c>
      <c r="H2169" s="1" t="s">
        <v>362</v>
      </c>
      <c r="I2169" s="1" t="s">
        <v>369</v>
      </c>
      <c r="J2169" s="1" t="s">
        <v>611</v>
      </c>
      <c r="K2169" s="1" t="s">
        <v>358</v>
      </c>
    </row>
    <row r="2170" customFormat="false" ht="14.25" hidden="false" customHeight="false" outlineLevel="0" collapsed="false">
      <c r="A2170" s="1" t="n">
        <v>97</v>
      </c>
      <c r="B2170" s="1" t="n">
        <v>2025</v>
      </c>
      <c r="C2170" s="3" t="n">
        <v>45744</v>
      </c>
      <c r="E2170" s="1" t="s">
        <v>31</v>
      </c>
      <c r="F2170" s="1" t="s">
        <v>32</v>
      </c>
      <c r="G2170" s="1" t="s">
        <v>378</v>
      </c>
      <c r="H2170" s="1" t="s">
        <v>378</v>
      </c>
      <c r="I2170" s="1" t="s">
        <v>612</v>
      </c>
      <c r="J2170" s="1" t="s">
        <v>613</v>
      </c>
      <c r="K2170" s="1" t="s">
        <v>378</v>
      </c>
    </row>
    <row r="2171" customFormat="false" ht="14.25" hidden="false" customHeight="false" outlineLevel="0" collapsed="false">
      <c r="A2171" s="1" t="n">
        <v>97</v>
      </c>
      <c r="B2171" s="1" t="n">
        <v>2025</v>
      </c>
      <c r="C2171" s="3" t="n">
        <v>45744</v>
      </c>
      <c r="E2171" s="1" t="s">
        <v>34</v>
      </c>
      <c r="F2171" s="1" t="s">
        <v>35</v>
      </c>
      <c r="G2171" s="1" t="s">
        <v>390</v>
      </c>
      <c r="H2171" s="1" t="s">
        <v>393</v>
      </c>
      <c r="I2171" s="1" t="s">
        <v>393</v>
      </c>
      <c r="J2171" s="1" t="s">
        <v>404</v>
      </c>
      <c r="K2171" s="1" t="s">
        <v>404</v>
      </c>
    </row>
    <row r="2172" customFormat="false" ht="14.25" hidden="false" customHeight="false" outlineLevel="0" collapsed="false">
      <c r="A2172" s="1" t="n">
        <v>97</v>
      </c>
      <c r="B2172" s="1" t="n">
        <v>2025</v>
      </c>
      <c r="C2172" s="3" t="n">
        <v>45744</v>
      </c>
      <c r="E2172" s="1" t="s">
        <v>36</v>
      </c>
      <c r="F2172" s="1" t="s">
        <v>35</v>
      </c>
      <c r="G2172" s="1" t="s">
        <v>397</v>
      </c>
      <c r="H2172" s="1" t="s">
        <v>362</v>
      </c>
      <c r="I2172" s="1" t="s">
        <v>397</v>
      </c>
      <c r="J2172" s="1" t="s">
        <v>529</v>
      </c>
      <c r="K2172" s="1" t="s">
        <v>571</v>
      </c>
    </row>
    <row r="2173" customFormat="false" ht="14.25" hidden="false" customHeight="false" outlineLevel="0" collapsed="false">
      <c r="A2173" s="1" t="n">
        <v>97</v>
      </c>
      <c r="B2173" s="1" t="n">
        <v>2025</v>
      </c>
      <c r="C2173" s="3" t="n">
        <v>45744</v>
      </c>
      <c r="E2173" s="1" t="s">
        <v>153</v>
      </c>
      <c r="F2173" s="1" t="s">
        <v>154</v>
      </c>
      <c r="G2173" s="1" t="s">
        <v>358</v>
      </c>
      <c r="H2173" s="1" t="s">
        <v>358</v>
      </c>
      <c r="I2173" s="1" t="s">
        <v>394</v>
      </c>
      <c r="J2173" s="1" t="s">
        <v>512</v>
      </c>
      <c r="K2173" s="1" t="s">
        <v>358</v>
      </c>
    </row>
    <row r="2174" customFormat="false" ht="14.25" hidden="false" customHeight="false" outlineLevel="0" collapsed="false">
      <c r="A2174" s="1" t="n">
        <v>97</v>
      </c>
      <c r="B2174" s="1" t="n">
        <v>2025</v>
      </c>
      <c r="C2174" s="3" t="n">
        <v>45744</v>
      </c>
      <c r="E2174" s="1" t="s">
        <v>39</v>
      </c>
      <c r="F2174" s="1" t="s">
        <v>40</v>
      </c>
      <c r="G2174" s="1" t="s">
        <v>358</v>
      </c>
      <c r="H2174" s="1" t="s">
        <v>386</v>
      </c>
      <c r="I2174" s="1" t="s">
        <v>386</v>
      </c>
      <c r="J2174" s="1" t="s">
        <v>570</v>
      </c>
      <c r="K2174" s="1" t="s">
        <v>386</v>
      </c>
    </row>
    <row r="2175" customFormat="false" ht="14.25" hidden="false" customHeight="false" outlineLevel="0" collapsed="false">
      <c r="A2175" s="1" t="n">
        <v>97</v>
      </c>
      <c r="B2175" s="1" t="n">
        <v>2025</v>
      </c>
      <c r="C2175" s="3" t="n">
        <v>45744</v>
      </c>
      <c r="E2175" s="1" t="s">
        <v>42</v>
      </c>
      <c r="F2175" s="1" t="s">
        <v>43</v>
      </c>
      <c r="G2175" s="0"/>
      <c r="H2175" s="1" t="s">
        <v>390</v>
      </c>
      <c r="I2175" s="1" t="s">
        <v>394</v>
      </c>
      <c r="J2175" s="1" t="s">
        <v>396</v>
      </c>
      <c r="K2175" s="1" t="s">
        <v>396</v>
      </c>
    </row>
    <row r="2176" customFormat="false" ht="14.25" hidden="false" customHeight="false" outlineLevel="0" collapsed="false">
      <c r="A2176" s="1" t="n">
        <v>97</v>
      </c>
      <c r="B2176" s="1" t="n">
        <v>2025</v>
      </c>
      <c r="C2176" s="3" t="n">
        <v>45744</v>
      </c>
      <c r="E2176" s="1" t="s">
        <v>44</v>
      </c>
      <c r="F2176" s="1" t="s">
        <v>45</v>
      </c>
      <c r="G2176" s="1" t="s">
        <v>397</v>
      </c>
      <c r="H2176" s="1" t="s">
        <v>393</v>
      </c>
      <c r="I2176" s="1" t="s">
        <v>396</v>
      </c>
      <c r="J2176" s="1" t="s">
        <v>398</v>
      </c>
      <c r="K2176" s="1" t="s">
        <v>393</v>
      </c>
    </row>
    <row r="2177" customFormat="false" ht="14.25" hidden="false" customHeight="false" outlineLevel="0" collapsed="false">
      <c r="A2177" s="1" t="n">
        <v>97</v>
      </c>
      <c r="B2177" s="1" t="n">
        <v>2025</v>
      </c>
      <c r="C2177" s="3" t="n">
        <v>45744</v>
      </c>
      <c r="E2177" s="1" t="s">
        <v>48</v>
      </c>
      <c r="F2177" s="1" t="s">
        <v>45</v>
      </c>
      <c r="G2177" s="0"/>
      <c r="H2177" s="1" t="s">
        <v>405</v>
      </c>
      <c r="I2177" s="1" t="s">
        <v>405</v>
      </c>
      <c r="J2177" s="1" t="s">
        <v>405</v>
      </c>
      <c r="K2177" s="1" t="s">
        <v>405</v>
      </c>
    </row>
    <row r="2178" customFormat="false" ht="14.25" hidden="false" customHeight="false" outlineLevel="0" collapsed="false">
      <c r="A2178" s="1" t="n">
        <v>97</v>
      </c>
      <c r="B2178" s="1" t="n">
        <v>2025</v>
      </c>
      <c r="C2178" s="3" t="n">
        <v>45744</v>
      </c>
      <c r="E2178" s="1" t="s">
        <v>49</v>
      </c>
      <c r="F2178" s="1" t="s">
        <v>50</v>
      </c>
      <c r="G2178" s="1" t="s">
        <v>393</v>
      </c>
      <c r="H2178" s="1" t="s">
        <v>358</v>
      </c>
      <c r="I2178" s="1" t="s">
        <v>358</v>
      </c>
      <c r="J2178" s="1" t="s">
        <v>399</v>
      </c>
      <c r="K2178" s="1" t="s">
        <v>358</v>
      </c>
    </row>
    <row r="2179" customFormat="false" ht="14.25" hidden="false" customHeight="false" outlineLevel="0" collapsed="false">
      <c r="A2179" s="1" t="n">
        <v>97</v>
      </c>
      <c r="B2179" s="1" t="n">
        <v>2025</v>
      </c>
      <c r="C2179" s="3" t="n">
        <v>45744</v>
      </c>
      <c r="E2179" s="1" t="s">
        <v>52</v>
      </c>
      <c r="F2179" s="1" t="s">
        <v>43</v>
      </c>
      <c r="G2179" s="0"/>
      <c r="H2179" s="1" t="s">
        <v>362</v>
      </c>
      <c r="I2179" s="1" t="s">
        <v>405</v>
      </c>
      <c r="J2179" s="1" t="s">
        <v>391</v>
      </c>
      <c r="K2179" s="1" t="s">
        <v>394</v>
      </c>
    </row>
    <row r="2180" customFormat="false" ht="14.25" hidden="false" customHeight="false" outlineLevel="0" collapsed="false">
      <c r="A2180" s="1" t="n">
        <v>97</v>
      </c>
      <c r="B2180" s="1" t="n">
        <v>2025</v>
      </c>
      <c r="C2180" s="3" t="n">
        <v>45744</v>
      </c>
      <c r="E2180" s="1" t="s">
        <v>53</v>
      </c>
      <c r="F2180" s="1" t="s">
        <v>43</v>
      </c>
      <c r="G2180" s="0"/>
      <c r="H2180" s="1" t="s">
        <v>370</v>
      </c>
      <c r="I2180" s="1" t="s">
        <v>415</v>
      </c>
      <c r="J2180" s="1" t="s">
        <v>614</v>
      </c>
      <c r="K2180" s="1" t="s">
        <v>405</v>
      </c>
    </row>
    <row r="2181" customFormat="false" ht="14.25" hidden="false" customHeight="false" outlineLevel="0" collapsed="false">
      <c r="A2181" s="1" t="n">
        <v>97</v>
      </c>
      <c r="B2181" s="1" t="n">
        <v>2025</v>
      </c>
      <c r="C2181" s="3" t="n">
        <v>45744</v>
      </c>
      <c r="E2181" s="1" t="s">
        <v>54</v>
      </c>
      <c r="F2181" s="1" t="s">
        <v>40</v>
      </c>
      <c r="G2181" s="0"/>
      <c r="H2181" s="1" t="s">
        <v>370</v>
      </c>
      <c r="I2181" s="1" t="s">
        <v>405</v>
      </c>
      <c r="J2181" s="1" t="s">
        <v>386</v>
      </c>
      <c r="K2181" s="1" t="s">
        <v>386</v>
      </c>
    </row>
    <row r="2182" customFormat="false" ht="14.25" hidden="false" customHeight="false" outlineLevel="0" collapsed="false">
      <c r="A2182" s="1" t="n">
        <v>97</v>
      </c>
      <c r="B2182" s="1" t="n">
        <v>2025</v>
      </c>
      <c r="C2182" s="3" t="n">
        <v>45744</v>
      </c>
      <c r="E2182" s="1" t="s">
        <v>56</v>
      </c>
      <c r="F2182" s="1" t="s">
        <v>43</v>
      </c>
      <c r="G2182" s="1" t="s">
        <v>393</v>
      </c>
      <c r="H2182" s="1" t="s">
        <v>393</v>
      </c>
      <c r="I2182" s="1" t="s">
        <v>393</v>
      </c>
      <c r="J2182" s="1" t="s">
        <v>393</v>
      </c>
      <c r="K2182" s="1" t="s">
        <v>393</v>
      </c>
    </row>
    <row r="2183" customFormat="false" ht="14.25" hidden="false" customHeight="false" outlineLevel="0" collapsed="false">
      <c r="A2183" s="1" t="n">
        <v>97</v>
      </c>
      <c r="B2183" s="1" t="n">
        <v>2025</v>
      </c>
      <c r="C2183" s="3" t="n">
        <v>45744</v>
      </c>
      <c r="E2183" s="1" t="s">
        <v>57</v>
      </c>
      <c r="F2183" s="1" t="s">
        <v>40</v>
      </c>
      <c r="G2183" s="0"/>
      <c r="H2183" s="1" t="s">
        <v>358</v>
      </c>
      <c r="I2183" s="1" t="s">
        <v>370</v>
      </c>
      <c r="J2183" s="1" t="s">
        <v>394</v>
      </c>
      <c r="K2183" s="1" t="s">
        <v>394</v>
      </c>
    </row>
    <row r="2184" customFormat="false" ht="14.25" hidden="false" customHeight="false" outlineLevel="0" collapsed="false">
      <c r="A2184" s="1" t="n">
        <v>97</v>
      </c>
      <c r="B2184" s="1" t="n">
        <v>2025</v>
      </c>
      <c r="C2184" s="3" t="n">
        <v>45744</v>
      </c>
      <c r="E2184" s="1" t="s">
        <v>58</v>
      </c>
      <c r="F2184" s="1" t="s">
        <v>40</v>
      </c>
      <c r="G2184" s="1" t="s">
        <v>415</v>
      </c>
      <c r="H2184" s="1" t="s">
        <v>385</v>
      </c>
      <c r="I2184" s="1" t="s">
        <v>415</v>
      </c>
      <c r="J2184" s="1" t="s">
        <v>615</v>
      </c>
      <c r="K2184" s="1" t="s">
        <v>415</v>
      </c>
    </row>
    <row r="2185" customFormat="false" ht="14.25" hidden="false" customHeight="false" outlineLevel="0" collapsed="false">
      <c r="A2185" s="1" t="n">
        <v>97</v>
      </c>
      <c r="B2185" s="1" t="n">
        <v>2025</v>
      </c>
      <c r="C2185" s="3" t="n">
        <v>45744</v>
      </c>
      <c r="E2185" s="1" t="s">
        <v>59</v>
      </c>
      <c r="F2185" s="1" t="s">
        <v>45</v>
      </c>
      <c r="G2185" s="1" t="s">
        <v>390</v>
      </c>
      <c r="H2185" s="1" t="s">
        <v>388</v>
      </c>
      <c r="I2185" s="1" t="s">
        <v>358</v>
      </c>
      <c r="J2185" s="1" t="s">
        <v>407</v>
      </c>
      <c r="K2185" s="1" t="s">
        <v>390</v>
      </c>
    </row>
    <row r="2186" customFormat="false" ht="14.25" hidden="false" customHeight="false" outlineLevel="0" collapsed="false">
      <c r="A2186" s="1" t="n">
        <v>97</v>
      </c>
      <c r="B2186" s="1" t="n">
        <v>2025</v>
      </c>
      <c r="C2186" s="3" t="n">
        <v>45744</v>
      </c>
      <c r="E2186" s="1" t="s">
        <v>60</v>
      </c>
      <c r="F2186" s="1" t="s">
        <v>61</v>
      </c>
      <c r="G2186" s="1" t="s">
        <v>401</v>
      </c>
      <c r="H2186" s="1" t="s">
        <v>408</v>
      </c>
      <c r="I2186" s="1" t="s">
        <v>408</v>
      </c>
      <c r="J2186" s="1" t="s">
        <v>616</v>
      </c>
      <c r="K2186" s="1" t="s">
        <v>616</v>
      </c>
    </row>
    <row r="2187" customFormat="false" ht="14.25" hidden="false" customHeight="false" outlineLevel="0" collapsed="false">
      <c r="A2187" s="1" t="n">
        <v>97</v>
      </c>
      <c r="B2187" s="1" t="n">
        <v>2025</v>
      </c>
      <c r="C2187" s="3" t="n">
        <v>45744</v>
      </c>
      <c r="E2187" s="1" t="s">
        <v>63</v>
      </c>
      <c r="F2187" s="1" t="s">
        <v>40</v>
      </c>
      <c r="G2187" s="1" t="s">
        <v>408</v>
      </c>
      <c r="H2187" s="1" t="s">
        <v>403</v>
      </c>
      <c r="I2187" s="1" t="s">
        <v>425</v>
      </c>
      <c r="J2187" s="1" t="s">
        <v>617</v>
      </c>
      <c r="K2187" s="1" t="s">
        <v>408</v>
      </c>
    </row>
    <row r="2188" customFormat="false" ht="14.25" hidden="false" customHeight="false" outlineLevel="0" collapsed="false">
      <c r="A2188" s="1" t="n">
        <v>97</v>
      </c>
      <c r="B2188" s="1" t="n">
        <v>2025</v>
      </c>
      <c r="C2188" s="3" t="n">
        <v>45744</v>
      </c>
      <c r="E2188" s="1" t="s">
        <v>64</v>
      </c>
      <c r="F2188" s="1" t="s">
        <v>40</v>
      </c>
      <c r="G2188" s="0"/>
      <c r="H2188" s="1" t="s">
        <v>401</v>
      </c>
      <c r="I2188" s="1" t="s">
        <v>411</v>
      </c>
      <c r="J2188" s="1" t="s">
        <v>499</v>
      </c>
      <c r="K2188" s="1" t="s">
        <v>499</v>
      </c>
    </row>
    <row r="2189" customFormat="false" ht="14.25" hidden="false" customHeight="false" outlineLevel="0" collapsed="false">
      <c r="A2189" s="1" t="n">
        <v>98</v>
      </c>
      <c r="B2189" s="1" t="n">
        <v>2025</v>
      </c>
      <c r="C2189" s="3" t="n">
        <v>45751</v>
      </c>
      <c r="E2189" s="1" t="s">
        <v>12</v>
      </c>
      <c r="F2189" s="1" t="s">
        <v>13</v>
      </c>
      <c r="G2189" s="1" t="s">
        <v>360</v>
      </c>
      <c r="H2189" s="1" t="s">
        <v>357</v>
      </c>
      <c r="I2189" s="1" t="s">
        <v>360</v>
      </c>
      <c r="J2189" s="1" t="s">
        <v>369</v>
      </c>
      <c r="K2189" s="1" t="s">
        <v>360</v>
      </c>
    </row>
    <row r="2190" customFormat="false" ht="14.25" hidden="false" customHeight="false" outlineLevel="0" collapsed="false">
      <c r="A2190" s="1" t="n">
        <v>98</v>
      </c>
      <c r="B2190" s="1" t="n">
        <v>2025</v>
      </c>
      <c r="C2190" s="3" t="n">
        <v>45751</v>
      </c>
      <c r="E2190" s="1" t="s">
        <v>14</v>
      </c>
      <c r="F2190" s="1" t="s">
        <v>13</v>
      </c>
      <c r="G2190" s="1" t="s">
        <v>361</v>
      </c>
      <c r="H2190" s="1" t="s">
        <v>472</v>
      </c>
      <c r="I2190" s="1" t="s">
        <v>472</v>
      </c>
      <c r="J2190" s="1" t="s">
        <v>468</v>
      </c>
      <c r="K2190" s="1" t="s">
        <v>472</v>
      </c>
    </row>
    <row r="2191" customFormat="false" ht="14.25" hidden="false" customHeight="false" outlineLevel="0" collapsed="false">
      <c r="A2191" s="1" t="n">
        <v>98</v>
      </c>
      <c r="B2191" s="1" t="n">
        <v>2025</v>
      </c>
      <c r="C2191" s="3" t="n">
        <v>45751</v>
      </c>
      <c r="E2191" s="1" t="s">
        <v>15</v>
      </c>
      <c r="F2191" s="1" t="s">
        <v>13</v>
      </c>
      <c r="G2191" s="1" t="s">
        <v>430</v>
      </c>
      <c r="H2191" s="1" t="s">
        <v>358</v>
      </c>
      <c r="I2191" s="1" t="s">
        <v>358</v>
      </c>
      <c r="J2191" s="1" t="s">
        <v>428</v>
      </c>
      <c r="K2191" s="1" t="s">
        <v>358</v>
      </c>
    </row>
    <row r="2192" customFormat="false" ht="14.25" hidden="false" customHeight="false" outlineLevel="0" collapsed="false">
      <c r="A2192" s="1" t="n">
        <v>98</v>
      </c>
      <c r="B2192" s="1" t="n">
        <v>2025</v>
      </c>
      <c r="C2192" s="3" t="n">
        <v>45751</v>
      </c>
      <c r="E2192" s="1" t="s">
        <v>16</v>
      </c>
      <c r="F2192" s="1" t="s">
        <v>13</v>
      </c>
      <c r="G2192" s="0"/>
      <c r="H2192" s="1" t="s">
        <v>366</v>
      </c>
      <c r="I2192" s="1" t="s">
        <v>430</v>
      </c>
      <c r="J2192" s="1" t="s">
        <v>362</v>
      </c>
      <c r="K2192" s="1" t="s">
        <v>362</v>
      </c>
    </row>
    <row r="2193" customFormat="false" ht="14.25" hidden="false" customHeight="false" outlineLevel="0" collapsed="false">
      <c r="A2193" s="1" t="n">
        <v>98</v>
      </c>
      <c r="B2193" s="1" t="n">
        <v>2025</v>
      </c>
      <c r="C2193" s="3" t="n">
        <v>45751</v>
      </c>
      <c r="E2193" s="1" t="s">
        <v>17</v>
      </c>
      <c r="F2193" s="1" t="s">
        <v>13</v>
      </c>
      <c r="G2193" s="0"/>
      <c r="H2193" s="1" t="s">
        <v>366</v>
      </c>
      <c r="I2193" s="1" t="s">
        <v>430</v>
      </c>
      <c r="J2193" s="1" t="s">
        <v>362</v>
      </c>
      <c r="K2193" s="1" t="s">
        <v>362</v>
      </c>
    </row>
    <row r="2194" customFormat="false" ht="14.25" hidden="false" customHeight="false" outlineLevel="0" collapsed="false">
      <c r="A2194" s="1" t="n">
        <v>98</v>
      </c>
      <c r="B2194" s="1" t="n">
        <v>2025</v>
      </c>
      <c r="C2194" s="3" t="n">
        <v>45751</v>
      </c>
      <c r="E2194" s="1" t="s">
        <v>18</v>
      </c>
      <c r="F2194" s="1" t="s">
        <v>13</v>
      </c>
      <c r="G2194" s="1" t="s">
        <v>358</v>
      </c>
      <c r="H2194" s="1" t="s">
        <v>358</v>
      </c>
      <c r="I2194" s="1" t="s">
        <v>472</v>
      </c>
      <c r="J2194" s="1" t="s">
        <v>360</v>
      </c>
      <c r="K2194" s="1" t="s">
        <v>358</v>
      </c>
    </row>
    <row r="2195" customFormat="false" ht="14.25" hidden="false" customHeight="false" outlineLevel="0" collapsed="false">
      <c r="A2195" s="1" t="n">
        <v>98</v>
      </c>
      <c r="B2195" s="1" t="n">
        <v>2025</v>
      </c>
      <c r="C2195" s="3" t="n">
        <v>45751</v>
      </c>
      <c r="E2195" s="1" t="s">
        <v>19</v>
      </c>
      <c r="F2195" s="1" t="s">
        <v>13</v>
      </c>
      <c r="G2195" s="1" t="s">
        <v>361</v>
      </c>
      <c r="H2195" s="1" t="s">
        <v>361</v>
      </c>
      <c r="I2195" s="1" t="s">
        <v>568</v>
      </c>
      <c r="J2195" s="1" t="s">
        <v>405</v>
      </c>
      <c r="K2195" s="1" t="s">
        <v>361</v>
      </c>
    </row>
    <row r="2196" customFormat="false" ht="14.25" hidden="false" customHeight="false" outlineLevel="0" collapsed="false">
      <c r="A2196" s="1" t="n">
        <v>98</v>
      </c>
      <c r="B2196" s="1" t="n">
        <v>2025</v>
      </c>
      <c r="C2196" s="3" t="n">
        <v>45751</v>
      </c>
      <c r="E2196" s="1" t="s">
        <v>20</v>
      </c>
      <c r="F2196" s="1" t="s">
        <v>13</v>
      </c>
      <c r="G2196" s="1" t="s">
        <v>361</v>
      </c>
      <c r="H2196" s="1" t="s">
        <v>472</v>
      </c>
      <c r="I2196" s="1" t="s">
        <v>472</v>
      </c>
      <c r="J2196" s="1" t="s">
        <v>468</v>
      </c>
      <c r="K2196" s="1" t="s">
        <v>472</v>
      </c>
    </row>
    <row r="2197" customFormat="false" ht="14.25" hidden="false" customHeight="false" outlineLevel="0" collapsed="false">
      <c r="A2197" s="1" t="n">
        <v>98</v>
      </c>
      <c r="B2197" s="1" t="n">
        <v>2025</v>
      </c>
      <c r="C2197" s="3" t="n">
        <v>45751</v>
      </c>
      <c r="E2197" s="1" t="s">
        <v>21</v>
      </c>
      <c r="F2197" s="1" t="s">
        <v>13</v>
      </c>
      <c r="G2197" s="1" t="s">
        <v>362</v>
      </c>
      <c r="H2197" s="1" t="s">
        <v>362</v>
      </c>
      <c r="I2197" s="1" t="s">
        <v>362</v>
      </c>
      <c r="J2197" s="1" t="s">
        <v>362</v>
      </c>
      <c r="K2197" s="1" t="s">
        <v>362</v>
      </c>
    </row>
    <row r="2198" customFormat="false" ht="14.25" hidden="false" customHeight="false" outlineLevel="0" collapsed="false">
      <c r="A2198" s="1" t="n">
        <v>98</v>
      </c>
      <c r="B2198" s="1" t="n">
        <v>2025</v>
      </c>
      <c r="C2198" s="3" t="n">
        <v>45751</v>
      </c>
      <c r="E2198" s="1" t="s">
        <v>73</v>
      </c>
      <c r="F2198" s="1" t="s">
        <v>13</v>
      </c>
      <c r="G2198" s="0"/>
      <c r="H2198" s="1" t="s">
        <v>568</v>
      </c>
      <c r="I2198" s="1" t="s">
        <v>401</v>
      </c>
      <c r="J2198" s="1" t="s">
        <v>403</v>
      </c>
      <c r="K2198" s="1" t="s">
        <v>566</v>
      </c>
    </row>
    <row r="2199" customFormat="false" ht="14.25" hidden="false" customHeight="false" outlineLevel="0" collapsed="false">
      <c r="A2199" s="1" t="n">
        <v>98</v>
      </c>
      <c r="B2199" s="1" t="n">
        <v>2025</v>
      </c>
      <c r="C2199" s="3" t="n">
        <v>45751</v>
      </c>
      <c r="E2199" s="1" t="s">
        <v>23</v>
      </c>
      <c r="F2199" s="1" t="s">
        <v>13</v>
      </c>
      <c r="G2199" s="1" t="s">
        <v>362</v>
      </c>
      <c r="H2199" s="1" t="s">
        <v>362</v>
      </c>
      <c r="I2199" s="1" t="s">
        <v>430</v>
      </c>
      <c r="J2199" s="1" t="s">
        <v>582</v>
      </c>
      <c r="K2199" s="1" t="s">
        <v>362</v>
      </c>
    </row>
    <row r="2200" customFormat="false" ht="14.25" hidden="false" customHeight="false" outlineLevel="0" collapsed="false">
      <c r="A2200" s="1" t="n">
        <v>98</v>
      </c>
      <c r="B2200" s="1" t="n">
        <v>2025</v>
      </c>
      <c r="C2200" s="3" t="n">
        <v>45751</v>
      </c>
      <c r="E2200" s="1" t="s">
        <v>24</v>
      </c>
      <c r="F2200" s="1" t="s">
        <v>13</v>
      </c>
      <c r="G2200" s="0"/>
      <c r="H2200" s="1" t="s">
        <v>358</v>
      </c>
      <c r="I2200" s="1" t="s">
        <v>361</v>
      </c>
      <c r="J2200" s="1" t="s">
        <v>360</v>
      </c>
      <c r="K2200" s="1" t="s">
        <v>360</v>
      </c>
    </row>
    <row r="2201" customFormat="false" ht="14.25" hidden="false" customHeight="false" outlineLevel="0" collapsed="false">
      <c r="A2201" s="1" t="n">
        <v>98</v>
      </c>
      <c r="B2201" s="1" t="n">
        <v>2025</v>
      </c>
      <c r="C2201" s="3" t="n">
        <v>45751</v>
      </c>
      <c r="E2201" s="1" t="s">
        <v>25</v>
      </c>
      <c r="F2201" s="1" t="s">
        <v>26</v>
      </c>
      <c r="G2201" s="0"/>
      <c r="H2201" s="1" t="s">
        <v>358</v>
      </c>
      <c r="I2201" s="1" t="s">
        <v>361</v>
      </c>
      <c r="J2201" s="1" t="s">
        <v>360</v>
      </c>
      <c r="K2201" s="1" t="s">
        <v>360</v>
      </c>
    </row>
    <row r="2202" customFormat="false" ht="14.25" hidden="false" customHeight="false" outlineLevel="0" collapsed="false">
      <c r="A2202" s="1" t="n">
        <v>98</v>
      </c>
      <c r="B2202" s="1" t="n">
        <v>2025</v>
      </c>
      <c r="C2202" s="3" t="n">
        <v>45751</v>
      </c>
      <c r="E2202" s="1" t="s">
        <v>27</v>
      </c>
      <c r="F2202" s="1" t="s">
        <v>13</v>
      </c>
      <c r="G2202" s="0"/>
      <c r="H2202" s="1" t="s">
        <v>360</v>
      </c>
      <c r="I2202" s="1" t="s">
        <v>472</v>
      </c>
      <c r="J2202" s="1" t="s">
        <v>361</v>
      </c>
      <c r="K2202" s="1" t="s">
        <v>361</v>
      </c>
    </row>
    <row r="2203" customFormat="false" ht="14.25" hidden="false" customHeight="false" outlineLevel="0" collapsed="false">
      <c r="A2203" s="1" t="n">
        <v>98</v>
      </c>
      <c r="B2203" s="1" t="n">
        <v>2025</v>
      </c>
      <c r="C2203" s="3" t="n">
        <v>45751</v>
      </c>
      <c r="E2203" s="1" t="s">
        <v>28</v>
      </c>
      <c r="F2203" s="1" t="s">
        <v>13</v>
      </c>
      <c r="G2203" s="0"/>
      <c r="H2203" s="1" t="s">
        <v>393</v>
      </c>
      <c r="I2203" s="1" t="s">
        <v>360</v>
      </c>
      <c r="J2203" s="1" t="s">
        <v>618</v>
      </c>
      <c r="K2203" s="1" t="s">
        <v>358</v>
      </c>
    </row>
    <row r="2204" customFormat="false" ht="14.25" hidden="false" customHeight="false" outlineLevel="0" collapsed="false">
      <c r="A2204" s="1" t="n">
        <v>98</v>
      </c>
      <c r="B2204" s="1" t="n">
        <v>2025</v>
      </c>
      <c r="C2204" s="3" t="n">
        <v>45751</v>
      </c>
      <c r="E2204" s="1" t="s">
        <v>29</v>
      </c>
      <c r="F2204" s="1" t="s">
        <v>13</v>
      </c>
      <c r="G2204" s="1" t="s">
        <v>358</v>
      </c>
      <c r="H2204" s="1" t="s">
        <v>357</v>
      </c>
      <c r="I2204" s="1" t="s">
        <v>358</v>
      </c>
      <c r="J2204" s="1" t="s">
        <v>433</v>
      </c>
      <c r="K2204" s="1" t="s">
        <v>358</v>
      </c>
    </row>
    <row r="2205" customFormat="false" ht="14.25" hidden="false" customHeight="false" outlineLevel="0" collapsed="false">
      <c r="A2205" s="1" t="n">
        <v>98</v>
      </c>
      <c r="B2205" s="1" t="n">
        <v>2025</v>
      </c>
      <c r="C2205" s="3" t="n">
        <v>45751</v>
      </c>
      <c r="E2205" s="1" t="s">
        <v>31</v>
      </c>
      <c r="F2205" s="1" t="s">
        <v>32</v>
      </c>
      <c r="G2205" s="1" t="s">
        <v>378</v>
      </c>
      <c r="H2205" s="1" t="s">
        <v>378</v>
      </c>
      <c r="I2205" s="1" t="s">
        <v>612</v>
      </c>
      <c r="J2205" s="1" t="s">
        <v>619</v>
      </c>
      <c r="K2205" s="1" t="s">
        <v>378</v>
      </c>
    </row>
    <row r="2206" customFormat="false" ht="14.25" hidden="false" customHeight="false" outlineLevel="0" collapsed="false">
      <c r="A2206" s="1" t="n">
        <v>98</v>
      </c>
      <c r="B2206" s="1" t="n">
        <v>2025</v>
      </c>
      <c r="C2206" s="3" t="n">
        <v>45751</v>
      </c>
      <c r="E2206" s="1" t="s">
        <v>34</v>
      </c>
      <c r="F2206" s="1" t="s">
        <v>35</v>
      </c>
      <c r="G2206" s="1" t="s">
        <v>388</v>
      </c>
      <c r="H2206" s="1" t="s">
        <v>390</v>
      </c>
      <c r="I2206" s="1" t="s">
        <v>390</v>
      </c>
      <c r="J2206" s="1" t="s">
        <v>620</v>
      </c>
      <c r="K2206" s="1" t="s">
        <v>390</v>
      </c>
    </row>
    <row r="2207" customFormat="false" ht="14.25" hidden="false" customHeight="false" outlineLevel="0" collapsed="false">
      <c r="A2207" s="1" t="n">
        <v>98</v>
      </c>
      <c r="B2207" s="1" t="n">
        <v>2025</v>
      </c>
      <c r="C2207" s="3" t="n">
        <v>45751</v>
      </c>
      <c r="E2207" s="1" t="s">
        <v>36</v>
      </c>
      <c r="F2207" s="1" t="s">
        <v>35</v>
      </c>
      <c r="G2207" s="0"/>
      <c r="H2207" s="1" t="s">
        <v>419</v>
      </c>
      <c r="I2207" s="1" t="s">
        <v>388</v>
      </c>
      <c r="J2207" s="1" t="s">
        <v>362</v>
      </c>
      <c r="K2207" s="1" t="s">
        <v>362</v>
      </c>
    </row>
    <row r="2208" customFormat="false" ht="14.25" hidden="false" customHeight="false" outlineLevel="0" collapsed="false">
      <c r="A2208" s="1" t="n">
        <v>98</v>
      </c>
      <c r="B2208" s="1" t="n">
        <v>2025</v>
      </c>
      <c r="C2208" s="3" t="n">
        <v>45751</v>
      </c>
      <c r="E2208" s="1" t="s">
        <v>153</v>
      </c>
      <c r="F2208" s="1" t="s">
        <v>154</v>
      </c>
      <c r="G2208" s="0"/>
      <c r="H2208" s="1" t="s">
        <v>393</v>
      </c>
      <c r="I2208" s="1" t="s">
        <v>358</v>
      </c>
      <c r="J2208" s="1" t="s">
        <v>396</v>
      </c>
      <c r="K2208" s="1" t="s">
        <v>396</v>
      </c>
    </row>
    <row r="2209" customFormat="false" ht="14.25" hidden="false" customHeight="false" outlineLevel="0" collapsed="false">
      <c r="A2209" s="1" t="n">
        <v>98</v>
      </c>
      <c r="B2209" s="1" t="n">
        <v>2025</v>
      </c>
      <c r="C2209" s="3" t="n">
        <v>45751</v>
      </c>
      <c r="E2209" s="1" t="s">
        <v>39</v>
      </c>
      <c r="F2209" s="1" t="s">
        <v>40</v>
      </c>
      <c r="G2209" s="0"/>
      <c r="H2209" s="1" t="s">
        <v>358</v>
      </c>
      <c r="I2209" s="1" t="s">
        <v>386</v>
      </c>
      <c r="J2209" s="1" t="s">
        <v>370</v>
      </c>
      <c r="K2209" s="1" t="s">
        <v>370</v>
      </c>
    </row>
    <row r="2210" customFormat="false" ht="14.25" hidden="false" customHeight="false" outlineLevel="0" collapsed="false">
      <c r="A2210" s="1" t="n">
        <v>98</v>
      </c>
      <c r="B2210" s="1" t="n">
        <v>2025</v>
      </c>
      <c r="C2210" s="3" t="n">
        <v>45751</v>
      </c>
      <c r="E2210" s="1" t="s">
        <v>42</v>
      </c>
      <c r="F2210" s="1" t="s">
        <v>43</v>
      </c>
      <c r="G2210" s="0"/>
      <c r="H2210" s="1" t="s">
        <v>390</v>
      </c>
      <c r="I2210" s="1" t="s">
        <v>394</v>
      </c>
      <c r="J2210" s="1" t="s">
        <v>592</v>
      </c>
      <c r="K2210" s="1" t="s">
        <v>358</v>
      </c>
    </row>
    <row r="2211" customFormat="false" ht="14.25" hidden="false" customHeight="false" outlineLevel="0" collapsed="false">
      <c r="A2211" s="1" t="n">
        <v>98</v>
      </c>
      <c r="B2211" s="1" t="n">
        <v>2025</v>
      </c>
      <c r="C2211" s="3" t="n">
        <v>45751</v>
      </c>
      <c r="E2211" s="1" t="s">
        <v>44</v>
      </c>
      <c r="F2211" s="1" t="s">
        <v>45</v>
      </c>
      <c r="G2211" s="0"/>
      <c r="H2211" s="1" t="s">
        <v>397</v>
      </c>
      <c r="I2211" s="1" t="s">
        <v>358</v>
      </c>
      <c r="J2211" s="1" t="s">
        <v>494</v>
      </c>
      <c r="K2211" s="1" t="s">
        <v>390</v>
      </c>
    </row>
    <row r="2212" customFormat="false" ht="14.25" hidden="false" customHeight="false" outlineLevel="0" collapsed="false">
      <c r="A2212" s="1" t="n">
        <v>98</v>
      </c>
      <c r="B2212" s="1" t="n">
        <v>2025</v>
      </c>
      <c r="C2212" s="3" t="n">
        <v>45751</v>
      </c>
      <c r="E2212" s="1" t="s">
        <v>48</v>
      </c>
      <c r="F2212" s="1" t="s">
        <v>45</v>
      </c>
      <c r="G2212" s="0"/>
      <c r="H2212" s="1" t="s">
        <v>385</v>
      </c>
      <c r="I2212" s="1" t="s">
        <v>385</v>
      </c>
      <c r="J2212" s="1" t="s">
        <v>385</v>
      </c>
      <c r="K2212" s="1" t="s">
        <v>385</v>
      </c>
    </row>
    <row r="2213" customFormat="false" ht="14.25" hidden="false" customHeight="false" outlineLevel="0" collapsed="false">
      <c r="A2213" s="1" t="n">
        <v>98</v>
      </c>
      <c r="B2213" s="1" t="n">
        <v>2025</v>
      </c>
      <c r="C2213" s="3" t="n">
        <v>45751</v>
      </c>
      <c r="E2213" s="1" t="s">
        <v>49</v>
      </c>
      <c r="F2213" s="1" t="s">
        <v>50</v>
      </c>
      <c r="G2213" s="0"/>
      <c r="H2213" s="1" t="s">
        <v>393</v>
      </c>
      <c r="I2213" s="1" t="s">
        <v>370</v>
      </c>
      <c r="J2213" s="1" t="s">
        <v>358</v>
      </c>
      <c r="K2213" s="1" t="s">
        <v>358</v>
      </c>
    </row>
    <row r="2214" customFormat="false" ht="14.25" hidden="false" customHeight="false" outlineLevel="0" collapsed="false">
      <c r="A2214" s="1" t="n">
        <v>98</v>
      </c>
      <c r="B2214" s="1" t="n">
        <v>2025</v>
      </c>
      <c r="C2214" s="3" t="n">
        <v>45751</v>
      </c>
      <c r="E2214" s="1" t="s">
        <v>52</v>
      </c>
      <c r="F2214" s="1" t="s">
        <v>43</v>
      </c>
      <c r="G2214" s="1" t="s">
        <v>358</v>
      </c>
      <c r="H2214" s="1" t="s">
        <v>358</v>
      </c>
      <c r="I2214" s="1" t="s">
        <v>484</v>
      </c>
      <c r="J2214" s="1" t="s">
        <v>600</v>
      </c>
      <c r="K2214" s="1" t="s">
        <v>358</v>
      </c>
    </row>
    <row r="2215" customFormat="false" ht="14.25" hidden="false" customHeight="false" outlineLevel="0" collapsed="false">
      <c r="A2215" s="1" t="n">
        <v>98</v>
      </c>
      <c r="B2215" s="1" t="n">
        <v>2025</v>
      </c>
      <c r="C2215" s="3" t="n">
        <v>45751</v>
      </c>
      <c r="E2215" s="1" t="s">
        <v>53</v>
      </c>
      <c r="F2215" s="1" t="s">
        <v>43</v>
      </c>
      <c r="G2215" s="0"/>
      <c r="H2215" s="1" t="s">
        <v>370</v>
      </c>
      <c r="I2215" s="1" t="s">
        <v>405</v>
      </c>
      <c r="J2215" s="1" t="s">
        <v>386</v>
      </c>
      <c r="K2215" s="1" t="s">
        <v>386</v>
      </c>
    </row>
    <row r="2216" customFormat="false" ht="14.25" hidden="false" customHeight="false" outlineLevel="0" collapsed="false">
      <c r="A2216" s="1" t="n">
        <v>98</v>
      </c>
      <c r="B2216" s="1" t="n">
        <v>2025</v>
      </c>
      <c r="C2216" s="3" t="n">
        <v>45751</v>
      </c>
      <c r="E2216" s="1" t="s">
        <v>54</v>
      </c>
      <c r="F2216" s="1" t="s">
        <v>40</v>
      </c>
      <c r="G2216" s="1" t="s">
        <v>370</v>
      </c>
      <c r="H2216" s="1" t="s">
        <v>370</v>
      </c>
      <c r="I2216" s="1" t="s">
        <v>370</v>
      </c>
      <c r="J2216" s="1" t="s">
        <v>370</v>
      </c>
      <c r="K2216" s="1" t="s">
        <v>370</v>
      </c>
    </row>
    <row r="2217" customFormat="false" ht="14.25" hidden="false" customHeight="false" outlineLevel="0" collapsed="false">
      <c r="A2217" s="1" t="n">
        <v>98</v>
      </c>
      <c r="B2217" s="1" t="n">
        <v>2025</v>
      </c>
      <c r="C2217" s="3" t="n">
        <v>45751</v>
      </c>
      <c r="E2217" s="1" t="s">
        <v>56</v>
      </c>
      <c r="F2217" s="1" t="s">
        <v>43</v>
      </c>
      <c r="G2217" s="0"/>
      <c r="H2217" s="1" t="s">
        <v>385</v>
      </c>
      <c r="I2217" s="1" t="s">
        <v>385</v>
      </c>
      <c r="J2217" s="1" t="s">
        <v>385</v>
      </c>
      <c r="K2217" s="1" t="s">
        <v>385</v>
      </c>
    </row>
    <row r="2218" customFormat="false" ht="14.25" hidden="false" customHeight="false" outlineLevel="0" collapsed="false">
      <c r="A2218" s="1" t="n">
        <v>98</v>
      </c>
      <c r="B2218" s="1" t="n">
        <v>2025</v>
      </c>
      <c r="C2218" s="3" t="n">
        <v>45751</v>
      </c>
      <c r="E2218" s="1" t="s">
        <v>57</v>
      </c>
      <c r="F2218" s="1" t="s">
        <v>40</v>
      </c>
      <c r="G2218" s="0"/>
      <c r="H2218" s="1" t="s">
        <v>370</v>
      </c>
      <c r="I2218" s="1" t="s">
        <v>370</v>
      </c>
      <c r="J2218" s="1" t="s">
        <v>370</v>
      </c>
      <c r="K2218" s="1" t="s">
        <v>370</v>
      </c>
    </row>
    <row r="2219" customFormat="false" ht="14.25" hidden="false" customHeight="false" outlineLevel="0" collapsed="false">
      <c r="A2219" s="1" t="n">
        <v>98</v>
      </c>
      <c r="B2219" s="1" t="n">
        <v>2025</v>
      </c>
      <c r="C2219" s="3" t="n">
        <v>45751</v>
      </c>
      <c r="E2219" s="1" t="s">
        <v>58</v>
      </c>
      <c r="F2219" s="1" t="s">
        <v>40</v>
      </c>
      <c r="G2219" s="1" t="s">
        <v>386</v>
      </c>
      <c r="H2219" s="1" t="s">
        <v>386</v>
      </c>
      <c r="I2219" s="1" t="s">
        <v>405</v>
      </c>
      <c r="J2219" s="1" t="s">
        <v>427</v>
      </c>
      <c r="K2219" s="1" t="s">
        <v>386</v>
      </c>
    </row>
    <row r="2220" customFormat="false" ht="14.25" hidden="false" customHeight="false" outlineLevel="0" collapsed="false">
      <c r="A2220" s="1" t="n">
        <v>98</v>
      </c>
      <c r="B2220" s="1" t="n">
        <v>2025</v>
      </c>
      <c r="C2220" s="3" t="n">
        <v>45751</v>
      </c>
      <c r="E2220" s="1" t="s">
        <v>59</v>
      </c>
      <c r="F2220" s="1" t="s">
        <v>45</v>
      </c>
      <c r="G2220" s="0"/>
      <c r="H2220" s="1" t="s">
        <v>362</v>
      </c>
      <c r="I2220" s="1" t="s">
        <v>385</v>
      </c>
      <c r="J2220" s="1" t="s">
        <v>393</v>
      </c>
      <c r="K2220" s="1" t="s">
        <v>390</v>
      </c>
    </row>
    <row r="2221" customFormat="false" ht="14.25" hidden="false" customHeight="false" outlineLevel="0" collapsed="false">
      <c r="A2221" s="1" t="n">
        <v>98</v>
      </c>
      <c r="B2221" s="1" t="n">
        <v>2025</v>
      </c>
      <c r="C2221" s="3" t="n">
        <v>45751</v>
      </c>
      <c r="E2221" s="1" t="s">
        <v>60</v>
      </c>
      <c r="F2221" s="1" t="s">
        <v>61</v>
      </c>
      <c r="G2221" s="0"/>
      <c r="H2221" s="1" t="s">
        <v>405</v>
      </c>
      <c r="I2221" s="1" t="s">
        <v>451</v>
      </c>
      <c r="J2221" s="1" t="s">
        <v>610</v>
      </c>
      <c r="K2221" s="1" t="s">
        <v>415</v>
      </c>
    </row>
    <row r="2222" customFormat="false" ht="14.25" hidden="false" customHeight="false" outlineLevel="0" collapsed="false">
      <c r="A2222" s="1" t="n">
        <v>98</v>
      </c>
      <c r="B2222" s="1" t="n">
        <v>2025</v>
      </c>
      <c r="C2222" s="3" t="n">
        <v>45751</v>
      </c>
      <c r="E2222" s="1" t="s">
        <v>63</v>
      </c>
      <c r="F2222" s="1" t="s">
        <v>40</v>
      </c>
      <c r="G2222" s="0"/>
      <c r="H2222" s="1" t="s">
        <v>415</v>
      </c>
      <c r="I2222" s="1" t="s">
        <v>621</v>
      </c>
      <c r="J2222" s="1" t="s">
        <v>622</v>
      </c>
      <c r="K2222" s="1" t="s">
        <v>403</v>
      </c>
    </row>
    <row r="2223" customFormat="false" ht="14.25" hidden="false" customHeight="false" outlineLevel="0" collapsed="false">
      <c r="A2223" s="1" t="n">
        <v>98</v>
      </c>
      <c r="B2223" s="1" t="n">
        <v>2025</v>
      </c>
      <c r="C2223" s="3" t="n">
        <v>45751</v>
      </c>
      <c r="E2223" s="1" t="s">
        <v>64</v>
      </c>
      <c r="F2223" s="1" t="s">
        <v>40</v>
      </c>
      <c r="G2223" s="0"/>
      <c r="H2223" s="1" t="s">
        <v>408</v>
      </c>
      <c r="I2223" s="1" t="s">
        <v>408</v>
      </c>
      <c r="J2223" s="1" t="s">
        <v>408</v>
      </c>
      <c r="K2223" s="1" t="s">
        <v>408</v>
      </c>
    </row>
    <row r="2224" customFormat="false" ht="14.25" hidden="false" customHeight="false" outlineLevel="0" collapsed="false">
      <c r="A2224" s="1" t="n">
        <v>99</v>
      </c>
      <c r="B2224" s="1" t="n">
        <v>2025</v>
      </c>
      <c r="C2224" s="3" t="n">
        <v>45758</v>
      </c>
      <c r="E2224" s="1" t="s">
        <v>12</v>
      </c>
      <c r="F2224" s="1" t="s">
        <v>13</v>
      </c>
      <c r="G2224" s="0"/>
      <c r="H2224" s="1" t="s">
        <v>358</v>
      </c>
      <c r="I2224" s="1" t="s">
        <v>360</v>
      </c>
      <c r="J2224" s="1" t="s">
        <v>623</v>
      </c>
      <c r="K2224" s="1" t="s">
        <v>370</v>
      </c>
    </row>
    <row r="2225" customFormat="false" ht="14.25" hidden="false" customHeight="false" outlineLevel="0" collapsed="false">
      <c r="A2225" s="1" t="n">
        <v>99</v>
      </c>
      <c r="B2225" s="1" t="n">
        <v>2025</v>
      </c>
      <c r="C2225" s="3" t="n">
        <v>45758</v>
      </c>
      <c r="E2225" s="1" t="s">
        <v>14</v>
      </c>
      <c r="F2225" s="1" t="s">
        <v>13</v>
      </c>
      <c r="G2225" s="1" t="s">
        <v>472</v>
      </c>
      <c r="H2225" s="1" t="s">
        <v>472</v>
      </c>
      <c r="I2225" s="1" t="s">
        <v>472</v>
      </c>
      <c r="J2225" s="1" t="s">
        <v>472</v>
      </c>
      <c r="K2225" s="1" t="s">
        <v>472</v>
      </c>
    </row>
    <row r="2226" customFormat="false" ht="14.25" hidden="false" customHeight="false" outlineLevel="0" collapsed="false">
      <c r="A2226" s="1" t="n">
        <v>99</v>
      </c>
      <c r="B2226" s="1" t="n">
        <v>2025</v>
      </c>
      <c r="C2226" s="3" t="n">
        <v>45758</v>
      </c>
      <c r="E2226" s="1" t="s">
        <v>15</v>
      </c>
      <c r="F2226" s="1" t="s">
        <v>13</v>
      </c>
      <c r="G2226" s="1" t="s">
        <v>357</v>
      </c>
      <c r="H2226" s="1" t="s">
        <v>357</v>
      </c>
      <c r="I2226" s="1" t="s">
        <v>357</v>
      </c>
      <c r="J2226" s="1" t="s">
        <v>357</v>
      </c>
      <c r="K2226" s="1" t="s">
        <v>357</v>
      </c>
    </row>
    <row r="2227" customFormat="false" ht="14.25" hidden="false" customHeight="false" outlineLevel="0" collapsed="false">
      <c r="A2227" s="1" t="n">
        <v>99</v>
      </c>
      <c r="B2227" s="1" t="n">
        <v>2025</v>
      </c>
      <c r="C2227" s="3" t="n">
        <v>45758</v>
      </c>
      <c r="E2227" s="1" t="s">
        <v>16</v>
      </c>
      <c r="F2227" s="1" t="s">
        <v>13</v>
      </c>
      <c r="G2227" s="1" t="s">
        <v>362</v>
      </c>
      <c r="H2227" s="1" t="s">
        <v>362</v>
      </c>
      <c r="I2227" s="1" t="s">
        <v>362</v>
      </c>
      <c r="J2227" s="1" t="s">
        <v>362</v>
      </c>
      <c r="K2227" s="1" t="s">
        <v>362</v>
      </c>
    </row>
    <row r="2228" customFormat="false" ht="14.25" hidden="false" customHeight="false" outlineLevel="0" collapsed="false">
      <c r="A2228" s="1" t="n">
        <v>99</v>
      </c>
      <c r="B2228" s="1" t="n">
        <v>2025</v>
      </c>
      <c r="C2228" s="3" t="n">
        <v>45758</v>
      </c>
      <c r="E2228" s="1" t="s">
        <v>17</v>
      </c>
      <c r="F2228" s="1" t="s">
        <v>13</v>
      </c>
      <c r="G2228" s="1" t="s">
        <v>362</v>
      </c>
      <c r="H2228" s="1" t="s">
        <v>362</v>
      </c>
      <c r="I2228" s="1" t="s">
        <v>362</v>
      </c>
      <c r="J2228" s="1" t="s">
        <v>362</v>
      </c>
      <c r="K2228" s="1" t="s">
        <v>362</v>
      </c>
    </row>
    <row r="2229" customFormat="false" ht="14.25" hidden="false" customHeight="false" outlineLevel="0" collapsed="false">
      <c r="A2229" s="1" t="n">
        <v>99</v>
      </c>
      <c r="B2229" s="1" t="n">
        <v>2025</v>
      </c>
      <c r="C2229" s="3" t="n">
        <v>45758</v>
      </c>
      <c r="E2229" s="1" t="s">
        <v>18</v>
      </c>
      <c r="F2229" s="1" t="s">
        <v>13</v>
      </c>
      <c r="G2229" s="0"/>
      <c r="H2229" s="1" t="s">
        <v>416</v>
      </c>
      <c r="I2229" s="1" t="s">
        <v>361</v>
      </c>
      <c r="J2229" s="1" t="s">
        <v>385</v>
      </c>
      <c r="K2229" s="1" t="s">
        <v>385</v>
      </c>
    </row>
    <row r="2230" customFormat="false" ht="14.25" hidden="false" customHeight="false" outlineLevel="0" collapsed="false">
      <c r="A2230" s="1" t="n">
        <v>99</v>
      </c>
      <c r="B2230" s="1" t="n">
        <v>2025</v>
      </c>
      <c r="C2230" s="3" t="n">
        <v>45758</v>
      </c>
      <c r="E2230" s="1" t="s">
        <v>19</v>
      </c>
      <c r="F2230" s="1" t="s">
        <v>13</v>
      </c>
      <c r="G2230" s="1" t="s">
        <v>472</v>
      </c>
      <c r="H2230" s="1" t="s">
        <v>472</v>
      </c>
      <c r="I2230" s="1" t="s">
        <v>472</v>
      </c>
      <c r="J2230" s="1" t="s">
        <v>472</v>
      </c>
      <c r="K2230" s="1" t="s">
        <v>472</v>
      </c>
    </row>
    <row r="2231" customFormat="false" ht="14.25" hidden="false" customHeight="false" outlineLevel="0" collapsed="false">
      <c r="A2231" s="1" t="n">
        <v>99</v>
      </c>
      <c r="B2231" s="1" t="n">
        <v>2025</v>
      </c>
      <c r="C2231" s="3" t="n">
        <v>45758</v>
      </c>
      <c r="E2231" s="1" t="s">
        <v>20</v>
      </c>
      <c r="F2231" s="1" t="s">
        <v>13</v>
      </c>
      <c r="G2231" s="1" t="s">
        <v>472</v>
      </c>
      <c r="H2231" s="1" t="s">
        <v>472</v>
      </c>
      <c r="I2231" s="1" t="s">
        <v>472</v>
      </c>
      <c r="J2231" s="1" t="s">
        <v>472</v>
      </c>
      <c r="K2231" s="1" t="s">
        <v>472</v>
      </c>
    </row>
    <row r="2232" customFormat="false" ht="14.25" hidden="false" customHeight="false" outlineLevel="0" collapsed="false">
      <c r="A2232" s="1" t="n">
        <v>99</v>
      </c>
      <c r="B2232" s="1" t="n">
        <v>2025</v>
      </c>
      <c r="C2232" s="3" t="n">
        <v>45758</v>
      </c>
      <c r="E2232" s="1" t="s">
        <v>21</v>
      </c>
      <c r="F2232" s="1" t="s">
        <v>13</v>
      </c>
      <c r="G2232" s="0"/>
      <c r="H2232" s="1" t="s">
        <v>506</v>
      </c>
      <c r="I2232" s="1" t="s">
        <v>362</v>
      </c>
      <c r="J2232" s="1" t="s">
        <v>624</v>
      </c>
      <c r="K2232" s="1" t="s">
        <v>362</v>
      </c>
    </row>
    <row r="2233" customFormat="false" ht="14.25" hidden="false" customHeight="false" outlineLevel="0" collapsed="false">
      <c r="A2233" s="1" t="n">
        <v>99</v>
      </c>
      <c r="B2233" s="1" t="n">
        <v>2025</v>
      </c>
      <c r="C2233" s="3" t="n">
        <v>45758</v>
      </c>
      <c r="E2233" s="1" t="s">
        <v>73</v>
      </c>
      <c r="F2233" s="1" t="s">
        <v>13</v>
      </c>
      <c r="G2233" s="0"/>
      <c r="H2233" s="1" t="s">
        <v>362</v>
      </c>
      <c r="I2233" s="1" t="s">
        <v>403</v>
      </c>
      <c r="J2233" s="1" t="s">
        <v>625</v>
      </c>
      <c r="K2233" s="1" t="s">
        <v>566</v>
      </c>
    </row>
    <row r="2234" customFormat="false" ht="14.25" hidden="false" customHeight="false" outlineLevel="0" collapsed="false">
      <c r="A2234" s="1" t="n">
        <v>99</v>
      </c>
      <c r="B2234" s="1" t="n">
        <v>2025</v>
      </c>
      <c r="C2234" s="3" t="n">
        <v>45758</v>
      </c>
      <c r="E2234" s="1" t="s">
        <v>23</v>
      </c>
      <c r="F2234" s="1" t="s">
        <v>13</v>
      </c>
      <c r="G2234" s="0"/>
      <c r="H2234" s="1" t="s">
        <v>472</v>
      </c>
      <c r="I2234" s="1" t="s">
        <v>362</v>
      </c>
      <c r="J2234" s="1" t="s">
        <v>362</v>
      </c>
      <c r="K2234" s="1" t="s">
        <v>362</v>
      </c>
    </row>
    <row r="2235" customFormat="false" ht="14.25" hidden="false" customHeight="false" outlineLevel="0" collapsed="false">
      <c r="A2235" s="1" t="n">
        <v>99</v>
      </c>
      <c r="B2235" s="1" t="n">
        <v>2025</v>
      </c>
      <c r="C2235" s="3" t="n">
        <v>45758</v>
      </c>
      <c r="E2235" s="1" t="s">
        <v>24</v>
      </c>
      <c r="F2235" s="1" t="s">
        <v>13</v>
      </c>
      <c r="G2235" s="0"/>
      <c r="H2235" s="1" t="s">
        <v>362</v>
      </c>
      <c r="I2235" s="1" t="s">
        <v>360</v>
      </c>
      <c r="J2235" s="1" t="s">
        <v>416</v>
      </c>
      <c r="K2235" s="1" t="s">
        <v>416</v>
      </c>
    </row>
    <row r="2236" customFormat="false" ht="14.25" hidden="false" customHeight="false" outlineLevel="0" collapsed="false">
      <c r="A2236" s="1" t="n">
        <v>99</v>
      </c>
      <c r="B2236" s="1" t="n">
        <v>2025</v>
      </c>
      <c r="C2236" s="3" t="n">
        <v>45758</v>
      </c>
      <c r="E2236" s="1" t="s">
        <v>25</v>
      </c>
      <c r="F2236" s="1" t="s">
        <v>26</v>
      </c>
      <c r="G2236" s="0"/>
      <c r="H2236" s="1" t="s">
        <v>362</v>
      </c>
      <c r="I2236" s="1" t="s">
        <v>361</v>
      </c>
      <c r="J2236" s="1" t="s">
        <v>626</v>
      </c>
      <c r="K2236" s="1" t="s">
        <v>385</v>
      </c>
    </row>
    <row r="2237" customFormat="false" ht="14.25" hidden="false" customHeight="false" outlineLevel="0" collapsed="false">
      <c r="A2237" s="1" t="n">
        <v>99</v>
      </c>
      <c r="B2237" s="1" t="n">
        <v>2025</v>
      </c>
      <c r="C2237" s="3" t="n">
        <v>45758</v>
      </c>
      <c r="E2237" s="1" t="s">
        <v>27</v>
      </c>
      <c r="F2237" s="1" t="s">
        <v>13</v>
      </c>
      <c r="G2237" s="0"/>
      <c r="H2237" s="1" t="s">
        <v>358</v>
      </c>
      <c r="I2237" s="1" t="s">
        <v>361</v>
      </c>
      <c r="J2237" s="1" t="s">
        <v>361</v>
      </c>
      <c r="K2237" s="1" t="s">
        <v>361</v>
      </c>
    </row>
    <row r="2238" customFormat="false" ht="14.25" hidden="false" customHeight="false" outlineLevel="0" collapsed="false">
      <c r="A2238" s="1" t="n">
        <v>99</v>
      </c>
      <c r="B2238" s="1" t="n">
        <v>2025</v>
      </c>
      <c r="C2238" s="3" t="n">
        <v>45758</v>
      </c>
      <c r="E2238" s="1" t="s">
        <v>28</v>
      </c>
      <c r="F2238" s="1" t="s">
        <v>13</v>
      </c>
      <c r="G2238" s="0"/>
      <c r="H2238" s="1" t="s">
        <v>358</v>
      </c>
      <c r="I2238" s="1" t="s">
        <v>358</v>
      </c>
      <c r="J2238" s="1" t="s">
        <v>627</v>
      </c>
      <c r="K2238" s="1" t="s">
        <v>358</v>
      </c>
    </row>
    <row r="2239" customFormat="false" ht="14.25" hidden="false" customHeight="false" outlineLevel="0" collapsed="false">
      <c r="A2239" s="1" t="n">
        <v>99</v>
      </c>
      <c r="B2239" s="1" t="n">
        <v>2025</v>
      </c>
      <c r="C2239" s="3" t="n">
        <v>45758</v>
      </c>
      <c r="E2239" s="1" t="s">
        <v>29</v>
      </c>
      <c r="F2239" s="1" t="s">
        <v>13</v>
      </c>
      <c r="G2239" s="0"/>
      <c r="H2239" s="1" t="s">
        <v>357</v>
      </c>
      <c r="I2239" s="1" t="s">
        <v>396</v>
      </c>
      <c r="J2239" s="1" t="s">
        <v>628</v>
      </c>
      <c r="K2239" s="1" t="s">
        <v>359</v>
      </c>
    </row>
    <row r="2240" customFormat="false" ht="14.25" hidden="false" customHeight="false" outlineLevel="0" collapsed="false">
      <c r="A2240" s="1" t="n">
        <v>99</v>
      </c>
      <c r="B2240" s="1" t="n">
        <v>2025</v>
      </c>
      <c r="C2240" s="3" t="n">
        <v>45758</v>
      </c>
      <c r="E2240" s="1" t="s">
        <v>31</v>
      </c>
      <c r="F2240" s="1" t="s">
        <v>32</v>
      </c>
      <c r="G2240" s="0"/>
      <c r="H2240" s="1" t="s">
        <v>358</v>
      </c>
      <c r="I2240" s="1" t="s">
        <v>360</v>
      </c>
      <c r="J2240" s="1" t="s">
        <v>623</v>
      </c>
      <c r="K2240" s="1" t="s">
        <v>370</v>
      </c>
    </row>
    <row r="2241" customFormat="false" ht="14.25" hidden="false" customHeight="false" outlineLevel="0" collapsed="false">
      <c r="A2241" s="1" t="n">
        <v>99</v>
      </c>
      <c r="B2241" s="1" t="n">
        <v>2025</v>
      </c>
      <c r="C2241" s="3" t="n">
        <v>45758</v>
      </c>
      <c r="E2241" s="1" t="s">
        <v>34</v>
      </c>
      <c r="F2241" s="1" t="s">
        <v>35</v>
      </c>
      <c r="G2241" s="1" t="s">
        <v>472</v>
      </c>
      <c r="H2241" s="1" t="s">
        <v>472</v>
      </c>
      <c r="I2241" s="1" t="s">
        <v>412</v>
      </c>
      <c r="J2241" s="1" t="s">
        <v>472</v>
      </c>
      <c r="K2241" s="1" t="s">
        <v>472</v>
      </c>
    </row>
    <row r="2242" customFormat="false" ht="14.25" hidden="false" customHeight="false" outlineLevel="0" collapsed="false">
      <c r="A2242" s="1" t="n">
        <v>99</v>
      </c>
      <c r="B2242" s="1" t="n">
        <v>2025</v>
      </c>
      <c r="C2242" s="3" t="n">
        <v>45758</v>
      </c>
      <c r="E2242" s="1" t="s">
        <v>36</v>
      </c>
      <c r="F2242" s="1" t="s">
        <v>35</v>
      </c>
      <c r="G2242" s="1" t="s">
        <v>357</v>
      </c>
      <c r="H2242" s="1" t="s">
        <v>357</v>
      </c>
      <c r="I2242" s="1" t="s">
        <v>357</v>
      </c>
      <c r="J2242" s="1" t="s">
        <v>357</v>
      </c>
      <c r="K2242" s="1" t="s">
        <v>357</v>
      </c>
    </row>
    <row r="2243" customFormat="false" ht="14.25" hidden="false" customHeight="false" outlineLevel="0" collapsed="false">
      <c r="A2243" s="1" t="n">
        <v>99</v>
      </c>
      <c r="B2243" s="1" t="n">
        <v>2025</v>
      </c>
      <c r="C2243" s="3" t="n">
        <v>45758</v>
      </c>
      <c r="E2243" s="1" t="s">
        <v>153</v>
      </c>
      <c r="F2243" s="1" t="s">
        <v>154</v>
      </c>
      <c r="G2243" s="0"/>
      <c r="H2243" s="1" t="s">
        <v>396</v>
      </c>
      <c r="I2243" s="1" t="s">
        <v>396</v>
      </c>
      <c r="J2243" s="1" t="s">
        <v>396</v>
      </c>
      <c r="K2243" s="1" t="s">
        <v>396</v>
      </c>
    </row>
    <row r="2244" customFormat="false" ht="14.25" hidden="false" customHeight="false" outlineLevel="0" collapsed="false">
      <c r="A2244" s="1" t="n">
        <v>99</v>
      </c>
      <c r="B2244" s="1" t="n">
        <v>2025</v>
      </c>
      <c r="C2244" s="3" t="n">
        <v>45758</v>
      </c>
      <c r="E2244" s="1" t="s">
        <v>39</v>
      </c>
      <c r="F2244" s="1" t="s">
        <v>40</v>
      </c>
      <c r="G2244" s="0"/>
      <c r="H2244" s="1" t="s">
        <v>401</v>
      </c>
      <c r="I2244" s="1" t="s">
        <v>451</v>
      </c>
      <c r="J2244" s="1" t="s">
        <v>591</v>
      </c>
      <c r="K2244" s="1" t="s">
        <v>591</v>
      </c>
    </row>
    <row r="2245" customFormat="false" ht="14.25" hidden="false" customHeight="false" outlineLevel="0" collapsed="false">
      <c r="A2245" s="1" t="n">
        <v>99</v>
      </c>
      <c r="B2245" s="1" t="n">
        <v>2025</v>
      </c>
      <c r="C2245" s="3" t="n">
        <v>45758</v>
      </c>
      <c r="E2245" s="1" t="s">
        <v>42</v>
      </c>
      <c r="F2245" s="1" t="s">
        <v>43</v>
      </c>
      <c r="G2245" s="0"/>
      <c r="H2245" s="1" t="s">
        <v>390</v>
      </c>
      <c r="I2245" s="1" t="s">
        <v>394</v>
      </c>
      <c r="J2245" s="1" t="s">
        <v>396</v>
      </c>
      <c r="K2245" s="1" t="s">
        <v>396</v>
      </c>
    </row>
    <row r="2246" customFormat="false" ht="14.25" hidden="false" customHeight="false" outlineLevel="0" collapsed="false">
      <c r="A2246" s="1" t="n">
        <v>99</v>
      </c>
      <c r="B2246" s="1" t="n">
        <v>2025</v>
      </c>
      <c r="C2246" s="3" t="n">
        <v>45758</v>
      </c>
      <c r="E2246" s="1" t="s">
        <v>44</v>
      </c>
      <c r="F2246" s="1" t="s">
        <v>45</v>
      </c>
      <c r="G2246" s="1" t="s">
        <v>397</v>
      </c>
      <c r="H2246" s="1" t="s">
        <v>393</v>
      </c>
      <c r="I2246" s="1" t="s">
        <v>393</v>
      </c>
      <c r="J2246" s="1" t="s">
        <v>629</v>
      </c>
      <c r="K2246" s="1" t="s">
        <v>393</v>
      </c>
    </row>
    <row r="2247" customFormat="false" ht="14.25" hidden="false" customHeight="false" outlineLevel="0" collapsed="false">
      <c r="A2247" s="1" t="n">
        <v>99</v>
      </c>
      <c r="B2247" s="1" t="n">
        <v>2025</v>
      </c>
      <c r="C2247" s="3" t="n">
        <v>45758</v>
      </c>
      <c r="E2247" s="1" t="s">
        <v>48</v>
      </c>
      <c r="F2247" s="1" t="s">
        <v>45</v>
      </c>
      <c r="G2247" s="0"/>
      <c r="H2247" s="1" t="s">
        <v>386</v>
      </c>
      <c r="I2247" s="1" t="s">
        <v>386</v>
      </c>
      <c r="J2247" s="1" t="s">
        <v>386</v>
      </c>
      <c r="K2247" s="1" t="s">
        <v>386</v>
      </c>
    </row>
    <row r="2248" customFormat="false" ht="14.25" hidden="false" customHeight="false" outlineLevel="0" collapsed="false">
      <c r="A2248" s="1" t="n">
        <v>99</v>
      </c>
      <c r="B2248" s="1" t="n">
        <v>2025</v>
      </c>
      <c r="C2248" s="3" t="n">
        <v>45758</v>
      </c>
      <c r="E2248" s="1" t="s">
        <v>49</v>
      </c>
      <c r="F2248" s="1" t="s">
        <v>50</v>
      </c>
      <c r="G2248" s="0"/>
      <c r="H2248" s="1" t="s">
        <v>396</v>
      </c>
      <c r="I2248" s="1" t="s">
        <v>394</v>
      </c>
      <c r="J2248" s="1" t="s">
        <v>358</v>
      </c>
      <c r="K2248" s="1" t="s">
        <v>358</v>
      </c>
    </row>
    <row r="2249" customFormat="false" ht="14.25" hidden="false" customHeight="false" outlineLevel="0" collapsed="false">
      <c r="A2249" s="1" t="n">
        <v>99</v>
      </c>
      <c r="B2249" s="1" t="n">
        <v>2025</v>
      </c>
      <c r="C2249" s="3" t="n">
        <v>45758</v>
      </c>
      <c r="E2249" s="1" t="s">
        <v>52</v>
      </c>
      <c r="F2249" s="1" t="s">
        <v>43</v>
      </c>
      <c r="G2249" s="0"/>
      <c r="H2249" s="1" t="s">
        <v>393</v>
      </c>
      <c r="I2249" s="1" t="s">
        <v>386</v>
      </c>
      <c r="J2249" s="1" t="s">
        <v>374</v>
      </c>
      <c r="K2249" s="1" t="s">
        <v>358</v>
      </c>
    </row>
    <row r="2250" customFormat="false" ht="14.25" hidden="false" customHeight="false" outlineLevel="0" collapsed="false">
      <c r="A2250" s="1" t="n">
        <v>99</v>
      </c>
      <c r="B2250" s="1" t="n">
        <v>2025</v>
      </c>
      <c r="C2250" s="3" t="n">
        <v>45758</v>
      </c>
      <c r="E2250" s="1" t="s">
        <v>53</v>
      </c>
      <c r="F2250" s="1" t="s">
        <v>43</v>
      </c>
      <c r="G2250" s="0"/>
      <c r="H2250" s="1" t="s">
        <v>393</v>
      </c>
      <c r="I2250" s="1" t="s">
        <v>386</v>
      </c>
      <c r="J2250" s="1" t="s">
        <v>394</v>
      </c>
      <c r="K2250" s="1" t="s">
        <v>394</v>
      </c>
    </row>
    <row r="2251" customFormat="false" ht="14.25" hidden="false" customHeight="false" outlineLevel="0" collapsed="false">
      <c r="A2251" s="1" t="n">
        <v>99</v>
      </c>
      <c r="B2251" s="1" t="n">
        <v>2025</v>
      </c>
      <c r="C2251" s="3" t="n">
        <v>45758</v>
      </c>
      <c r="E2251" s="1" t="s">
        <v>54</v>
      </c>
      <c r="F2251" s="1" t="s">
        <v>40</v>
      </c>
      <c r="G2251" s="0"/>
      <c r="H2251" s="1" t="s">
        <v>358</v>
      </c>
      <c r="I2251" s="1" t="s">
        <v>386</v>
      </c>
      <c r="J2251" s="1" t="s">
        <v>370</v>
      </c>
      <c r="K2251" s="1" t="s">
        <v>370</v>
      </c>
    </row>
    <row r="2252" customFormat="false" ht="14.25" hidden="false" customHeight="false" outlineLevel="0" collapsed="false">
      <c r="A2252" s="1" t="n">
        <v>99</v>
      </c>
      <c r="B2252" s="1" t="n">
        <v>2025</v>
      </c>
      <c r="C2252" s="3" t="n">
        <v>45758</v>
      </c>
      <c r="E2252" s="1" t="s">
        <v>56</v>
      </c>
      <c r="F2252" s="1" t="s">
        <v>43</v>
      </c>
      <c r="G2252" s="0"/>
      <c r="H2252" s="1" t="s">
        <v>385</v>
      </c>
      <c r="I2252" s="1" t="s">
        <v>385</v>
      </c>
      <c r="J2252" s="1" t="s">
        <v>385</v>
      </c>
      <c r="K2252" s="1" t="s">
        <v>385</v>
      </c>
    </row>
    <row r="2253" customFormat="false" ht="14.25" hidden="false" customHeight="false" outlineLevel="0" collapsed="false">
      <c r="A2253" s="1" t="n">
        <v>99</v>
      </c>
      <c r="B2253" s="1" t="n">
        <v>2025</v>
      </c>
      <c r="C2253" s="3" t="n">
        <v>45758</v>
      </c>
      <c r="E2253" s="1" t="s">
        <v>57</v>
      </c>
      <c r="F2253" s="1" t="s">
        <v>40</v>
      </c>
      <c r="G2253" s="0"/>
      <c r="H2253" s="1" t="s">
        <v>370</v>
      </c>
      <c r="I2253" s="1" t="s">
        <v>370</v>
      </c>
      <c r="J2253" s="1" t="s">
        <v>370</v>
      </c>
      <c r="K2253" s="1" t="s">
        <v>370</v>
      </c>
    </row>
    <row r="2254" customFormat="false" ht="14.25" hidden="false" customHeight="false" outlineLevel="0" collapsed="false">
      <c r="A2254" s="1" t="n">
        <v>99</v>
      </c>
      <c r="B2254" s="1" t="n">
        <v>2025</v>
      </c>
      <c r="C2254" s="3" t="n">
        <v>45758</v>
      </c>
      <c r="E2254" s="1" t="s">
        <v>58</v>
      </c>
      <c r="F2254" s="1" t="s">
        <v>40</v>
      </c>
      <c r="G2254" s="0"/>
      <c r="H2254" s="1" t="s">
        <v>385</v>
      </c>
      <c r="I2254" s="1" t="s">
        <v>405</v>
      </c>
      <c r="J2254" s="1" t="s">
        <v>576</v>
      </c>
      <c r="K2254" s="1" t="s">
        <v>386</v>
      </c>
    </row>
    <row r="2255" customFormat="false" ht="14.25" hidden="false" customHeight="false" outlineLevel="0" collapsed="false">
      <c r="A2255" s="1" t="n">
        <v>99</v>
      </c>
      <c r="B2255" s="1" t="n">
        <v>2025</v>
      </c>
      <c r="C2255" s="3" t="n">
        <v>45758</v>
      </c>
      <c r="E2255" s="1" t="s">
        <v>59</v>
      </c>
      <c r="F2255" s="1" t="s">
        <v>45</v>
      </c>
      <c r="G2255" s="0"/>
      <c r="H2255" s="1" t="s">
        <v>362</v>
      </c>
      <c r="I2255" s="1" t="s">
        <v>358</v>
      </c>
      <c r="J2255" s="1" t="s">
        <v>629</v>
      </c>
      <c r="K2255" s="1" t="s">
        <v>393</v>
      </c>
    </row>
    <row r="2256" customFormat="false" ht="14.25" hidden="false" customHeight="false" outlineLevel="0" collapsed="false">
      <c r="A2256" s="1" t="n">
        <v>99</v>
      </c>
      <c r="B2256" s="1" t="n">
        <v>2025</v>
      </c>
      <c r="C2256" s="3" t="n">
        <v>45758</v>
      </c>
      <c r="E2256" s="1" t="s">
        <v>60</v>
      </c>
      <c r="F2256" s="1" t="s">
        <v>61</v>
      </c>
      <c r="G2256" s="0"/>
      <c r="H2256" s="1" t="s">
        <v>401</v>
      </c>
      <c r="I2256" s="1" t="s">
        <v>411</v>
      </c>
      <c r="J2256" s="1" t="s">
        <v>630</v>
      </c>
      <c r="K2256" s="1" t="s">
        <v>408</v>
      </c>
    </row>
    <row r="2257" customFormat="false" ht="14.25" hidden="false" customHeight="false" outlineLevel="0" collapsed="false">
      <c r="A2257" s="1" t="n">
        <v>99</v>
      </c>
      <c r="B2257" s="1" t="n">
        <v>2025</v>
      </c>
      <c r="C2257" s="3" t="n">
        <v>45758</v>
      </c>
      <c r="E2257" s="1" t="s">
        <v>63</v>
      </c>
      <c r="F2257" s="1" t="s">
        <v>40</v>
      </c>
      <c r="G2257" s="1" t="s">
        <v>403</v>
      </c>
      <c r="H2257" s="1" t="s">
        <v>403</v>
      </c>
      <c r="I2257" s="1" t="s">
        <v>401</v>
      </c>
      <c r="J2257" s="1" t="s">
        <v>424</v>
      </c>
      <c r="K2257" s="1" t="s">
        <v>403</v>
      </c>
    </row>
    <row r="2258" customFormat="false" ht="14.25" hidden="false" customHeight="false" outlineLevel="0" collapsed="false">
      <c r="A2258" s="1" t="n">
        <v>99</v>
      </c>
      <c r="B2258" s="1" t="n">
        <v>2025</v>
      </c>
      <c r="C2258" s="3" t="n">
        <v>45758</v>
      </c>
      <c r="E2258" s="1" t="s">
        <v>64</v>
      </c>
      <c r="F2258" s="1" t="s">
        <v>40</v>
      </c>
      <c r="G2258" s="0"/>
      <c r="H2258" s="1" t="s">
        <v>631</v>
      </c>
      <c r="I2258" s="1" t="s">
        <v>631</v>
      </c>
      <c r="J2258" s="1" t="s">
        <v>631</v>
      </c>
      <c r="K2258" s="1" t="s">
        <v>631</v>
      </c>
    </row>
  </sheetData>
  <autoFilter ref="A1:K143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42" activeCellId="0" sqref="C42"/>
    </sheetView>
  </sheetViews>
  <sheetFormatPr defaultColWidth="11.53515625" defaultRowHeight="13.8" customHeight="false" zeroHeight="false" outlineLevelRow="0" outlineLevelCol="0"/>
  <sheetData>
    <row r="1" customFormat="false" ht="25" hidden="false" customHeight="false" outlineLevel="0" collapsed="false">
      <c r="A1" s="0" t="s">
        <v>632</v>
      </c>
      <c r="B1" s="0" t="s">
        <v>633</v>
      </c>
      <c r="C1" s="12" t="s">
        <v>4</v>
      </c>
      <c r="D1" s="12" t="s">
        <v>634</v>
      </c>
      <c r="E1" s="12" t="s">
        <v>6</v>
      </c>
      <c r="F1" s="12" t="s">
        <v>7</v>
      </c>
      <c r="G1" s="12" t="s">
        <v>8</v>
      </c>
      <c r="H1" s="12" t="s">
        <v>9</v>
      </c>
      <c r="I1" s="12" t="s">
        <v>10</v>
      </c>
    </row>
    <row r="2" customFormat="false" ht="13.8" hidden="false" customHeight="false" outlineLevel="0" collapsed="false">
      <c r="A2" s="0" t="n">
        <v>88</v>
      </c>
      <c r="B2" s="0" t="n">
        <v>2024</v>
      </c>
      <c r="C2" s="12" t="s">
        <v>12</v>
      </c>
      <c r="D2" s="13" t="s">
        <v>13</v>
      </c>
      <c r="E2" s="13" t="s">
        <v>542</v>
      </c>
      <c r="F2" s="14" t="n">
        <v>36</v>
      </c>
      <c r="G2" s="14" t="n">
        <v>72</v>
      </c>
      <c r="H2" s="14" t="n">
        <v>54</v>
      </c>
      <c r="I2" s="14" t="n">
        <v>54</v>
      </c>
    </row>
    <row r="3" customFormat="false" ht="13.8" hidden="false" customHeight="false" outlineLevel="0" collapsed="false">
      <c r="A3" s="0" t="n">
        <v>88</v>
      </c>
      <c r="B3" s="0" t="n">
        <v>2024</v>
      </c>
      <c r="C3" s="12" t="s">
        <v>14</v>
      </c>
      <c r="D3" s="13" t="s">
        <v>13</v>
      </c>
      <c r="E3" s="14" t="n">
        <v>96</v>
      </c>
      <c r="F3" s="14" t="n">
        <v>54</v>
      </c>
      <c r="G3" s="14" t="n">
        <v>96</v>
      </c>
      <c r="H3" s="14" t="n">
        <v>82.5</v>
      </c>
      <c r="I3" s="14" t="n">
        <v>90</v>
      </c>
    </row>
    <row r="4" customFormat="false" ht="25" hidden="false" customHeight="false" outlineLevel="0" collapsed="false">
      <c r="A4" s="0" t="n">
        <v>88</v>
      </c>
      <c r="B4" s="0" t="n">
        <v>2024</v>
      </c>
      <c r="C4" s="12" t="s">
        <v>15</v>
      </c>
      <c r="D4" s="13" t="s">
        <v>13</v>
      </c>
      <c r="E4" s="13" t="s">
        <v>542</v>
      </c>
      <c r="F4" s="14" t="n">
        <v>40</v>
      </c>
      <c r="G4" s="14" t="n">
        <v>60</v>
      </c>
      <c r="H4" s="14" t="n">
        <v>48.25</v>
      </c>
      <c r="I4" s="14" t="n">
        <v>46.5</v>
      </c>
    </row>
    <row r="5" customFormat="false" ht="13.8" hidden="false" customHeight="false" outlineLevel="0" collapsed="false">
      <c r="A5" s="0" t="n">
        <v>88</v>
      </c>
      <c r="B5" s="0" t="n">
        <v>2024</v>
      </c>
      <c r="C5" s="12" t="s">
        <v>16</v>
      </c>
      <c r="D5" s="13" t="s">
        <v>13</v>
      </c>
      <c r="E5" s="14" t="n">
        <v>30</v>
      </c>
      <c r="F5" s="14" t="n">
        <v>25</v>
      </c>
      <c r="G5" s="14" t="n">
        <v>50</v>
      </c>
      <c r="H5" s="14" t="n">
        <v>33.75</v>
      </c>
      <c r="I5" s="14" t="n">
        <v>30</v>
      </c>
    </row>
    <row r="6" customFormat="false" ht="13.8" hidden="false" customHeight="false" outlineLevel="0" collapsed="false">
      <c r="A6" s="0" t="n">
        <v>88</v>
      </c>
      <c r="B6" s="0" t="n">
        <v>2024</v>
      </c>
      <c r="C6" s="12" t="s">
        <v>17</v>
      </c>
      <c r="D6" s="13" t="s">
        <v>13</v>
      </c>
      <c r="E6" s="14" t="n">
        <v>30</v>
      </c>
      <c r="F6" s="14" t="n">
        <v>25</v>
      </c>
      <c r="G6" s="14" t="n">
        <v>50</v>
      </c>
      <c r="H6" s="14" t="n">
        <v>33.75</v>
      </c>
      <c r="I6" s="14" t="n">
        <v>30</v>
      </c>
    </row>
    <row r="7" customFormat="false" ht="13.8" hidden="false" customHeight="false" outlineLevel="0" collapsed="false">
      <c r="A7" s="0" t="n">
        <v>88</v>
      </c>
      <c r="B7" s="0" t="n">
        <v>2024</v>
      </c>
      <c r="C7" s="12" t="s">
        <v>18</v>
      </c>
      <c r="D7" s="13" t="s">
        <v>13</v>
      </c>
      <c r="E7" s="14" t="n">
        <v>60</v>
      </c>
      <c r="F7" s="14" t="n">
        <v>60</v>
      </c>
      <c r="G7" s="14" t="n">
        <v>120</v>
      </c>
      <c r="H7" s="14" t="n">
        <v>76.5</v>
      </c>
      <c r="I7" s="14" t="n">
        <v>63</v>
      </c>
    </row>
    <row r="8" customFormat="false" ht="36.5" hidden="false" customHeight="false" outlineLevel="0" collapsed="false">
      <c r="A8" s="0" t="n">
        <v>88</v>
      </c>
      <c r="B8" s="0" t="n">
        <v>2024</v>
      </c>
      <c r="C8" s="12" t="s">
        <v>19</v>
      </c>
      <c r="D8" s="13" t="s">
        <v>13</v>
      </c>
      <c r="E8" s="14" t="n">
        <v>84</v>
      </c>
      <c r="F8" s="14" t="n">
        <v>78</v>
      </c>
      <c r="G8" s="14" t="n">
        <v>84</v>
      </c>
      <c r="H8" s="14" t="n">
        <v>81</v>
      </c>
      <c r="I8" s="14" t="n">
        <v>81</v>
      </c>
    </row>
    <row r="9" customFormat="false" ht="25" hidden="false" customHeight="false" outlineLevel="0" collapsed="false">
      <c r="A9" s="0" t="n">
        <v>88</v>
      </c>
      <c r="B9" s="0" t="n">
        <v>2024</v>
      </c>
      <c r="C9" s="12" t="s">
        <v>20</v>
      </c>
      <c r="D9" s="13" t="s">
        <v>13</v>
      </c>
      <c r="E9" s="14" t="n">
        <v>84</v>
      </c>
      <c r="F9" s="14" t="n">
        <v>72</v>
      </c>
      <c r="G9" s="14" t="n">
        <v>96</v>
      </c>
      <c r="H9" s="14" t="n">
        <v>84</v>
      </c>
      <c r="I9" s="14" t="n">
        <v>84</v>
      </c>
    </row>
    <row r="10" customFormat="false" ht="25" hidden="false" customHeight="false" outlineLevel="0" collapsed="false">
      <c r="A10" s="0" t="n">
        <v>88</v>
      </c>
      <c r="B10" s="0" t="n">
        <v>2024</v>
      </c>
      <c r="C10" s="12" t="s">
        <v>21</v>
      </c>
      <c r="D10" s="13" t="s">
        <v>13</v>
      </c>
      <c r="E10" s="14" t="n">
        <v>24</v>
      </c>
      <c r="F10" s="14" t="n">
        <v>24</v>
      </c>
      <c r="G10" s="14" t="n">
        <v>30</v>
      </c>
      <c r="H10" s="14" t="n">
        <v>25.5</v>
      </c>
      <c r="I10" s="14" t="n">
        <v>24</v>
      </c>
    </row>
    <row r="11" customFormat="false" ht="13.8" hidden="false" customHeight="false" outlineLevel="0" collapsed="false">
      <c r="A11" s="0" t="n">
        <v>88</v>
      </c>
      <c r="B11" s="0" t="n">
        <v>2024</v>
      </c>
      <c r="C11" s="12" t="s">
        <v>73</v>
      </c>
      <c r="D11" s="13" t="s">
        <v>13</v>
      </c>
      <c r="E11" s="14" t="n">
        <v>96</v>
      </c>
      <c r="F11" s="14" t="n">
        <v>72</v>
      </c>
      <c r="G11" s="14" t="n">
        <v>96</v>
      </c>
      <c r="H11" s="14" t="n">
        <v>87</v>
      </c>
      <c r="I11" s="14" t="n">
        <v>90</v>
      </c>
    </row>
    <row r="12" customFormat="false" ht="13.8" hidden="false" customHeight="false" outlineLevel="0" collapsed="false">
      <c r="A12" s="0" t="n">
        <v>88</v>
      </c>
      <c r="B12" s="0" t="n">
        <v>2024</v>
      </c>
      <c r="C12" s="12" t="s">
        <v>23</v>
      </c>
      <c r="D12" s="13" t="s">
        <v>13</v>
      </c>
      <c r="E12" s="14" t="n">
        <v>30</v>
      </c>
      <c r="F12" s="14" t="n">
        <v>25</v>
      </c>
      <c r="G12" s="14" t="n">
        <v>36</v>
      </c>
      <c r="H12" s="14" t="n">
        <v>30.25</v>
      </c>
      <c r="I12" s="14" t="n">
        <v>30</v>
      </c>
    </row>
    <row r="13" customFormat="false" ht="13.8" hidden="false" customHeight="false" outlineLevel="0" collapsed="false">
      <c r="A13" s="0" t="n">
        <v>88</v>
      </c>
      <c r="B13" s="0" t="n">
        <v>2024</v>
      </c>
      <c r="C13" s="12" t="s">
        <v>24</v>
      </c>
      <c r="D13" s="13" t="s">
        <v>13</v>
      </c>
      <c r="E13" s="14" t="n">
        <v>72</v>
      </c>
      <c r="F13" s="14" t="n">
        <v>60</v>
      </c>
      <c r="G13" s="14" t="n">
        <v>84</v>
      </c>
      <c r="H13" s="14" t="n">
        <v>72</v>
      </c>
      <c r="I13" s="14" t="n">
        <v>72</v>
      </c>
    </row>
    <row r="14" customFormat="false" ht="13.8" hidden="false" customHeight="false" outlineLevel="0" collapsed="false">
      <c r="A14" s="0" t="n">
        <v>88</v>
      </c>
      <c r="B14" s="0" t="n">
        <v>2024</v>
      </c>
      <c r="C14" s="12" t="s">
        <v>25</v>
      </c>
      <c r="D14" s="13" t="s">
        <v>26</v>
      </c>
      <c r="E14" s="14" t="n">
        <v>72</v>
      </c>
      <c r="F14" s="14" t="n">
        <v>60</v>
      </c>
      <c r="G14" s="14" t="n">
        <v>96</v>
      </c>
      <c r="H14" s="14" t="n">
        <v>75</v>
      </c>
      <c r="I14" s="14" t="n">
        <v>72</v>
      </c>
    </row>
    <row r="15" customFormat="false" ht="13.8" hidden="false" customHeight="false" outlineLevel="0" collapsed="false">
      <c r="A15" s="0" t="n">
        <v>88</v>
      </c>
      <c r="B15" s="0" t="n">
        <v>2024</v>
      </c>
      <c r="C15" s="12" t="s">
        <v>27</v>
      </c>
      <c r="D15" s="13" t="s">
        <v>13</v>
      </c>
      <c r="E15" s="14" t="n">
        <v>60</v>
      </c>
      <c r="F15" s="14" t="n">
        <v>54</v>
      </c>
      <c r="G15" s="14" t="n">
        <v>72</v>
      </c>
      <c r="H15" s="14" t="n">
        <v>61.5</v>
      </c>
      <c r="I15" s="14" t="n">
        <v>60</v>
      </c>
    </row>
    <row r="16" customFormat="false" ht="25" hidden="false" customHeight="false" outlineLevel="0" collapsed="false">
      <c r="A16" s="0" t="n">
        <v>88</v>
      </c>
      <c r="B16" s="0" t="n">
        <v>2024</v>
      </c>
      <c r="C16" s="12" t="s">
        <v>28</v>
      </c>
      <c r="D16" s="13" t="s">
        <v>13</v>
      </c>
      <c r="E16" s="14" t="n">
        <v>48</v>
      </c>
      <c r="F16" s="14" t="n">
        <v>36</v>
      </c>
      <c r="G16" s="14" t="n">
        <v>48</v>
      </c>
      <c r="H16" s="14" t="n">
        <v>42</v>
      </c>
      <c r="I16" s="14" t="n">
        <v>42</v>
      </c>
    </row>
    <row r="17" customFormat="false" ht="13.8" hidden="false" customHeight="false" outlineLevel="0" collapsed="false">
      <c r="A17" s="0" t="n">
        <v>88</v>
      </c>
      <c r="B17" s="0" t="n">
        <v>2024</v>
      </c>
      <c r="C17" s="12" t="s">
        <v>29</v>
      </c>
      <c r="D17" s="13" t="s">
        <v>13</v>
      </c>
      <c r="E17" s="14" t="n">
        <v>54</v>
      </c>
      <c r="F17" s="14" t="n">
        <v>48</v>
      </c>
      <c r="G17" s="14" t="n">
        <v>60</v>
      </c>
      <c r="H17" s="14" t="n">
        <v>54</v>
      </c>
      <c r="I17" s="14" t="n">
        <v>54</v>
      </c>
    </row>
    <row r="18" customFormat="false" ht="13.8" hidden="false" customHeight="false" outlineLevel="0" collapsed="false">
      <c r="A18" s="0" t="n">
        <v>88</v>
      </c>
      <c r="B18" s="0" t="n">
        <v>2024</v>
      </c>
      <c r="C18" s="12" t="s">
        <v>31</v>
      </c>
      <c r="D18" s="13" t="s">
        <v>32</v>
      </c>
      <c r="E18" s="14" t="n">
        <v>5</v>
      </c>
      <c r="F18" s="14" t="n">
        <v>5</v>
      </c>
      <c r="G18" s="14" t="n">
        <v>5</v>
      </c>
      <c r="H18" s="14" t="n">
        <v>5</v>
      </c>
      <c r="I18" s="14" t="n">
        <v>5</v>
      </c>
    </row>
    <row r="19" customFormat="false" ht="13.8" hidden="false" customHeight="false" outlineLevel="0" collapsed="false">
      <c r="A19" s="0" t="n">
        <v>88</v>
      </c>
      <c r="B19" s="0" t="n">
        <v>2024</v>
      </c>
      <c r="C19" s="12" t="s">
        <v>34</v>
      </c>
      <c r="D19" s="13" t="s">
        <v>35</v>
      </c>
      <c r="E19" s="14" t="n">
        <v>20</v>
      </c>
      <c r="F19" s="14" t="n">
        <v>20</v>
      </c>
      <c r="G19" s="14" t="n">
        <v>25</v>
      </c>
      <c r="H19" s="14" t="n">
        <v>22.5</v>
      </c>
      <c r="I19" s="14" t="n">
        <v>22.5</v>
      </c>
    </row>
    <row r="20" customFormat="false" ht="13.8" hidden="false" customHeight="false" outlineLevel="0" collapsed="false">
      <c r="A20" s="0" t="n">
        <v>88</v>
      </c>
      <c r="B20" s="0" t="n">
        <v>2024</v>
      </c>
      <c r="C20" s="12" t="s">
        <v>36</v>
      </c>
      <c r="D20" s="13" t="s">
        <v>35</v>
      </c>
      <c r="E20" s="14" t="n">
        <v>25</v>
      </c>
      <c r="F20" s="14" t="n">
        <v>25</v>
      </c>
      <c r="G20" s="14" t="n">
        <v>30</v>
      </c>
      <c r="H20" s="14" t="n">
        <v>27.5</v>
      </c>
      <c r="I20" s="14" t="n">
        <v>27.5</v>
      </c>
    </row>
    <row r="21" customFormat="false" ht="25" hidden="false" customHeight="false" outlineLevel="0" collapsed="false">
      <c r="A21" s="0" t="n">
        <v>88</v>
      </c>
      <c r="B21" s="0" t="n">
        <v>2024</v>
      </c>
      <c r="C21" s="12" t="s">
        <v>516</v>
      </c>
      <c r="D21" s="13" t="s">
        <v>154</v>
      </c>
      <c r="E21" s="14" t="n">
        <v>70</v>
      </c>
      <c r="F21" s="14" t="n">
        <v>70</v>
      </c>
      <c r="G21" s="14" t="n">
        <v>75</v>
      </c>
      <c r="H21" s="14" t="n">
        <v>71.67</v>
      </c>
      <c r="I21" s="14" t="n">
        <v>70</v>
      </c>
    </row>
    <row r="22" customFormat="false" ht="25" hidden="false" customHeight="false" outlineLevel="0" collapsed="false">
      <c r="A22" s="0" t="n">
        <v>88</v>
      </c>
      <c r="B22" s="0" t="n">
        <v>2024</v>
      </c>
      <c r="C22" s="12" t="s">
        <v>39</v>
      </c>
      <c r="D22" s="13" t="s">
        <v>40</v>
      </c>
      <c r="E22" s="14" t="n">
        <v>50</v>
      </c>
      <c r="F22" s="14" t="n">
        <v>50</v>
      </c>
      <c r="G22" s="14" t="n">
        <v>60</v>
      </c>
      <c r="H22" s="14" t="n">
        <v>53.33</v>
      </c>
      <c r="I22" s="14" t="n">
        <v>50</v>
      </c>
    </row>
    <row r="23" customFormat="false" ht="13.8" hidden="false" customHeight="false" outlineLevel="0" collapsed="false">
      <c r="A23" s="0" t="n">
        <v>88</v>
      </c>
      <c r="B23" s="0" t="n">
        <v>2024</v>
      </c>
      <c r="C23" s="12" t="s">
        <v>42</v>
      </c>
      <c r="D23" s="13" t="s">
        <v>43</v>
      </c>
      <c r="E23" s="14" t="n">
        <v>70</v>
      </c>
      <c r="F23" s="14" t="n">
        <v>45</v>
      </c>
      <c r="G23" s="14" t="n">
        <v>70</v>
      </c>
      <c r="H23" s="14" t="n">
        <v>62.5</v>
      </c>
      <c r="I23" s="14" t="n">
        <v>67.5</v>
      </c>
    </row>
    <row r="24" customFormat="false" ht="25" hidden="false" customHeight="false" outlineLevel="0" collapsed="false">
      <c r="A24" s="0" t="n">
        <v>88</v>
      </c>
      <c r="B24" s="0" t="n">
        <v>2024</v>
      </c>
      <c r="C24" s="12" t="s">
        <v>44</v>
      </c>
      <c r="D24" s="13" t="s">
        <v>45</v>
      </c>
      <c r="E24" s="13" t="s">
        <v>542</v>
      </c>
      <c r="F24" s="14" t="n">
        <v>40</v>
      </c>
      <c r="G24" s="14" t="n">
        <v>65</v>
      </c>
      <c r="H24" s="14" t="n">
        <v>53.75</v>
      </c>
      <c r="I24" s="14" t="n">
        <v>55</v>
      </c>
    </row>
    <row r="25" customFormat="false" ht="25" hidden="false" customHeight="false" outlineLevel="0" collapsed="false">
      <c r="A25" s="0" t="n">
        <v>88</v>
      </c>
      <c r="B25" s="0" t="n">
        <v>2024</v>
      </c>
      <c r="C25" s="12" t="s">
        <v>48</v>
      </c>
      <c r="D25" s="13" t="s">
        <v>45</v>
      </c>
      <c r="E25" s="13" t="s">
        <v>542</v>
      </c>
      <c r="F25" s="14" t="n">
        <v>65</v>
      </c>
      <c r="G25" s="14" t="n">
        <v>75</v>
      </c>
      <c r="H25" s="14" t="n">
        <v>70</v>
      </c>
      <c r="I25" s="14" t="n">
        <v>70</v>
      </c>
    </row>
    <row r="26" customFormat="false" ht="13.8" hidden="false" customHeight="false" outlineLevel="0" collapsed="false">
      <c r="A26" s="0" t="n">
        <v>88</v>
      </c>
      <c r="B26" s="0" t="n">
        <v>2024</v>
      </c>
      <c r="C26" s="12" t="s">
        <v>49</v>
      </c>
      <c r="D26" s="13" t="s">
        <v>50</v>
      </c>
      <c r="E26" s="14" t="n">
        <v>60</v>
      </c>
      <c r="F26" s="14" t="n">
        <v>50</v>
      </c>
      <c r="G26" s="14" t="n">
        <v>60</v>
      </c>
      <c r="H26" s="14" t="n">
        <v>55</v>
      </c>
      <c r="I26" s="14" t="n">
        <v>55</v>
      </c>
    </row>
    <row r="27" customFormat="false" ht="13.8" hidden="false" customHeight="false" outlineLevel="0" collapsed="false">
      <c r="A27" s="0" t="n">
        <v>88</v>
      </c>
      <c r="B27" s="0" t="n">
        <v>2024</v>
      </c>
      <c r="C27" s="12" t="s">
        <v>52</v>
      </c>
      <c r="D27" s="13" t="s">
        <v>43</v>
      </c>
      <c r="E27" s="13" t="s">
        <v>542</v>
      </c>
      <c r="F27" s="14" t="n">
        <v>60</v>
      </c>
      <c r="G27" s="14" t="n">
        <v>100</v>
      </c>
      <c r="H27" s="14" t="n">
        <v>80</v>
      </c>
      <c r="I27" s="14" t="n">
        <v>80</v>
      </c>
    </row>
    <row r="28" customFormat="false" ht="13.8" hidden="false" customHeight="false" outlineLevel="0" collapsed="false">
      <c r="A28" s="0" t="n">
        <v>88</v>
      </c>
      <c r="B28" s="0" t="n">
        <v>2024</v>
      </c>
      <c r="C28" s="12" t="s">
        <v>53</v>
      </c>
      <c r="D28" s="13" t="s">
        <v>43</v>
      </c>
      <c r="E28" s="13" t="s">
        <v>542</v>
      </c>
      <c r="F28" s="14" t="n">
        <v>45</v>
      </c>
      <c r="G28" s="14" t="n">
        <v>90</v>
      </c>
      <c r="H28" s="14" t="n">
        <v>63.75</v>
      </c>
      <c r="I28" s="14" t="n">
        <v>60</v>
      </c>
    </row>
    <row r="29" customFormat="false" ht="13.8" hidden="false" customHeight="false" outlineLevel="0" collapsed="false">
      <c r="A29" s="0" t="n">
        <v>88</v>
      </c>
      <c r="B29" s="0" t="n">
        <v>2024</v>
      </c>
      <c r="C29" s="12" t="s">
        <v>54</v>
      </c>
      <c r="D29" s="13" t="s">
        <v>40</v>
      </c>
      <c r="E29" s="13" t="s">
        <v>542</v>
      </c>
      <c r="F29" s="14" t="n">
        <v>70</v>
      </c>
      <c r="G29" s="14" t="n">
        <v>100</v>
      </c>
      <c r="H29" s="14" t="n">
        <v>85</v>
      </c>
      <c r="I29" s="14" t="n">
        <v>85</v>
      </c>
    </row>
    <row r="30" customFormat="false" ht="13.8" hidden="false" customHeight="false" outlineLevel="0" collapsed="false">
      <c r="A30" s="0" t="n">
        <v>88</v>
      </c>
      <c r="B30" s="0" t="n">
        <v>2024</v>
      </c>
      <c r="C30" s="12" t="s">
        <v>56</v>
      </c>
      <c r="D30" s="13" t="s">
        <v>43</v>
      </c>
      <c r="E30" s="13" t="s">
        <v>542</v>
      </c>
      <c r="F30" s="14" t="n">
        <v>50</v>
      </c>
      <c r="G30" s="14" t="n">
        <v>75</v>
      </c>
      <c r="H30" s="14" t="n">
        <v>62.5</v>
      </c>
      <c r="I30" s="14" t="n">
        <v>62.5</v>
      </c>
    </row>
    <row r="31" customFormat="false" ht="25" hidden="false" customHeight="false" outlineLevel="0" collapsed="false">
      <c r="A31" s="0" t="n">
        <v>88</v>
      </c>
      <c r="B31" s="0" t="n">
        <v>2024</v>
      </c>
      <c r="C31" s="12" t="s">
        <v>57</v>
      </c>
      <c r="D31" s="13" t="s">
        <v>40</v>
      </c>
      <c r="E31" s="14" t="n">
        <v>80</v>
      </c>
      <c r="F31" s="14" t="n">
        <v>45</v>
      </c>
      <c r="G31" s="14" t="n">
        <v>80</v>
      </c>
      <c r="H31" s="14" t="n">
        <v>68.33</v>
      </c>
      <c r="I31" s="14" t="n">
        <v>80</v>
      </c>
    </row>
    <row r="32" customFormat="false" ht="25" hidden="false" customHeight="false" outlineLevel="0" collapsed="false">
      <c r="A32" s="0" t="n">
        <v>88</v>
      </c>
      <c r="B32" s="0" t="n">
        <v>2024</v>
      </c>
      <c r="C32" s="12" t="s">
        <v>58</v>
      </c>
      <c r="D32" s="13" t="s">
        <v>40</v>
      </c>
      <c r="E32" s="14" t="n">
        <v>90</v>
      </c>
      <c r="F32" s="14" t="n">
        <v>80</v>
      </c>
      <c r="G32" s="14" t="n">
        <v>120</v>
      </c>
      <c r="H32" s="14" t="n">
        <v>95</v>
      </c>
      <c r="I32" s="14" t="n">
        <v>90</v>
      </c>
    </row>
    <row r="33" customFormat="false" ht="25" hidden="false" customHeight="false" outlineLevel="0" collapsed="false">
      <c r="A33" s="0" t="n">
        <v>88</v>
      </c>
      <c r="B33" s="0" t="n">
        <v>2024</v>
      </c>
      <c r="C33" s="12" t="s">
        <v>59</v>
      </c>
      <c r="D33" s="13" t="s">
        <v>45</v>
      </c>
      <c r="E33" s="14" t="n">
        <v>30</v>
      </c>
      <c r="F33" s="14" t="n">
        <v>20</v>
      </c>
      <c r="G33" s="14" t="n">
        <v>40</v>
      </c>
      <c r="H33" s="14" t="n">
        <v>30</v>
      </c>
      <c r="I33" s="14" t="n">
        <v>30</v>
      </c>
    </row>
    <row r="34" customFormat="false" ht="13.8" hidden="false" customHeight="false" outlineLevel="0" collapsed="false">
      <c r="A34" s="0" t="n">
        <v>88</v>
      </c>
      <c r="B34" s="0" t="n">
        <v>2024</v>
      </c>
      <c r="C34" s="12" t="s">
        <v>60</v>
      </c>
      <c r="D34" s="13" t="s">
        <v>61</v>
      </c>
      <c r="E34" s="14" t="n">
        <v>90</v>
      </c>
      <c r="F34" s="14" t="n">
        <v>50</v>
      </c>
      <c r="G34" s="14" t="n">
        <v>90</v>
      </c>
      <c r="H34" s="14" t="n">
        <v>78.75</v>
      </c>
      <c r="I34" s="14" t="n">
        <v>87.5</v>
      </c>
    </row>
    <row r="35" customFormat="false" ht="25" hidden="false" customHeight="false" outlineLevel="0" collapsed="false">
      <c r="A35" s="0" t="n">
        <v>88</v>
      </c>
      <c r="B35" s="0" t="n">
        <v>2024</v>
      </c>
      <c r="C35" s="12" t="s">
        <v>63</v>
      </c>
      <c r="D35" s="13" t="s">
        <v>40</v>
      </c>
      <c r="E35" s="13" t="s">
        <v>542</v>
      </c>
      <c r="F35" s="14" t="n">
        <v>60</v>
      </c>
      <c r="G35" s="14" t="n">
        <v>120</v>
      </c>
      <c r="H35" s="14" t="n">
        <v>92.5</v>
      </c>
      <c r="I35" s="14" t="n">
        <v>95</v>
      </c>
    </row>
    <row r="36" customFormat="false" ht="25" hidden="false" customHeight="false" outlineLevel="0" collapsed="false">
      <c r="A36" s="0" t="n">
        <v>88</v>
      </c>
      <c r="B36" s="0" t="n">
        <v>2024</v>
      </c>
      <c r="C36" s="12" t="s">
        <v>64</v>
      </c>
      <c r="D36" s="13" t="s">
        <v>40</v>
      </c>
      <c r="E36" s="14" t="n">
        <v>50</v>
      </c>
      <c r="F36" s="14" t="n">
        <v>50</v>
      </c>
      <c r="G36" s="14" t="n">
        <v>70</v>
      </c>
      <c r="H36" s="14" t="n">
        <v>56.67</v>
      </c>
      <c r="I36" s="14" t="n">
        <v>50</v>
      </c>
    </row>
    <row r="37" customFormat="false" ht="13.8" hidden="false" customHeight="false" outlineLevel="0" collapsed="false">
      <c r="A37" s="0" t="n">
        <v>88</v>
      </c>
      <c r="B37" s="0" t="n">
        <v>2024</v>
      </c>
      <c r="C37" s="12" t="s">
        <v>66</v>
      </c>
      <c r="D37" s="13" t="s">
        <v>45</v>
      </c>
      <c r="E37" s="13" t="s">
        <v>542</v>
      </c>
      <c r="F37" s="13" t="s">
        <v>542</v>
      </c>
      <c r="G37" s="13" t="s">
        <v>542</v>
      </c>
      <c r="H37" s="13" t="s">
        <v>542</v>
      </c>
      <c r="I37" s="13" t="s">
        <v>542</v>
      </c>
    </row>
    <row r="38" customFormat="false" ht="25" hidden="false" customHeight="false" outlineLevel="0" collapsed="false">
      <c r="A38" s="0" t="n">
        <v>88</v>
      </c>
      <c r="B38" s="0" t="n">
        <v>2024</v>
      </c>
      <c r="C38" s="12" t="s">
        <v>67</v>
      </c>
      <c r="D38" s="13" t="s">
        <v>45</v>
      </c>
      <c r="E38" s="13" t="s">
        <v>542</v>
      </c>
      <c r="F38" s="13" t="s">
        <v>542</v>
      </c>
      <c r="G38" s="13" t="s">
        <v>542</v>
      </c>
      <c r="H38" s="13" t="s">
        <v>542</v>
      </c>
      <c r="I38" s="13" t="s">
        <v>542</v>
      </c>
    </row>
    <row r="39" customFormat="false" ht="25" hidden="false" customHeight="false" outlineLevel="0" collapsed="false">
      <c r="A39" s="0" t="n">
        <v>88</v>
      </c>
      <c r="B39" s="0" t="n">
        <v>2024</v>
      </c>
      <c r="C39" s="12" t="s">
        <v>68</v>
      </c>
      <c r="D39" s="13" t="s">
        <v>45</v>
      </c>
      <c r="E39" s="13" t="s">
        <v>542</v>
      </c>
      <c r="F39" s="13" t="s">
        <v>542</v>
      </c>
      <c r="G39" s="13" t="s">
        <v>542</v>
      </c>
      <c r="H39" s="13" t="s">
        <v>542</v>
      </c>
      <c r="I39" s="13" t="s">
        <v>542</v>
      </c>
    </row>
    <row r="40" customFormat="false" ht="13.8" hidden="false" customHeight="false" outlineLevel="0" collapsed="false">
      <c r="A40" s="0" t="n">
        <v>88</v>
      </c>
      <c r="B40" s="0" t="n">
        <v>2024</v>
      </c>
      <c r="C40" s="12" t="s">
        <v>69</v>
      </c>
      <c r="D40" s="13" t="s">
        <v>45</v>
      </c>
      <c r="E40" s="13" t="s">
        <v>542</v>
      </c>
      <c r="F40" s="13" t="s">
        <v>542</v>
      </c>
      <c r="G40" s="13" t="s">
        <v>542</v>
      </c>
      <c r="H40" s="13" t="s">
        <v>542</v>
      </c>
      <c r="I40" s="13" t="s">
        <v>542</v>
      </c>
    </row>
    <row r="41" customFormat="false" ht="25" hidden="false" customHeight="false" outlineLevel="0" collapsed="false">
      <c r="A41" s="0" t="n">
        <v>88</v>
      </c>
      <c r="B41" s="0" t="n">
        <v>2024</v>
      </c>
      <c r="C41" s="12" t="s">
        <v>70</v>
      </c>
      <c r="D41" s="13" t="s">
        <v>71</v>
      </c>
      <c r="E41" s="13" t="s">
        <v>542</v>
      </c>
      <c r="F41" s="13" t="s">
        <v>542</v>
      </c>
      <c r="G41" s="13" t="s">
        <v>542</v>
      </c>
      <c r="H41" s="13" t="s">
        <v>542</v>
      </c>
      <c r="I41" s="13" t="s">
        <v>542</v>
      </c>
    </row>
    <row r="42" customFormat="false" ht="13.8" hidden="false" customHeight="false" outlineLevel="0" collapsed="false">
      <c r="A42" s="0" t="n">
        <v>85</v>
      </c>
      <c r="B42" s="0" t="n">
        <v>2024</v>
      </c>
      <c r="C42" s="12" t="s">
        <v>12</v>
      </c>
      <c r="D42" s="13" t="s">
        <v>13</v>
      </c>
      <c r="E42" s="13" t="s">
        <v>542</v>
      </c>
      <c r="F42" s="14" t="n">
        <v>36</v>
      </c>
      <c r="G42" s="14" t="n">
        <v>72</v>
      </c>
      <c r="H42" s="14" t="n">
        <v>54</v>
      </c>
      <c r="I42" s="14" t="n">
        <v>54</v>
      </c>
    </row>
    <row r="43" customFormat="false" ht="13.8" hidden="false" customHeight="false" outlineLevel="0" collapsed="false">
      <c r="A43" s="0" t="n">
        <v>85</v>
      </c>
      <c r="B43" s="0" t="n">
        <v>2024</v>
      </c>
      <c r="C43" s="12" t="s">
        <v>14</v>
      </c>
      <c r="D43" s="13" t="s">
        <v>13</v>
      </c>
      <c r="E43" s="14" t="n">
        <v>96</v>
      </c>
      <c r="F43" s="14" t="n">
        <v>54</v>
      </c>
      <c r="G43" s="14" t="n">
        <v>96</v>
      </c>
      <c r="H43" s="14" t="n">
        <v>82.5</v>
      </c>
      <c r="I43" s="14" t="n">
        <v>90</v>
      </c>
    </row>
    <row r="44" customFormat="false" ht="25" hidden="false" customHeight="false" outlineLevel="0" collapsed="false">
      <c r="A44" s="0" t="n">
        <v>85</v>
      </c>
      <c r="B44" s="0" t="n">
        <v>2024</v>
      </c>
      <c r="C44" s="12" t="s">
        <v>15</v>
      </c>
      <c r="D44" s="13" t="s">
        <v>13</v>
      </c>
      <c r="E44" s="13" t="s">
        <v>542</v>
      </c>
      <c r="F44" s="14" t="n">
        <v>40</v>
      </c>
      <c r="G44" s="14" t="n">
        <v>60</v>
      </c>
      <c r="H44" s="14" t="n">
        <v>48.25</v>
      </c>
      <c r="I44" s="14" t="n">
        <v>46.5</v>
      </c>
    </row>
    <row r="45" customFormat="false" ht="13.8" hidden="false" customHeight="false" outlineLevel="0" collapsed="false">
      <c r="A45" s="0" t="n">
        <v>85</v>
      </c>
      <c r="B45" s="0" t="n">
        <v>2024</v>
      </c>
      <c r="C45" s="12" t="s">
        <v>16</v>
      </c>
      <c r="D45" s="13" t="s">
        <v>13</v>
      </c>
      <c r="E45" s="14" t="n">
        <v>30</v>
      </c>
      <c r="F45" s="14" t="n">
        <v>25</v>
      </c>
      <c r="G45" s="14" t="n">
        <v>50</v>
      </c>
      <c r="H45" s="14" t="n">
        <v>33.75</v>
      </c>
      <c r="I45" s="14" t="n">
        <v>30</v>
      </c>
    </row>
    <row r="46" customFormat="false" ht="13.8" hidden="false" customHeight="false" outlineLevel="0" collapsed="false">
      <c r="A46" s="0" t="n">
        <v>85</v>
      </c>
      <c r="B46" s="0" t="n">
        <v>2024</v>
      </c>
      <c r="C46" s="12" t="s">
        <v>17</v>
      </c>
      <c r="D46" s="13" t="s">
        <v>13</v>
      </c>
      <c r="E46" s="14" t="n">
        <v>30</v>
      </c>
      <c r="F46" s="14" t="n">
        <v>25</v>
      </c>
      <c r="G46" s="14" t="n">
        <v>50</v>
      </c>
      <c r="H46" s="14" t="n">
        <v>33.75</v>
      </c>
      <c r="I46" s="14" t="n">
        <v>30</v>
      </c>
    </row>
    <row r="47" customFormat="false" ht="13.8" hidden="false" customHeight="false" outlineLevel="0" collapsed="false">
      <c r="A47" s="0" t="n">
        <v>85</v>
      </c>
      <c r="B47" s="0" t="n">
        <v>2024</v>
      </c>
      <c r="C47" s="12" t="s">
        <v>18</v>
      </c>
      <c r="D47" s="13" t="s">
        <v>13</v>
      </c>
      <c r="E47" s="14" t="n">
        <v>60</v>
      </c>
      <c r="F47" s="14" t="n">
        <v>60</v>
      </c>
      <c r="G47" s="14" t="n">
        <v>120</v>
      </c>
      <c r="H47" s="14" t="n">
        <v>76.5</v>
      </c>
      <c r="I47" s="14" t="n">
        <v>63</v>
      </c>
    </row>
    <row r="48" customFormat="false" ht="36.5" hidden="false" customHeight="false" outlineLevel="0" collapsed="false">
      <c r="A48" s="0" t="n">
        <v>85</v>
      </c>
      <c r="B48" s="0" t="n">
        <v>2024</v>
      </c>
      <c r="C48" s="12" t="s">
        <v>19</v>
      </c>
      <c r="D48" s="13" t="s">
        <v>13</v>
      </c>
      <c r="E48" s="14" t="n">
        <v>84</v>
      </c>
      <c r="F48" s="14" t="n">
        <v>78</v>
      </c>
      <c r="G48" s="14" t="n">
        <v>84</v>
      </c>
      <c r="H48" s="14" t="n">
        <v>81</v>
      </c>
      <c r="I48" s="14" t="n">
        <v>81</v>
      </c>
    </row>
    <row r="49" customFormat="false" ht="25" hidden="false" customHeight="false" outlineLevel="0" collapsed="false">
      <c r="A49" s="0" t="n">
        <v>85</v>
      </c>
      <c r="B49" s="0" t="n">
        <v>2024</v>
      </c>
      <c r="C49" s="12" t="s">
        <v>20</v>
      </c>
      <c r="D49" s="13" t="s">
        <v>13</v>
      </c>
      <c r="E49" s="14" t="n">
        <v>84</v>
      </c>
      <c r="F49" s="14" t="n">
        <v>72</v>
      </c>
      <c r="G49" s="14" t="n">
        <v>96</v>
      </c>
      <c r="H49" s="14" t="n">
        <v>84</v>
      </c>
      <c r="I49" s="14" t="n">
        <v>84</v>
      </c>
    </row>
    <row r="50" customFormat="false" ht="25" hidden="false" customHeight="false" outlineLevel="0" collapsed="false">
      <c r="A50" s="0" t="n">
        <v>85</v>
      </c>
      <c r="B50" s="0" t="n">
        <v>2024</v>
      </c>
      <c r="C50" s="12" t="s">
        <v>21</v>
      </c>
      <c r="D50" s="13" t="s">
        <v>13</v>
      </c>
      <c r="E50" s="14" t="n">
        <v>24</v>
      </c>
      <c r="F50" s="14" t="n">
        <v>24</v>
      </c>
      <c r="G50" s="14" t="n">
        <v>30</v>
      </c>
      <c r="H50" s="14" t="n">
        <v>25.5</v>
      </c>
      <c r="I50" s="14" t="n">
        <v>24</v>
      </c>
    </row>
    <row r="51" customFormat="false" ht="13.8" hidden="false" customHeight="false" outlineLevel="0" collapsed="false">
      <c r="A51" s="0" t="n">
        <v>85</v>
      </c>
      <c r="B51" s="0" t="n">
        <v>2024</v>
      </c>
      <c r="C51" s="12" t="s">
        <v>73</v>
      </c>
      <c r="D51" s="13" t="s">
        <v>13</v>
      </c>
      <c r="E51" s="14" t="n">
        <v>96</v>
      </c>
      <c r="F51" s="14" t="n">
        <v>72</v>
      </c>
      <c r="G51" s="14" t="n">
        <v>96</v>
      </c>
      <c r="H51" s="14" t="n">
        <v>87</v>
      </c>
      <c r="I51" s="14" t="n">
        <v>90</v>
      </c>
    </row>
    <row r="52" customFormat="false" ht="13.8" hidden="false" customHeight="false" outlineLevel="0" collapsed="false">
      <c r="A52" s="0" t="n">
        <v>85</v>
      </c>
      <c r="B52" s="0" t="n">
        <v>2024</v>
      </c>
      <c r="C52" s="12" t="s">
        <v>23</v>
      </c>
      <c r="D52" s="13" t="s">
        <v>13</v>
      </c>
      <c r="E52" s="14" t="n">
        <v>30</v>
      </c>
      <c r="F52" s="14" t="n">
        <v>25</v>
      </c>
      <c r="G52" s="14" t="n">
        <v>36</v>
      </c>
      <c r="H52" s="14" t="n">
        <v>30.25</v>
      </c>
      <c r="I52" s="14" t="n">
        <v>30</v>
      </c>
    </row>
    <row r="53" customFormat="false" ht="13.8" hidden="false" customHeight="false" outlineLevel="0" collapsed="false">
      <c r="A53" s="0" t="n">
        <v>85</v>
      </c>
      <c r="B53" s="0" t="n">
        <v>2024</v>
      </c>
      <c r="C53" s="12" t="s">
        <v>24</v>
      </c>
      <c r="D53" s="13" t="s">
        <v>13</v>
      </c>
      <c r="E53" s="14" t="n">
        <v>72</v>
      </c>
      <c r="F53" s="14" t="n">
        <v>60</v>
      </c>
      <c r="G53" s="14" t="n">
        <v>84</v>
      </c>
      <c r="H53" s="14" t="n">
        <v>72</v>
      </c>
      <c r="I53" s="14" t="n">
        <v>72</v>
      </c>
    </row>
    <row r="54" customFormat="false" ht="13.8" hidden="false" customHeight="false" outlineLevel="0" collapsed="false">
      <c r="A54" s="0" t="n">
        <v>85</v>
      </c>
      <c r="B54" s="0" t="n">
        <v>2024</v>
      </c>
      <c r="C54" s="12" t="s">
        <v>25</v>
      </c>
      <c r="D54" s="13" t="s">
        <v>26</v>
      </c>
      <c r="E54" s="14" t="n">
        <v>72</v>
      </c>
      <c r="F54" s="14" t="n">
        <v>60</v>
      </c>
      <c r="G54" s="14" t="n">
        <v>96</v>
      </c>
      <c r="H54" s="14" t="n">
        <v>75</v>
      </c>
      <c r="I54" s="14" t="n">
        <v>72</v>
      </c>
    </row>
    <row r="55" customFormat="false" ht="13.8" hidden="false" customHeight="false" outlineLevel="0" collapsed="false">
      <c r="A55" s="0" t="n">
        <v>85</v>
      </c>
      <c r="B55" s="0" t="n">
        <v>2024</v>
      </c>
      <c r="C55" s="12" t="s">
        <v>27</v>
      </c>
      <c r="D55" s="13" t="s">
        <v>13</v>
      </c>
      <c r="E55" s="14" t="n">
        <v>60</v>
      </c>
      <c r="F55" s="14" t="n">
        <v>54</v>
      </c>
      <c r="G55" s="14" t="n">
        <v>72</v>
      </c>
      <c r="H55" s="14" t="n">
        <v>61.5</v>
      </c>
      <c r="I55" s="14" t="n">
        <v>60</v>
      </c>
    </row>
    <row r="56" customFormat="false" ht="25" hidden="false" customHeight="false" outlineLevel="0" collapsed="false">
      <c r="A56" s="0" t="n">
        <v>85</v>
      </c>
      <c r="B56" s="0" t="n">
        <v>2024</v>
      </c>
      <c r="C56" s="12" t="s">
        <v>28</v>
      </c>
      <c r="D56" s="13" t="s">
        <v>13</v>
      </c>
      <c r="E56" s="14" t="n">
        <v>48</v>
      </c>
      <c r="F56" s="14" t="n">
        <v>36</v>
      </c>
      <c r="G56" s="14" t="n">
        <v>48</v>
      </c>
      <c r="H56" s="14" t="n">
        <v>42</v>
      </c>
      <c r="I56" s="14" t="n">
        <v>42</v>
      </c>
    </row>
    <row r="57" customFormat="false" ht="13.8" hidden="false" customHeight="false" outlineLevel="0" collapsed="false">
      <c r="A57" s="0" t="n">
        <v>85</v>
      </c>
      <c r="B57" s="0" t="n">
        <v>2024</v>
      </c>
      <c r="C57" s="12" t="s">
        <v>29</v>
      </c>
      <c r="D57" s="13" t="s">
        <v>13</v>
      </c>
      <c r="E57" s="14" t="n">
        <v>54</v>
      </c>
      <c r="F57" s="14" t="n">
        <v>48</v>
      </c>
      <c r="G57" s="14" t="n">
        <v>60</v>
      </c>
      <c r="H57" s="14" t="n">
        <v>54</v>
      </c>
      <c r="I57" s="14" t="n">
        <v>54</v>
      </c>
    </row>
    <row r="58" customFormat="false" ht="13.8" hidden="false" customHeight="false" outlineLevel="0" collapsed="false">
      <c r="A58" s="0" t="n">
        <v>85</v>
      </c>
      <c r="B58" s="0" t="n">
        <v>2024</v>
      </c>
      <c r="C58" s="12" t="s">
        <v>31</v>
      </c>
      <c r="D58" s="13" t="s">
        <v>32</v>
      </c>
      <c r="E58" s="14" t="n">
        <v>5</v>
      </c>
      <c r="F58" s="14" t="n">
        <v>5</v>
      </c>
      <c r="G58" s="14" t="n">
        <v>5</v>
      </c>
      <c r="H58" s="14" t="n">
        <v>5</v>
      </c>
      <c r="I58" s="14" t="n">
        <v>5</v>
      </c>
    </row>
    <row r="59" customFormat="false" ht="13.8" hidden="false" customHeight="false" outlineLevel="0" collapsed="false">
      <c r="A59" s="0" t="n">
        <v>85</v>
      </c>
      <c r="B59" s="0" t="n">
        <v>2024</v>
      </c>
      <c r="C59" s="12" t="s">
        <v>34</v>
      </c>
      <c r="D59" s="13" t="s">
        <v>35</v>
      </c>
      <c r="E59" s="14" t="n">
        <v>20</v>
      </c>
      <c r="F59" s="14" t="n">
        <v>20</v>
      </c>
      <c r="G59" s="14" t="n">
        <v>25</v>
      </c>
      <c r="H59" s="14" t="n">
        <v>22.5</v>
      </c>
      <c r="I59" s="14" t="n">
        <v>22.5</v>
      </c>
    </row>
    <row r="60" customFormat="false" ht="13.8" hidden="false" customHeight="false" outlineLevel="0" collapsed="false">
      <c r="A60" s="0" t="n">
        <v>85</v>
      </c>
      <c r="B60" s="0" t="n">
        <v>2024</v>
      </c>
      <c r="C60" s="12" t="s">
        <v>36</v>
      </c>
      <c r="D60" s="13" t="s">
        <v>35</v>
      </c>
      <c r="E60" s="14" t="n">
        <v>25</v>
      </c>
      <c r="F60" s="14" t="n">
        <v>25</v>
      </c>
      <c r="G60" s="14" t="n">
        <v>30</v>
      </c>
      <c r="H60" s="14" t="n">
        <v>27.5</v>
      </c>
      <c r="I60" s="14" t="n">
        <v>27.5</v>
      </c>
    </row>
    <row r="61" customFormat="false" ht="25" hidden="false" customHeight="false" outlineLevel="0" collapsed="false">
      <c r="A61" s="0" t="n">
        <v>85</v>
      </c>
      <c r="B61" s="0" t="n">
        <v>2024</v>
      </c>
      <c r="C61" s="12" t="s">
        <v>516</v>
      </c>
      <c r="D61" s="13" t="s">
        <v>154</v>
      </c>
      <c r="E61" s="14" t="n">
        <v>70</v>
      </c>
      <c r="F61" s="14" t="n">
        <v>70</v>
      </c>
      <c r="G61" s="14" t="n">
        <v>75</v>
      </c>
      <c r="H61" s="14" t="n">
        <v>71.67</v>
      </c>
      <c r="I61" s="14" t="n">
        <v>70</v>
      </c>
    </row>
    <row r="62" customFormat="false" ht="25" hidden="false" customHeight="false" outlineLevel="0" collapsed="false">
      <c r="A62" s="0" t="n">
        <v>85</v>
      </c>
      <c r="B62" s="0" t="n">
        <v>2024</v>
      </c>
      <c r="C62" s="12" t="s">
        <v>39</v>
      </c>
      <c r="D62" s="13" t="s">
        <v>40</v>
      </c>
      <c r="E62" s="14" t="n">
        <v>50</v>
      </c>
      <c r="F62" s="14" t="n">
        <v>50</v>
      </c>
      <c r="G62" s="14" t="n">
        <v>60</v>
      </c>
      <c r="H62" s="14" t="n">
        <v>53.33</v>
      </c>
      <c r="I62" s="14" t="n">
        <v>50</v>
      </c>
    </row>
    <row r="63" customFormat="false" ht="13.8" hidden="false" customHeight="false" outlineLevel="0" collapsed="false">
      <c r="A63" s="0" t="n">
        <v>85</v>
      </c>
      <c r="B63" s="0" t="n">
        <v>2024</v>
      </c>
      <c r="C63" s="12" t="s">
        <v>42</v>
      </c>
      <c r="D63" s="13" t="s">
        <v>43</v>
      </c>
      <c r="E63" s="14" t="n">
        <v>70</v>
      </c>
      <c r="F63" s="14" t="n">
        <v>45</v>
      </c>
      <c r="G63" s="14" t="n">
        <v>70</v>
      </c>
      <c r="H63" s="14" t="n">
        <v>62.5</v>
      </c>
      <c r="I63" s="14" t="n">
        <v>67.5</v>
      </c>
    </row>
    <row r="64" customFormat="false" ht="25" hidden="false" customHeight="false" outlineLevel="0" collapsed="false">
      <c r="A64" s="0" t="n">
        <v>85</v>
      </c>
      <c r="B64" s="0" t="n">
        <v>2024</v>
      </c>
      <c r="C64" s="12" t="s">
        <v>44</v>
      </c>
      <c r="D64" s="13" t="s">
        <v>45</v>
      </c>
      <c r="E64" s="13" t="s">
        <v>542</v>
      </c>
      <c r="F64" s="14" t="n">
        <v>40</v>
      </c>
      <c r="G64" s="14" t="n">
        <v>65</v>
      </c>
      <c r="H64" s="14" t="n">
        <v>53.75</v>
      </c>
      <c r="I64" s="14" t="n">
        <v>55</v>
      </c>
    </row>
    <row r="65" customFormat="false" ht="25" hidden="false" customHeight="false" outlineLevel="0" collapsed="false">
      <c r="A65" s="0" t="n">
        <v>85</v>
      </c>
      <c r="B65" s="0" t="n">
        <v>2024</v>
      </c>
      <c r="C65" s="12" t="s">
        <v>48</v>
      </c>
      <c r="D65" s="13" t="s">
        <v>45</v>
      </c>
      <c r="E65" s="13" t="s">
        <v>542</v>
      </c>
      <c r="F65" s="14" t="n">
        <v>65</v>
      </c>
      <c r="G65" s="14" t="n">
        <v>75</v>
      </c>
      <c r="H65" s="14" t="n">
        <v>70</v>
      </c>
      <c r="I65" s="14" t="n">
        <v>70</v>
      </c>
    </row>
    <row r="66" customFormat="false" ht="13.8" hidden="false" customHeight="false" outlineLevel="0" collapsed="false">
      <c r="A66" s="0" t="n">
        <v>85</v>
      </c>
      <c r="B66" s="0" t="n">
        <v>2024</v>
      </c>
      <c r="C66" s="12" t="s">
        <v>49</v>
      </c>
      <c r="D66" s="13" t="s">
        <v>50</v>
      </c>
      <c r="E66" s="14" t="n">
        <v>60</v>
      </c>
      <c r="F66" s="14" t="n">
        <v>50</v>
      </c>
      <c r="G66" s="14" t="n">
        <v>60</v>
      </c>
      <c r="H66" s="14" t="n">
        <v>55</v>
      </c>
      <c r="I66" s="14" t="n">
        <v>55</v>
      </c>
    </row>
    <row r="67" customFormat="false" ht="13.8" hidden="false" customHeight="false" outlineLevel="0" collapsed="false">
      <c r="A67" s="0" t="n">
        <v>85</v>
      </c>
      <c r="B67" s="0" t="n">
        <v>2024</v>
      </c>
      <c r="C67" s="12" t="s">
        <v>52</v>
      </c>
      <c r="D67" s="13" t="s">
        <v>43</v>
      </c>
      <c r="E67" s="13" t="s">
        <v>542</v>
      </c>
      <c r="F67" s="14" t="n">
        <v>60</v>
      </c>
      <c r="G67" s="14" t="n">
        <v>100</v>
      </c>
      <c r="H67" s="14" t="n">
        <v>80</v>
      </c>
      <c r="I67" s="14" t="n">
        <v>80</v>
      </c>
    </row>
    <row r="68" customFormat="false" ht="13.8" hidden="false" customHeight="false" outlineLevel="0" collapsed="false">
      <c r="A68" s="0" t="n">
        <v>85</v>
      </c>
      <c r="B68" s="0" t="n">
        <v>2024</v>
      </c>
      <c r="C68" s="12" t="s">
        <v>53</v>
      </c>
      <c r="D68" s="13" t="s">
        <v>43</v>
      </c>
      <c r="E68" s="13" t="s">
        <v>542</v>
      </c>
      <c r="F68" s="14" t="n">
        <v>45</v>
      </c>
      <c r="G68" s="14" t="n">
        <v>90</v>
      </c>
      <c r="H68" s="14" t="n">
        <v>63.75</v>
      </c>
      <c r="I68" s="14" t="n">
        <v>60</v>
      </c>
    </row>
    <row r="69" customFormat="false" ht="13.8" hidden="false" customHeight="false" outlineLevel="0" collapsed="false">
      <c r="A69" s="0" t="n">
        <v>85</v>
      </c>
      <c r="B69" s="0" t="n">
        <v>2024</v>
      </c>
      <c r="C69" s="12" t="s">
        <v>54</v>
      </c>
      <c r="D69" s="13" t="s">
        <v>40</v>
      </c>
      <c r="E69" s="13" t="s">
        <v>542</v>
      </c>
      <c r="F69" s="14" t="n">
        <v>70</v>
      </c>
      <c r="G69" s="14" t="n">
        <v>100</v>
      </c>
      <c r="H69" s="14" t="n">
        <v>85</v>
      </c>
      <c r="I69" s="14" t="n">
        <v>85</v>
      </c>
    </row>
    <row r="70" customFormat="false" ht="13.8" hidden="false" customHeight="false" outlineLevel="0" collapsed="false">
      <c r="A70" s="0" t="n">
        <v>85</v>
      </c>
      <c r="B70" s="0" t="n">
        <v>2024</v>
      </c>
      <c r="C70" s="12" t="s">
        <v>56</v>
      </c>
      <c r="D70" s="13" t="s">
        <v>43</v>
      </c>
      <c r="E70" s="13" t="s">
        <v>542</v>
      </c>
      <c r="F70" s="14" t="n">
        <v>50</v>
      </c>
      <c r="G70" s="14" t="n">
        <v>75</v>
      </c>
      <c r="H70" s="14" t="n">
        <v>62.5</v>
      </c>
      <c r="I70" s="14" t="n">
        <v>62.5</v>
      </c>
    </row>
    <row r="71" customFormat="false" ht="25" hidden="false" customHeight="false" outlineLevel="0" collapsed="false">
      <c r="A71" s="0" t="n">
        <v>85</v>
      </c>
      <c r="B71" s="0" t="n">
        <v>2024</v>
      </c>
      <c r="C71" s="12" t="s">
        <v>57</v>
      </c>
      <c r="D71" s="13" t="s">
        <v>40</v>
      </c>
      <c r="E71" s="14" t="n">
        <v>80</v>
      </c>
      <c r="F71" s="14" t="n">
        <v>45</v>
      </c>
      <c r="G71" s="14" t="n">
        <v>80</v>
      </c>
      <c r="H71" s="14" t="n">
        <v>68.33</v>
      </c>
      <c r="I71" s="14" t="n">
        <v>80</v>
      </c>
    </row>
    <row r="72" customFormat="false" ht="25" hidden="false" customHeight="false" outlineLevel="0" collapsed="false">
      <c r="A72" s="0" t="n">
        <v>85</v>
      </c>
      <c r="B72" s="0" t="n">
        <v>2024</v>
      </c>
      <c r="C72" s="12" t="s">
        <v>58</v>
      </c>
      <c r="D72" s="13" t="s">
        <v>40</v>
      </c>
      <c r="E72" s="14" t="n">
        <v>90</v>
      </c>
      <c r="F72" s="14" t="n">
        <v>80</v>
      </c>
      <c r="G72" s="14" t="n">
        <v>120</v>
      </c>
      <c r="H72" s="14" t="n">
        <v>95</v>
      </c>
      <c r="I72" s="14" t="n">
        <v>90</v>
      </c>
    </row>
    <row r="73" customFormat="false" ht="25" hidden="false" customHeight="false" outlineLevel="0" collapsed="false">
      <c r="A73" s="0" t="n">
        <v>85</v>
      </c>
      <c r="B73" s="0" t="n">
        <v>2024</v>
      </c>
      <c r="C73" s="12" t="s">
        <v>59</v>
      </c>
      <c r="D73" s="13" t="s">
        <v>45</v>
      </c>
      <c r="E73" s="14" t="n">
        <v>30</v>
      </c>
      <c r="F73" s="14" t="n">
        <v>20</v>
      </c>
      <c r="G73" s="14" t="n">
        <v>40</v>
      </c>
      <c r="H73" s="14" t="n">
        <v>30</v>
      </c>
      <c r="I73" s="14" t="n">
        <v>30</v>
      </c>
    </row>
    <row r="74" customFormat="false" ht="13.8" hidden="false" customHeight="false" outlineLevel="0" collapsed="false">
      <c r="A74" s="0" t="n">
        <v>85</v>
      </c>
      <c r="B74" s="0" t="n">
        <v>2024</v>
      </c>
      <c r="C74" s="12" t="s">
        <v>60</v>
      </c>
      <c r="D74" s="13" t="s">
        <v>61</v>
      </c>
      <c r="E74" s="14" t="n">
        <v>90</v>
      </c>
      <c r="F74" s="14" t="n">
        <v>50</v>
      </c>
      <c r="G74" s="14" t="n">
        <v>90</v>
      </c>
      <c r="H74" s="14" t="n">
        <v>78.75</v>
      </c>
      <c r="I74" s="14" t="n">
        <v>87.5</v>
      </c>
    </row>
    <row r="75" customFormat="false" ht="25" hidden="false" customHeight="false" outlineLevel="0" collapsed="false">
      <c r="A75" s="0" t="n">
        <v>85</v>
      </c>
      <c r="B75" s="0" t="n">
        <v>2024</v>
      </c>
      <c r="C75" s="12" t="s">
        <v>63</v>
      </c>
      <c r="D75" s="13" t="s">
        <v>40</v>
      </c>
      <c r="E75" s="13" t="s">
        <v>542</v>
      </c>
      <c r="F75" s="14" t="n">
        <v>60</v>
      </c>
      <c r="G75" s="14" t="n">
        <v>120</v>
      </c>
      <c r="H75" s="14" t="n">
        <v>92.5</v>
      </c>
      <c r="I75" s="14" t="n">
        <v>95</v>
      </c>
    </row>
    <row r="76" customFormat="false" ht="25" hidden="false" customHeight="false" outlineLevel="0" collapsed="false">
      <c r="A76" s="0" t="n">
        <v>85</v>
      </c>
      <c r="B76" s="0" t="n">
        <v>2024</v>
      </c>
      <c r="C76" s="12" t="s">
        <v>64</v>
      </c>
      <c r="D76" s="13" t="s">
        <v>40</v>
      </c>
      <c r="E76" s="14" t="n">
        <v>50</v>
      </c>
      <c r="F76" s="14" t="n">
        <v>50</v>
      </c>
      <c r="G76" s="14" t="n">
        <v>70</v>
      </c>
      <c r="H76" s="14" t="n">
        <v>56.67</v>
      </c>
      <c r="I76" s="14" t="n">
        <v>50</v>
      </c>
    </row>
    <row r="77" customFormat="false" ht="13.8" hidden="false" customHeight="false" outlineLevel="0" collapsed="false">
      <c r="A77" s="0" t="n">
        <v>85</v>
      </c>
      <c r="B77" s="0" t="n">
        <v>2024</v>
      </c>
      <c r="C77" s="12" t="s">
        <v>66</v>
      </c>
      <c r="D77" s="13" t="s">
        <v>45</v>
      </c>
      <c r="E77" s="13" t="s">
        <v>542</v>
      </c>
      <c r="F77" s="13" t="s">
        <v>542</v>
      </c>
      <c r="G77" s="13" t="s">
        <v>542</v>
      </c>
      <c r="H77" s="13" t="s">
        <v>542</v>
      </c>
      <c r="I77" s="13" t="s">
        <v>542</v>
      </c>
    </row>
    <row r="78" customFormat="false" ht="25" hidden="false" customHeight="false" outlineLevel="0" collapsed="false">
      <c r="A78" s="0" t="n">
        <v>85</v>
      </c>
      <c r="B78" s="0" t="n">
        <v>2024</v>
      </c>
      <c r="C78" s="12" t="s">
        <v>67</v>
      </c>
      <c r="D78" s="13" t="s">
        <v>45</v>
      </c>
      <c r="E78" s="13" t="s">
        <v>542</v>
      </c>
      <c r="F78" s="13" t="s">
        <v>542</v>
      </c>
      <c r="G78" s="13" t="s">
        <v>542</v>
      </c>
      <c r="H78" s="13" t="s">
        <v>542</v>
      </c>
      <c r="I78" s="13" t="s">
        <v>542</v>
      </c>
    </row>
    <row r="79" customFormat="false" ht="25" hidden="false" customHeight="false" outlineLevel="0" collapsed="false">
      <c r="A79" s="0" t="n">
        <v>85</v>
      </c>
      <c r="B79" s="0" t="n">
        <v>2024</v>
      </c>
      <c r="C79" s="12" t="s">
        <v>68</v>
      </c>
      <c r="D79" s="13" t="s">
        <v>45</v>
      </c>
      <c r="E79" s="13" t="s">
        <v>542</v>
      </c>
      <c r="F79" s="13" t="s">
        <v>542</v>
      </c>
      <c r="G79" s="13" t="s">
        <v>542</v>
      </c>
      <c r="H79" s="13" t="s">
        <v>542</v>
      </c>
      <c r="I79" s="13" t="s">
        <v>542</v>
      </c>
    </row>
    <row r="80" customFormat="false" ht="13.8" hidden="false" customHeight="false" outlineLevel="0" collapsed="false">
      <c r="A80" s="0" t="n">
        <v>85</v>
      </c>
      <c r="B80" s="0" t="n">
        <v>2024</v>
      </c>
      <c r="C80" s="12" t="s">
        <v>69</v>
      </c>
      <c r="D80" s="13" t="s">
        <v>45</v>
      </c>
      <c r="E80" s="13" t="s">
        <v>542</v>
      </c>
      <c r="F80" s="13" t="s">
        <v>542</v>
      </c>
      <c r="G80" s="13" t="s">
        <v>542</v>
      </c>
      <c r="H80" s="13" t="s">
        <v>542</v>
      </c>
      <c r="I80" s="13" t="s">
        <v>542</v>
      </c>
    </row>
    <row r="81" customFormat="false" ht="25" hidden="false" customHeight="false" outlineLevel="0" collapsed="false">
      <c r="A81" s="0" t="n">
        <v>85</v>
      </c>
      <c r="B81" s="0" t="n">
        <v>2024</v>
      </c>
      <c r="C81" s="12" t="s">
        <v>70</v>
      </c>
      <c r="D81" s="13" t="s">
        <v>71</v>
      </c>
      <c r="E81" s="13" t="s">
        <v>542</v>
      </c>
      <c r="F81" s="13" t="s">
        <v>542</v>
      </c>
      <c r="G81" s="13" t="s">
        <v>542</v>
      </c>
      <c r="H81" s="13" t="s">
        <v>542</v>
      </c>
      <c r="I81" s="13" t="s">
        <v>542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0"/>
  <sheetViews>
    <sheetView showFormulas="false" showGridLines="true" showRowColHeaders="true" showZeros="true" rightToLeft="false" tabSelected="false" showOutlineSymbols="true" defaultGridColor="true" view="normal" topLeftCell="F1410" colorId="64" zoomScale="100" zoomScaleNormal="100" zoomScalePageLayoutView="100" workbookViewId="0">
      <selection pane="topLeft" activeCell="J1428" activeCellId="0" sqref="J1428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5.56"/>
    <col collapsed="false" customWidth="true" hidden="false" outlineLevel="0" max="3" min="3" style="1" width="6.44"/>
    <col collapsed="false" customWidth="true" hidden="false" outlineLevel="0" max="4" min="4" style="1" width="14.44"/>
    <col collapsed="false" customWidth="true" hidden="false" outlineLevel="0" max="5" min="5" style="1" width="11.22"/>
    <col collapsed="false" customWidth="true" hidden="false" outlineLevel="0" max="6" min="6" style="1" width="11.67"/>
    <col collapsed="false" customWidth="true" hidden="false" outlineLevel="0" max="7" min="7" style="1" width="11.77"/>
    <col collapsed="false" customWidth="true" hidden="false" outlineLevel="0" max="8" min="8" style="1" width="15.44"/>
    <col collapsed="false" customWidth="true" hidden="false" outlineLevel="0" max="10" min="10" style="1" width="124.22"/>
  </cols>
  <sheetData>
    <row r="1" customFormat="false" ht="14.25" hidden="false" customHeight="false" outlineLevel="0" collapsed="false">
      <c r="A1" s="15" t="s">
        <v>635</v>
      </c>
      <c r="B1" s="15" t="s">
        <v>636</v>
      </c>
      <c r="C1" s="15" t="s">
        <v>637</v>
      </c>
      <c r="D1" s="15" t="s">
        <v>638</v>
      </c>
      <c r="E1" s="15" t="s">
        <v>639</v>
      </c>
      <c r="F1" s="15" t="s">
        <v>640</v>
      </c>
      <c r="G1" s="15" t="s">
        <v>641</v>
      </c>
      <c r="H1" s="15" t="s">
        <v>642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n">
        <v>1</v>
      </c>
      <c r="D2" s="1" t="str">
        <f aca="false">IF('Boletins Nuppa Site'!G2&lt;&gt;0,'Boletins Nuppa Site'!G2,"NULL")</f>
        <v>NULL</v>
      </c>
      <c r="E2" s="16" t="n">
        <f aca="false">IF('Boletins Nuppa Site'!H2&lt;&gt;0,'Boletins Nuppa Site'!H2,"NULL")</f>
        <v>32</v>
      </c>
      <c r="F2" s="16" t="n">
        <f aca="false">IF('Boletins Nuppa Site'!I2&lt;&gt;0,'Boletins Nuppa Site'!I2,"NULL")</f>
        <v>32</v>
      </c>
      <c r="G2" s="16" t="n">
        <f aca="false">IF('Boletins Nuppa Site'!J2&lt;&gt;0,'Boletins Nuppa Site'!J2,"NULL")</f>
        <v>32</v>
      </c>
      <c r="H2" s="16" t="n">
        <f aca="false">IF('Boletins Nuppa Site'!K2&lt;&gt;0,'Boletins Nuppa Site'!K2,"NULL")</f>
        <v>32</v>
      </c>
      <c r="J2" s="1" t="str">
        <f aca="false">"INSERT INTO COTACAO (blt_id, pap_id, cot_prc_comum, cot_prc_min, cot_prc_max, cot_prc_med, cot_prc_mediana) VALUES ("&amp;B2&amp;", "&amp;C2&amp;", "&amp;D2&amp;", "&amp;E2&amp;", "&amp;F2&amp;", "&amp;G2&amp;", "&amp;H2&amp;");"</f>
        <v>INSERT INTO COTACAO (blt_id, pap_id, cot_prc_comum, cot_prc_min, cot_prc_max, cot_prc_med, cot_prc_mediana) VALUES (1, 1, NULL, 32, 32, 32, 32);</v>
      </c>
    </row>
    <row r="3" customFormat="false" ht="14.25" hidden="false" customHeight="false" outlineLevel="0" collapsed="false">
      <c r="A3" s="1" t="n">
        <v>2</v>
      </c>
      <c r="B3" s="1" t="n">
        <v>1</v>
      </c>
      <c r="C3" s="1" t="n">
        <v>2</v>
      </c>
      <c r="D3" s="1" t="str">
        <f aca="false">IF('Boletins Nuppa Site'!G3&lt;&gt;0,'Boletins Nuppa Site'!G3,"NULL")</f>
        <v>NULL</v>
      </c>
      <c r="E3" s="16" t="n">
        <f aca="false">IF('Boletins Nuppa Site'!H3&lt;&gt;0,'Boletins Nuppa Site'!H3,"NULL")</f>
        <v>60</v>
      </c>
      <c r="F3" s="16" t="n">
        <f aca="false">IF('Boletins Nuppa Site'!I3&lt;&gt;0,'Boletins Nuppa Site'!I3,"NULL")</f>
        <v>60</v>
      </c>
      <c r="G3" s="16" t="n">
        <f aca="false">IF('Boletins Nuppa Site'!J3&lt;&gt;0,'Boletins Nuppa Site'!J3,"NULL")</f>
        <v>60</v>
      </c>
      <c r="H3" s="16" t="n">
        <f aca="false">IF('Boletins Nuppa Site'!K3&lt;&gt;0,'Boletins Nuppa Site'!K3,"NULL")</f>
        <v>60</v>
      </c>
      <c r="J3" s="1" t="str">
        <f aca="false">"INSERT INTO COTACAO (blt_id, pap_id, cot_prc_comum, cot_prc_min, cot_prc_max, cot_prc_med, cot_prc_mediana) VALUES ("&amp;B3&amp;", "&amp;C3&amp;", "&amp;D3&amp;", "&amp;E3&amp;", "&amp;F3&amp;", "&amp;G3&amp;", "&amp;H3&amp;");"</f>
        <v>INSERT INTO COTACAO (blt_id, pap_id, cot_prc_comum, cot_prc_min, cot_prc_max, cot_prc_med, cot_prc_mediana) VALUES (1, 2, NULL, 60, 60, 60, 60);</v>
      </c>
    </row>
    <row r="4" customFormat="false" ht="14.25" hidden="false" customHeight="false" outlineLevel="0" collapsed="false">
      <c r="A4" s="1" t="n">
        <v>3</v>
      </c>
      <c r="B4" s="1" t="n">
        <v>1</v>
      </c>
      <c r="C4" s="1" t="n">
        <v>3</v>
      </c>
      <c r="D4" s="1" t="str">
        <f aca="false">IF('Boletins Nuppa Site'!G4&lt;&gt;0,'Boletins Nuppa Site'!G4,"NULL")</f>
        <v>NULL</v>
      </c>
      <c r="E4" s="16" t="n">
        <f aca="false">IF('Boletins Nuppa Site'!H4&lt;&gt;0,'Boletins Nuppa Site'!H4,"NULL")</f>
        <v>24</v>
      </c>
      <c r="F4" s="16" t="n">
        <f aca="false">IF('Boletins Nuppa Site'!I4&lt;&gt;0,'Boletins Nuppa Site'!I4,"NULL")</f>
        <v>36</v>
      </c>
      <c r="G4" s="16" t="n">
        <f aca="false">IF('Boletins Nuppa Site'!J4&lt;&gt;0,'Boletins Nuppa Site'!J4,"NULL")</f>
        <v>30</v>
      </c>
      <c r="H4" s="16" t="n">
        <f aca="false">IF('Boletins Nuppa Site'!K4&lt;&gt;0,'Boletins Nuppa Site'!K4,"NULL")</f>
        <v>30</v>
      </c>
      <c r="J4" s="1" t="str">
        <f aca="false">"INSERT INTO COTACAO (blt_id, pap_id, cot_prc_comum, cot_prc_min, cot_prc_max, cot_prc_med, cot_prc_mediana) VALUES ("&amp;B4&amp;", "&amp;C4&amp;", "&amp;D4&amp;", "&amp;E4&amp;", "&amp;F4&amp;", "&amp;G4&amp;", "&amp;H4&amp;");"</f>
        <v>INSERT INTO COTACAO (blt_id, pap_id, cot_prc_comum, cot_prc_min, cot_prc_max, cot_prc_med, cot_prc_mediana) VALUES (1, 3, NULL, 24, 36, 30, 30);</v>
      </c>
    </row>
    <row r="5" customFormat="false" ht="14.25" hidden="false" customHeight="false" outlineLevel="0" collapsed="false">
      <c r="A5" s="1" t="n">
        <v>4</v>
      </c>
      <c r="B5" s="1" t="n">
        <v>1</v>
      </c>
      <c r="C5" s="1" t="n">
        <v>4</v>
      </c>
      <c r="D5" s="1" t="str">
        <f aca="false">IF('Boletins Nuppa Site'!G5&lt;&gt;0,'Boletins Nuppa Site'!G5,"NULL")</f>
        <v>NULL</v>
      </c>
      <c r="E5" s="16" t="n">
        <f aca="false">IF('Boletins Nuppa Site'!H5&lt;&gt;0,'Boletins Nuppa Site'!H5,"NULL")</f>
        <v>18</v>
      </c>
      <c r="F5" s="16" t="n">
        <f aca="false">IF('Boletins Nuppa Site'!I5&lt;&gt;0,'Boletins Nuppa Site'!I5,"NULL")</f>
        <v>30</v>
      </c>
      <c r="G5" s="16" t="n">
        <f aca="false">IF('Boletins Nuppa Site'!J5&lt;&gt;0,'Boletins Nuppa Site'!J5,"NULL")</f>
        <v>24</v>
      </c>
      <c r="H5" s="16" t="n">
        <f aca="false">IF('Boletins Nuppa Site'!K5&lt;&gt;0,'Boletins Nuppa Site'!K5,"NULL")</f>
        <v>24</v>
      </c>
      <c r="J5" s="1" t="str">
        <f aca="false">"INSERT INTO COTACAO (blt_id, pap_id, cot_prc_comum, cot_prc_min, cot_prc_max, cot_prc_med, cot_prc_mediana) VALUES ("&amp;B5&amp;", "&amp;C5&amp;", "&amp;D5&amp;", "&amp;E5&amp;", "&amp;F5&amp;", "&amp;G5&amp;", "&amp;H5&amp;");"</f>
        <v>INSERT INTO COTACAO (blt_id, pap_id, cot_prc_comum, cot_prc_min, cot_prc_max, cot_prc_med, cot_prc_mediana) VALUES (1, 4, NULL, 18, 30, 24, 24);</v>
      </c>
    </row>
    <row r="6" customFormat="false" ht="14.25" hidden="false" customHeight="false" outlineLevel="0" collapsed="false">
      <c r="A6" s="1" t="n">
        <v>5</v>
      </c>
      <c r="B6" s="1" t="n">
        <v>1</v>
      </c>
      <c r="C6" s="1" t="n">
        <v>5</v>
      </c>
      <c r="D6" s="1" t="str">
        <f aca="false">IF('Boletins Nuppa Site'!G6&lt;&gt;0,'Boletins Nuppa Site'!G6,"NULL")</f>
        <v>NULL</v>
      </c>
      <c r="E6" s="16" t="n">
        <f aca="false">IF('Boletins Nuppa Site'!H6&lt;&gt;0,'Boletins Nuppa Site'!H6,"NULL")</f>
        <v>18</v>
      </c>
      <c r="F6" s="16" t="n">
        <f aca="false">IF('Boletins Nuppa Site'!I6&lt;&gt;0,'Boletins Nuppa Site'!I6,"NULL")</f>
        <v>30</v>
      </c>
      <c r="G6" s="16" t="n">
        <f aca="false">IF('Boletins Nuppa Site'!J6&lt;&gt;0,'Boletins Nuppa Site'!J6,"NULL")</f>
        <v>24</v>
      </c>
      <c r="H6" s="16" t="n">
        <f aca="false">IF('Boletins Nuppa Site'!K6&lt;&gt;0,'Boletins Nuppa Site'!K6,"NULL")</f>
        <v>24</v>
      </c>
      <c r="J6" s="1" t="str">
        <f aca="false">"INSERT INTO COTACAO (blt_id, pap_id, cot_prc_comum, cot_prc_min, cot_prc_max, cot_prc_med, cot_prc_mediana) VALUES ("&amp;B6&amp;", "&amp;C6&amp;", "&amp;D6&amp;", "&amp;E6&amp;", "&amp;F6&amp;", "&amp;G6&amp;", "&amp;H6&amp;");"</f>
        <v>INSERT INTO COTACAO (blt_id, pap_id, cot_prc_comum, cot_prc_min, cot_prc_max, cot_prc_med, cot_prc_mediana) VALUES (1, 5, NULL, 18, 30, 24, 24);</v>
      </c>
    </row>
    <row r="7" customFormat="false" ht="14.25" hidden="false" customHeight="false" outlineLevel="0" collapsed="false">
      <c r="A7" s="1" t="n">
        <v>6</v>
      </c>
      <c r="B7" s="1" t="n">
        <v>1</v>
      </c>
      <c r="C7" s="1" t="n">
        <v>6</v>
      </c>
      <c r="D7" s="1" t="str">
        <f aca="false">IF('Boletins Nuppa Site'!G7&lt;&gt;0,'Boletins Nuppa Site'!G7,"NULL")</f>
        <v>NULL</v>
      </c>
      <c r="E7" s="16" t="n">
        <f aca="false">IF('Boletins Nuppa Site'!H7&lt;&gt;0,'Boletins Nuppa Site'!H7,"NULL")</f>
        <v>48</v>
      </c>
      <c r="F7" s="16" t="n">
        <f aca="false">IF('Boletins Nuppa Site'!I7&lt;&gt;0,'Boletins Nuppa Site'!I7,"NULL")</f>
        <v>48</v>
      </c>
      <c r="G7" s="16" t="n">
        <f aca="false">IF('Boletins Nuppa Site'!J7&lt;&gt;0,'Boletins Nuppa Site'!J7,"NULL")</f>
        <v>48</v>
      </c>
      <c r="H7" s="16" t="n">
        <f aca="false">IF('Boletins Nuppa Site'!K7&lt;&gt;0,'Boletins Nuppa Site'!K7,"NULL")</f>
        <v>48</v>
      </c>
      <c r="J7" s="1" t="str">
        <f aca="false">"INSERT INTO COTACAO (blt_id, pap_id, cot_prc_comum, cot_prc_min, cot_prc_max, cot_prc_med, cot_prc_mediana) VALUES ("&amp;B7&amp;", "&amp;C7&amp;", "&amp;D7&amp;", "&amp;E7&amp;", "&amp;F7&amp;", "&amp;G7&amp;", "&amp;H7&amp;");"</f>
        <v>INSERT INTO COTACAO (blt_id, pap_id, cot_prc_comum, cot_prc_min, cot_prc_max, cot_prc_med, cot_prc_mediana) VALUES (1, 6, NULL, 48, 48, 48, 48);</v>
      </c>
    </row>
    <row r="8" customFormat="false" ht="14.25" hidden="false" customHeight="false" outlineLevel="0" collapsed="false">
      <c r="A8" s="1" t="n">
        <v>7</v>
      </c>
      <c r="B8" s="1" t="n">
        <v>1</v>
      </c>
      <c r="C8" s="1" t="n">
        <v>7</v>
      </c>
      <c r="D8" s="1" t="str">
        <f aca="false">IF('Boletins Nuppa Site'!G8&lt;&gt;0,'Boletins Nuppa Site'!G8,"NULL")</f>
        <v>NULL</v>
      </c>
      <c r="E8" s="16" t="n">
        <f aca="false">IF('Boletins Nuppa Site'!H8&lt;&gt;0,'Boletins Nuppa Site'!H8,"NULL")</f>
        <v>60</v>
      </c>
      <c r="F8" s="16" t="n">
        <f aca="false">IF('Boletins Nuppa Site'!I8&lt;&gt;0,'Boletins Nuppa Site'!I8,"NULL")</f>
        <v>60</v>
      </c>
      <c r="G8" s="16" t="n">
        <f aca="false">IF('Boletins Nuppa Site'!J8&lt;&gt;0,'Boletins Nuppa Site'!J8,"NULL")</f>
        <v>60</v>
      </c>
      <c r="H8" s="16" t="n">
        <f aca="false">IF('Boletins Nuppa Site'!K8&lt;&gt;0,'Boletins Nuppa Site'!K8,"NULL")</f>
        <v>60</v>
      </c>
      <c r="J8" s="1" t="str">
        <f aca="false">"INSERT INTO COTACAO (blt_id, pap_id, cot_prc_comum, cot_prc_min, cot_prc_max, cot_prc_med, cot_prc_mediana) VALUES ("&amp;B8&amp;", "&amp;C8&amp;", "&amp;D8&amp;", "&amp;E8&amp;", "&amp;F8&amp;", "&amp;G8&amp;", "&amp;H8&amp;");"</f>
        <v>INSERT INTO COTACAO (blt_id, pap_id, cot_prc_comum, cot_prc_min, cot_prc_max, cot_prc_med, cot_prc_mediana) VALUES (1, 7, NULL, 60, 60, 60, 60);</v>
      </c>
    </row>
    <row r="9" customFormat="false" ht="14.25" hidden="false" customHeight="false" outlineLevel="0" collapsed="false">
      <c r="A9" s="1" t="n">
        <v>8</v>
      </c>
      <c r="B9" s="1" t="n">
        <v>1</v>
      </c>
      <c r="C9" s="1" t="n">
        <v>8</v>
      </c>
      <c r="D9" s="16" t="n">
        <f aca="false">IF('Boletins Nuppa Site'!G9&lt;&gt;0,'Boletins Nuppa Site'!G9,"NULL")</f>
        <v>48</v>
      </c>
      <c r="E9" s="16" t="n">
        <f aca="false">IF('Boletins Nuppa Site'!H9&lt;&gt;0,'Boletins Nuppa Site'!H9,"NULL")</f>
        <v>48</v>
      </c>
      <c r="F9" s="16" t="n">
        <f aca="false">IF('Boletins Nuppa Site'!I9&lt;&gt;0,'Boletins Nuppa Site'!I9,"NULL")</f>
        <v>60</v>
      </c>
      <c r="G9" s="16" t="n">
        <f aca="false">IF('Boletins Nuppa Site'!J9&lt;&gt;0,'Boletins Nuppa Site'!J9,"NULL")</f>
        <v>52</v>
      </c>
      <c r="H9" s="16" t="n">
        <f aca="false">IF('Boletins Nuppa Site'!K9&lt;&gt;0,'Boletins Nuppa Site'!K9,"NULL")</f>
        <v>48</v>
      </c>
      <c r="J9" s="1" t="str">
        <f aca="false">"INSERT INTO COTACAO (blt_id, pap_id, cot_prc_comum, cot_prc_min, cot_prc_max, cot_prc_med, cot_prc_mediana) VALUES ("&amp;B9&amp;", "&amp;C9&amp;", "&amp;D9&amp;", "&amp;E9&amp;", "&amp;F9&amp;", "&amp;G9&amp;", "&amp;H9&amp;");"</f>
        <v>INSERT INTO COTACAO (blt_id, pap_id, cot_prc_comum, cot_prc_min, cot_prc_max, cot_prc_med, cot_prc_mediana) VALUES (1, 8, 48, 48, 60, 52, 48);</v>
      </c>
    </row>
    <row r="10" customFormat="false" ht="14.25" hidden="false" customHeight="false" outlineLevel="0" collapsed="false">
      <c r="A10" s="1" t="n">
        <v>9</v>
      </c>
      <c r="B10" s="1" t="n">
        <v>1</v>
      </c>
      <c r="C10" s="1" t="n">
        <v>9</v>
      </c>
      <c r="D10" s="16" t="n">
        <f aca="false">IF('Boletins Nuppa Site'!G10&lt;&gt;0,'Boletins Nuppa Site'!G10,"NULL")</f>
        <v>15</v>
      </c>
      <c r="E10" s="16" t="n">
        <f aca="false">IF('Boletins Nuppa Site'!H10&lt;&gt;0,'Boletins Nuppa Site'!H10,"NULL")</f>
        <v>15</v>
      </c>
      <c r="F10" s="16" t="n">
        <f aca="false">IF('Boletins Nuppa Site'!I10&lt;&gt;0,'Boletins Nuppa Site'!I10,"NULL")</f>
        <v>24</v>
      </c>
      <c r="G10" s="16" t="n">
        <f aca="false">IF('Boletins Nuppa Site'!J10&lt;&gt;0,'Boletins Nuppa Site'!J10,"NULL")</f>
        <v>18</v>
      </c>
      <c r="H10" s="16" t="n">
        <f aca="false">IF('Boletins Nuppa Site'!K10&lt;&gt;0,'Boletins Nuppa Site'!K10,"NULL")</f>
        <v>15</v>
      </c>
      <c r="J10" s="1" t="str">
        <f aca="false">"INSERT INTO COTACAO (blt_id, pap_id, cot_prc_comum, cot_prc_min, cot_prc_max, cot_prc_med, cot_prc_mediana) VALUES ("&amp;B10&amp;", "&amp;C10&amp;", "&amp;D10&amp;", "&amp;E10&amp;", "&amp;F10&amp;", "&amp;G10&amp;", "&amp;H10&amp;");"</f>
        <v>INSERT INTO COTACAO (blt_id, pap_id, cot_prc_comum, cot_prc_min, cot_prc_max, cot_prc_med, cot_prc_mediana) VALUES (1, 9, 15, 15, 24, 18, 15);</v>
      </c>
    </row>
    <row r="11" customFormat="false" ht="14.25" hidden="false" customHeight="false" outlineLevel="0" collapsed="false">
      <c r="A11" s="1" t="n">
        <v>10</v>
      </c>
      <c r="B11" s="1" t="n">
        <v>1</v>
      </c>
      <c r="C11" s="1" t="n">
        <v>10</v>
      </c>
      <c r="D11" s="1" t="str">
        <f aca="false">IF('Boletins Nuppa Site'!G11&lt;&gt;0,'Boletins Nuppa Site'!G11,"NULL")</f>
        <v>NULL</v>
      </c>
      <c r="E11" s="16" t="n">
        <f aca="false">IF('Boletins Nuppa Site'!H11&lt;&gt;0,'Boletins Nuppa Site'!H11,"NULL")</f>
        <v>60</v>
      </c>
      <c r="F11" s="16" t="n">
        <f aca="false">IF('Boletins Nuppa Site'!I11&lt;&gt;0,'Boletins Nuppa Site'!I11,"NULL")</f>
        <v>60</v>
      </c>
      <c r="G11" s="16" t="n">
        <f aca="false">IF('Boletins Nuppa Site'!J11&lt;&gt;0,'Boletins Nuppa Site'!J11,"NULL")</f>
        <v>60</v>
      </c>
      <c r="H11" s="16" t="n">
        <f aca="false">IF('Boletins Nuppa Site'!K11&lt;&gt;0,'Boletins Nuppa Site'!K11,"NULL")</f>
        <v>60</v>
      </c>
      <c r="J11" s="1" t="str">
        <f aca="false">"INSERT INTO COTACAO (blt_id, pap_id, cot_prc_comum, cot_prc_min, cot_prc_max, cot_prc_med, cot_prc_mediana) VALUES ("&amp;B11&amp;", "&amp;C11&amp;", "&amp;D11&amp;", "&amp;E11&amp;", "&amp;F11&amp;", "&amp;G11&amp;", "&amp;H11&amp;");"</f>
        <v>INSERT INTO COTACAO (blt_id, pap_id, cot_prc_comum, cot_prc_min, cot_prc_max, cot_prc_med, cot_prc_mediana) VALUES (1, 10, NULL, 60, 60, 60, 60);</v>
      </c>
    </row>
    <row r="12" customFormat="false" ht="14.25" hidden="false" customHeight="false" outlineLevel="0" collapsed="false">
      <c r="A12" s="1" t="n">
        <v>11</v>
      </c>
      <c r="B12" s="1" t="n">
        <v>1</v>
      </c>
      <c r="C12" s="1" t="n">
        <v>11</v>
      </c>
      <c r="D12" s="1" t="str">
        <f aca="false">IF('Boletins Nuppa Site'!G12&lt;&gt;0,'Boletins Nuppa Site'!G12,"NULL")</f>
        <v>NULL</v>
      </c>
      <c r="E12" s="16" t="n">
        <f aca="false">IF('Boletins Nuppa Site'!H12&lt;&gt;0,'Boletins Nuppa Site'!H12,"NULL")</f>
        <v>18</v>
      </c>
      <c r="F12" s="16" t="n">
        <f aca="false">IF('Boletins Nuppa Site'!I12&lt;&gt;0,'Boletins Nuppa Site'!I12,"NULL")</f>
        <v>30</v>
      </c>
      <c r="G12" s="16" t="n">
        <f aca="false">IF('Boletins Nuppa Site'!J12&lt;&gt;0,'Boletins Nuppa Site'!J12,"NULL")</f>
        <v>24</v>
      </c>
      <c r="H12" s="16" t="n">
        <f aca="false">IF('Boletins Nuppa Site'!K12&lt;&gt;0,'Boletins Nuppa Site'!K12,"NULL")</f>
        <v>24</v>
      </c>
      <c r="J12" s="1" t="str">
        <f aca="false">"INSERT INTO COTACAO (blt_id, pap_id, cot_prc_comum, cot_prc_min, cot_prc_max, cot_prc_med, cot_prc_mediana) VALUES ("&amp;B12&amp;", "&amp;C12&amp;", "&amp;D12&amp;", "&amp;E12&amp;", "&amp;F12&amp;", "&amp;G12&amp;", "&amp;H12&amp;");"</f>
        <v>INSERT INTO COTACAO (blt_id, pap_id, cot_prc_comum, cot_prc_min, cot_prc_max, cot_prc_med, cot_prc_mediana) VALUES (1, 11, NULL, 18, 30, 24, 24);</v>
      </c>
    </row>
    <row r="13" customFormat="false" ht="14.25" hidden="false" customHeight="false" outlineLevel="0" collapsed="false">
      <c r="A13" s="1" t="n">
        <v>12</v>
      </c>
      <c r="B13" s="1" t="n">
        <v>1</v>
      </c>
      <c r="C13" s="1" t="n">
        <v>12</v>
      </c>
      <c r="D13" s="1" t="str">
        <f aca="false">IF('Boletins Nuppa Site'!G13&lt;&gt;0,'Boletins Nuppa Site'!G13,"NULL")</f>
        <v>NULL</v>
      </c>
      <c r="E13" s="16" t="n">
        <f aca="false">IF('Boletins Nuppa Site'!H13&lt;&gt;0,'Boletins Nuppa Site'!H13,"NULL")</f>
        <v>42</v>
      </c>
      <c r="F13" s="16" t="n">
        <f aca="false">IF('Boletins Nuppa Site'!I13&lt;&gt;0,'Boletins Nuppa Site'!I13,"NULL")</f>
        <v>54</v>
      </c>
      <c r="G13" s="16" t="n">
        <f aca="false">IF('Boletins Nuppa Site'!J13&lt;&gt;0,'Boletins Nuppa Site'!J13,"NULL")</f>
        <v>48</v>
      </c>
      <c r="H13" s="16" t="n">
        <f aca="false">IF('Boletins Nuppa Site'!K13&lt;&gt;0,'Boletins Nuppa Site'!K13,"NULL")</f>
        <v>48</v>
      </c>
      <c r="J13" s="1" t="str">
        <f aca="false">"INSERT INTO COTACAO (blt_id, pap_id, cot_prc_comum, cot_prc_min, cot_prc_max, cot_prc_med, cot_prc_mediana) VALUES ("&amp;B13&amp;", "&amp;C13&amp;", "&amp;D13&amp;", "&amp;E13&amp;", "&amp;F13&amp;", "&amp;G13&amp;", "&amp;H13&amp;");"</f>
        <v>INSERT INTO COTACAO (blt_id, pap_id, cot_prc_comum, cot_prc_min, cot_prc_max, cot_prc_med, cot_prc_mediana) VALUES (1, 12, NULL, 42, 54, 48, 48);</v>
      </c>
    </row>
    <row r="14" customFormat="false" ht="14.25" hidden="false" customHeight="false" outlineLevel="0" collapsed="false">
      <c r="A14" s="1" t="n">
        <v>13</v>
      </c>
      <c r="B14" s="1" t="n">
        <v>1</v>
      </c>
      <c r="C14" s="1" t="n">
        <v>13</v>
      </c>
      <c r="D14" s="1" t="str">
        <f aca="false">IF('Boletins Nuppa Site'!G14&lt;&gt;0,'Boletins Nuppa Site'!G14,"NULL")</f>
        <v>NULL</v>
      </c>
      <c r="E14" s="16" t="n">
        <f aca="false">IF('Boletins Nuppa Site'!H14&lt;&gt;0,'Boletins Nuppa Site'!H14,"NULL")</f>
        <v>36</v>
      </c>
      <c r="F14" s="16" t="n">
        <f aca="false">IF('Boletins Nuppa Site'!I14&lt;&gt;0,'Boletins Nuppa Site'!I14,"NULL")</f>
        <v>48</v>
      </c>
      <c r="G14" s="16" t="n">
        <f aca="false">IF('Boletins Nuppa Site'!J14&lt;&gt;0,'Boletins Nuppa Site'!J14,"NULL")</f>
        <v>42</v>
      </c>
      <c r="H14" s="16" t="n">
        <f aca="false">IF('Boletins Nuppa Site'!K14&lt;&gt;0,'Boletins Nuppa Site'!K14,"NULL")</f>
        <v>42</v>
      </c>
      <c r="J14" s="1" t="str">
        <f aca="false">"INSERT INTO COTACAO (blt_id, pap_id, cot_prc_comum, cot_prc_min, cot_prc_max, cot_prc_med, cot_prc_mediana) VALUES ("&amp;B14&amp;", "&amp;C14&amp;", "&amp;D14&amp;", "&amp;E14&amp;", "&amp;F14&amp;", "&amp;G14&amp;", "&amp;H14&amp;");"</f>
        <v>INSERT INTO COTACAO (blt_id, pap_id, cot_prc_comum, cot_prc_min, cot_prc_max, cot_prc_med, cot_prc_mediana) VALUES (1, 13, NULL, 36, 48, 42, 42);</v>
      </c>
    </row>
    <row r="15" customFormat="false" ht="14.25" hidden="false" customHeight="false" outlineLevel="0" collapsed="false">
      <c r="A15" s="1" t="n">
        <v>14</v>
      </c>
      <c r="B15" s="1" t="n">
        <v>1</v>
      </c>
      <c r="C15" s="1" t="n">
        <v>14</v>
      </c>
      <c r="D15" s="1" t="str">
        <f aca="false">IF('Boletins Nuppa Site'!G15&lt;&gt;0,'Boletins Nuppa Site'!G15,"NULL")</f>
        <v>NULL</v>
      </c>
      <c r="E15" s="16" t="n">
        <f aca="false">IF('Boletins Nuppa Site'!H15&lt;&gt;0,'Boletins Nuppa Site'!H15,"NULL")</f>
        <v>60</v>
      </c>
      <c r="F15" s="16" t="n">
        <f aca="false">IF('Boletins Nuppa Site'!I15&lt;&gt;0,'Boletins Nuppa Site'!I15,"NULL")</f>
        <v>60</v>
      </c>
      <c r="G15" s="16" t="n">
        <f aca="false">IF('Boletins Nuppa Site'!J15&lt;&gt;0,'Boletins Nuppa Site'!J15,"NULL")</f>
        <v>60</v>
      </c>
      <c r="H15" s="16" t="n">
        <f aca="false">IF('Boletins Nuppa Site'!K15&lt;&gt;0,'Boletins Nuppa Site'!K15,"NULL")</f>
        <v>60</v>
      </c>
      <c r="J15" s="1" t="str">
        <f aca="false">"INSERT INTO COTACAO (blt_id, pap_id, cot_prc_comum, cot_prc_min, cot_prc_max, cot_prc_med, cot_prc_mediana) VALUES ("&amp;B15&amp;", "&amp;C15&amp;", "&amp;D15&amp;", "&amp;E15&amp;", "&amp;F15&amp;", "&amp;G15&amp;", "&amp;H15&amp;");"</f>
        <v>INSERT INTO COTACAO (blt_id, pap_id, cot_prc_comum, cot_prc_min, cot_prc_max, cot_prc_med, cot_prc_mediana) VALUES (1, 14, NULL, 60, 60, 60, 60);</v>
      </c>
    </row>
    <row r="16" customFormat="false" ht="14.25" hidden="false" customHeight="false" outlineLevel="0" collapsed="false">
      <c r="A16" s="1" t="n">
        <v>15</v>
      </c>
      <c r="B16" s="1" t="n">
        <v>1</v>
      </c>
      <c r="C16" s="1" t="n">
        <v>15</v>
      </c>
      <c r="D16" s="1" t="str">
        <f aca="false">IF('Boletins Nuppa Site'!G16&lt;&gt;0,'Boletins Nuppa Site'!G16,"NULL")</f>
        <v>NULL</v>
      </c>
      <c r="E16" s="16" t="n">
        <f aca="false">IF('Boletins Nuppa Site'!H16&lt;&gt;0,'Boletins Nuppa Site'!H16,"NULL")</f>
        <v>24</v>
      </c>
      <c r="F16" s="16" t="n">
        <f aca="false">IF('Boletins Nuppa Site'!I16&lt;&gt;0,'Boletins Nuppa Site'!I16,"NULL")</f>
        <v>36</v>
      </c>
      <c r="G16" s="16" t="n">
        <f aca="false">IF('Boletins Nuppa Site'!J16&lt;&gt;0,'Boletins Nuppa Site'!J16,"NULL")</f>
        <v>30</v>
      </c>
      <c r="H16" s="16" t="n">
        <f aca="false">IF('Boletins Nuppa Site'!K16&lt;&gt;0,'Boletins Nuppa Site'!K16,"NULL")</f>
        <v>30</v>
      </c>
      <c r="J16" s="1" t="str">
        <f aca="false">"INSERT INTO COTACAO (blt_id, pap_id, cot_prc_comum, cot_prc_min, cot_prc_max, cot_prc_med, cot_prc_mediana) VALUES ("&amp;B16&amp;", "&amp;C16&amp;", "&amp;D16&amp;", "&amp;E16&amp;", "&amp;F16&amp;", "&amp;G16&amp;", "&amp;H16&amp;");"</f>
        <v>INSERT INTO COTACAO (blt_id, pap_id, cot_prc_comum, cot_prc_min, cot_prc_max, cot_prc_med, cot_prc_mediana) VALUES (1, 15, NULL, 24, 36, 30, 30);</v>
      </c>
    </row>
    <row r="17" customFormat="false" ht="14.25" hidden="false" customHeight="false" outlineLevel="0" collapsed="false">
      <c r="A17" s="1" t="n">
        <v>16</v>
      </c>
      <c r="B17" s="1" t="n">
        <v>1</v>
      </c>
      <c r="C17" s="1" t="n">
        <v>16</v>
      </c>
      <c r="D17" s="16" t="n">
        <f aca="false">IF('Boletins Nuppa Site'!G17&lt;&gt;0,'Boletins Nuppa Site'!G17,"NULL")</f>
        <v>42</v>
      </c>
      <c r="E17" s="16" t="n">
        <f aca="false">IF('Boletins Nuppa Site'!H17&lt;&gt;0,'Boletins Nuppa Site'!H17,"NULL")</f>
        <v>36</v>
      </c>
      <c r="F17" s="16" t="n">
        <f aca="false">IF('Boletins Nuppa Site'!I17&lt;&gt;0,'Boletins Nuppa Site'!I17,"NULL")</f>
        <v>42</v>
      </c>
      <c r="G17" s="16" t="n">
        <f aca="false">IF('Boletins Nuppa Site'!J17&lt;&gt;0,'Boletins Nuppa Site'!J17,"NULL")</f>
        <v>40</v>
      </c>
      <c r="H17" s="16" t="n">
        <f aca="false">IF('Boletins Nuppa Site'!K17&lt;&gt;0,'Boletins Nuppa Site'!K17,"NULL")</f>
        <v>42</v>
      </c>
      <c r="J17" s="1" t="str">
        <f aca="false">"INSERT INTO COTACAO (blt_id, pap_id, cot_prc_comum, cot_prc_min, cot_prc_max, cot_prc_med, cot_prc_mediana) VALUES ("&amp;B17&amp;", "&amp;C17&amp;", "&amp;D17&amp;", "&amp;E17&amp;", "&amp;F17&amp;", "&amp;G17&amp;", "&amp;H17&amp;");"</f>
        <v>INSERT INTO COTACAO (blt_id, pap_id, cot_prc_comum, cot_prc_min, cot_prc_max, cot_prc_med, cot_prc_mediana) VALUES (1, 16, 42, 36, 42, 40, 42);</v>
      </c>
    </row>
    <row r="18" customFormat="false" ht="14.25" hidden="false" customHeight="false" outlineLevel="0" collapsed="false">
      <c r="A18" s="1" t="n">
        <v>17</v>
      </c>
      <c r="B18" s="1" t="n">
        <v>1</v>
      </c>
      <c r="C18" s="1" t="n">
        <v>17</v>
      </c>
      <c r="D18" s="16" t="n">
        <f aca="false">IF('Boletins Nuppa Site'!G18&lt;&gt;0,'Boletins Nuppa Site'!G18,"NULL")</f>
        <v>4</v>
      </c>
      <c r="E18" s="16" t="n">
        <f aca="false">IF('Boletins Nuppa Site'!H18&lt;&gt;0,'Boletins Nuppa Site'!H18,"NULL")</f>
        <v>3</v>
      </c>
      <c r="F18" s="16" t="n">
        <f aca="false">IF('Boletins Nuppa Site'!I18&lt;&gt;0,'Boletins Nuppa Site'!I18,"NULL")</f>
        <v>4</v>
      </c>
      <c r="G18" s="1" t="str">
        <f aca="false">IF('Boletins Nuppa Site'!J18&lt;&gt;0,'Boletins Nuppa Site'!J18,"NULL")</f>
        <v>3.67</v>
      </c>
      <c r="H18" s="16" t="n">
        <f aca="false">IF('Boletins Nuppa Site'!K18&lt;&gt;0,'Boletins Nuppa Site'!K18,"NULL")</f>
        <v>4</v>
      </c>
      <c r="J18" s="1" t="str">
        <f aca="false">"INSERT INTO COTACAO (blt_id, pap_id, cot_prc_comum, cot_prc_min, cot_prc_max, cot_prc_med, cot_prc_mediana) VALUES ("&amp;B18&amp;", "&amp;C18&amp;", "&amp;D18&amp;", "&amp;E18&amp;", "&amp;F18&amp;", "&amp;G18&amp;", "&amp;H18&amp;");"</f>
        <v>INSERT INTO COTACAO (blt_id, pap_id, cot_prc_comum, cot_prc_min, cot_prc_max, cot_prc_med, cot_prc_mediana) VALUES (1, 17, 4, 3, 4, 3.67, 4);</v>
      </c>
    </row>
    <row r="19" customFormat="false" ht="14.25" hidden="false" customHeight="false" outlineLevel="0" collapsed="false">
      <c r="A19" s="1" t="n">
        <v>18</v>
      </c>
      <c r="B19" s="1" t="n">
        <v>1</v>
      </c>
      <c r="C19" s="1" t="n">
        <v>18</v>
      </c>
      <c r="D19" s="16" t="n">
        <f aca="false">IF('Boletins Nuppa Site'!G19&lt;&gt;0,'Boletins Nuppa Site'!G19,"NULL")</f>
        <v>25</v>
      </c>
      <c r="E19" s="16" t="n">
        <f aca="false">IF('Boletins Nuppa Site'!H19&lt;&gt;0,'Boletins Nuppa Site'!H19,"NULL")</f>
        <v>25</v>
      </c>
      <c r="F19" s="16" t="n">
        <f aca="false">IF('Boletins Nuppa Site'!I19&lt;&gt;0,'Boletins Nuppa Site'!I19,"NULL")</f>
        <v>25</v>
      </c>
      <c r="G19" s="16" t="n">
        <f aca="false">IF('Boletins Nuppa Site'!J19&lt;&gt;0,'Boletins Nuppa Site'!J19,"NULL")</f>
        <v>25</v>
      </c>
      <c r="H19" s="16" t="n">
        <f aca="false">IF('Boletins Nuppa Site'!K19&lt;&gt;0,'Boletins Nuppa Site'!K19,"NULL")</f>
        <v>25</v>
      </c>
      <c r="J19" s="1" t="str">
        <f aca="false">"INSERT INTO COTACAO (blt_id, pap_id, cot_prc_comum, cot_prc_min, cot_prc_max, cot_prc_med, cot_prc_mediana) VALUES ("&amp;B19&amp;", "&amp;C19&amp;", "&amp;D19&amp;", "&amp;E19&amp;", "&amp;F19&amp;", "&amp;G19&amp;", "&amp;H19&amp;");"</f>
        <v>INSERT INTO COTACAO (blt_id, pap_id, cot_prc_comum, cot_prc_min, cot_prc_max, cot_prc_med, cot_prc_mediana) VALUES (1, 18, 25, 25, 25, 25, 25);</v>
      </c>
    </row>
    <row r="20" customFormat="false" ht="14.25" hidden="false" customHeight="false" outlineLevel="0" collapsed="false">
      <c r="A20" s="1" t="n">
        <v>19</v>
      </c>
      <c r="B20" s="1" t="n">
        <v>1</v>
      </c>
      <c r="C20" s="1" t="n">
        <v>19</v>
      </c>
      <c r="D20" s="16" t="n">
        <f aca="false">IF('Boletins Nuppa Site'!G20&lt;&gt;0,'Boletins Nuppa Site'!G20,"NULL")</f>
        <v>25</v>
      </c>
      <c r="E20" s="16" t="n">
        <f aca="false">IF('Boletins Nuppa Site'!H20&lt;&gt;0,'Boletins Nuppa Site'!H20,"NULL")</f>
        <v>20</v>
      </c>
      <c r="F20" s="16" t="n">
        <f aca="false">IF('Boletins Nuppa Site'!I20&lt;&gt;0,'Boletins Nuppa Site'!I20,"NULL")</f>
        <v>25</v>
      </c>
      <c r="G20" s="1" t="str">
        <f aca="false">IF('Boletins Nuppa Site'!J20&lt;&gt;0,'Boletins Nuppa Site'!J20,"NULL")</f>
        <v>22.5</v>
      </c>
      <c r="H20" s="1" t="str">
        <f aca="false">IF('Boletins Nuppa Site'!K20&lt;&gt;0,'Boletins Nuppa Site'!K20,"NULL")</f>
        <v>22.5</v>
      </c>
      <c r="J20" s="1" t="str">
        <f aca="false">"INSERT INTO COTACAO (blt_id, pap_id, cot_prc_comum, cot_prc_min, cot_prc_max, cot_prc_med, cot_prc_mediana) VALUES ("&amp;B20&amp;", "&amp;C20&amp;", "&amp;D20&amp;", "&amp;E20&amp;", "&amp;F20&amp;", "&amp;G20&amp;", "&amp;H20&amp;");"</f>
        <v>INSERT INTO COTACAO (blt_id, pap_id, cot_prc_comum, cot_prc_min, cot_prc_max, cot_prc_med, cot_prc_mediana) VALUES (1, 19, 25, 20, 25, 22.5, 22.5);</v>
      </c>
    </row>
    <row r="21" customFormat="false" ht="14.25" hidden="false" customHeight="false" outlineLevel="0" collapsed="false">
      <c r="A21" s="1" t="n">
        <v>20</v>
      </c>
      <c r="B21" s="1" t="n">
        <v>1</v>
      </c>
      <c r="C21" s="1" t="n">
        <v>21</v>
      </c>
      <c r="D21" s="16" t="n">
        <f aca="false">IF('Boletins Nuppa Site'!G21&lt;&gt;0,'Boletins Nuppa Site'!G21,"NULL")</f>
        <v>60</v>
      </c>
      <c r="E21" s="16" t="n">
        <f aca="false">IF('Boletins Nuppa Site'!H21&lt;&gt;0,'Boletins Nuppa Site'!H21,"NULL")</f>
        <v>50</v>
      </c>
      <c r="F21" s="16" t="n">
        <f aca="false">IF('Boletins Nuppa Site'!I21&lt;&gt;0,'Boletins Nuppa Site'!I21,"NULL")</f>
        <v>60</v>
      </c>
      <c r="G21" s="1" t="str">
        <f aca="false">IF('Boletins Nuppa Site'!J21&lt;&gt;0,'Boletins Nuppa Site'!J21,"NULL")</f>
        <v>57.5</v>
      </c>
      <c r="H21" s="16" t="n">
        <f aca="false">IF('Boletins Nuppa Site'!K21&lt;&gt;0,'Boletins Nuppa Site'!K21,"NULL")</f>
        <v>60</v>
      </c>
      <c r="J21" s="1" t="str">
        <f aca="false">"INSERT INTO COTACAO (blt_id, pap_id, cot_prc_comum, cot_prc_min, cot_prc_max, cot_prc_med, cot_prc_mediana) VALUES ("&amp;B21&amp;", "&amp;C21&amp;", "&amp;D21&amp;", "&amp;E21&amp;", "&amp;F21&amp;", "&amp;G21&amp;", "&amp;H21&amp;");"</f>
        <v>INSERT INTO COTACAO (blt_id, pap_id, cot_prc_comum, cot_prc_min, cot_prc_max, cot_prc_med, cot_prc_mediana) VALUES (1, 21, 60, 50, 60, 57.5, 60);</v>
      </c>
    </row>
    <row r="22" customFormat="false" ht="14.25" hidden="false" customHeight="false" outlineLevel="0" collapsed="false">
      <c r="A22" s="1" t="n">
        <v>21</v>
      </c>
      <c r="B22" s="1" t="n">
        <v>1</v>
      </c>
      <c r="C22" s="1" t="n">
        <v>22</v>
      </c>
      <c r="D22" s="16" t="n">
        <f aca="false">IF('Boletins Nuppa Site'!G22&lt;&gt;0,'Boletins Nuppa Site'!G22,"NULL")</f>
        <v>50</v>
      </c>
      <c r="E22" s="16" t="n">
        <f aca="false">IF('Boletins Nuppa Site'!H22&lt;&gt;0,'Boletins Nuppa Site'!H22,"NULL")</f>
        <v>50</v>
      </c>
      <c r="F22" s="16" t="n">
        <f aca="false">IF('Boletins Nuppa Site'!I22&lt;&gt;0,'Boletins Nuppa Site'!I22,"NULL")</f>
        <v>65</v>
      </c>
      <c r="G22" s="16" t="n">
        <f aca="false">IF('Boletins Nuppa Site'!J22&lt;&gt;0,'Boletins Nuppa Site'!J22,"NULL")</f>
        <v>55</v>
      </c>
      <c r="H22" s="16" t="n">
        <f aca="false">IF('Boletins Nuppa Site'!K22&lt;&gt;0,'Boletins Nuppa Site'!K22,"NULL")</f>
        <v>50</v>
      </c>
      <c r="J22" s="1" t="str">
        <f aca="false">"INSERT INTO COTACAO (blt_id, pap_id, cot_prc_comum, cot_prc_min, cot_prc_max, cot_prc_med, cot_prc_mediana) VALUES ("&amp;B22&amp;", "&amp;C22&amp;", "&amp;D22&amp;", "&amp;E22&amp;", "&amp;F22&amp;", "&amp;G22&amp;", "&amp;H22&amp;");"</f>
        <v>INSERT INTO COTACAO (blt_id, pap_id, cot_prc_comum, cot_prc_min, cot_prc_max, cot_prc_med, cot_prc_mediana) VALUES (1, 22, 50, 50, 65, 55, 50);</v>
      </c>
    </row>
    <row r="23" customFormat="false" ht="14.25" hidden="false" customHeight="false" outlineLevel="0" collapsed="false">
      <c r="A23" s="1" t="n">
        <v>22</v>
      </c>
      <c r="B23" s="1" t="n">
        <v>1</v>
      </c>
      <c r="C23" s="1" t="n">
        <v>23</v>
      </c>
      <c r="D23" s="16" t="n">
        <f aca="false">IF('Boletins Nuppa Site'!G23&lt;&gt;0,'Boletins Nuppa Site'!G23,"NULL")</f>
        <v>40</v>
      </c>
      <c r="E23" s="16" t="n">
        <f aca="false">IF('Boletins Nuppa Site'!H23&lt;&gt;0,'Boletins Nuppa Site'!H23,"NULL")</f>
        <v>40</v>
      </c>
      <c r="F23" s="16" t="n">
        <f aca="false">IF('Boletins Nuppa Site'!I23&lt;&gt;0,'Boletins Nuppa Site'!I23,"NULL")</f>
        <v>50</v>
      </c>
      <c r="G23" s="1" t="str">
        <f aca="false">IF('Boletins Nuppa Site'!J23&lt;&gt;0,'Boletins Nuppa Site'!J23,"NULL")</f>
        <v>44.17</v>
      </c>
      <c r="H23" s="1" t="str">
        <f aca="false">IF('Boletins Nuppa Site'!K23&lt;&gt;0,'Boletins Nuppa Site'!K23,"NULL")</f>
        <v>42.5</v>
      </c>
      <c r="J23" s="1" t="str">
        <f aca="false">"INSERT INTO COTACAO (blt_id, pap_id, cot_prc_comum, cot_prc_min, cot_prc_max, cot_prc_med, cot_prc_mediana) VALUES ("&amp;B23&amp;", "&amp;C23&amp;", "&amp;D23&amp;", "&amp;E23&amp;", "&amp;F23&amp;", "&amp;G23&amp;", "&amp;H23&amp;");"</f>
        <v>INSERT INTO COTACAO (blt_id, pap_id, cot_prc_comum, cot_prc_min, cot_prc_max, cot_prc_med, cot_prc_mediana) VALUES (1, 23, 40, 40, 50, 44.17, 42.5);</v>
      </c>
    </row>
    <row r="24" customFormat="false" ht="14.25" hidden="false" customHeight="false" outlineLevel="0" collapsed="false">
      <c r="A24" s="1" t="n">
        <v>23</v>
      </c>
      <c r="B24" s="1" t="n">
        <v>1</v>
      </c>
      <c r="C24" s="1" t="n">
        <v>24</v>
      </c>
      <c r="D24" s="1" t="str">
        <f aca="false">IF('Boletins Nuppa Site'!G24&lt;&gt;0,'Boletins Nuppa Site'!G24,"NULL")</f>
        <v>NULL</v>
      </c>
      <c r="E24" s="1" t="str">
        <f aca="false">IF('Boletins Nuppa Site'!H24&lt;&gt;0,'Boletins Nuppa Site'!H24,"NULL")</f>
        <v>NULL</v>
      </c>
      <c r="F24" s="1" t="str">
        <f aca="false">IF('Boletins Nuppa Site'!I24&lt;&gt;0,'Boletins Nuppa Site'!I24,"NULL")</f>
        <v>NULL</v>
      </c>
      <c r="G24" s="1" t="str">
        <f aca="false">IF('Boletins Nuppa Site'!J24&lt;&gt;0,'Boletins Nuppa Site'!J24,"NULL")</f>
        <v>NULL</v>
      </c>
      <c r="H24" s="1" t="str">
        <f aca="false">IF('Boletins Nuppa Site'!K24&lt;&gt;0,'Boletins Nuppa Site'!K24,"NULL")</f>
        <v>NULL</v>
      </c>
      <c r="J24" s="1" t="str">
        <f aca="false">"INSERT INTO COTACAO (blt_id, pap_id, cot_prc_comum, cot_prc_min, cot_prc_max, cot_prc_med, cot_prc_mediana) VALUES ("&amp;B24&amp;", "&amp;C24&amp;", "&amp;D24&amp;", "&amp;E24&amp;", "&amp;F24&amp;", "&amp;G24&amp;", "&amp;H24&amp;");"</f>
        <v>INSERT INTO COTACAO (blt_id, pap_id, cot_prc_comum, cot_prc_min, cot_prc_max, cot_prc_med, cot_prc_mediana) VALUES (1, 24, NULL, NULL, NULL, NULL, NULL);</v>
      </c>
    </row>
    <row r="25" customFormat="false" ht="14.25" hidden="false" customHeight="false" outlineLevel="0" collapsed="false">
      <c r="A25" s="1" t="n">
        <v>24</v>
      </c>
      <c r="B25" s="1" t="n">
        <v>1</v>
      </c>
      <c r="C25" s="1" t="n">
        <v>25</v>
      </c>
      <c r="D25" s="1" t="str">
        <f aca="false">IF('Boletins Nuppa Site'!G25&lt;&gt;0,'Boletins Nuppa Site'!G25,"NULL")</f>
        <v>NULL</v>
      </c>
      <c r="E25" s="16" t="n">
        <f aca="false">IF('Boletins Nuppa Site'!H25&lt;&gt;0,'Boletins Nuppa Site'!H25,"NULL")</f>
        <v>48</v>
      </c>
      <c r="F25" s="16" t="n">
        <f aca="false">IF('Boletins Nuppa Site'!I25&lt;&gt;0,'Boletins Nuppa Site'!I25,"NULL")</f>
        <v>60</v>
      </c>
      <c r="G25" s="1" t="str">
        <f aca="false">IF('Boletins Nuppa Site'!J25&lt;&gt;0,'Boletins Nuppa Site'!J25,"NULL")</f>
        <v>52.67</v>
      </c>
      <c r="H25" s="16" t="n">
        <f aca="false">IF('Boletins Nuppa Site'!K25&lt;&gt;0,'Boletins Nuppa Site'!K25,"NULL")</f>
        <v>50</v>
      </c>
      <c r="J25" s="1" t="str">
        <f aca="false">"INSERT INTO COTACAO (blt_id, pap_id, cot_prc_comum, cot_prc_min, cot_prc_max, cot_prc_med, cot_prc_mediana) VALUES ("&amp;B25&amp;", "&amp;C25&amp;", "&amp;D25&amp;", "&amp;E25&amp;", "&amp;F25&amp;", "&amp;G25&amp;", "&amp;H25&amp;");"</f>
        <v>INSERT INTO COTACAO (blt_id, pap_id, cot_prc_comum, cot_prc_min, cot_prc_max, cot_prc_med, cot_prc_mediana) VALUES (1, 25, NULL, 48, 60, 52.67, 50);</v>
      </c>
    </row>
    <row r="26" customFormat="false" ht="14.25" hidden="false" customHeight="false" outlineLevel="0" collapsed="false">
      <c r="A26" s="1" t="n">
        <v>25</v>
      </c>
      <c r="B26" s="1" t="n">
        <v>1</v>
      </c>
      <c r="C26" s="1" t="n">
        <v>26</v>
      </c>
      <c r="D26" s="16" t="n">
        <f aca="false">IF('Boletins Nuppa Site'!G26&lt;&gt;0,'Boletins Nuppa Site'!G26,"NULL")</f>
        <v>55</v>
      </c>
      <c r="E26" s="16" t="n">
        <f aca="false">IF('Boletins Nuppa Site'!H26&lt;&gt;0,'Boletins Nuppa Site'!H26,"NULL")</f>
        <v>50</v>
      </c>
      <c r="F26" s="16" t="n">
        <f aca="false">IF('Boletins Nuppa Site'!I26&lt;&gt;0,'Boletins Nuppa Site'!I26,"NULL")</f>
        <v>60</v>
      </c>
      <c r="G26" s="16" t="n">
        <f aca="false">IF('Boletins Nuppa Site'!J26&lt;&gt;0,'Boletins Nuppa Site'!J26,"NULL")</f>
        <v>55</v>
      </c>
      <c r="H26" s="16" t="n">
        <f aca="false">IF('Boletins Nuppa Site'!K26&lt;&gt;0,'Boletins Nuppa Site'!K26,"NULL")</f>
        <v>55</v>
      </c>
      <c r="J26" s="1" t="str">
        <f aca="false">"INSERT INTO COTACAO (blt_id, pap_id, cot_prc_comum, cot_prc_min, cot_prc_max, cot_prc_med, cot_prc_mediana) VALUES ("&amp;B26&amp;", "&amp;C26&amp;", "&amp;D26&amp;", "&amp;E26&amp;", "&amp;F26&amp;", "&amp;G26&amp;", "&amp;H26&amp;");"</f>
        <v>INSERT INTO COTACAO (blt_id, pap_id, cot_prc_comum, cot_prc_min, cot_prc_max, cot_prc_med, cot_prc_mediana) VALUES (1, 26, 55, 50, 60, 55, 55);</v>
      </c>
    </row>
    <row r="27" customFormat="false" ht="14.25" hidden="false" customHeight="false" outlineLevel="0" collapsed="false">
      <c r="A27" s="1" t="n">
        <v>26</v>
      </c>
      <c r="B27" s="1" t="n">
        <v>1</v>
      </c>
      <c r="C27" s="1" t="n">
        <v>27</v>
      </c>
      <c r="D27" s="16" t="n">
        <f aca="false">IF('Boletins Nuppa Site'!G27&lt;&gt;0,'Boletins Nuppa Site'!G27,"NULL")</f>
        <v>40</v>
      </c>
      <c r="E27" s="16" t="n">
        <f aca="false">IF('Boletins Nuppa Site'!H27&lt;&gt;0,'Boletins Nuppa Site'!H27,"NULL")</f>
        <v>30</v>
      </c>
      <c r="F27" s="16" t="n">
        <f aca="false">IF('Boletins Nuppa Site'!I27&lt;&gt;0,'Boletins Nuppa Site'!I27,"NULL")</f>
        <v>50</v>
      </c>
      <c r="G27" s="16" t="n">
        <f aca="false">IF('Boletins Nuppa Site'!J27&lt;&gt;0,'Boletins Nuppa Site'!J27,"NULL")</f>
        <v>40</v>
      </c>
      <c r="H27" s="16" t="n">
        <f aca="false">IF('Boletins Nuppa Site'!K27&lt;&gt;0,'Boletins Nuppa Site'!K27,"NULL")</f>
        <v>40</v>
      </c>
      <c r="J27" s="1" t="str">
        <f aca="false">"INSERT INTO COTACAO (blt_id, pap_id, cot_prc_comum, cot_prc_min, cot_prc_max, cot_prc_med, cot_prc_mediana) VALUES ("&amp;B27&amp;", "&amp;C27&amp;", "&amp;D27&amp;", "&amp;E27&amp;", "&amp;F27&amp;", "&amp;G27&amp;", "&amp;H27&amp;");"</f>
        <v>INSERT INTO COTACAO (blt_id, pap_id, cot_prc_comum, cot_prc_min, cot_prc_max, cot_prc_med, cot_prc_mediana) VALUES (1, 27, 40, 30, 50, 40, 40);</v>
      </c>
    </row>
    <row r="28" customFormat="false" ht="14.25" hidden="false" customHeight="false" outlineLevel="0" collapsed="false">
      <c r="A28" s="1" t="n">
        <v>27</v>
      </c>
      <c r="B28" s="1" t="n">
        <v>1</v>
      </c>
      <c r="C28" s="1" t="n">
        <v>28</v>
      </c>
      <c r="D28" s="16" t="n">
        <f aca="false">IF('Boletins Nuppa Site'!G28&lt;&gt;0,'Boletins Nuppa Site'!G28,"NULL")</f>
        <v>50</v>
      </c>
      <c r="E28" s="16" t="n">
        <f aca="false">IF('Boletins Nuppa Site'!H28&lt;&gt;0,'Boletins Nuppa Site'!H28,"NULL")</f>
        <v>50</v>
      </c>
      <c r="F28" s="16" t="n">
        <f aca="false">IF('Boletins Nuppa Site'!I28&lt;&gt;0,'Boletins Nuppa Site'!I28,"NULL")</f>
        <v>70</v>
      </c>
      <c r="G28" s="1" t="str">
        <f aca="false">IF('Boletins Nuppa Site'!J28&lt;&gt;0,'Boletins Nuppa Site'!J28,"NULL")</f>
        <v>56.67</v>
      </c>
      <c r="H28" s="16" t="n">
        <f aca="false">IF('Boletins Nuppa Site'!K28&lt;&gt;0,'Boletins Nuppa Site'!K28,"NULL")</f>
        <v>50</v>
      </c>
      <c r="J28" s="1" t="str">
        <f aca="false">"INSERT INTO COTACAO (blt_id, pap_id, cot_prc_comum, cot_prc_min, cot_prc_max, cot_prc_med, cot_prc_mediana) VALUES ("&amp;B28&amp;", "&amp;C28&amp;", "&amp;D28&amp;", "&amp;E28&amp;", "&amp;F28&amp;", "&amp;G28&amp;", "&amp;H28&amp;");"</f>
        <v>INSERT INTO COTACAO (blt_id, pap_id, cot_prc_comum, cot_prc_min, cot_prc_max, cot_prc_med, cot_prc_mediana) VALUES (1, 28, 50, 50, 70, 56.67, 50);</v>
      </c>
    </row>
    <row r="29" customFormat="false" ht="14.25" hidden="false" customHeight="false" outlineLevel="0" collapsed="false">
      <c r="A29" s="1" t="n">
        <v>28</v>
      </c>
      <c r="B29" s="1" t="n">
        <v>1</v>
      </c>
      <c r="C29" s="1" t="n">
        <v>29</v>
      </c>
      <c r="D29" s="1" t="str">
        <f aca="false">IF('Boletins Nuppa Site'!G29&lt;&gt;0,'Boletins Nuppa Site'!G29,"NULL")</f>
        <v>NULL</v>
      </c>
      <c r="E29" s="1" t="str">
        <f aca="false">IF('Boletins Nuppa Site'!H29&lt;&gt;0,'Boletins Nuppa Site'!H29,"NULL")</f>
        <v>NULL</v>
      </c>
      <c r="F29" s="1" t="str">
        <f aca="false">IF('Boletins Nuppa Site'!I29&lt;&gt;0,'Boletins Nuppa Site'!I29,"NULL")</f>
        <v>NULL</v>
      </c>
      <c r="G29" s="1" t="str">
        <f aca="false">IF('Boletins Nuppa Site'!J29&lt;&gt;0,'Boletins Nuppa Site'!J29,"NULL")</f>
        <v>NULL</v>
      </c>
      <c r="H29" s="1" t="str">
        <f aca="false">IF('Boletins Nuppa Site'!K29&lt;&gt;0,'Boletins Nuppa Site'!K29,"NULL")</f>
        <v>NULL</v>
      </c>
      <c r="J29" s="1" t="str">
        <f aca="false">"INSERT INTO COTACAO (blt_id, pap_id, cot_prc_comum, cot_prc_min, cot_prc_max, cot_prc_med, cot_prc_mediana) VALUES ("&amp;B29&amp;", "&amp;C29&amp;", "&amp;D29&amp;", "&amp;E29&amp;", "&amp;F29&amp;", "&amp;G29&amp;", "&amp;H29&amp;");"</f>
        <v>INSERT INTO COTACAO (blt_id, pap_id, cot_prc_comum, cot_prc_min, cot_prc_max, cot_prc_med, cot_prc_mediana) VALUES (1, 29, NULL, NULL, NULL, NULL, NULL);</v>
      </c>
    </row>
    <row r="30" customFormat="false" ht="14.25" hidden="false" customHeight="false" outlineLevel="0" collapsed="false">
      <c r="A30" s="1" t="n">
        <v>29</v>
      </c>
      <c r="B30" s="1" t="n">
        <v>1</v>
      </c>
      <c r="C30" s="1" t="n">
        <v>30</v>
      </c>
      <c r="D30" s="16" t="n">
        <f aca="false">IF('Boletins Nuppa Site'!G30&lt;&gt;0,'Boletins Nuppa Site'!G30,"NULL")</f>
        <v>50</v>
      </c>
      <c r="E30" s="16" t="n">
        <f aca="false">IF('Boletins Nuppa Site'!H30&lt;&gt;0,'Boletins Nuppa Site'!H30,"NULL")</f>
        <v>40</v>
      </c>
      <c r="F30" s="16" t="n">
        <f aca="false">IF('Boletins Nuppa Site'!I30&lt;&gt;0,'Boletins Nuppa Site'!I30,"NULL")</f>
        <v>60</v>
      </c>
      <c r="G30" s="16" t="n">
        <f aca="false">IF('Boletins Nuppa Site'!J30&lt;&gt;0,'Boletins Nuppa Site'!J30,"NULL")</f>
        <v>50</v>
      </c>
      <c r="H30" s="16" t="n">
        <f aca="false">IF('Boletins Nuppa Site'!K30&lt;&gt;0,'Boletins Nuppa Site'!K30,"NULL")</f>
        <v>50</v>
      </c>
      <c r="J30" s="1" t="str">
        <f aca="false">"INSERT INTO COTACAO (blt_id, pap_id, cot_prc_comum, cot_prc_min, cot_prc_max, cot_prc_med, cot_prc_mediana) VALUES ("&amp;B30&amp;", "&amp;C30&amp;", "&amp;D30&amp;", "&amp;E30&amp;", "&amp;F30&amp;", "&amp;G30&amp;", "&amp;H30&amp;");"</f>
        <v>INSERT INTO COTACAO (blt_id, pap_id, cot_prc_comum, cot_prc_min, cot_prc_max, cot_prc_med, cot_prc_mediana) VALUES (1, 30, 50, 40, 60, 50, 50);</v>
      </c>
    </row>
    <row r="31" customFormat="false" ht="14.25" hidden="false" customHeight="false" outlineLevel="0" collapsed="false">
      <c r="A31" s="1" t="n">
        <v>30</v>
      </c>
      <c r="B31" s="1" t="n">
        <v>1</v>
      </c>
      <c r="C31" s="1" t="n">
        <v>31</v>
      </c>
      <c r="D31" s="16" t="n">
        <f aca="false">IF('Boletins Nuppa Site'!G31&lt;&gt;0,'Boletins Nuppa Site'!G31,"NULL")</f>
        <v>50</v>
      </c>
      <c r="E31" s="16" t="n">
        <f aca="false">IF('Boletins Nuppa Site'!H31&lt;&gt;0,'Boletins Nuppa Site'!H31,"NULL")</f>
        <v>50</v>
      </c>
      <c r="F31" s="16" t="n">
        <f aca="false">IF('Boletins Nuppa Site'!I31&lt;&gt;0,'Boletins Nuppa Site'!I31,"NULL")</f>
        <v>60</v>
      </c>
      <c r="G31" s="16" t="n">
        <f aca="false">IF('Boletins Nuppa Site'!J31&lt;&gt;0,'Boletins Nuppa Site'!J31,"NULL")</f>
        <v>55</v>
      </c>
      <c r="H31" s="16" t="n">
        <f aca="false">IF('Boletins Nuppa Site'!K31&lt;&gt;0,'Boletins Nuppa Site'!K31,"NULL")</f>
        <v>55</v>
      </c>
      <c r="J31" s="1" t="str">
        <f aca="false">"INSERT INTO COTACAO (blt_id, pap_id, cot_prc_comum, cot_prc_min, cot_prc_max, cot_prc_med, cot_prc_mediana) VALUES ("&amp;B31&amp;", "&amp;C31&amp;", "&amp;D31&amp;", "&amp;E31&amp;", "&amp;F31&amp;", "&amp;G31&amp;", "&amp;H31&amp;");"</f>
        <v>INSERT INTO COTACAO (blt_id, pap_id, cot_prc_comum, cot_prc_min, cot_prc_max, cot_prc_med, cot_prc_mediana) VALUES (1, 31, 50, 50, 60, 55, 55);</v>
      </c>
    </row>
    <row r="32" customFormat="false" ht="14.25" hidden="false" customHeight="false" outlineLevel="0" collapsed="false">
      <c r="A32" s="1" t="n">
        <v>31</v>
      </c>
      <c r="B32" s="1" t="n">
        <v>1</v>
      </c>
      <c r="C32" s="1" t="n">
        <v>32</v>
      </c>
      <c r="D32" s="1" t="str">
        <f aca="false">IF('Boletins Nuppa Site'!G32&lt;&gt;0,'Boletins Nuppa Site'!G32,"NULL")</f>
        <v>NULL</v>
      </c>
      <c r="E32" s="16" t="n">
        <f aca="false">IF('Boletins Nuppa Site'!H32&lt;&gt;0,'Boletins Nuppa Site'!H32,"NULL")</f>
        <v>30</v>
      </c>
      <c r="F32" s="16" t="n">
        <f aca="false">IF('Boletins Nuppa Site'!I32&lt;&gt;0,'Boletins Nuppa Site'!I32,"NULL")</f>
        <v>50</v>
      </c>
      <c r="G32" s="16" t="n">
        <f aca="false">IF('Boletins Nuppa Site'!J32&lt;&gt;0,'Boletins Nuppa Site'!J32,"NULL")</f>
        <v>40</v>
      </c>
      <c r="H32" s="16" t="n">
        <f aca="false">IF('Boletins Nuppa Site'!K32&lt;&gt;0,'Boletins Nuppa Site'!K32,"NULL")</f>
        <v>40</v>
      </c>
      <c r="J32" s="1" t="str">
        <f aca="false">"INSERT INTO COTACAO (blt_id, pap_id, cot_prc_comum, cot_prc_min, cot_prc_max, cot_prc_med, cot_prc_mediana) VALUES ("&amp;B32&amp;", "&amp;C32&amp;", "&amp;D32&amp;", "&amp;E32&amp;", "&amp;F32&amp;", "&amp;G32&amp;", "&amp;H32&amp;");"</f>
        <v>INSERT INTO COTACAO (blt_id, pap_id, cot_prc_comum, cot_prc_min, cot_prc_max, cot_prc_med, cot_prc_mediana) VALUES (1, 32, NULL, 30, 50, 40, 40);</v>
      </c>
    </row>
    <row r="33" customFormat="false" ht="14.25" hidden="false" customHeight="false" outlineLevel="0" collapsed="false">
      <c r="A33" s="1" t="n">
        <v>32</v>
      </c>
      <c r="B33" s="1" t="n">
        <v>1</v>
      </c>
      <c r="C33" s="1" t="n">
        <v>33</v>
      </c>
      <c r="D33" s="16" t="n">
        <f aca="false">IF('Boletins Nuppa Site'!G33&lt;&gt;0,'Boletins Nuppa Site'!G33,"NULL")</f>
        <v>70</v>
      </c>
      <c r="E33" s="16" t="n">
        <f aca="false">IF('Boletins Nuppa Site'!H33&lt;&gt;0,'Boletins Nuppa Site'!H33,"NULL")</f>
        <v>60</v>
      </c>
      <c r="F33" s="16" t="n">
        <f aca="false">IF('Boletins Nuppa Site'!I33&lt;&gt;0,'Boletins Nuppa Site'!I33,"NULL")</f>
        <v>80</v>
      </c>
      <c r="G33" s="1" t="str">
        <f aca="false">IF('Boletins Nuppa Site'!J33&lt;&gt;0,'Boletins Nuppa Site'!J33,"NULL")</f>
        <v>68.33</v>
      </c>
      <c r="H33" s="16" t="n">
        <f aca="false">IF('Boletins Nuppa Site'!K33&lt;&gt;0,'Boletins Nuppa Site'!K33,"NULL")</f>
        <v>70</v>
      </c>
      <c r="J33" s="1" t="str">
        <f aca="false">"INSERT INTO COTACAO (blt_id, pap_id, cot_prc_comum, cot_prc_min, cot_prc_max, cot_prc_med, cot_prc_mediana) VALUES ("&amp;B33&amp;", "&amp;C33&amp;", "&amp;D33&amp;", "&amp;E33&amp;", "&amp;F33&amp;", "&amp;G33&amp;", "&amp;H33&amp;");"</f>
        <v>INSERT INTO COTACAO (blt_id, pap_id, cot_prc_comum, cot_prc_min, cot_prc_max, cot_prc_med, cot_prc_mediana) VALUES (1, 33, 70, 60, 80, 68.33, 70);</v>
      </c>
    </row>
    <row r="34" customFormat="false" ht="14.25" hidden="false" customHeight="false" outlineLevel="0" collapsed="false">
      <c r="A34" s="1" t="n">
        <v>33</v>
      </c>
      <c r="B34" s="1" t="n">
        <v>1</v>
      </c>
      <c r="C34" s="1" t="n">
        <v>34</v>
      </c>
      <c r="D34" s="16" t="n">
        <f aca="false">IF('Boletins Nuppa Site'!G34&lt;&gt;0,'Boletins Nuppa Site'!G34,"NULL")</f>
        <v>100</v>
      </c>
      <c r="E34" s="16" t="n">
        <f aca="false">IF('Boletins Nuppa Site'!H34&lt;&gt;0,'Boletins Nuppa Site'!H34,"NULL")</f>
        <v>90</v>
      </c>
      <c r="F34" s="16" t="n">
        <f aca="false">IF('Boletins Nuppa Site'!I34&lt;&gt;0,'Boletins Nuppa Site'!I34,"NULL")</f>
        <v>110</v>
      </c>
      <c r="G34" s="16" t="n">
        <f aca="false">IF('Boletins Nuppa Site'!J34&lt;&gt;0,'Boletins Nuppa Site'!J34,"NULL")</f>
        <v>100</v>
      </c>
      <c r="H34" s="16" t="n">
        <f aca="false">IF('Boletins Nuppa Site'!K34&lt;&gt;0,'Boletins Nuppa Site'!K34,"NULL")</f>
        <v>100</v>
      </c>
      <c r="J34" s="1" t="str">
        <f aca="false">"INSERT INTO COTACAO (blt_id, pap_id, cot_prc_comum, cot_prc_min, cot_prc_max, cot_prc_med, cot_prc_mediana) VALUES ("&amp;B34&amp;", "&amp;C34&amp;", "&amp;D34&amp;", "&amp;E34&amp;", "&amp;F34&amp;", "&amp;G34&amp;", "&amp;H34&amp;");"</f>
        <v>INSERT INTO COTACAO (blt_id, pap_id, cot_prc_comum, cot_prc_min, cot_prc_max, cot_prc_med, cot_prc_mediana) VALUES (1, 34, 100, 90, 110, 100, 100);</v>
      </c>
    </row>
    <row r="35" customFormat="false" ht="14.25" hidden="false" customHeight="false" outlineLevel="0" collapsed="false">
      <c r="A35" s="1" t="n">
        <v>34</v>
      </c>
      <c r="B35" s="1" t="n">
        <v>1</v>
      </c>
      <c r="C35" s="1" t="n">
        <v>35</v>
      </c>
      <c r="D35" s="16" t="n">
        <f aca="false">IF('Boletins Nuppa Site'!G35&lt;&gt;0,'Boletins Nuppa Site'!G35,"NULL")</f>
        <v>80</v>
      </c>
      <c r="E35" s="16" t="n">
        <f aca="false">IF('Boletins Nuppa Site'!H35&lt;&gt;0,'Boletins Nuppa Site'!H35,"NULL")</f>
        <v>70</v>
      </c>
      <c r="F35" s="16" t="n">
        <f aca="false">IF('Boletins Nuppa Site'!I35&lt;&gt;0,'Boletins Nuppa Site'!I35,"NULL")</f>
        <v>100</v>
      </c>
      <c r="G35" s="16" t="n">
        <f aca="false">IF('Boletins Nuppa Site'!J35&lt;&gt;0,'Boletins Nuppa Site'!J35,"NULL")</f>
        <v>83</v>
      </c>
      <c r="H35" s="16" t="n">
        <f aca="false">IF('Boletins Nuppa Site'!K35&lt;&gt;0,'Boletins Nuppa Site'!K35,"NULL")</f>
        <v>80</v>
      </c>
      <c r="J35" s="1" t="str">
        <f aca="false">"INSERT INTO COTACAO (blt_id, pap_id, cot_prc_comum, cot_prc_min, cot_prc_max, cot_prc_med, cot_prc_mediana) VALUES ("&amp;B35&amp;", "&amp;C35&amp;", "&amp;D35&amp;", "&amp;E35&amp;", "&amp;F35&amp;", "&amp;G35&amp;", "&amp;H35&amp;");"</f>
        <v>INSERT INTO COTACAO (blt_id, pap_id, cot_prc_comum, cot_prc_min, cot_prc_max, cot_prc_med, cot_prc_mediana) VALUES (1, 35, 80, 70, 100, 83, 80);</v>
      </c>
    </row>
    <row r="36" customFormat="false" ht="14.25" hidden="false" customHeight="false" outlineLevel="0" collapsed="false">
      <c r="A36" s="1" t="n">
        <v>35</v>
      </c>
      <c r="B36" s="1" t="n">
        <v>1</v>
      </c>
      <c r="C36" s="1" t="n">
        <v>36</v>
      </c>
      <c r="D36" s="1" t="str">
        <f aca="false">IF('Boletins Nuppa Site'!G36&lt;&gt;0,'Boletins Nuppa Site'!G36,"NULL")</f>
        <v>NULL</v>
      </c>
      <c r="E36" s="1" t="str">
        <f aca="false">IF('Boletins Nuppa Site'!H36&lt;&gt;0,'Boletins Nuppa Site'!H36,"NULL")</f>
        <v>NULL</v>
      </c>
      <c r="F36" s="1" t="str">
        <f aca="false">IF('Boletins Nuppa Site'!I36&lt;&gt;0,'Boletins Nuppa Site'!I36,"NULL")</f>
        <v>NULL</v>
      </c>
      <c r="G36" s="1" t="str">
        <f aca="false">IF('Boletins Nuppa Site'!J36&lt;&gt;0,'Boletins Nuppa Site'!J36,"NULL")</f>
        <v>NULL</v>
      </c>
      <c r="H36" s="1" t="str">
        <f aca="false">IF('Boletins Nuppa Site'!K36&lt;&gt;0,'Boletins Nuppa Site'!K36,"NULL")</f>
        <v>NULL</v>
      </c>
      <c r="J36" s="1" t="str">
        <f aca="false">"INSERT INTO COTACAO (blt_id, pap_id, cot_prc_comum, cot_prc_min, cot_prc_max, cot_prc_med, cot_prc_mediana) VALUES ("&amp;B36&amp;", "&amp;C36&amp;", "&amp;D36&amp;", "&amp;E36&amp;", "&amp;F36&amp;", "&amp;G36&amp;", "&amp;H36&amp;");"</f>
        <v>INSERT INTO COTACAO (blt_id, pap_id, cot_prc_comum, cot_prc_min, cot_prc_max, cot_prc_med, cot_prc_mediana) VALUES (1, 36, NULL, NULL, NULL, NULL, NULL);</v>
      </c>
    </row>
    <row r="37" customFormat="false" ht="14.25" hidden="false" customHeight="false" outlineLevel="0" collapsed="false">
      <c r="A37" s="1" t="n">
        <v>36</v>
      </c>
      <c r="B37" s="1" t="n">
        <v>1</v>
      </c>
      <c r="C37" s="1" t="n">
        <v>37</v>
      </c>
      <c r="D37" s="1" t="str">
        <f aca="false">IF('Boletins Nuppa Site'!G37&lt;&gt;0,'Boletins Nuppa Site'!G37,"NULL")</f>
        <v>NULL</v>
      </c>
      <c r="E37" s="1" t="str">
        <f aca="false">IF('Boletins Nuppa Site'!H37&lt;&gt;0,'Boletins Nuppa Site'!H37,"NULL")</f>
        <v>NULL</v>
      </c>
      <c r="F37" s="1" t="str">
        <f aca="false">IF('Boletins Nuppa Site'!I37&lt;&gt;0,'Boletins Nuppa Site'!I37,"NULL")</f>
        <v>NULL</v>
      </c>
      <c r="G37" s="1" t="str">
        <f aca="false">IF('Boletins Nuppa Site'!J37&lt;&gt;0,'Boletins Nuppa Site'!J37,"NULL")</f>
        <v>NULL</v>
      </c>
      <c r="H37" s="1" t="str">
        <f aca="false">IF('Boletins Nuppa Site'!K37&lt;&gt;0,'Boletins Nuppa Site'!K37,"NULL")</f>
        <v>NULL</v>
      </c>
      <c r="J37" s="1" t="str">
        <f aca="false">"INSERT INTO COTACAO (blt_id, pap_id, cot_prc_comum, cot_prc_min, cot_prc_max, cot_prc_med, cot_prc_mediana) VALUES ("&amp;B37&amp;", "&amp;C37&amp;", "&amp;D37&amp;", "&amp;E37&amp;", "&amp;F37&amp;", "&amp;G37&amp;", "&amp;H37&amp;");"</f>
        <v>INSERT INTO COTACAO (blt_id, pap_id, cot_prc_comum, cot_prc_min, cot_prc_max, cot_prc_med, cot_prc_mediana) VALUES (1, 37, NULL, NULL, NULL, NULL, NULL);</v>
      </c>
    </row>
    <row r="38" customFormat="false" ht="14.25" hidden="false" customHeight="false" outlineLevel="0" collapsed="false">
      <c r="A38" s="1" t="n">
        <v>37</v>
      </c>
      <c r="B38" s="1" t="n">
        <v>1</v>
      </c>
      <c r="C38" s="1" t="n">
        <v>38</v>
      </c>
      <c r="D38" s="1" t="str">
        <f aca="false">IF('Boletins Nuppa Site'!G38&lt;&gt;0,'Boletins Nuppa Site'!G38,"NULL")</f>
        <v>NULL</v>
      </c>
      <c r="E38" s="1" t="str">
        <f aca="false">IF('Boletins Nuppa Site'!H38&lt;&gt;0,'Boletins Nuppa Site'!H38,"NULL")</f>
        <v>NULL</v>
      </c>
      <c r="F38" s="1" t="str">
        <f aca="false">IF('Boletins Nuppa Site'!I38&lt;&gt;0,'Boletins Nuppa Site'!I38,"NULL")</f>
        <v>NULL</v>
      </c>
      <c r="G38" s="1" t="str">
        <f aca="false">IF('Boletins Nuppa Site'!J38&lt;&gt;0,'Boletins Nuppa Site'!J38,"NULL")</f>
        <v>NULL</v>
      </c>
      <c r="H38" s="1" t="str">
        <f aca="false">IF('Boletins Nuppa Site'!K38&lt;&gt;0,'Boletins Nuppa Site'!K38,"NULL")</f>
        <v>NULL</v>
      </c>
      <c r="J38" s="1" t="str">
        <f aca="false">"INSERT INTO COTACAO (blt_id, pap_id, cot_prc_comum, cot_prc_min, cot_prc_max, cot_prc_med, cot_prc_mediana) VALUES ("&amp;B38&amp;", "&amp;C38&amp;", "&amp;D38&amp;", "&amp;E38&amp;", "&amp;F38&amp;", "&amp;G38&amp;", "&amp;H38&amp;");"</f>
        <v>INSERT INTO COTACAO (blt_id, pap_id, cot_prc_comum, cot_prc_min, cot_prc_max, cot_prc_med, cot_prc_mediana) VALUES (1, 38, NULL, NULL, NULL, NULL, NULL);</v>
      </c>
    </row>
    <row r="39" customFormat="false" ht="14.25" hidden="false" customHeight="false" outlineLevel="0" collapsed="false">
      <c r="A39" s="1" t="n">
        <v>38</v>
      </c>
      <c r="B39" s="1" t="n">
        <v>1</v>
      </c>
      <c r="C39" s="1" t="n">
        <v>39</v>
      </c>
      <c r="D39" s="1" t="str">
        <f aca="false">IF('Boletins Nuppa Site'!G39&lt;&gt;0,'Boletins Nuppa Site'!G39,"NULL")</f>
        <v>NULL</v>
      </c>
      <c r="E39" s="1" t="str">
        <f aca="false">IF('Boletins Nuppa Site'!H39&lt;&gt;0,'Boletins Nuppa Site'!H39,"NULL")</f>
        <v>NULL</v>
      </c>
      <c r="F39" s="1" t="str">
        <f aca="false">IF('Boletins Nuppa Site'!I39&lt;&gt;0,'Boletins Nuppa Site'!I39,"NULL")</f>
        <v>NULL</v>
      </c>
      <c r="G39" s="1" t="str">
        <f aca="false">IF('Boletins Nuppa Site'!J39&lt;&gt;0,'Boletins Nuppa Site'!J39,"NULL")</f>
        <v>NULL</v>
      </c>
      <c r="H39" s="1" t="str">
        <f aca="false">IF('Boletins Nuppa Site'!K39&lt;&gt;0,'Boletins Nuppa Site'!K39,"NULL")</f>
        <v>NULL</v>
      </c>
      <c r="J39" s="1" t="str">
        <f aca="false">"INSERT INTO COTACAO (blt_id, pap_id, cot_prc_comum, cot_prc_min, cot_prc_max, cot_prc_med, cot_prc_mediana) VALUES ("&amp;B39&amp;", "&amp;C39&amp;", "&amp;D39&amp;", "&amp;E39&amp;", "&amp;F39&amp;", "&amp;G39&amp;", "&amp;H39&amp;");"</f>
        <v>INSERT INTO COTACAO (blt_id, pap_id, cot_prc_comum, cot_prc_min, cot_prc_max, cot_prc_med, cot_prc_mediana) VALUES (1, 39, NULL, NULL, NULL, NULL, NULL);</v>
      </c>
    </row>
    <row r="40" customFormat="false" ht="14.25" hidden="false" customHeight="false" outlineLevel="0" collapsed="false">
      <c r="A40" s="1" t="n">
        <v>39</v>
      </c>
      <c r="B40" s="1" t="n">
        <v>1</v>
      </c>
      <c r="C40" s="1" t="n">
        <v>40</v>
      </c>
      <c r="D40" s="1" t="str">
        <f aca="false">IF('Boletins Nuppa Site'!G40&lt;&gt;0,'Boletins Nuppa Site'!G40,"NULL")</f>
        <v>NULL</v>
      </c>
      <c r="E40" s="1" t="str">
        <f aca="false">IF('Boletins Nuppa Site'!H40&lt;&gt;0,'Boletins Nuppa Site'!H40,"NULL")</f>
        <v>NULL</v>
      </c>
      <c r="F40" s="1" t="str">
        <f aca="false">IF('Boletins Nuppa Site'!I40&lt;&gt;0,'Boletins Nuppa Site'!I40,"NULL")</f>
        <v>NULL</v>
      </c>
      <c r="G40" s="1" t="str">
        <f aca="false">IF('Boletins Nuppa Site'!J40&lt;&gt;0,'Boletins Nuppa Site'!J40,"NULL")</f>
        <v>NULL</v>
      </c>
      <c r="H40" s="1" t="str">
        <f aca="false">IF('Boletins Nuppa Site'!K40&lt;&gt;0,'Boletins Nuppa Site'!K40,"NULL")</f>
        <v>NULL</v>
      </c>
      <c r="J40" s="1" t="str">
        <f aca="false">"INSERT INTO COTACAO (blt_id, pap_id, cot_prc_comum, cot_prc_min, cot_prc_max, cot_prc_med, cot_prc_mediana) VALUES ("&amp;B40&amp;", "&amp;C40&amp;", "&amp;D40&amp;", "&amp;E40&amp;", "&amp;F40&amp;", "&amp;G40&amp;", "&amp;H40&amp;");"</f>
        <v>INSERT INTO COTACAO (blt_id, pap_id, cot_prc_comum, cot_prc_min, cot_prc_max, cot_prc_med, cot_prc_mediana) VALUES (1, 40, NULL, NULL, NULL, NULL, NULL);</v>
      </c>
    </row>
    <row r="41" customFormat="false" ht="14.25" hidden="false" customHeight="false" outlineLevel="0" collapsed="false">
      <c r="A41" s="1" t="n">
        <v>40</v>
      </c>
      <c r="B41" s="1" t="n">
        <v>2</v>
      </c>
      <c r="C41" s="1" t="n">
        <v>1</v>
      </c>
      <c r="D41" s="16" t="n">
        <f aca="false">IF('Boletins Nuppa Site'!G41&lt;&gt;0,'Boletins Nuppa Site'!G41,"NULL")</f>
        <v>42</v>
      </c>
      <c r="E41" s="16" t="n">
        <f aca="false">IF('Boletins Nuppa Site'!H41&lt;&gt;0,'Boletins Nuppa Site'!H41,"NULL")</f>
        <v>42</v>
      </c>
      <c r="F41" s="16" t="n">
        <f aca="false">IF('Boletins Nuppa Site'!I41&lt;&gt;0,'Boletins Nuppa Site'!I41,"NULL")</f>
        <v>42</v>
      </c>
      <c r="G41" s="16" t="n">
        <f aca="false">IF('Boletins Nuppa Site'!J41&lt;&gt;0,'Boletins Nuppa Site'!J41,"NULL")</f>
        <v>42</v>
      </c>
      <c r="H41" s="16" t="n">
        <f aca="false">IF('Boletins Nuppa Site'!K41&lt;&gt;0,'Boletins Nuppa Site'!K41,"NULL")</f>
        <v>42</v>
      </c>
      <c r="J41" s="1" t="str">
        <f aca="false">"INSERT INTO COTACAO (blt_id, pap_id, cot_prc_comum, cot_prc_min, cot_prc_max, cot_prc_med, cot_prc_mediana) VALUES ("&amp;B41&amp;", "&amp;C41&amp;", "&amp;D41&amp;", "&amp;E41&amp;", "&amp;F41&amp;", "&amp;G41&amp;", "&amp;H41&amp;");"</f>
        <v>INSERT INTO COTACAO (blt_id, pap_id, cot_prc_comum, cot_prc_min, cot_prc_max, cot_prc_med, cot_prc_mediana) VALUES (2, 1, 42, 42, 42, 42, 42);</v>
      </c>
    </row>
    <row r="42" customFormat="false" ht="14.25" hidden="false" customHeight="false" outlineLevel="0" collapsed="false">
      <c r="A42" s="1" t="n">
        <v>41</v>
      </c>
      <c r="B42" s="1" t="n">
        <v>2</v>
      </c>
      <c r="C42" s="1" t="n">
        <v>2</v>
      </c>
      <c r="D42" s="16" t="n">
        <f aca="false">IF('Boletins Nuppa Site'!G42&lt;&gt;0,'Boletins Nuppa Site'!G42,"NULL")</f>
        <v>60</v>
      </c>
      <c r="E42" s="16" t="n">
        <f aca="false">IF('Boletins Nuppa Site'!H42&lt;&gt;0,'Boletins Nuppa Site'!H42,"NULL")</f>
        <v>60</v>
      </c>
      <c r="F42" s="16" t="n">
        <f aca="false">IF('Boletins Nuppa Site'!I42&lt;&gt;0,'Boletins Nuppa Site'!I42,"NULL")</f>
        <v>60</v>
      </c>
      <c r="G42" s="16" t="n">
        <f aca="false">IF('Boletins Nuppa Site'!J42&lt;&gt;0,'Boletins Nuppa Site'!J42,"NULL")</f>
        <v>60</v>
      </c>
      <c r="H42" s="16" t="n">
        <f aca="false">IF('Boletins Nuppa Site'!K42&lt;&gt;0,'Boletins Nuppa Site'!K42,"NULL")</f>
        <v>60</v>
      </c>
      <c r="J42" s="1" t="str">
        <f aca="false">"INSERT INTO COTACAO (blt_id, pap_id, cot_prc_comum, cot_prc_min, cot_prc_max, cot_prc_med, cot_prc_mediana) VALUES ("&amp;B42&amp;", "&amp;C42&amp;", "&amp;D42&amp;", "&amp;E42&amp;", "&amp;F42&amp;", "&amp;G42&amp;", "&amp;H42&amp;");"</f>
        <v>INSERT INTO COTACAO (blt_id, pap_id, cot_prc_comum, cot_prc_min, cot_prc_max, cot_prc_med, cot_prc_mediana) VALUES (2, 2, 60, 60, 60, 60, 60);</v>
      </c>
    </row>
    <row r="43" customFormat="false" ht="14.25" hidden="false" customHeight="false" outlineLevel="0" collapsed="false">
      <c r="A43" s="1" t="n">
        <v>42</v>
      </c>
      <c r="B43" s="1" t="n">
        <v>2</v>
      </c>
      <c r="C43" s="1" t="n">
        <v>3</v>
      </c>
      <c r="D43" s="16" t="n">
        <f aca="false">IF('Boletins Nuppa Site'!G43&lt;&gt;0,'Boletins Nuppa Site'!G43,"NULL")</f>
        <v>30</v>
      </c>
      <c r="E43" s="16" t="n">
        <f aca="false">IF('Boletins Nuppa Site'!H43&lt;&gt;0,'Boletins Nuppa Site'!H43,"NULL")</f>
        <v>30</v>
      </c>
      <c r="F43" s="16" t="n">
        <f aca="false">IF('Boletins Nuppa Site'!I43&lt;&gt;0,'Boletins Nuppa Site'!I43,"NULL")</f>
        <v>36</v>
      </c>
      <c r="G43" s="16" t="n">
        <f aca="false">IF('Boletins Nuppa Site'!J43&lt;&gt;0,'Boletins Nuppa Site'!J43,"NULL")</f>
        <v>32</v>
      </c>
      <c r="H43" s="16" t="n">
        <f aca="false">IF('Boletins Nuppa Site'!K43&lt;&gt;0,'Boletins Nuppa Site'!K43,"NULL")</f>
        <v>30</v>
      </c>
      <c r="J43" s="1" t="str">
        <f aca="false">"INSERT INTO COTACAO (blt_id, pap_id, cot_prc_comum, cot_prc_min, cot_prc_max, cot_prc_med, cot_prc_mediana) VALUES ("&amp;B43&amp;", "&amp;C43&amp;", "&amp;D43&amp;", "&amp;E43&amp;", "&amp;F43&amp;", "&amp;G43&amp;", "&amp;H43&amp;");"</f>
        <v>INSERT INTO COTACAO (blt_id, pap_id, cot_prc_comum, cot_prc_min, cot_prc_max, cot_prc_med, cot_prc_mediana) VALUES (2, 3, 30, 30, 36, 32, 30);</v>
      </c>
    </row>
    <row r="44" customFormat="false" ht="14.25" hidden="false" customHeight="false" outlineLevel="0" collapsed="false">
      <c r="A44" s="1" t="n">
        <v>43</v>
      </c>
      <c r="B44" s="1" t="n">
        <v>2</v>
      </c>
      <c r="C44" s="1" t="n">
        <v>4</v>
      </c>
      <c r="D44" s="16" t="n">
        <f aca="false">IF('Boletins Nuppa Site'!G44&lt;&gt;0,'Boletins Nuppa Site'!G44,"NULL")</f>
        <v>24</v>
      </c>
      <c r="E44" s="16" t="n">
        <f aca="false">IF('Boletins Nuppa Site'!H44&lt;&gt;0,'Boletins Nuppa Site'!H44,"NULL")</f>
        <v>18</v>
      </c>
      <c r="F44" s="16" t="n">
        <f aca="false">IF('Boletins Nuppa Site'!I44&lt;&gt;0,'Boletins Nuppa Site'!I44,"NULL")</f>
        <v>24</v>
      </c>
      <c r="G44" s="1" t="str">
        <f aca="false">IF('Boletins Nuppa Site'!J44&lt;&gt;0,'Boletins Nuppa Site'!J44,"NULL")</f>
        <v>21.5</v>
      </c>
      <c r="H44" s="16" t="n">
        <f aca="false">IF('Boletins Nuppa Site'!K44&lt;&gt;0,'Boletins Nuppa Site'!K44,"NULL")</f>
        <v>22</v>
      </c>
      <c r="J44" s="1" t="str">
        <f aca="false">"INSERT INTO COTACAO (blt_id, pap_id, cot_prc_comum, cot_prc_min, cot_prc_max, cot_prc_med, cot_prc_mediana) VALUES ("&amp;B44&amp;", "&amp;C44&amp;", "&amp;D44&amp;", "&amp;E44&amp;", "&amp;F44&amp;", "&amp;G44&amp;", "&amp;H44&amp;");"</f>
        <v>INSERT INTO COTACAO (blt_id, pap_id, cot_prc_comum, cot_prc_min, cot_prc_max, cot_prc_med, cot_prc_mediana) VALUES (2, 4, 24, 18, 24, 21.5, 22);</v>
      </c>
    </row>
    <row r="45" customFormat="false" ht="14.25" hidden="false" customHeight="false" outlineLevel="0" collapsed="false">
      <c r="A45" s="1" t="n">
        <v>44</v>
      </c>
      <c r="B45" s="1" t="n">
        <v>2</v>
      </c>
      <c r="C45" s="1" t="n">
        <v>5</v>
      </c>
      <c r="D45" s="1" t="str">
        <f aca="false">IF('Boletins Nuppa Site'!G45&lt;&gt;0,'Boletins Nuppa Site'!G45,"NULL")</f>
        <v>NULL</v>
      </c>
      <c r="E45" s="16" t="n">
        <f aca="false">IF('Boletins Nuppa Site'!H45&lt;&gt;0,'Boletins Nuppa Site'!H45,"NULL")</f>
        <v>15</v>
      </c>
      <c r="F45" s="16" t="n">
        <f aca="false">IF('Boletins Nuppa Site'!I45&lt;&gt;0,'Boletins Nuppa Site'!I45,"NULL")</f>
        <v>24</v>
      </c>
      <c r="G45" s="16" t="n">
        <f aca="false">IF('Boletins Nuppa Site'!J45&lt;&gt;0,'Boletins Nuppa Site'!J45,"NULL")</f>
        <v>19</v>
      </c>
      <c r="H45" s="16" t="n">
        <f aca="false">IF('Boletins Nuppa Site'!K45&lt;&gt;0,'Boletins Nuppa Site'!K45,"NULL")</f>
        <v>18</v>
      </c>
      <c r="J45" s="1" t="str">
        <f aca="false">"INSERT INTO COTACAO (blt_id, pap_id, cot_prc_comum, cot_prc_min, cot_prc_max, cot_prc_med, cot_prc_mediana) VALUES ("&amp;B45&amp;", "&amp;C45&amp;", "&amp;D45&amp;", "&amp;E45&amp;", "&amp;F45&amp;", "&amp;G45&amp;", "&amp;H45&amp;");"</f>
        <v>INSERT INTO COTACAO (blt_id, pap_id, cot_prc_comum, cot_prc_min, cot_prc_max, cot_prc_med, cot_prc_mediana) VALUES (2, 5, NULL, 15, 24, 19, 18);</v>
      </c>
    </row>
    <row r="46" customFormat="false" ht="14.25" hidden="false" customHeight="false" outlineLevel="0" collapsed="false">
      <c r="A46" s="1" t="n">
        <v>45</v>
      </c>
      <c r="B46" s="1" t="n">
        <v>2</v>
      </c>
      <c r="C46" s="1" t="n">
        <v>6</v>
      </c>
      <c r="D46" s="1" t="str">
        <f aca="false">IF('Boletins Nuppa Site'!G46&lt;&gt;0,'Boletins Nuppa Site'!G46,"NULL")</f>
        <v>NULL</v>
      </c>
      <c r="E46" s="16" t="n">
        <f aca="false">IF('Boletins Nuppa Site'!H46&lt;&gt;0,'Boletins Nuppa Site'!H46,"NULL")</f>
        <v>42</v>
      </c>
      <c r="F46" s="16" t="n">
        <f aca="false">IF('Boletins Nuppa Site'!I46&lt;&gt;0,'Boletins Nuppa Site'!I46,"NULL")</f>
        <v>48</v>
      </c>
      <c r="G46" s="16" t="n">
        <f aca="false">IF('Boletins Nuppa Site'!J46&lt;&gt;0,'Boletins Nuppa Site'!J46,"NULL")</f>
        <v>45</v>
      </c>
      <c r="H46" s="16" t="n">
        <f aca="false">IF('Boletins Nuppa Site'!K46&lt;&gt;0,'Boletins Nuppa Site'!K46,"NULL")</f>
        <v>45</v>
      </c>
      <c r="J46" s="1" t="str">
        <f aca="false">"INSERT INTO COTACAO (blt_id, pap_id, cot_prc_comum, cot_prc_min, cot_prc_max, cot_prc_med, cot_prc_mediana) VALUES ("&amp;B46&amp;", "&amp;C46&amp;", "&amp;D46&amp;", "&amp;E46&amp;", "&amp;F46&amp;", "&amp;G46&amp;", "&amp;H46&amp;");"</f>
        <v>INSERT INTO COTACAO (blt_id, pap_id, cot_prc_comum, cot_prc_min, cot_prc_max, cot_prc_med, cot_prc_mediana) VALUES (2, 6, NULL, 42, 48, 45, 45);</v>
      </c>
    </row>
    <row r="47" customFormat="false" ht="14.25" hidden="false" customHeight="false" outlineLevel="0" collapsed="false">
      <c r="A47" s="1" t="n">
        <v>46</v>
      </c>
      <c r="B47" s="1" t="n">
        <v>2</v>
      </c>
      <c r="C47" s="1" t="n">
        <v>7</v>
      </c>
      <c r="D47" s="1" t="str">
        <f aca="false">IF('Boletins Nuppa Site'!G47&lt;&gt;0,'Boletins Nuppa Site'!G47,"NULL")</f>
        <v>NULL</v>
      </c>
      <c r="E47" s="16" t="n">
        <f aca="false">IF('Boletins Nuppa Site'!H47&lt;&gt;0,'Boletins Nuppa Site'!H47,"NULL")</f>
        <v>66</v>
      </c>
      <c r="F47" s="16" t="n">
        <f aca="false">IF('Boletins Nuppa Site'!I47&lt;&gt;0,'Boletins Nuppa Site'!I47,"NULL")</f>
        <v>72</v>
      </c>
      <c r="G47" s="16" t="n">
        <f aca="false">IF('Boletins Nuppa Site'!J47&lt;&gt;0,'Boletins Nuppa Site'!J47,"NULL")</f>
        <v>69</v>
      </c>
      <c r="H47" s="16" t="n">
        <f aca="false">IF('Boletins Nuppa Site'!K47&lt;&gt;0,'Boletins Nuppa Site'!K47,"NULL")</f>
        <v>69</v>
      </c>
      <c r="J47" s="1" t="str">
        <f aca="false">"INSERT INTO COTACAO (blt_id, pap_id, cot_prc_comum, cot_prc_min, cot_prc_max, cot_prc_med, cot_prc_mediana) VALUES ("&amp;B47&amp;", "&amp;C47&amp;", "&amp;D47&amp;", "&amp;E47&amp;", "&amp;F47&amp;", "&amp;G47&amp;", "&amp;H47&amp;");"</f>
        <v>INSERT INTO COTACAO (blt_id, pap_id, cot_prc_comum, cot_prc_min, cot_prc_max, cot_prc_med, cot_prc_mediana) VALUES (2, 7, NULL, 66, 72, 69, 69);</v>
      </c>
    </row>
    <row r="48" customFormat="false" ht="14.25" hidden="false" customHeight="false" outlineLevel="0" collapsed="false">
      <c r="A48" s="1" t="n">
        <v>47</v>
      </c>
      <c r="B48" s="1" t="n">
        <v>2</v>
      </c>
      <c r="C48" s="1" t="n">
        <v>8</v>
      </c>
      <c r="D48" s="1" t="str">
        <f aca="false">IF('Boletins Nuppa Site'!G48&lt;&gt;0,'Boletins Nuppa Site'!G48,"NULL")</f>
        <v>NULL</v>
      </c>
      <c r="E48" s="16" t="n">
        <f aca="false">IF('Boletins Nuppa Site'!H48&lt;&gt;0,'Boletins Nuppa Site'!H48,"NULL")</f>
        <v>48</v>
      </c>
      <c r="F48" s="16" t="n">
        <f aca="false">IF('Boletins Nuppa Site'!I48&lt;&gt;0,'Boletins Nuppa Site'!I48,"NULL")</f>
        <v>72</v>
      </c>
      <c r="G48" s="16" t="n">
        <f aca="false">IF('Boletins Nuppa Site'!J48&lt;&gt;0,'Boletins Nuppa Site'!J48,"NULL")</f>
        <v>60</v>
      </c>
      <c r="H48" s="16" t="n">
        <f aca="false">IF('Boletins Nuppa Site'!K48&lt;&gt;0,'Boletins Nuppa Site'!K48,"NULL")</f>
        <v>60</v>
      </c>
      <c r="J48" s="1" t="str">
        <f aca="false">"INSERT INTO COTACAO (blt_id, pap_id, cot_prc_comum, cot_prc_min, cot_prc_max, cot_prc_med, cot_prc_mediana) VALUES ("&amp;B48&amp;", "&amp;C48&amp;", "&amp;D48&amp;", "&amp;E48&amp;", "&amp;F48&amp;", "&amp;G48&amp;", "&amp;H48&amp;");"</f>
        <v>INSERT INTO COTACAO (blt_id, pap_id, cot_prc_comum, cot_prc_min, cot_prc_max, cot_prc_med, cot_prc_mediana) VALUES (2, 8, NULL, 48, 72, 60, 60);</v>
      </c>
    </row>
    <row r="49" customFormat="false" ht="14.25" hidden="false" customHeight="false" outlineLevel="0" collapsed="false">
      <c r="A49" s="1" t="n">
        <v>48</v>
      </c>
      <c r="B49" s="1" t="n">
        <v>2</v>
      </c>
      <c r="C49" s="1" t="n">
        <v>9</v>
      </c>
      <c r="D49" s="1" t="str">
        <f aca="false">IF('Boletins Nuppa Site'!G49&lt;&gt;0,'Boletins Nuppa Site'!G49,"NULL")</f>
        <v>NULL</v>
      </c>
      <c r="E49" s="16" t="n">
        <f aca="false">IF('Boletins Nuppa Site'!H49&lt;&gt;0,'Boletins Nuppa Site'!H49,"NULL")</f>
        <v>15</v>
      </c>
      <c r="F49" s="16" t="n">
        <f aca="false">IF('Boletins Nuppa Site'!I49&lt;&gt;0,'Boletins Nuppa Site'!I49,"NULL")</f>
        <v>24</v>
      </c>
      <c r="G49" s="16" t="n">
        <f aca="false">IF('Boletins Nuppa Site'!J49&lt;&gt;0,'Boletins Nuppa Site'!J49,"NULL")</f>
        <v>19</v>
      </c>
      <c r="H49" s="16" t="n">
        <f aca="false">IF('Boletins Nuppa Site'!K49&lt;&gt;0,'Boletins Nuppa Site'!K49,"NULL")</f>
        <v>18</v>
      </c>
      <c r="J49" s="1" t="str">
        <f aca="false">"INSERT INTO COTACAO (blt_id, pap_id, cot_prc_comum, cot_prc_min, cot_prc_max, cot_prc_med, cot_prc_mediana) VALUES ("&amp;B49&amp;", "&amp;C49&amp;", "&amp;D49&amp;", "&amp;E49&amp;", "&amp;F49&amp;", "&amp;G49&amp;", "&amp;H49&amp;");"</f>
        <v>INSERT INTO COTACAO (blt_id, pap_id, cot_prc_comum, cot_prc_min, cot_prc_max, cot_prc_med, cot_prc_mediana) VALUES (2, 9, NULL, 15, 24, 19, 18);</v>
      </c>
    </row>
    <row r="50" customFormat="false" ht="14.25" hidden="false" customHeight="false" outlineLevel="0" collapsed="false">
      <c r="A50" s="1" t="n">
        <v>49</v>
      </c>
      <c r="B50" s="1" t="n">
        <v>2</v>
      </c>
      <c r="C50" s="1" t="n">
        <v>10</v>
      </c>
      <c r="D50" s="16" t="n">
        <f aca="false">IF('Boletins Nuppa Site'!G50&lt;&gt;0,'Boletins Nuppa Site'!G50,"NULL")</f>
        <v>60</v>
      </c>
      <c r="E50" s="16" t="n">
        <f aca="false">IF('Boletins Nuppa Site'!H50&lt;&gt;0,'Boletins Nuppa Site'!H50,"NULL")</f>
        <v>60</v>
      </c>
      <c r="F50" s="16" t="n">
        <f aca="false">IF('Boletins Nuppa Site'!I50&lt;&gt;0,'Boletins Nuppa Site'!I50,"NULL")</f>
        <v>66</v>
      </c>
      <c r="G50" s="16" t="n">
        <f aca="false">IF('Boletins Nuppa Site'!J50&lt;&gt;0,'Boletins Nuppa Site'!J50,"NULL")</f>
        <v>62</v>
      </c>
      <c r="H50" s="16" t="n">
        <f aca="false">IF('Boletins Nuppa Site'!K50&lt;&gt;0,'Boletins Nuppa Site'!K50,"NULL")</f>
        <v>60</v>
      </c>
      <c r="J50" s="1" t="str">
        <f aca="false">"INSERT INTO COTACAO (blt_id, pap_id, cot_prc_comum, cot_prc_min, cot_prc_max, cot_prc_med, cot_prc_mediana) VALUES ("&amp;B50&amp;", "&amp;C50&amp;", "&amp;D50&amp;", "&amp;E50&amp;", "&amp;F50&amp;", "&amp;G50&amp;", "&amp;H50&amp;");"</f>
        <v>INSERT INTO COTACAO (blt_id, pap_id, cot_prc_comum, cot_prc_min, cot_prc_max, cot_prc_med, cot_prc_mediana) VALUES (2, 10, 60, 60, 66, 62, 60);</v>
      </c>
    </row>
    <row r="51" customFormat="false" ht="14.25" hidden="false" customHeight="false" outlineLevel="0" collapsed="false">
      <c r="A51" s="1" t="n">
        <v>50</v>
      </c>
      <c r="B51" s="1" t="n">
        <v>2</v>
      </c>
      <c r="C51" s="1" t="n">
        <v>11</v>
      </c>
      <c r="D51" s="1" t="str">
        <f aca="false">IF('Boletins Nuppa Site'!G51&lt;&gt;0,'Boletins Nuppa Site'!G51,"NULL")</f>
        <v>NULL</v>
      </c>
      <c r="E51" s="16" t="n">
        <f aca="false">IF('Boletins Nuppa Site'!H51&lt;&gt;0,'Boletins Nuppa Site'!H51,"NULL")</f>
        <v>15</v>
      </c>
      <c r="F51" s="16" t="n">
        <f aca="false">IF('Boletins Nuppa Site'!I51&lt;&gt;0,'Boletins Nuppa Site'!I51,"NULL")</f>
        <v>24</v>
      </c>
      <c r="G51" s="16" t="n">
        <f aca="false">IF('Boletins Nuppa Site'!J51&lt;&gt;0,'Boletins Nuppa Site'!J51,"NULL")</f>
        <v>19</v>
      </c>
      <c r="H51" s="16" t="n">
        <f aca="false">IF('Boletins Nuppa Site'!K51&lt;&gt;0,'Boletins Nuppa Site'!K51,"NULL")</f>
        <v>18</v>
      </c>
      <c r="J51" s="1" t="str">
        <f aca="false">"INSERT INTO COTACAO (blt_id, pap_id, cot_prc_comum, cot_prc_min, cot_prc_max, cot_prc_med, cot_prc_mediana) VALUES ("&amp;B51&amp;", "&amp;C51&amp;", "&amp;D51&amp;", "&amp;E51&amp;", "&amp;F51&amp;", "&amp;G51&amp;", "&amp;H51&amp;");"</f>
        <v>INSERT INTO COTACAO (blt_id, pap_id, cot_prc_comum, cot_prc_min, cot_prc_max, cot_prc_med, cot_prc_mediana) VALUES (2, 11, NULL, 15, 24, 19, 18);</v>
      </c>
    </row>
    <row r="52" customFormat="false" ht="14.25" hidden="false" customHeight="false" outlineLevel="0" collapsed="false">
      <c r="A52" s="1" t="n">
        <v>51</v>
      </c>
      <c r="B52" s="1" t="n">
        <v>2</v>
      </c>
      <c r="C52" s="1" t="n">
        <v>12</v>
      </c>
      <c r="D52" s="1" t="str">
        <f aca="false">IF('Boletins Nuppa Site'!G52&lt;&gt;0,'Boletins Nuppa Site'!G52,"NULL")</f>
        <v>NULL</v>
      </c>
      <c r="E52" s="16" t="n">
        <f aca="false">IF('Boletins Nuppa Site'!H52&lt;&gt;0,'Boletins Nuppa Site'!H52,"NULL")</f>
        <v>54</v>
      </c>
      <c r="F52" s="16" t="n">
        <f aca="false">IF('Boletins Nuppa Site'!I52&lt;&gt;0,'Boletins Nuppa Site'!I52,"NULL")</f>
        <v>60</v>
      </c>
      <c r="G52" s="16" t="n">
        <f aca="false">IF('Boletins Nuppa Site'!J52&lt;&gt;0,'Boletins Nuppa Site'!J52,"NULL")</f>
        <v>57</v>
      </c>
      <c r="H52" s="16" t="n">
        <f aca="false">IF('Boletins Nuppa Site'!K52&lt;&gt;0,'Boletins Nuppa Site'!K52,"NULL")</f>
        <v>57</v>
      </c>
      <c r="J52" s="1" t="str">
        <f aca="false">"INSERT INTO COTACAO (blt_id, pap_id, cot_prc_comum, cot_prc_min, cot_prc_max, cot_prc_med, cot_prc_mediana) VALUES ("&amp;B52&amp;", "&amp;C52&amp;", "&amp;D52&amp;", "&amp;E52&amp;", "&amp;F52&amp;", "&amp;G52&amp;", "&amp;H52&amp;");"</f>
        <v>INSERT INTO COTACAO (blt_id, pap_id, cot_prc_comum, cot_prc_min, cot_prc_max, cot_prc_med, cot_prc_mediana) VALUES (2, 12, NULL, 54, 60, 57, 57);</v>
      </c>
    </row>
    <row r="53" customFormat="false" ht="14.25" hidden="false" customHeight="false" outlineLevel="0" collapsed="false">
      <c r="A53" s="1" t="n">
        <v>52</v>
      </c>
      <c r="B53" s="1" t="n">
        <v>2</v>
      </c>
      <c r="C53" s="1" t="n">
        <v>13</v>
      </c>
      <c r="D53" s="1" t="str">
        <f aca="false">IF('Boletins Nuppa Site'!G53&lt;&gt;0,'Boletins Nuppa Site'!G53,"NULL")</f>
        <v>NULL</v>
      </c>
      <c r="E53" s="16" t="n">
        <f aca="false">IF('Boletins Nuppa Site'!H53&lt;&gt;0,'Boletins Nuppa Site'!H53,"NULL")</f>
        <v>54</v>
      </c>
      <c r="F53" s="16" t="n">
        <f aca="false">IF('Boletins Nuppa Site'!I53&lt;&gt;0,'Boletins Nuppa Site'!I53,"NULL")</f>
        <v>60</v>
      </c>
      <c r="G53" s="16" t="n">
        <f aca="false">IF('Boletins Nuppa Site'!J53&lt;&gt;0,'Boletins Nuppa Site'!J53,"NULL")</f>
        <v>57</v>
      </c>
      <c r="H53" s="16" t="n">
        <f aca="false">IF('Boletins Nuppa Site'!K53&lt;&gt;0,'Boletins Nuppa Site'!K53,"NULL")</f>
        <v>57</v>
      </c>
      <c r="J53" s="1" t="str">
        <f aca="false">"INSERT INTO COTACAO (blt_id, pap_id, cot_prc_comum, cot_prc_min, cot_prc_max, cot_prc_med, cot_prc_mediana) VALUES ("&amp;B53&amp;", "&amp;C53&amp;", "&amp;D53&amp;", "&amp;E53&amp;", "&amp;F53&amp;", "&amp;G53&amp;", "&amp;H53&amp;");"</f>
        <v>INSERT INTO COTACAO (blt_id, pap_id, cot_prc_comum, cot_prc_min, cot_prc_max, cot_prc_med, cot_prc_mediana) VALUES (2, 13, NULL, 54, 60, 57, 57);</v>
      </c>
    </row>
    <row r="54" customFormat="false" ht="14.25" hidden="false" customHeight="false" outlineLevel="0" collapsed="false">
      <c r="A54" s="1" t="n">
        <v>53</v>
      </c>
      <c r="B54" s="1" t="n">
        <v>2</v>
      </c>
      <c r="C54" s="1" t="n">
        <v>14</v>
      </c>
      <c r="D54" s="1" t="str">
        <f aca="false">IF('Boletins Nuppa Site'!G54&lt;&gt;0,'Boletins Nuppa Site'!G54,"NULL")</f>
        <v>NULL</v>
      </c>
      <c r="E54" s="16" t="n">
        <f aca="false">IF('Boletins Nuppa Site'!H54&lt;&gt;0,'Boletins Nuppa Site'!H54,"NULL")</f>
        <v>30</v>
      </c>
      <c r="F54" s="16" t="n">
        <f aca="false">IF('Boletins Nuppa Site'!I54&lt;&gt;0,'Boletins Nuppa Site'!I54,"NULL")</f>
        <v>60</v>
      </c>
      <c r="G54" s="16" t="n">
        <f aca="false">IF('Boletins Nuppa Site'!J54&lt;&gt;0,'Boletins Nuppa Site'!J54,"NULL")</f>
        <v>42</v>
      </c>
      <c r="H54" s="16" t="n">
        <f aca="false">IF('Boletins Nuppa Site'!K54&lt;&gt;0,'Boletins Nuppa Site'!K54,"NULL")</f>
        <v>36</v>
      </c>
      <c r="J54" s="1" t="str">
        <f aca="false">"INSERT INTO COTACAO (blt_id, pap_id, cot_prc_comum, cot_prc_min, cot_prc_max, cot_prc_med, cot_prc_mediana) VALUES ("&amp;B54&amp;", "&amp;C54&amp;", "&amp;D54&amp;", "&amp;E54&amp;", "&amp;F54&amp;", "&amp;G54&amp;", "&amp;H54&amp;");"</f>
        <v>INSERT INTO COTACAO (blt_id, pap_id, cot_prc_comum, cot_prc_min, cot_prc_max, cot_prc_med, cot_prc_mediana) VALUES (2, 14, NULL, 30, 60, 42, 36);</v>
      </c>
    </row>
    <row r="55" customFormat="false" ht="14.25" hidden="false" customHeight="false" outlineLevel="0" collapsed="false">
      <c r="A55" s="1" t="n">
        <v>54</v>
      </c>
      <c r="B55" s="1" t="n">
        <v>2</v>
      </c>
      <c r="C55" s="1" t="n">
        <v>15</v>
      </c>
      <c r="D55" s="1" t="str">
        <f aca="false">IF('Boletins Nuppa Site'!G55&lt;&gt;0,'Boletins Nuppa Site'!G55,"NULL")</f>
        <v>NULL</v>
      </c>
      <c r="E55" s="16" t="n">
        <f aca="false">IF('Boletins Nuppa Site'!H55&lt;&gt;0,'Boletins Nuppa Site'!H55,"NULL")</f>
        <v>20</v>
      </c>
      <c r="F55" s="16" t="n">
        <f aca="false">IF('Boletins Nuppa Site'!I55&lt;&gt;0,'Boletins Nuppa Site'!I55,"NULL")</f>
        <v>36</v>
      </c>
      <c r="G55" s="16" t="n">
        <f aca="false">IF('Boletins Nuppa Site'!J55&lt;&gt;0,'Boletins Nuppa Site'!J55,"NULL")</f>
        <v>27</v>
      </c>
      <c r="H55" s="16" t="n">
        <f aca="false">IF('Boletins Nuppa Site'!K55&lt;&gt;0,'Boletins Nuppa Site'!K55,"NULL")</f>
        <v>25</v>
      </c>
      <c r="J55" s="1" t="str">
        <f aca="false">"INSERT INTO COTACAO (blt_id, pap_id, cot_prc_comum, cot_prc_min, cot_prc_max, cot_prc_med, cot_prc_mediana) VALUES ("&amp;B55&amp;", "&amp;C55&amp;", "&amp;D55&amp;", "&amp;E55&amp;", "&amp;F55&amp;", "&amp;G55&amp;", "&amp;H55&amp;");"</f>
        <v>INSERT INTO COTACAO (blt_id, pap_id, cot_prc_comum, cot_prc_min, cot_prc_max, cot_prc_med, cot_prc_mediana) VALUES (2, 15, NULL, 20, 36, 27, 25);</v>
      </c>
    </row>
    <row r="56" customFormat="false" ht="14.25" hidden="false" customHeight="false" outlineLevel="0" collapsed="false">
      <c r="A56" s="1" t="n">
        <v>55</v>
      </c>
      <c r="B56" s="1" t="n">
        <v>2</v>
      </c>
      <c r="C56" s="1" t="n">
        <v>16</v>
      </c>
      <c r="D56" s="16" t="n">
        <f aca="false">IF('Boletins Nuppa Site'!G56&lt;&gt;0,'Boletins Nuppa Site'!G56,"NULL")</f>
        <v>42</v>
      </c>
      <c r="E56" s="16" t="n">
        <f aca="false">IF('Boletins Nuppa Site'!H56&lt;&gt;0,'Boletins Nuppa Site'!H56,"NULL")</f>
        <v>36</v>
      </c>
      <c r="F56" s="16" t="n">
        <f aca="false">IF('Boletins Nuppa Site'!I56&lt;&gt;0,'Boletins Nuppa Site'!I56,"NULL")</f>
        <v>42</v>
      </c>
      <c r="G56" s="16" t="n">
        <f aca="false">IF('Boletins Nuppa Site'!J56&lt;&gt;0,'Boletins Nuppa Site'!J56,"NULL")</f>
        <v>40</v>
      </c>
      <c r="H56" s="16" t="n">
        <f aca="false">IF('Boletins Nuppa Site'!K56&lt;&gt;0,'Boletins Nuppa Site'!K56,"NULL")</f>
        <v>42</v>
      </c>
      <c r="J56" s="1" t="str">
        <f aca="false">"INSERT INTO COTACAO (blt_id, pap_id, cot_prc_comum, cot_prc_min, cot_prc_max, cot_prc_med, cot_prc_mediana) VALUES ("&amp;B56&amp;", "&amp;C56&amp;", "&amp;D56&amp;", "&amp;E56&amp;", "&amp;F56&amp;", "&amp;G56&amp;", "&amp;H56&amp;");"</f>
        <v>INSERT INTO COTACAO (blt_id, pap_id, cot_prc_comum, cot_prc_min, cot_prc_max, cot_prc_med, cot_prc_mediana) VALUES (2, 16, 42, 36, 42, 40, 42);</v>
      </c>
    </row>
    <row r="57" customFormat="false" ht="14.25" hidden="false" customHeight="false" outlineLevel="0" collapsed="false">
      <c r="A57" s="1" t="n">
        <v>56</v>
      </c>
      <c r="B57" s="1" t="n">
        <v>2</v>
      </c>
      <c r="C57" s="1" t="n">
        <v>17</v>
      </c>
      <c r="D57" s="16" t="n">
        <f aca="false">IF('Boletins Nuppa Site'!G57&lt;&gt;0,'Boletins Nuppa Site'!G57,"NULL")</f>
        <v>4</v>
      </c>
      <c r="E57" s="1" t="str">
        <f aca="false">IF('Boletins Nuppa Site'!H57&lt;&gt;0,'Boletins Nuppa Site'!H57,"NULL")</f>
        <v>3.5</v>
      </c>
      <c r="F57" s="16" t="n">
        <f aca="false">IF('Boletins Nuppa Site'!I57&lt;&gt;0,'Boletins Nuppa Site'!I57,"NULL")</f>
        <v>5</v>
      </c>
      <c r="G57" s="1" t="str">
        <f aca="false">IF('Boletins Nuppa Site'!J57&lt;&gt;0,'Boletins Nuppa Site'!J57,"NULL")</f>
        <v>4.13</v>
      </c>
      <c r="H57" s="16" t="n">
        <f aca="false">IF('Boletins Nuppa Site'!K57&lt;&gt;0,'Boletins Nuppa Site'!K57,"NULL")</f>
        <v>4</v>
      </c>
      <c r="J57" s="1" t="str">
        <f aca="false">"INSERT INTO COTACAO (blt_id, pap_id, cot_prc_comum, cot_prc_min, cot_prc_max, cot_prc_med, cot_prc_mediana) VALUES ("&amp;B57&amp;", "&amp;C57&amp;", "&amp;D57&amp;", "&amp;E57&amp;", "&amp;F57&amp;", "&amp;G57&amp;", "&amp;H57&amp;");"</f>
        <v>INSERT INTO COTACAO (blt_id, pap_id, cot_prc_comum, cot_prc_min, cot_prc_max, cot_prc_med, cot_prc_mediana) VALUES (2, 17, 4, 3.5, 5, 4.13, 4);</v>
      </c>
    </row>
    <row r="58" customFormat="false" ht="14.25" hidden="false" customHeight="false" outlineLevel="0" collapsed="false">
      <c r="A58" s="1" t="n">
        <v>57</v>
      </c>
      <c r="B58" s="1" t="n">
        <v>2</v>
      </c>
      <c r="C58" s="1" t="n">
        <v>18</v>
      </c>
      <c r="D58" s="16" t="n">
        <f aca="false">IF('Boletins Nuppa Site'!G58&lt;&gt;0,'Boletins Nuppa Site'!G58,"NULL")</f>
        <v>20</v>
      </c>
      <c r="E58" s="16" t="n">
        <f aca="false">IF('Boletins Nuppa Site'!H58&lt;&gt;0,'Boletins Nuppa Site'!H58,"NULL")</f>
        <v>20</v>
      </c>
      <c r="F58" s="16" t="n">
        <f aca="false">IF('Boletins Nuppa Site'!I58&lt;&gt;0,'Boletins Nuppa Site'!I58,"NULL")</f>
        <v>25</v>
      </c>
      <c r="G58" s="16" t="n">
        <f aca="false">IF('Boletins Nuppa Site'!J58&lt;&gt;0,'Boletins Nuppa Site'!J58,"NULL")</f>
        <v>21</v>
      </c>
      <c r="H58" s="16" t="n">
        <f aca="false">IF('Boletins Nuppa Site'!K58&lt;&gt;0,'Boletins Nuppa Site'!K58,"NULL")</f>
        <v>20</v>
      </c>
      <c r="J58" s="1" t="str">
        <f aca="false">"INSERT INTO COTACAO (blt_id, pap_id, cot_prc_comum, cot_prc_min, cot_prc_max, cot_prc_med, cot_prc_mediana) VALUES ("&amp;B58&amp;", "&amp;C58&amp;", "&amp;D58&amp;", "&amp;E58&amp;", "&amp;F58&amp;", "&amp;G58&amp;", "&amp;H58&amp;");"</f>
        <v>INSERT INTO COTACAO (blt_id, pap_id, cot_prc_comum, cot_prc_min, cot_prc_max, cot_prc_med, cot_prc_mediana) VALUES (2, 18, 20, 20, 25, 21, 20);</v>
      </c>
    </row>
    <row r="59" customFormat="false" ht="14.25" hidden="false" customHeight="false" outlineLevel="0" collapsed="false">
      <c r="A59" s="1" t="n">
        <v>58</v>
      </c>
      <c r="B59" s="1" t="n">
        <v>2</v>
      </c>
      <c r="C59" s="1" t="n">
        <v>19</v>
      </c>
      <c r="D59" s="16" t="n">
        <f aca="false">IF('Boletins Nuppa Site'!G59&lt;&gt;0,'Boletins Nuppa Site'!G59,"NULL")</f>
        <v>20</v>
      </c>
      <c r="E59" s="16" t="n">
        <f aca="false">IF('Boletins Nuppa Site'!H59&lt;&gt;0,'Boletins Nuppa Site'!H59,"NULL")</f>
        <v>20</v>
      </c>
      <c r="F59" s="16" t="n">
        <f aca="false">IF('Boletins Nuppa Site'!I59&lt;&gt;0,'Boletins Nuppa Site'!I59,"NULL")</f>
        <v>25</v>
      </c>
      <c r="G59" s="1" t="str">
        <f aca="false">IF('Boletins Nuppa Site'!J59&lt;&gt;0,'Boletins Nuppa Site'!J59,"NULL")</f>
        <v>22.5</v>
      </c>
      <c r="H59" s="1" t="str">
        <f aca="false">IF('Boletins Nuppa Site'!K59&lt;&gt;0,'Boletins Nuppa Site'!K59,"NULL")</f>
        <v>22.5</v>
      </c>
      <c r="J59" s="1" t="str">
        <f aca="false">"INSERT INTO COTACAO (blt_id, pap_id, cot_prc_comum, cot_prc_min, cot_prc_max, cot_prc_med, cot_prc_mediana) VALUES ("&amp;B59&amp;", "&amp;C59&amp;", "&amp;D59&amp;", "&amp;E59&amp;", "&amp;F59&amp;", "&amp;G59&amp;", "&amp;H59&amp;");"</f>
        <v>INSERT INTO COTACAO (blt_id, pap_id, cot_prc_comum, cot_prc_min, cot_prc_max, cot_prc_med, cot_prc_mediana) VALUES (2, 19, 20, 20, 25, 22.5, 22.5);</v>
      </c>
    </row>
    <row r="60" customFormat="false" ht="14.25" hidden="false" customHeight="false" outlineLevel="0" collapsed="false">
      <c r="A60" s="1" t="n">
        <v>59</v>
      </c>
      <c r="B60" s="1" t="n">
        <v>2</v>
      </c>
      <c r="C60" s="1" t="n">
        <v>21</v>
      </c>
      <c r="D60" s="16" t="n">
        <f aca="false">IF('Boletins Nuppa Site'!G60&lt;&gt;0,'Boletins Nuppa Site'!G60,"NULL")</f>
        <v>100</v>
      </c>
      <c r="E60" s="16" t="n">
        <f aca="false">IF('Boletins Nuppa Site'!H60&lt;&gt;0,'Boletins Nuppa Site'!H60,"NULL")</f>
        <v>80</v>
      </c>
      <c r="F60" s="16" t="n">
        <f aca="false">IF('Boletins Nuppa Site'!I60&lt;&gt;0,'Boletins Nuppa Site'!I60,"NULL")</f>
        <v>100</v>
      </c>
      <c r="G60" s="1" t="str">
        <f aca="false">IF('Boletins Nuppa Site'!J60&lt;&gt;0,'Boletins Nuppa Site'!J60,"NULL")</f>
        <v>95.71</v>
      </c>
      <c r="H60" s="16" t="n">
        <f aca="false">IF('Boletins Nuppa Site'!K60&lt;&gt;0,'Boletins Nuppa Site'!K60,"NULL")</f>
        <v>100</v>
      </c>
      <c r="J60" s="1" t="str">
        <f aca="false">"INSERT INTO COTACAO (blt_id, pap_id, cot_prc_comum, cot_prc_min, cot_prc_max, cot_prc_med, cot_prc_mediana) VALUES ("&amp;B60&amp;", "&amp;C60&amp;", "&amp;D60&amp;", "&amp;E60&amp;", "&amp;F60&amp;", "&amp;G60&amp;", "&amp;H60&amp;");"</f>
        <v>INSERT INTO COTACAO (blt_id, pap_id, cot_prc_comum, cot_prc_min, cot_prc_max, cot_prc_med, cot_prc_mediana) VALUES (2, 21, 100, 80, 100, 95.71, 100);</v>
      </c>
    </row>
    <row r="61" customFormat="false" ht="14.25" hidden="false" customHeight="false" outlineLevel="0" collapsed="false">
      <c r="A61" s="1" t="n">
        <v>60</v>
      </c>
      <c r="B61" s="1" t="n">
        <v>2</v>
      </c>
      <c r="C61" s="1" t="n">
        <v>22</v>
      </c>
      <c r="D61" s="1" t="str">
        <f aca="false">IF('Boletins Nuppa Site'!G61&lt;&gt;0,'Boletins Nuppa Site'!G61,"NULL")</f>
        <v>NULL</v>
      </c>
      <c r="E61" s="16" t="n">
        <f aca="false">IF('Boletins Nuppa Site'!H61&lt;&gt;0,'Boletins Nuppa Site'!H61,"NULL")</f>
        <v>40</v>
      </c>
      <c r="F61" s="16" t="n">
        <f aca="false">IF('Boletins Nuppa Site'!I61&lt;&gt;0,'Boletins Nuppa Site'!I61,"NULL")</f>
        <v>65</v>
      </c>
      <c r="G61" s="1" t="str">
        <f aca="false">IF('Boletins Nuppa Site'!J61&lt;&gt;0,'Boletins Nuppa Site'!J61,"NULL")</f>
        <v>52.5</v>
      </c>
      <c r="H61" s="1" t="str">
        <f aca="false">IF('Boletins Nuppa Site'!K61&lt;&gt;0,'Boletins Nuppa Site'!K61,"NULL")</f>
        <v>52.5</v>
      </c>
      <c r="J61" s="1" t="str">
        <f aca="false">"INSERT INTO COTACAO (blt_id, pap_id, cot_prc_comum, cot_prc_min, cot_prc_max, cot_prc_med, cot_prc_mediana) VALUES ("&amp;B61&amp;", "&amp;C61&amp;", "&amp;D61&amp;", "&amp;E61&amp;", "&amp;F61&amp;", "&amp;G61&amp;", "&amp;H61&amp;");"</f>
        <v>INSERT INTO COTACAO (blt_id, pap_id, cot_prc_comum, cot_prc_min, cot_prc_max, cot_prc_med, cot_prc_mediana) VALUES (2, 22, NULL, 40, 65, 52.5, 52.5);</v>
      </c>
    </row>
    <row r="62" customFormat="false" ht="14.25" hidden="false" customHeight="false" outlineLevel="0" collapsed="false">
      <c r="A62" s="1" t="n">
        <v>61</v>
      </c>
      <c r="B62" s="1" t="n">
        <v>2</v>
      </c>
      <c r="C62" s="1" t="n">
        <v>23</v>
      </c>
      <c r="D62" s="16" t="n">
        <f aca="false">IF('Boletins Nuppa Site'!G62&lt;&gt;0,'Boletins Nuppa Site'!G62,"NULL")</f>
        <v>50</v>
      </c>
      <c r="E62" s="16" t="n">
        <f aca="false">IF('Boletins Nuppa Site'!H62&lt;&gt;0,'Boletins Nuppa Site'!H62,"NULL")</f>
        <v>45</v>
      </c>
      <c r="F62" s="16" t="n">
        <f aca="false">IF('Boletins Nuppa Site'!I62&lt;&gt;0,'Boletins Nuppa Site'!I62,"NULL")</f>
        <v>55</v>
      </c>
      <c r="G62" s="16" t="n">
        <f aca="false">IF('Boletins Nuppa Site'!J62&lt;&gt;0,'Boletins Nuppa Site'!J62,"NULL")</f>
        <v>50</v>
      </c>
      <c r="H62" s="16" t="n">
        <f aca="false">IF('Boletins Nuppa Site'!K62&lt;&gt;0,'Boletins Nuppa Site'!K62,"NULL")</f>
        <v>50</v>
      </c>
      <c r="J62" s="1" t="str">
        <f aca="false">"INSERT INTO COTACAO (blt_id, pap_id, cot_prc_comum, cot_prc_min, cot_prc_max, cot_prc_med, cot_prc_mediana) VALUES ("&amp;B62&amp;", "&amp;C62&amp;", "&amp;D62&amp;", "&amp;E62&amp;", "&amp;F62&amp;", "&amp;G62&amp;", "&amp;H62&amp;");"</f>
        <v>INSERT INTO COTACAO (blt_id, pap_id, cot_prc_comum, cot_prc_min, cot_prc_max, cot_prc_med, cot_prc_mediana) VALUES (2, 23, 50, 45, 55, 50, 50);</v>
      </c>
    </row>
    <row r="63" customFormat="false" ht="14.25" hidden="false" customHeight="false" outlineLevel="0" collapsed="false">
      <c r="A63" s="1" t="n">
        <v>62</v>
      </c>
      <c r="B63" s="1" t="n">
        <v>2</v>
      </c>
      <c r="C63" s="1" t="n">
        <v>24</v>
      </c>
      <c r="D63" s="1" t="str">
        <f aca="false">IF('Boletins Nuppa Site'!G63&lt;&gt;0,'Boletins Nuppa Site'!G63,"NULL")</f>
        <v>NULL</v>
      </c>
      <c r="E63" s="1" t="str">
        <f aca="false">IF('Boletins Nuppa Site'!H63&lt;&gt;0,'Boletins Nuppa Site'!H63,"NULL")</f>
        <v>NULL</v>
      </c>
      <c r="F63" s="1" t="str">
        <f aca="false">IF('Boletins Nuppa Site'!I63&lt;&gt;0,'Boletins Nuppa Site'!I63,"NULL")</f>
        <v>NULL</v>
      </c>
      <c r="G63" s="1" t="str">
        <f aca="false">IF('Boletins Nuppa Site'!J63&lt;&gt;0,'Boletins Nuppa Site'!J63,"NULL")</f>
        <v>NULL</v>
      </c>
      <c r="H63" s="1" t="str">
        <f aca="false">IF('Boletins Nuppa Site'!K63&lt;&gt;0,'Boletins Nuppa Site'!K63,"NULL")</f>
        <v>NULL</v>
      </c>
      <c r="J63" s="1" t="str">
        <f aca="false">"INSERT INTO COTACAO (blt_id, pap_id, cot_prc_comum, cot_prc_min, cot_prc_max, cot_prc_med, cot_prc_mediana) VALUES ("&amp;B63&amp;", "&amp;C63&amp;", "&amp;D63&amp;", "&amp;E63&amp;", "&amp;F63&amp;", "&amp;G63&amp;", "&amp;H63&amp;");"</f>
        <v>INSERT INTO COTACAO (blt_id, pap_id, cot_prc_comum, cot_prc_min, cot_prc_max, cot_prc_med, cot_prc_mediana) VALUES (2, 24, NULL, NULL, NULL, NULL, NULL);</v>
      </c>
    </row>
    <row r="64" customFormat="false" ht="14.25" hidden="false" customHeight="false" outlineLevel="0" collapsed="false">
      <c r="A64" s="1" t="n">
        <v>63</v>
      </c>
      <c r="B64" s="1" t="n">
        <v>2</v>
      </c>
      <c r="C64" s="1" t="n">
        <v>25</v>
      </c>
      <c r="D64" s="16" t="n">
        <f aca="false">IF('Boletins Nuppa Site'!G64&lt;&gt;0,'Boletins Nuppa Site'!G64,"NULL")</f>
        <v>50</v>
      </c>
      <c r="E64" s="16" t="n">
        <f aca="false">IF('Boletins Nuppa Site'!H64&lt;&gt;0,'Boletins Nuppa Site'!H64,"NULL")</f>
        <v>50</v>
      </c>
      <c r="F64" s="16" t="n">
        <f aca="false">IF('Boletins Nuppa Site'!I64&lt;&gt;0,'Boletins Nuppa Site'!I64,"NULL")</f>
        <v>60</v>
      </c>
      <c r="G64" s="16" t="n">
        <f aca="false">IF('Boletins Nuppa Site'!J64&lt;&gt;0,'Boletins Nuppa Site'!J64,"NULL")</f>
        <v>55</v>
      </c>
      <c r="H64" s="16" t="n">
        <f aca="false">IF('Boletins Nuppa Site'!K64&lt;&gt;0,'Boletins Nuppa Site'!K64,"NULL")</f>
        <v>55</v>
      </c>
      <c r="J64" s="1" t="str">
        <f aca="false">"INSERT INTO COTACAO (blt_id, pap_id, cot_prc_comum, cot_prc_min, cot_prc_max, cot_prc_med, cot_prc_mediana) VALUES ("&amp;B64&amp;", "&amp;C64&amp;", "&amp;D64&amp;", "&amp;E64&amp;", "&amp;F64&amp;", "&amp;G64&amp;", "&amp;H64&amp;");"</f>
        <v>INSERT INTO COTACAO (blt_id, pap_id, cot_prc_comum, cot_prc_min, cot_prc_max, cot_prc_med, cot_prc_mediana) VALUES (2, 25, 50, 50, 60, 55, 55);</v>
      </c>
    </row>
    <row r="65" customFormat="false" ht="14.25" hidden="false" customHeight="false" outlineLevel="0" collapsed="false">
      <c r="A65" s="1" t="n">
        <v>64</v>
      </c>
      <c r="B65" s="1" t="n">
        <v>2</v>
      </c>
      <c r="C65" s="1" t="n">
        <v>26</v>
      </c>
      <c r="D65" s="16" t="n">
        <f aca="false">IF('Boletins Nuppa Site'!G65&lt;&gt;0,'Boletins Nuppa Site'!G65,"NULL")</f>
        <v>50</v>
      </c>
      <c r="E65" s="16" t="n">
        <f aca="false">IF('Boletins Nuppa Site'!H65&lt;&gt;0,'Boletins Nuppa Site'!H65,"NULL")</f>
        <v>40</v>
      </c>
      <c r="F65" s="16" t="n">
        <f aca="false">IF('Boletins Nuppa Site'!I65&lt;&gt;0,'Boletins Nuppa Site'!I65,"NULL")</f>
        <v>75</v>
      </c>
      <c r="G65" s="1" t="str">
        <f aca="false">IF('Boletins Nuppa Site'!J65&lt;&gt;0,'Boletins Nuppa Site'!J65,"NULL")</f>
        <v>56.67</v>
      </c>
      <c r="H65" s="1" t="str">
        <f aca="false">IF('Boletins Nuppa Site'!K65&lt;&gt;0,'Boletins Nuppa Site'!K65,"NULL")</f>
        <v>52.5</v>
      </c>
      <c r="J65" s="1" t="str">
        <f aca="false">"INSERT INTO COTACAO (blt_id, pap_id, cot_prc_comum, cot_prc_min, cot_prc_max, cot_prc_med, cot_prc_mediana) VALUES ("&amp;B65&amp;", "&amp;C65&amp;", "&amp;D65&amp;", "&amp;E65&amp;", "&amp;F65&amp;", "&amp;G65&amp;", "&amp;H65&amp;");"</f>
        <v>INSERT INTO COTACAO (blt_id, pap_id, cot_prc_comum, cot_prc_min, cot_prc_max, cot_prc_med, cot_prc_mediana) VALUES (2, 26, 50, 40, 75, 56.67, 52.5);</v>
      </c>
    </row>
    <row r="66" customFormat="false" ht="14.25" hidden="false" customHeight="false" outlineLevel="0" collapsed="false">
      <c r="A66" s="1" t="n">
        <v>65</v>
      </c>
      <c r="B66" s="1" t="n">
        <v>2</v>
      </c>
      <c r="C66" s="1" t="n">
        <v>27</v>
      </c>
      <c r="D66" s="16" t="n">
        <f aca="false">IF('Boletins Nuppa Site'!G66&lt;&gt;0,'Boletins Nuppa Site'!G66,"NULL")</f>
        <v>70</v>
      </c>
      <c r="E66" s="16" t="n">
        <f aca="false">IF('Boletins Nuppa Site'!H66&lt;&gt;0,'Boletins Nuppa Site'!H66,"NULL")</f>
        <v>50</v>
      </c>
      <c r="F66" s="16" t="n">
        <f aca="false">IF('Boletins Nuppa Site'!I66&lt;&gt;0,'Boletins Nuppa Site'!I66,"NULL")</f>
        <v>90</v>
      </c>
      <c r="G66" s="1" t="str">
        <f aca="false">IF('Boletins Nuppa Site'!J66&lt;&gt;0,'Boletins Nuppa Site'!J66,"NULL")</f>
        <v>71.43</v>
      </c>
      <c r="H66" s="16" t="n">
        <f aca="false">IF('Boletins Nuppa Site'!K66&lt;&gt;0,'Boletins Nuppa Site'!K66,"NULL")</f>
        <v>70</v>
      </c>
      <c r="J66" s="1" t="str">
        <f aca="false">"INSERT INTO COTACAO (blt_id, pap_id, cot_prc_comum, cot_prc_min, cot_prc_max, cot_prc_med, cot_prc_mediana) VALUES ("&amp;B66&amp;", "&amp;C66&amp;", "&amp;D66&amp;", "&amp;E66&amp;", "&amp;F66&amp;", "&amp;G66&amp;", "&amp;H66&amp;");"</f>
        <v>INSERT INTO COTACAO (blt_id, pap_id, cot_prc_comum, cot_prc_min, cot_prc_max, cot_prc_med, cot_prc_mediana) VALUES (2, 27, 70, 50, 90, 71.43, 70);</v>
      </c>
    </row>
    <row r="67" customFormat="false" ht="14.25" hidden="false" customHeight="false" outlineLevel="0" collapsed="false">
      <c r="A67" s="1" t="n">
        <v>66</v>
      </c>
      <c r="B67" s="1" t="n">
        <v>2</v>
      </c>
      <c r="C67" s="1" t="n">
        <v>28</v>
      </c>
      <c r="D67" s="1" t="str">
        <f aca="false">IF('Boletins Nuppa Site'!G67&lt;&gt;0,'Boletins Nuppa Site'!G67,"NULL")</f>
        <v>NULL</v>
      </c>
      <c r="E67" s="16" t="n">
        <f aca="false">IF('Boletins Nuppa Site'!H67&lt;&gt;0,'Boletins Nuppa Site'!H67,"NULL")</f>
        <v>60</v>
      </c>
      <c r="F67" s="16" t="n">
        <f aca="false">IF('Boletins Nuppa Site'!I67&lt;&gt;0,'Boletins Nuppa Site'!I67,"NULL")</f>
        <v>65</v>
      </c>
      <c r="G67" s="1" t="str">
        <f aca="false">IF('Boletins Nuppa Site'!J67&lt;&gt;0,'Boletins Nuppa Site'!J67,"NULL")</f>
        <v>62.5</v>
      </c>
      <c r="H67" s="1" t="str">
        <f aca="false">IF('Boletins Nuppa Site'!K67&lt;&gt;0,'Boletins Nuppa Site'!K67,"NULL")</f>
        <v>62.5</v>
      </c>
      <c r="J67" s="1" t="str">
        <f aca="false">"INSERT INTO COTACAO (blt_id, pap_id, cot_prc_comum, cot_prc_min, cot_prc_max, cot_prc_med, cot_prc_mediana) VALUES ("&amp;B67&amp;", "&amp;C67&amp;", "&amp;D67&amp;", "&amp;E67&amp;", "&amp;F67&amp;", "&amp;G67&amp;", "&amp;H67&amp;");"</f>
        <v>INSERT INTO COTACAO (blt_id, pap_id, cot_prc_comum, cot_prc_min, cot_prc_max, cot_prc_med, cot_prc_mediana) VALUES (2, 28, NULL, 60, 65, 62.5, 62.5);</v>
      </c>
    </row>
    <row r="68" customFormat="false" ht="14.25" hidden="false" customHeight="false" outlineLevel="0" collapsed="false">
      <c r="A68" s="1" t="n">
        <v>67</v>
      </c>
      <c r="B68" s="1" t="n">
        <v>2</v>
      </c>
      <c r="C68" s="1" t="n">
        <v>29</v>
      </c>
      <c r="D68" s="1" t="str">
        <f aca="false">IF('Boletins Nuppa Site'!G68&lt;&gt;0,'Boletins Nuppa Site'!G68,"NULL")</f>
        <v>NULL</v>
      </c>
      <c r="E68" s="16" t="n">
        <f aca="false">IF('Boletins Nuppa Site'!H68&lt;&gt;0,'Boletins Nuppa Site'!H68,"NULL")</f>
        <v>60</v>
      </c>
      <c r="F68" s="16" t="n">
        <f aca="false">IF('Boletins Nuppa Site'!I68&lt;&gt;0,'Boletins Nuppa Site'!I68,"NULL")</f>
        <v>65</v>
      </c>
      <c r="G68" s="1" t="str">
        <f aca="false">IF('Boletins Nuppa Site'!J68&lt;&gt;0,'Boletins Nuppa Site'!J68,"NULL")</f>
        <v>62.5</v>
      </c>
      <c r="H68" s="1" t="str">
        <f aca="false">IF('Boletins Nuppa Site'!K68&lt;&gt;0,'Boletins Nuppa Site'!K68,"NULL")</f>
        <v>62.5</v>
      </c>
      <c r="J68" s="1" t="str">
        <f aca="false">"INSERT INTO COTACAO (blt_id, pap_id, cot_prc_comum, cot_prc_min, cot_prc_max, cot_prc_med, cot_prc_mediana) VALUES ("&amp;B68&amp;", "&amp;C68&amp;", "&amp;D68&amp;", "&amp;E68&amp;", "&amp;F68&amp;", "&amp;G68&amp;", "&amp;H68&amp;");"</f>
        <v>INSERT INTO COTACAO (blt_id, pap_id, cot_prc_comum, cot_prc_min, cot_prc_max, cot_prc_med, cot_prc_mediana) VALUES (2, 29, NULL, 60, 65, 62.5, 62.5);</v>
      </c>
    </row>
    <row r="69" customFormat="false" ht="14.25" hidden="false" customHeight="false" outlineLevel="0" collapsed="false">
      <c r="A69" s="1" t="n">
        <v>68</v>
      </c>
      <c r="B69" s="1" t="n">
        <v>2</v>
      </c>
      <c r="C69" s="1" t="n">
        <v>30</v>
      </c>
      <c r="D69" s="16" t="n">
        <f aca="false">IF('Boletins Nuppa Site'!G69&lt;&gt;0,'Boletins Nuppa Site'!G69,"NULL")</f>
        <v>60</v>
      </c>
      <c r="E69" s="16" t="n">
        <f aca="false">IF('Boletins Nuppa Site'!H69&lt;&gt;0,'Boletins Nuppa Site'!H69,"NULL")</f>
        <v>50</v>
      </c>
      <c r="F69" s="16" t="n">
        <f aca="false">IF('Boletins Nuppa Site'!I69&lt;&gt;0,'Boletins Nuppa Site'!I69,"NULL")</f>
        <v>60</v>
      </c>
      <c r="G69" s="1" t="str">
        <f aca="false">IF('Boletins Nuppa Site'!J69&lt;&gt;0,'Boletins Nuppa Site'!J69,"NULL")</f>
        <v>57.5</v>
      </c>
      <c r="H69" s="16" t="n">
        <f aca="false">IF('Boletins Nuppa Site'!K69&lt;&gt;0,'Boletins Nuppa Site'!K69,"NULL")</f>
        <v>60</v>
      </c>
      <c r="J69" s="1" t="str">
        <f aca="false">"INSERT INTO COTACAO (blt_id, pap_id, cot_prc_comum, cot_prc_min, cot_prc_max, cot_prc_med, cot_prc_mediana) VALUES ("&amp;B69&amp;", "&amp;C69&amp;", "&amp;D69&amp;", "&amp;E69&amp;", "&amp;F69&amp;", "&amp;G69&amp;", "&amp;H69&amp;");"</f>
        <v>INSERT INTO COTACAO (blt_id, pap_id, cot_prc_comum, cot_prc_min, cot_prc_max, cot_prc_med, cot_prc_mediana) VALUES (2, 30, 60, 50, 60, 57.5, 60);</v>
      </c>
    </row>
    <row r="70" customFormat="false" ht="14.25" hidden="false" customHeight="false" outlineLevel="0" collapsed="false">
      <c r="A70" s="1" t="n">
        <v>69</v>
      </c>
      <c r="B70" s="1" t="n">
        <v>2</v>
      </c>
      <c r="C70" s="1" t="n">
        <v>31</v>
      </c>
      <c r="D70" s="16" t="n">
        <f aca="false">IF('Boletins Nuppa Site'!G70&lt;&gt;0,'Boletins Nuppa Site'!G70,"NULL")</f>
        <v>70</v>
      </c>
      <c r="E70" s="16" t="n">
        <f aca="false">IF('Boletins Nuppa Site'!H70&lt;&gt;0,'Boletins Nuppa Site'!H70,"NULL")</f>
        <v>70</v>
      </c>
      <c r="F70" s="16" t="n">
        <f aca="false">IF('Boletins Nuppa Site'!I70&lt;&gt;0,'Boletins Nuppa Site'!I70,"NULL")</f>
        <v>80</v>
      </c>
      <c r="G70" s="16" t="n">
        <f aca="false">IF('Boletins Nuppa Site'!J70&lt;&gt;0,'Boletins Nuppa Site'!J70,"NULL")</f>
        <v>73</v>
      </c>
      <c r="H70" s="16" t="n">
        <f aca="false">IF('Boletins Nuppa Site'!K70&lt;&gt;0,'Boletins Nuppa Site'!K70,"NULL")</f>
        <v>70</v>
      </c>
      <c r="J70" s="1" t="str">
        <f aca="false">"INSERT INTO COTACAO (blt_id, pap_id, cot_prc_comum, cot_prc_min, cot_prc_max, cot_prc_med, cot_prc_mediana) VALUES ("&amp;B70&amp;", "&amp;C70&amp;", "&amp;D70&amp;", "&amp;E70&amp;", "&amp;F70&amp;", "&amp;G70&amp;", "&amp;H70&amp;");"</f>
        <v>INSERT INTO COTACAO (blt_id, pap_id, cot_prc_comum, cot_prc_min, cot_prc_max, cot_prc_med, cot_prc_mediana) VALUES (2, 31, 70, 70, 80, 73, 70);</v>
      </c>
    </row>
    <row r="71" customFormat="false" ht="14.25" hidden="false" customHeight="false" outlineLevel="0" collapsed="false">
      <c r="A71" s="1" t="n">
        <v>70</v>
      </c>
      <c r="B71" s="1" t="n">
        <v>2</v>
      </c>
      <c r="C71" s="1" t="n">
        <v>32</v>
      </c>
      <c r="D71" s="16" t="n">
        <f aca="false">IF('Boletins Nuppa Site'!G71&lt;&gt;0,'Boletins Nuppa Site'!G71,"NULL")</f>
        <v>40</v>
      </c>
      <c r="E71" s="16" t="n">
        <f aca="false">IF('Boletins Nuppa Site'!H71&lt;&gt;0,'Boletins Nuppa Site'!H71,"NULL")</f>
        <v>30</v>
      </c>
      <c r="F71" s="16" t="n">
        <f aca="false">IF('Boletins Nuppa Site'!I71&lt;&gt;0,'Boletins Nuppa Site'!I71,"NULL")</f>
        <v>50</v>
      </c>
      <c r="G71" s="1" t="str">
        <f aca="false">IF('Boletins Nuppa Site'!J71&lt;&gt;0,'Boletins Nuppa Site'!J71,"NULL")</f>
        <v>39.38</v>
      </c>
      <c r="H71" s="16" t="n">
        <f aca="false">IF('Boletins Nuppa Site'!K71&lt;&gt;0,'Boletins Nuppa Site'!K71,"NULL")</f>
        <v>40</v>
      </c>
      <c r="J71" s="1" t="str">
        <f aca="false">"INSERT INTO COTACAO (blt_id, pap_id, cot_prc_comum, cot_prc_min, cot_prc_max, cot_prc_med, cot_prc_mediana) VALUES ("&amp;B71&amp;", "&amp;C71&amp;", "&amp;D71&amp;", "&amp;E71&amp;", "&amp;F71&amp;", "&amp;G71&amp;", "&amp;H71&amp;");"</f>
        <v>INSERT INTO COTACAO (blt_id, pap_id, cot_prc_comum, cot_prc_min, cot_prc_max, cot_prc_med, cot_prc_mediana) VALUES (2, 32, 40, 30, 50, 39.38, 40);</v>
      </c>
    </row>
    <row r="72" customFormat="false" ht="14.25" hidden="false" customHeight="false" outlineLevel="0" collapsed="false">
      <c r="A72" s="1" t="n">
        <v>71</v>
      </c>
      <c r="B72" s="1" t="n">
        <v>2</v>
      </c>
      <c r="C72" s="1" t="n">
        <v>33</v>
      </c>
      <c r="D72" s="16" t="n">
        <f aca="false">IF('Boletins Nuppa Site'!G72&lt;&gt;0,'Boletins Nuppa Site'!G72,"NULL")</f>
        <v>70</v>
      </c>
      <c r="E72" s="16" t="n">
        <f aca="false">IF('Boletins Nuppa Site'!H72&lt;&gt;0,'Boletins Nuppa Site'!H72,"NULL")</f>
        <v>70</v>
      </c>
      <c r="F72" s="16" t="n">
        <f aca="false">IF('Boletins Nuppa Site'!I72&lt;&gt;0,'Boletins Nuppa Site'!I72,"NULL")</f>
        <v>130</v>
      </c>
      <c r="G72" s="1" t="str">
        <f aca="false">IF('Boletins Nuppa Site'!J72&lt;&gt;0,'Boletins Nuppa Site'!J72,"NULL")</f>
        <v>102.86</v>
      </c>
      <c r="H72" s="16" t="n">
        <f aca="false">IF('Boletins Nuppa Site'!K72&lt;&gt;0,'Boletins Nuppa Site'!K72,"NULL")</f>
        <v>110</v>
      </c>
      <c r="J72" s="1" t="str">
        <f aca="false">"INSERT INTO COTACAO (blt_id, pap_id, cot_prc_comum, cot_prc_min, cot_prc_max, cot_prc_med, cot_prc_mediana) VALUES ("&amp;B72&amp;", "&amp;C72&amp;", "&amp;D72&amp;", "&amp;E72&amp;", "&amp;F72&amp;", "&amp;G72&amp;", "&amp;H72&amp;");"</f>
        <v>INSERT INTO COTACAO (blt_id, pap_id, cot_prc_comum, cot_prc_min, cot_prc_max, cot_prc_med, cot_prc_mediana) VALUES (2, 33, 70, 70, 130, 102.86, 110);</v>
      </c>
    </row>
    <row r="73" customFormat="false" ht="14.25" hidden="false" customHeight="false" outlineLevel="0" collapsed="false">
      <c r="A73" s="1" t="n">
        <v>72</v>
      </c>
      <c r="B73" s="1" t="n">
        <v>2</v>
      </c>
      <c r="C73" s="1" t="n">
        <v>34</v>
      </c>
      <c r="D73" s="16" t="n">
        <f aca="false">IF('Boletins Nuppa Site'!G73&lt;&gt;0,'Boletins Nuppa Site'!G73,"NULL")</f>
        <v>90</v>
      </c>
      <c r="E73" s="16" t="n">
        <f aca="false">IF('Boletins Nuppa Site'!H73&lt;&gt;0,'Boletins Nuppa Site'!H73,"NULL")</f>
        <v>80</v>
      </c>
      <c r="F73" s="16" t="n">
        <f aca="false">IF('Boletins Nuppa Site'!I73&lt;&gt;0,'Boletins Nuppa Site'!I73,"NULL")</f>
        <v>100</v>
      </c>
      <c r="G73" s="16" t="n">
        <f aca="false">IF('Boletins Nuppa Site'!J73&lt;&gt;0,'Boletins Nuppa Site'!J73,"NULL")</f>
        <v>92</v>
      </c>
      <c r="H73" s="16" t="n">
        <f aca="false">IF('Boletins Nuppa Site'!K73&lt;&gt;0,'Boletins Nuppa Site'!K73,"NULL")</f>
        <v>90</v>
      </c>
      <c r="J73" s="1" t="str">
        <f aca="false">"INSERT INTO COTACAO (blt_id, pap_id, cot_prc_comum, cot_prc_min, cot_prc_max, cot_prc_med, cot_prc_mediana) VALUES ("&amp;B73&amp;", "&amp;C73&amp;", "&amp;D73&amp;", "&amp;E73&amp;", "&amp;F73&amp;", "&amp;G73&amp;", "&amp;H73&amp;");"</f>
        <v>INSERT INTO COTACAO (blt_id, pap_id, cot_prc_comum, cot_prc_min, cot_prc_max, cot_prc_med, cot_prc_mediana) VALUES (2, 34, 90, 80, 100, 92, 90);</v>
      </c>
    </row>
    <row r="74" customFormat="false" ht="14.25" hidden="false" customHeight="false" outlineLevel="0" collapsed="false">
      <c r="A74" s="1" t="n">
        <v>73</v>
      </c>
      <c r="B74" s="1" t="n">
        <v>2</v>
      </c>
      <c r="C74" s="1" t="n">
        <v>35</v>
      </c>
      <c r="D74" s="16" t="n">
        <f aca="false">IF('Boletins Nuppa Site'!G74&lt;&gt;0,'Boletins Nuppa Site'!G74,"NULL")</f>
        <v>100</v>
      </c>
      <c r="E74" s="16" t="n">
        <f aca="false">IF('Boletins Nuppa Site'!H74&lt;&gt;0,'Boletins Nuppa Site'!H74,"NULL")</f>
        <v>100</v>
      </c>
      <c r="F74" s="16" t="n">
        <f aca="false">IF('Boletins Nuppa Site'!I74&lt;&gt;0,'Boletins Nuppa Site'!I74,"NULL")</f>
        <v>130</v>
      </c>
      <c r="G74" s="16" t="n">
        <f aca="false">IF('Boletins Nuppa Site'!J74&lt;&gt;0,'Boletins Nuppa Site'!J74,"NULL")</f>
        <v>108</v>
      </c>
      <c r="H74" s="16" t="n">
        <f aca="false">IF('Boletins Nuppa Site'!K74&lt;&gt;0,'Boletins Nuppa Site'!K74,"NULL")</f>
        <v>100</v>
      </c>
      <c r="J74" s="1" t="str">
        <f aca="false">"INSERT INTO COTACAO (blt_id, pap_id, cot_prc_comum, cot_prc_min, cot_prc_max, cot_prc_med, cot_prc_mediana) VALUES ("&amp;B74&amp;", "&amp;C74&amp;", "&amp;D74&amp;", "&amp;E74&amp;", "&amp;F74&amp;", "&amp;G74&amp;", "&amp;H74&amp;");"</f>
        <v>INSERT INTO COTACAO (blt_id, pap_id, cot_prc_comum, cot_prc_min, cot_prc_max, cot_prc_med, cot_prc_mediana) VALUES (2, 35, 100, 100, 130, 108, 100);</v>
      </c>
    </row>
    <row r="75" customFormat="false" ht="14.25" hidden="false" customHeight="false" outlineLevel="0" collapsed="false">
      <c r="A75" s="1" t="n">
        <v>74</v>
      </c>
      <c r="B75" s="1" t="n">
        <v>2</v>
      </c>
      <c r="C75" s="1" t="n">
        <v>36</v>
      </c>
      <c r="D75" s="1" t="str">
        <f aca="false">IF('Boletins Nuppa Site'!G75&lt;&gt;0,'Boletins Nuppa Site'!G75,"NULL")</f>
        <v>NULL</v>
      </c>
      <c r="E75" s="1" t="str">
        <f aca="false">IF('Boletins Nuppa Site'!H75&lt;&gt;0,'Boletins Nuppa Site'!H75,"NULL")</f>
        <v>NULL</v>
      </c>
      <c r="F75" s="1" t="str">
        <f aca="false">IF('Boletins Nuppa Site'!I75&lt;&gt;0,'Boletins Nuppa Site'!I75,"NULL")</f>
        <v>NULL</v>
      </c>
      <c r="G75" s="1" t="str">
        <f aca="false">IF('Boletins Nuppa Site'!J75&lt;&gt;0,'Boletins Nuppa Site'!J75,"NULL")</f>
        <v>NULL</v>
      </c>
      <c r="H75" s="1" t="str">
        <f aca="false">IF('Boletins Nuppa Site'!K75&lt;&gt;0,'Boletins Nuppa Site'!K75,"NULL")</f>
        <v>NULL</v>
      </c>
      <c r="J75" s="1" t="str">
        <f aca="false">"INSERT INTO COTACAO (blt_id, pap_id, cot_prc_comum, cot_prc_min, cot_prc_max, cot_prc_med, cot_prc_mediana) VALUES ("&amp;B75&amp;", "&amp;C75&amp;", "&amp;D75&amp;", "&amp;E75&amp;", "&amp;F75&amp;", "&amp;G75&amp;", "&amp;H75&amp;");"</f>
        <v>INSERT INTO COTACAO (blt_id, pap_id, cot_prc_comum, cot_prc_min, cot_prc_max, cot_prc_med, cot_prc_mediana) VALUES (2, 36, NULL, NULL, NULL, NULL, NULL);</v>
      </c>
    </row>
    <row r="76" customFormat="false" ht="14.25" hidden="false" customHeight="false" outlineLevel="0" collapsed="false">
      <c r="A76" s="1" t="n">
        <v>75</v>
      </c>
      <c r="B76" s="1" t="n">
        <v>2</v>
      </c>
      <c r="C76" s="1" t="n">
        <v>37</v>
      </c>
      <c r="D76" s="1" t="str">
        <f aca="false">IF('Boletins Nuppa Site'!G76&lt;&gt;0,'Boletins Nuppa Site'!G76,"NULL")</f>
        <v>NULL</v>
      </c>
      <c r="E76" s="1" t="str">
        <f aca="false">IF('Boletins Nuppa Site'!H76&lt;&gt;0,'Boletins Nuppa Site'!H76,"NULL")</f>
        <v>NULL</v>
      </c>
      <c r="F76" s="1" t="str">
        <f aca="false">IF('Boletins Nuppa Site'!I76&lt;&gt;0,'Boletins Nuppa Site'!I76,"NULL")</f>
        <v>NULL</v>
      </c>
      <c r="G76" s="1" t="str">
        <f aca="false">IF('Boletins Nuppa Site'!J76&lt;&gt;0,'Boletins Nuppa Site'!J76,"NULL")</f>
        <v>NULL</v>
      </c>
      <c r="H76" s="1" t="str">
        <f aca="false">IF('Boletins Nuppa Site'!K76&lt;&gt;0,'Boletins Nuppa Site'!K76,"NULL")</f>
        <v>NULL</v>
      </c>
      <c r="J76" s="1" t="str">
        <f aca="false">"INSERT INTO COTACAO (blt_id, pap_id, cot_prc_comum, cot_prc_min, cot_prc_max, cot_prc_med, cot_prc_mediana) VALUES ("&amp;B76&amp;", "&amp;C76&amp;", "&amp;D76&amp;", "&amp;E76&amp;", "&amp;F76&amp;", "&amp;G76&amp;", "&amp;H76&amp;");"</f>
        <v>INSERT INTO COTACAO (blt_id, pap_id, cot_prc_comum, cot_prc_min, cot_prc_max, cot_prc_med, cot_prc_mediana) VALUES (2, 37, NULL, NULL, NULL, NULL, NULL);</v>
      </c>
    </row>
    <row r="77" customFormat="false" ht="14.25" hidden="false" customHeight="false" outlineLevel="0" collapsed="false">
      <c r="A77" s="1" t="n">
        <v>76</v>
      </c>
      <c r="B77" s="1" t="n">
        <v>2</v>
      </c>
      <c r="C77" s="1" t="n">
        <v>38</v>
      </c>
      <c r="D77" s="1" t="str">
        <f aca="false">IF('Boletins Nuppa Site'!G77&lt;&gt;0,'Boletins Nuppa Site'!G77,"NULL")</f>
        <v>NULL</v>
      </c>
      <c r="E77" s="1" t="str">
        <f aca="false">IF('Boletins Nuppa Site'!H77&lt;&gt;0,'Boletins Nuppa Site'!H77,"NULL")</f>
        <v>NULL</v>
      </c>
      <c r="F77" s="1" t="str">
        <f aca="false">IF('Boletins Nuppa Site'!I77&lt;&gt;0,'Boletins Nuppa Site'!I77,"NULL")</f>
        <v>NULL</v>
      </c>
      <c r="G77" s="1" t="str">
        <f aca="false">IF('Boletins Nuppa Site'!J77&lt;&gt;0,'Boletins Nuppa Site'!J77,"NULL")</f>
        <v>NULL</v>
      </c>
      <c r="H77" s="1" t="str">
        <f aca="false">IF('Boletins Nuppa Site'!K77&lt;&gt;0,'Boletins Nuppa Site'!K77,"NULL")</f>
        <v>NULL</v>
      </c>
      <c r="J77" s="1" t="str">
        <f aca="false">"INSERT INTO COTACAO (blt_id, pap_id, cot_prc_comum, cot_prc_min, cot_prc_max, cot_prc_med, cot_prc_mediana) VALUES ("&amp;B77&amp;", "&amp;C77&amp;", "&amp;D77&amp;", "&amp;E77&amp;", "&amp;F77&amp;", "&amp;G77&amp;", "&amp;H77&amp;");"</f>
        <v>INSERT INTO COTACAO (blt_id, pap_id, cot_prc_comum, cot_prc_min, cot_prc_max, cot_prc_med, cot_prc_mediana) VALUES (2, 38, NULL, NULL, NULL, NULL, NULL);</v>
      </c>
    </row>
    <row r="78" customFormat="false" ht="14.25" hidden="false" customHeight="false" outlineLevel="0" collapsed="false">
      <c r="A78" s="1" t="n">
        <v>77</v>
      </c>
      <c r="B78" s="1" t="n">
        <v>2</v>
      </c>
      <c r="C78" s="1" t="n">
        <v>39</v>
      </c>
      <c r="D78" s="1" t="str">
        <f aca="false">IF('Boletins Nuppa Site'!G78&lt;&gt;0,'Boletins Nuppa Site'!G78,"NULL")</f>
        <v>NULL</v>
      </c>
      <c r="E78" s="16" t="n">
        <f aca="false">IF('Boletins Nuppa Site'!H78&lt;&gt;0,'Boletins Nuppa Site'!H78,"NULL")</f>
        <v>28</v>
      </c>
      <c r="F78" s="16" t="n">
        <f aca="false">IF('Boletins Nuppa Site'!I78&lt;&gt;0,'Boletins Nuppa Site'!I78,"NULL")</f>
        <v>28</v>
      </c>
      <c r="G78" s="16" t="n">
        <f aca="false">IF('Boletins Nuppa Site'!J78&lt;&gt;0,'Boletins Nuppa Site'!J78,"NULL")</f>
        <v>28</v>
      </c>
      <c r="H78" s="16" t="n">
        <f aca="false">IF('Boletins Nuppa Site'!K78&lt;&gt;0,'Boletins Nuppa Site'!K78,"NULL")</f>
        <v>28</v>
      </c>
      <c r="J78" s="1" t="str">
        <f aca="false">"INSERT INTO COTACAO (blt_id, pap_id, cot_prc_comum, cot_prc_min, cot_prc_max, cot_prc_med, cot_prc_mediana) VALUES ("&amp;B78&amp;", "&amp;C78&amp;", "&amp;D78&amp;", "&amp;E78&amp;", "&amp;F78&amp;", "&amp;G78&amp;", "&amp;H78&amp;");"</f>
        <v>INSERT INTO COTACAO (blt_id, pap_id, cot_prc_comum, cot_prc_min, cot_prc_max, cot_prc_med, cot_prc_mediana) VALUES (2, 39, NULL, 28, 28, 28, 28);</v>
      </c>
    </row>
    <row r="79" customFormat="false" ht="14.25" hidden="false" customHeight="false" outlineLevel="0" collapsed="false">
      <c r="A79" s="1" t="n">
        <v>78</v>
      </c>
      <c r="B79" s="1" t="n">
        <v>2</v>
      </c>
      <c r="C79" s="1" t="n">
        <v>40</v>
      </c>
      <c r="D79" s="1" t="str">
        <f aca="false">IF('Boletins Nuppa Site'!G79&lt;&gt;0,'Boletins Nuppa Site'!G79,"NULL")</f>
        <v>NULL</v>
      </c>
      <c r="E79" s="1" t="str">
        <f aca="false">IF('Boletins Nuppa Site'!H79&lt;&gt;0,'Boletins Nuppa Site'!H79,"NULL")</f>
        <v>NULL</v>
      </c>
      <c r="F79" s="1" t="str">
        <f aca="false">IF('Boletins Nuppa Site'!I79&lt;&gt;0,'Boletins Nuppa Site'!I79,"NULL")</f>
        <v>NULL</v>
      </c>
      <c r="G79" s="1" t="str">
        <f aca="false">IF('Boletins Nuppa Site'!J79&lt;&gt;0,'Boletins Nuppa Site'!J79,"NULL")</f>
        <v>NULL</v>
      </c>
      <c r="H79" s="1" t="str">
        <f aca="false">IF('Boletins Nuppa Site'!K79&lt;&gt;0,'Boletins Nuppa Site'!K79,"NULL")</f>
        <v>NULL</v>
      </c>
      <c r="J79" s="1" t="str">
        <f aca="false">"INSERT INTO COTACAO (blt_id, pap_id, cot_prc_comum, cot_prc_min, cot_prc_max, cot_prc_med, cot_prc_mediana) VALUES ("&amp;B79&amp;", "&amp;C79&amp;", "&amp;D79&amp;", "&amp;E79&amp;", "&amp;F79&amp;", "&amp;G79&amp;", "&amp;H79&amp;");"</f>
        <v>INSERT INTO COTACAO (blt_id, pap_id, cot_prc_comum, cot_prc_min, cot_prc_max, cot_prc_med, cot_prc_mediana) VALUES (2, 40, NULL, NULL, NULL, NULL, NULL);</v>
      </c>
    </row>
    <row r="80" customFormat="false" ht="14.25" hidden="false" customHeight="false" outlineLevel="0" collapsed="false">
      <c r="A80" s="1" t="n">
        <v>79</v>
      </c>
      <c r="B80" s="1" t="n">
        <v>3</v>
      </c>
      <c r="C80" s="1" t="n">
        <v>1</v>
      </c>
      <c r="D80" s="16" t="n">
        <f aca="false">IF('Boletins Nuppa Site'!G80&lt;&gt;0,'Boletins Nuppa Site'!G80,"NULL")</f>
        <v>42</v>
      </c>
      <c r="E80" s="16" t="n">
        <f aca="false">IF('Boletins Nuppa Site'!H80&lt;&gt;0,'Boletins Nuppa Site'!H80,"NULL")</f>
        <v>42</v>
      </c>
      <c r="F80" s="16" t="n">
        <f aca="false">IF('Boletins Nuppa Site'!I80&lt;&gt;0,'Boletins Nuppa Site'!I80,"NULL")</f>
        <v>42</v>
      </c>
      <c r="G80" s="16" t="n">
        <f aca="false">IF('Boletins Nuppa Site'!J80&lt;&gt;0,'Boletins Nuppa Site'!J80,"NULL")</f>
        <v>42</v>
      </c>
      <c r="H80" s="16" t="n">
        <f aca="false">IF('Boletins Nuppa Site'!K80&lt;&gt;0,'Boletins Nuppa Site'!K80,"NULL")</f>
        <v>42</v>
      </c>
      <c r="J80" s="1" t="str">
        <f aca="false">"INSERT INTO COTACAO (blt_id, pap_id, cot_prc_comum, cot_prc_min, cot_prc_max, cot_prc_med, cot_prc_mediana) VALUES ("&amp;B80&amp;", "&amp;C80&amp;", "&amp;D80&amp;", "&amp;E80&amp;", "&amp;F80&amp;", "&amp;G80&amp;", "&amp;H80&amp;");"</f>
        <v>INSERT INTO COTACAO (blt_id, pap_id, cot_prc_comum, cot_prc_min, cot_prc_max, cot_prc_med, cot_prc_mediana) VALUES (3, 1, 42, 42, 42, 42, 42);</v>
      </c>
    </row>
    <row r="81" customFormat="false" ht="14.25" hidden="false" customHeight="false" outlineLevel="0" collapsed="false">
      <c r="A81" s="1" t="n">
        <v>80</v>
      </c>
      <c r="B81" s="1" t="n">
        <v>3</v>
      </c>
      <c r="C81" s="1" t="n">
        <v>2</v>
      </c>
      <c r="D81" s="16" t="n">
        <f aca="false">IF('Boletins Nuppa Site'!G81&lt;&gt;0,'Boletins Nuppa Site'!G81,"NULL")</f>
        <v>60</v>
      </c>
      <c r="E81" s="16" t="n">
        <f aca="false">IF('Boletins Nuppa Site'!H81&lt;&gt;0,'Boletins Nuppa Site'!H81,"NULL")</f>
        <v>60</v>
      </c>
      <c r="F81" s="16" t="n">
        <f aca="false">IF('Boletins Nuppa Site'!I81&lt;&gt;0,'Boletins Nuppa Site'!I81,"NULL")</f>
        <v>60</v>
      </c>
      <c r="G81" s="16" t="n">
        <f aca="false">IF('Boletins Nuppa Site'!J81&lt;&gt;0,'Boletins Nuppa Site'!J81,"NULL")</f>
        <v>60</v>
      </c>
      <c r="H81" s="16" t="n">
        <f aca="false">IF('Boletins Nuppa Site'!K81&lt;&gt;0,'Boletins Nuppa Site'!K81,"NULL")</f>
        <v>60</v>
      </c>
      <c r="J81" s="1" t="str">
        <f aca="false">"INSERT INTO COTACAO (blt_id, pap_id, cot_prc_comum, cot_prc_min, cot_prc_max, cot_prc_med, cot_prc_mediana) VALUES ("&amp;B81&amp;", "&amp;C81&amp;", "&amp;D81&amp;", "&amp;E81&amp;", "&amp;F81&amp;", "&amp;G81&amp;", "&amp;H81&amp;");"</f>
        <v>INSERT INTO COTACAO (blt_id, pap_id, cot_prc_comum, cot_prc_min, cot_prc_max, cot_prc_med, cot_prc_mediana) VALUES (3, 2, 60, 60, 60, 60, 60);</v>
      </c>
    </row>
    <row r="82" customFormat="false" ht="14.25" hidden="false" customHeight="false" outlineLevel="0" collapsed="false">
      <c r="A82" s="1" t="n">
        <v>81</v>
      </c>
      <c r="B82" s="1" t="n">
        <v>3</v>
      </c>
      <c r="C82" s="1" t="n">
        <v>3</v>
      </c>
      <c r="D82" s="16" t="n">
        <f aca="false">IF('Boletins Nuppa Site'!G82&lt;&gt;0,'Boletins Nuppa Site'!G82,"NULL")</f>
        <v>30</v>
      </c>
      <c r="E82" s="16" t="n">
        <f aca="false">IF('Boletins Nuppa Site'!H82&lt;&gt;0,'Boletins Nuppa Site'!H82,"NULL")</f>
        <v>30</v>
      </c>
      <c r="F82" s="16" t="n">
        <f aca="false">IF('Boletins Nuppa Site'!I82&lt;&gt;0,'Boletins Nuppa Site'!I82,"NULL")</f>
        <v>42</v>
      </c>
      <c r="G82" s="16" t="n">
        <f aca="false">IF('Boletins Nuppa Site'!J82&lt;&gt;0,'Boletins Nuppa Site'!J82,"NULL")</f>
        <v>34</v>
      </c>
      <c r="H82" s="16" t="n">
        <f aca="false">IF('Boletins Nuppa Site'!K82&lt;&gt;0,'Boletins Nuppa Site'!K82,"NULL")</f>
        <v>30</v>
      </c>
      <c r="J82" s="1" t="str">
        <f aca="false">"INSERT INTO COTACAO (blt_id, pap_id, cot_prc_comum, cot_prc_min, cot_prc_max, cot_prc_med, cot_prc_mediana) VALUES ("&amp;B82&amp;", "&amp;C82&amp;", "&amp;D82&amp;", "&amp;E82&amp;", "&amp;F82&amp;", "&amp;G82&amp;", "&amp;H82&amp;");"</f>
        <v>INSERT INTO COTACAO (blt_id, pap_id, cot_prc_comum, cot_prc_min, cot_prc_max, cot_prc_med, cot_prc_mediana) VALUES (3, 3, 30, 30, 42, 34, 30);</v>
      </c>
    </row>
    <row r="83" customFormat="false" ht="14.25" hidden="false" customHeight="false" outlineLevel="0" collapsed="false">
      <c r="A83" s="1" t="n">
        <v>82</v>
      </c>
      <c r="B83" s="1" t="n">
        <v>3</v>
      </c>
      <c r="C83" s="1" t="n">
        <v>4</v>
      </c>
      <c r="D83" s="16" t="n">
        <f aca="false">IF('Boletins Nuppa Site'!G83&lt;&gt;0,'Boletins Nuppa Site'!G83,"NULL")</f>
        <v>24</v>
      </c>
      <c r="E83" s="16" t="n">
        <f aca="false">IF('Boletins Nuppa Site'!H83&lt;&gt;0,'Boletins Nuppa Site'!H83,"NULL")</f>
        <v>20</v>
      </c>
      <c r="F83" s="16" t="n">
        <f aca="false">IF('Boletins Nuppa Site'!I83&lt;&gt;0,'Boletins Nuppa Site'!I83,"NULL")</f>
        <v>24</v>
      </c>
      <c r="G83" s="1" t="str">
        <f aca="false">IF('Boletins Nuppa Site'!J83&lt;&gt;0,'Boletins Nuppa Site'!J83,"NULL")</f>
        <v>22.5</v>
      </c>
      <c r="H83" s="16" t="n">
        <f aca="false">IF('Boletins Nuppa Site'!K83&lt;&gt;0,'Boletins Nuppa Site'!K83,"NULL")</f>
        <v>23</v>
      </c>
      <c r="J83" s="1" t="str">
        <f aca="false">"INSERT INTO COTACAO (blt_id, pap_id, cot_prc_comum, cot_prc_min, cot_prc_max, cot_prc_med, cot_prc_mediana) VALUES ("&amp;B83&amp;", "&amp;C83&amp;", "&amp;D83&amp;", "&amp;E83&amp;", "&amp;F83&amp;", "&amp;G83&amp;", "&amp;H83&amp;");"</f>
        <v>INSERT INTO COTACAO (blt_id, pap_id, cot_prc_comum, cot_prc_min, cot_prc_max, cot_prc_med, cot_prc_mediana) VALUES (3, 4, 24, 20, 24, 22.5, 23);</v>
      </c>
    </row>
    <row r="84" customFormat="false" ht="14.25" hidden="false" customHeight="false" outlineLevel="0" collapsed="false">
      <c r="A84" s="1" t="n">
        <v>83</v>
      </c>
      <c r="B84" s="1" t="n">
        <v>3</v>
      </c>
      <c r="C84" s="1" t="n">
        <v>5</v>
      </c>
      <c r="D84" s="1" t="str">
        <f aca="false">IF('Boletins Nuppa Site'!G84&lt;&gt;0,'Boletins Nuppa Site'!G84,"NULL")</f>
        <v>NULL</v>
      </c>
      <c r="E84" s="16" t="n">
        <f aca="false">IF('Boletins Nuppa Site'!H84&lt;&gt;0,'Boletins Nuppa Site'!H84,"NULL")</f>
        <v>18</v>
      </c>
      <c r="F84" s="16" t="n">
        <f aca="false">IF('Boletins Nuppa Site'!I84&lt;&gt;0,'Boletins Nuppa Site'!I84,"NULL")</f>
        <v>24</v>
      </c>
      <c r="G84" s="16" t="n">
        <f aca="false">IF('Boletins Nuppa Site'!J84&lt;&gt;0,'Boletins Nuppa Site'!J84,"NULL")</f>
        <v>21</v>
      </c>
      <c r="H84" s="16" t="n">
        <f aca="false">IF('Boletins Nuppa Site'!K84&lt;&gt;0,'Boletins Nuppa Site'!K84,"NULL")</f>
        <v>21</v>
      </c>
      <c r="J84" s="1" t="str">
        <f aca="false">"INSERT INTO COTACAO (blt_id, pap_id, cot_prc_comum, cot_prc_min, cot_prc_max, cot_prc_med, cot_prc_mediana) VALUES ("&amp;B84&amp;", "&amp;C84&amp;", "&amp;D84&amp;", "&amp;E84&amp;", "&amp;F84&amp;", "&amp;G84&amp;", "&amp;H84&amp;");"</f>
        <v>INSERT INTO COTACAO (blt_id, pap_id, cot_prc_comum, cot_prc_min, cot_prc_max, cot_prc_med, cot_prc_mediana) VALUES (3, 5, NULL, 18, 24, 21, 21);</v>
      </c>
    </row>
    <row r="85" customFormat="false" ht="14.25" hidden="false" customHeight="false" outlineLevel="0" collapsed="false">
      <c r="A85" s="1" t="n">
        <v>84</v>
      </c>
      <c r="B85" s="1" t="n">
        <v>3</v>
      </c>
      <c r="C85" s="1" t="n">
        <v>6</v>
      </c>
      <c r="D85" s="1" t="str">
        <f aca="false">IF('Boletins Nuppa Site'!G85&lt;&gt;0,'Boletins Nuppa Site'!G85,"NULL")</f>
        <v>NULL</v>
      </c>
      <c r="E85" s="16" t="n">
        <f aca="false">IF('Boletins Nuppa Site'!H85&lt;&gt;0,'Boletins Nuppa Site'!H85,"NULL")</f>
        <v>24</v>
      </c>
      <c r="F85" s="16" t="n">
        <f aca="false">IF('Boletins Nuppa Site'!I85&lt;&gt;0,'Boletins Nuppa Site'!I85,"NULL")</f>
        <v>48</v>
      </c>
      <c r="G85" s="16" t="n">
        <f aca="false">IF('Boletins Nuppa Site'!J85&lt;&gt;0,'Boletins Nuppa Site'!J85,"NULL")</f>
        <v>38</v>
      </c>
      <c r="H85" s="16" t="n">
        <f aca="false">IF('Boletins Nuppa Site'!K85&lt;&gt;0,'Boletins Nuppa Site'!K85,"NULL")</f>
        <v>42</v>
      </c>
      <c r="J85" s="1" t="str">
        <f aca="false">"INSERT INTO COTACAO (blt_id, pap_id, cot_prc_comum, cot_prc_min, cot_prc_max, cot_prc_med, cot_prc_mediana) VALUES ("&amp;B85&amp;", "&amp;C85&amp;", "&amp;D85&amp;", "&amp;E85&amp;", "&amp;F85&amp;", "&amp;G85&amp;", "&amp;H85&amp;");"</f>
        <v>INSERT INTO COTACAO (blt_id, pap_id, cot_prc_comum, cot_prc_min, cot_prc_max, cot_prc_med, cot_prc_mediana) VALUES (3, 6, NULL, 24, 48, 38, 42);</v>
      </c>
    </row>
    <row r="86" customFormat="false" ht="14.25" hidden="false" customHeight="false" outlineLevel="0" collapsed="false">
      <c r="A86" s="1" t="n">
        <v>85</v>
      </c>
      <c r="B86" s="1" t="n">
        <v>3</v>
      </c>
      <c r="C86" s="1" t="n">
        <v>7</v>
      </c>
      <c r="D86" s="1" t="str">
        <f aca="false">IF('Boletins Nuppa Site'!G86&lt;&gt;0,'Boletins Nuppa Site'!G86,"NULL")</f>
        <v>NULL</v>
      </c>
      <c r="E86" s="16" t="n">
        <f aca="false">IF('Boletins Nuppa Site'!H86&lt;&gt;0,'Boletins Nuppa Site'!H86,"NULL")</f>
        <v>72</v>
      </c>
      <c r="F86" s="16" t="n">
        <f aca="false">IF('Boletins Nuppa Site'!I86&lt;&gt;0,'Boletins Nuppa Site'!I86,"NULL")</f>
        <v>78</v>
      </c>
      <c r="G86" s="16" t="n">
        <f aca="false">IF('Boletins Nuppa Site'!J86&lt;&gt;0,'Boletins Nuppa Site'!J86,"NULL")</f>
        <v>75</v>
      </c>
      <c r="H86" s="16" t="n">
        <f aca="false">IF('Boletins Nuppa Site'!K86&lt;&gt;0,'Boletins Nuppa Site'!K86,"NULL")</f>
        <v>75</v>
      </c>
      <c r="J86" s="1" t="str">
        <f aca="false">"INSERT INTO COTACAO (blt_id, pap_id, cot_prc_comum, cot_prc_min, cot_prc_max, cot_prc_med, cot_prc_mediana) VALUES ("&amp;B86&amp;", "&amp;C86&amp;", "&amp;D86&amp;", "&amp;E86&amp;", "&amp;F86&amp;", "&amp;G86&amp;", "&amp;H86&amp;");"</f>
        <v>INSERT INTO COTACAO (blt_id, pap_id, cot_prc_comum, cot_prc_min, cot_prc_max, cot_prc_med, cot_prc_mediana) VALUES (3, 7, NULL, 72, 78, 75, 75);</v>
      </c>
    </row>
    <row r="87" customFormat="false" ht="14.25" hidden="false" customHeight="false" outlineLevel="0" collapsed="false">
      <c r="A87" s="1" t="n">
        <v>86</v>
      </c>
      <c r="B87" s="1" t="n">
        <v>3</v>
      </c>
      <c r="C87" s="1" t="n">
        <v>8</v>
      </c>
      <c r="D87" s="1" t="str">
        <f aca="false">IF('Boletins Nuppa Site'!G87&lt;&gt;0,'Boletins Nuppa Site'!G87,"NULL")</f>
        <v>NULL</v>
      </c>
      <c r="E87" s="16" t="n">
        <f aca="false">IF('Boletins Nuppa Site'!H87&lt;&gt;0,'Boletins Nuppa Site'!H87,"NULL")</f>
        <v>50</v>
      </c>
      <c r="F87" s="16" t="n">
        <f aca="false">IF('Boletins Nuppa Site'!I87&lt;&gt;0,'Boletins Nuppa Site'!I87,"NULL")</f>
        <v>84</v>
      </c>
      <c r="G87" s="1" t="str">
        <f aca="false">IF('Boletins Nuppa Site'!J87&lt;&gt;0,'Boletins Nuppa Site'!J87,"NULL")</f>
        <v>64.67</v>
      </c>
      <c r="H87" s="16" t="n">
        <f aca="false">IF('Boletins Nuppa Site'!K87&lt;&gt;0,'Boletins Nuppa Site'!K87,"NULL")</f>
        <v>60</v>
      </c>
      <c r="J87" s="1" t="str">
        <f aca="false">"INSERT INTO COTACAO (blt_id, pap_id, cot_prc_comum, cot_prc_min, cot_prc_max, cot_prc_med, cot_prc_mediana) VALUES ("&amp;B87&amp;", "&amp;C87&amp;", "&amp;D87&amp;", "&amp;E87&amp;", "&amp;F87&amp;", "&amp;G87&amp;", "&amp;H87&amp;");"</f>
        <v>INSERT INTO COTACAO (blt_id, pap_id, cot_prc_comum, cot_prc_min, cot_prc_max, cot_prc_med, cot_prc_mediana) VALUES (3, 8, NULL, 50, 84, 64.67, 60);</v>
      </c>
    </row>
    <row r="88" customFormat="false" ht="14.25" hidden="false" customHeight="false" outlineLevel="0" collapsed="false">
      <c r="A88" s="1" t="n">
        <v>87</v>
      </c>
      <c r="B88" s="1" t="n">
        <v>3</v>
      </c>
      <c r="C88" s="1" t="n">
        <v>9</v>
      </c>
      <c r="D88" s="16" t="n">
        <f aca="false">IF('Boletins Nuppa Site'!G88&lt;&gt;0,'Boletins Nuppa Site'!G88,"NULL")</f>
        <v>18</v>
      </c>
      <c r="E88" s="16" t="n">
        <f aca="false">IF('Boletins Nuppa Site'!H88&lt;&gt;0,'Boletins Nuppa Site'!H88,"NULL")</f>
        <v>18</v>
      </c>
      <c r="F88" s="16" t="n">
        <f aca="false">IF('Boletins Nuppa Site'!I88&lt;&gt;0,'Boletins Nuppa Site'!I88,"NULL")</f>
        <v>24</v>
      </c>
      <c r="G88" s="16" t="n">
        <f aca="false">IF('Boletins Nuppa Site'!J88&lt;&gt;0,'Boletins Nuppa Site'!J88,"NULL")</f>
        <v>20</v>
      </c>
      <c r="H88" s="16" t="n">
        <f aca="false">IF('Boletins Nuppa Site'!K88&lt;&gt;0,'Boletins Nuppa Site'!K88,"NULL")</f>
        <v>18</v>
      </c>
      <c r="J88" s="1" t="str">
        <f aca="false">"INSERT INTO COTACAO (blt_id, pap_id, cot_prc_comum, cot_prc_min, cot_prc_max, cot_prc_med, cot_prc_mediana) VALUES ("&amp;B88&amp;", "&amp;C88&amp;", "&amp;D88&amp;", "&amp;E88&amp;", "&amp;F88&amp;", "&amp;G88&amp;", "&amp;H88&amp;");"</f>
        <v>INSERT INTO COTACAO (blt_id, pap_id, cot_prc_comum, cot_prc_min, cot_prc_max, cot_prc_med, cot_prc_mediana) VALUES (3, 9, 18, 18, 24, 20, 18);</v>
      </c>
    </row>
    <row r="89" customFormat="false" ht="14.25" hidden="false" customHeight="false" outlineLevel="0" collapsed="false">
      <c r="A89" s="1" t="n">
        <v>88</v>
      </c>
      <c r="B89" s="1" t="n">
        <v>3</v>
      </c>
      <c r="C89" s="1" t="n">
        <v>10</v>
      </c>
      <c r="D89" s="1" t="str">
        <f aca="false">IF('Boletins Nuppa Site'!G89&lt;&gt;0,'Boletins Nuppa Site'!G89,"NULL")</f>
        <v>NULL</v>
      </c>
      <c r="E89" s="16" t="n">
        <f aca="false">IF('Boletins Nuppa Site'!H89&lt;&gt;0,'Boletins Nuppa Site'!H89,"NULL")</f>
        <v>55</v>
      </c>
      <c r="F89" s="16" t="n">
        <f aca="false">IF('Boletins Nuppa Site'!I89&lt;&gt;0,'Boletins Nuppa Site'!I89,"NULL")</f>
        <v>80</v>
      </c>
      <c r="G89" s="1" t="str">
        <f aca="false">IF('Boletins Nuppa Site'!J89&lt;&gt;0,'Boletins Nuppa Site'!J89,"NULL")</f>
        <v>67.5</v>
      </c>
      <c r="H89" s="1" t="str">
        <f aca="false">IF('Boletins Nuppa Site'!K89&lt;&gt;0,'Boletins Nuppa Site'!K89,"NULL")</f>
        <v>67.5</v>
      </c>
      <c r="J89" s="1" t="str">
        <f aca="false">"INSERT INTO COTACAO (blt_id, pap_id, cot_prc_comum, cot_prc_min, cot_prc_max, cot_prc_med, cot_prc_mediana) VALUES ("&amp;B89&amp;", "&amp;C89&amp;", "&amp;D89&amp;", "&amp;E89&amp;", "&amp;F89&amp;", "&amp;G89&amp;", "&amp;H89&amp;");"</f>
        <v>INSERT INTO COTACAO (blt_id, pap_id, cot_prc_comum, cot_prc_min, cot_prc_max, cot_prc_med, cot_prc_mediana) VALUES (3, 10, NULL, 55, 80, 67.5, 67.5);</v>
      </c>
    </row>
    <row r="90" customFormat="false" ht="14.25" hidden="false" customHeight="false" outlineLevel="0" collapsed="false">
      <c r="A90" s="1" t="n">
        <v>89</v>
      </c>
      <c r="B90" s="1" t="n">
        <v>3</v>
      </c>
      <c r="C90" s="1" t="n">
        <v>11</v>
      </c>
      <c r="D90" s="1" t="str">
        <f aca="false">IF('Boletins Nuppa Site'!G90&lt;&gt;0,'Boletins Nuppa Site'!G90,"NULL")</f>
        <v>NULL</v>
      </c>
      <c r="E90" s="16" t="n">
        <f aca="false">IF('Boletins Nuppa Site'!H90&lt;&gt;0,'Boletins Nuppa Site'!H90,"NULL")</f>
        <v>18</v>
      </c>
      <c r="F90" s="16" t="n">
        <f aca="false">IF('Boletins Nuppa Site'!I90&lt;&gt;0,'Boletins Nuppa Site'!I90,"NULL")</f>
        <v>24</v>
      </c>
      <c r="G90" s="16" t="n">
        <f aca="false">IF('Boletins Nuppa Site'!J90&lt;&gt;0,'Boletins Nuppa Site'!J90,"NULL")</f>
        <v>21</v>
      </c>
      <c r="H90" s="16" t="n">
        <f aca="false">IF('Boletins Nuppa Site'!K90&lt;&gt;0,'Boletins Nuppa Site'!K90,"NULL")</f>
        <v>21</v>
      </c>
      <c r="J90" s="1" t="str">
        <f aca="false">"INSERT INTO COTACAO (blt_id, pap_id, cot_prc_comum, cot_prc_min, cot_prc_max, cot_prc_med, cot_prc_mediana) VALUES ("&amp;B90&amp;", "&amp;C90&amp;", "&amp;D90&amp;", "&amp;E90&amp;", "&amp;F90&amp;", "&amp;G90&amp;", "&amp;H90&amp;");"</f>
        <v>INSERT INTO COTACAO (blt_id, pap_id, cot_prc_comum, cot_prc_min, cot_prc_max, cot_prc_med, cot_prc_mediana) VALUES (3, 11, NULL, 18, 24, 21, 21);</v>
      </c>
    </row>
    <row r="91" customFormat="false" ht="14.25" hidden="false" customHeight="false" outlineLevel="0" collapsed="false">
      <c r="A91" s="1" t="n">
        <v>90</v>
      </c>
      <c r="B91" s="1" t="n">
        <v>3</v>
      </c>
      <c r="C91" s="1" t="n">
        <v>12</v>
      </c>
      <c r="D91" s="16" t="n">
        <f aca="false">IF('Boletins Nuppa Site'!G91&lt;&gt;0,'Boletins Nuppa Site'!G91,"NULL")</f>
        <v>60</v>
      </c>
      <c r="E91" s="16" t="n">
        <f aca="false">IF('Boletins Nuppa Site'!H91&lt;&gt;0,'Boletins Nuppa Site'!H91,"NULL")</f>
        <v>60</v>
      </c>
      <c r="F91" s="16" t="n">
        <f aca="false">IF('Boletins Nuppa Site'!I91&lt;&gt;0,'Boletins Nuppa Site'!I91,"NULL")</f>
        <v>60</v>
      </c>
      <c r="G91" s="16" t="n">
        <f aca="false">IF('Boletins Nuppa Site'!J91&lt;&gt;0,'Boletins Nuppa Site'!J91,"NULL")</f>
        <v>60</v>
      </c>
      <c r="H91" s="16" t="n">
        <f aca="false">IF('Boletins Nuppa Site'!K91&lt;&gt;0,'Boletins Nuppa Site'!K91,"NULL")</f>
        <v>60</v>
      </c>
      <c r="J91" s="1" t="str">
        <f aca="false">"INSERT INTO COTACAO (blt_id, pap_id, cot_prc_comum, cot_prc_min, cot_prc_max, cot_prc_med, cot_prc_mediana) VALUES ("&amp;B91&amp;", "&amp;C91&amp;", "&amp;D91&amp;", "&amp;E91&amp;", "&amp;F91&amp;", "&amp;G91&amp;", "&amp;H91&amp;");"</f>
        <v>INSERT INTO COTACAO (blt_id, pap_id, cot_prc_comum, cot_prc_min, cot_prc_max, cot_prc_med, cot_prc_mediana) VALUES (3, 12, 60, 60, 60, 60, 60);</v>
      </c>
    </row>
    <row r="92" customFormat="false" ht="14.25" hidden="false" customHeight="false" outlineLevel="0" collapsed="false">
      <c r="A92" s="1" t="n">
        <v>91</v>
      </c>
      <c r="B92" s="1" t="n">
        <v>3</v>
      </c>
      <c r="C92" s="1" t="n">
        <v>13</v>
      </c>
      <c r="D92" s="1" t="str">
        <f aca="false">IF('Boletins Nuppa Site'!G92&lt;&gt;0,'Boletins Nuppa Site'!G92,"NULL")</f>
        <v>NULL</v>
      </c>
      <c r="E92" s="16" t="n">
        <f aca="false">IF('Boletins Nuppa Site'!H92&lt;&gt;0,'Boletins Nuppa Site'!H92,"NULL")</f>
        <v>48</v>
      </c>
      <c r="F92" s="16" t="n">
        <f aca="false">IF('Boletins Nuppa Site'!I92&lt;&gt;0,'Boletins Nuppa Site'!I92,"NULL")</f>
        <v>60</v>
      </c>
      <c r="G92" s="16" t="n">
        <f aca="false">IF('Boletins Nuppa Site'!J92&lt;&gt;0,'Boletins Nuppa Site'!J92,"NULL")</f>
        <v>54</v>
      </c>
      <c r="H92" s="16" t="n">
        <f aca="false">IF('Boletins Nuppa Site'!K92&lt;&gt;0,'Boletins Nuppa Site'!K92,"NULL")</f>
        <v>54</v>
      </c>
      <c r="J92" s="1" t="str">
        <f aca="false">"INSERT INTO COTACAO (blt_id, pap_id, cot_prc_comum, cot_prc_min, cot_prc_max, cot_prc_med, cot_prc_mediana) VALUES ("&amp;B92&amp;", "&amp;C92&amp;", "&amp;D92&amp;", "&amp;E92&amp;", "&amp;F92&amp;", "&amp;G92&amp;", "&amp;H92&amp;");"</f>
        <v>INSERT INTO COTACAO (blt_id, pap_id, cot_prc_comum, cot_prc_min, cot_prc_max, cot_prc_med, cot_prc_mediana) VALUES (3, 13, NULL, 48, 60, 54, 54);</v>
      </c>
    </row>
    <row r="93" customFormat="false" ht="14.25" hidden="false" customHeight="false" outlineLevel="0" collapsed="false">
      <c r="A93" s="1" t="n">
        <v>92</v>
      </c>
      <c r="B93" s="1" t="n">
        <v>3</v>
      </c>
      <c r="C93" s="1" t="n">
        <v>14</v>
      </c>
      <c r="D93" s="1" t="str">
        <f aca="false">IF('Boletins Nuppa Site'!G93&lt;&gt;0,'Boletins Nuppa Site'!G93,"NULL")</f>
        <v>NULL</v>
      </c>
      <c r="E93" s="16" t="n">
        <f aca="false">IF('Boletins Nuppa Site'!H93&lt;&gt;0,'Boletins Nuppa Site'!H93,"NULL")</f>
        <v>42</v>
      </c>
      <c r="F93" s="16" t="n">
        <f aca="false">IF('Boletins Nuppa Site'!I93&lt;&gt;0,'Boletins Nuppa Site'!I93,"NULL")</f>
        <v>66</v>
      </c>
      <c r="G93" s="16" t="n">
        <f aca="false">IF('Boletins Nuppa Site'!J93&lt;&gt;0,'Boletins Nuppa Site'!J93,"NULL")</f>
        <v>54</v>
      </c>
      <c r="H93" s="16" t="n">
        <f aca="false">IF('Boletins Nuppa Site'!K93&lt;&gt;0,'Boletins Nuppa Site'!K93,"NULL")</f>
        <v>54</v>
      </c>
      <c r="J93" s="1" t="str">
        <f aca="false">"INSERT INTO COTACAO (blt_id, pap_id, cot_prc_comum, cot_prc_min, cot_prc_max, cot_prc_med, cot_prc_mediana) VALUES ("&amp;B93&amp;", "&amp;C93&amp;", "&amp;D93&amp;", "&amp;E93&amp;", "&amp;F93&amp;", "&amp;G93&amp;", "&amp;H93&amp;");"</f>
        <v>INSERT INTO COTACAO (blt_id, pap_id, cot_prc_comum, cot_prc_min, cot_prc_max, cot_prc_med, cot_prc_mediana) VALUES (3, 14, NULL, 42, 66, 54, 54);</v>
      </c>
    </row>
    <row r="94" customFormat="false" ht="14.25" hidden="false" customHeight="false" outlineLevel="0" collapsed="false">
      <c r="A94" s="1" t="n">
        <v>93</v>
      </c>
      <c r="B94" s="1" t="n">
        <v>3</v>
      </c>
      <c r="C94" s="1" t="n">
        <v>15</v>
      </c>
      <c r="D94" s="16" t="n">
        <f aca="false">IF('Boletins Nuppa Site'!G94&lt;&gt;0,'Boletins Nuppa Site'!G94,"NULL")</f>
        <v>30</v>
      </c>
      <c r="E94" s="16" t="n">
        <f aca="false">IF('Boletins Nuppa Site'!H94&lt;&gt;0,'Boletins Nuppa Site'!H94,"NULL")</f>
        <v>25</v>
      </c>
      <c r="F94" s="16" t="n">
        <f aca="false">IF('Boletins Nuppa Site'!I94&lt;&gt;0,'Boletins Nuppa Site'!I94,"NULL")</f>
        <v>30</v>
      </c>
      <c r="G94" s="1" t="str">
        <f aca="false">IF('Boletins Nuppa Site'!J94&lt;&gt;0,'Boletins Nuppa Site'!J94,"NULL")</f>
        <v>28.33</v>
      </c>
      <c r="H94" s="16" t="n">
        <f aca="false">IF('Boletins Nuppa Site'!K94&lt;&gt;0,'Boletins Nuppa Site'!K94,"NULL")</f>
        <v>30</v>
      </c>
      <c r="J94" s="1" t="str">
        <f aca="false">"INSERT INTO COTACAO (blt_id, pap_id, cot_prc_comum, cot_prc_min, cot_prc_max, cot_prc_med, cot_prc_mediana) VALUES ("&amp;B94&amp;", "&amp;C94&amp;", "&amp;D94&amp;", "&amp;E94&amp;", "&amp;F94&amp;", "&amp;G94&amp;", "&amp;H94&amp;");"</f>
        <v>INSERT INTO COTACAO (blt_id, pap_id, cot_prc_comum, cot_prc_min, cot_prc_max, cot_prc_med, cot_prc_mediana) VALUES (3, 15, 30, 25, 30, 28.33, 30);</v>
      </c>
    </row>
    <row r="95" customFormat="false" ht="14.25" hidden="false" customHeight="false" outlineLevel="0" collapsed="false">
      <c r="A95" s="1" t="n">
        <v>94</v>
      </c>
      <c r="B95" s="1" t="n">
        <v>3</v>
      </c>
      <c r="C95" s="1" t="n">
        <v>16</v>
      </c>
      <c r="D95" s="16" t="n">
        <f aca="false">IF('Boletins Nuppa Site'!G95&lt;&gt;0,'Boletins Nuppa Site'!G95,"NULL")</f>
        <v>42</v>
      </c>
      <c r="E95" s="16" t="n">
        <f aca="false">IF('Boletins Nuppa Site'!H95&lt;&gt;0,'Boletins Nuppa Site'!H95,"NULL")</f>
        <v>30</v>
      </c>
      <c r="F95" s="16" t="n">
        <f aca="false">IF('Boletins Nuppa Site'!I95&lt;&gt;0,'Boletins Nuppa Site'!I95,"NULL")</f>
        <v>42</v>
      </c>
      <c r="G95" s="1" t="str">
        <f aca="false">IF('Boletins Nuppa Site'!J95&lt;&gt;0,'Boletins Nuppa Site'!J95,"NULL")</f>
        <v>37.5</v>
      </c>
      <c r="H95" s="16" t="n">
        <f aca="false">IF('Boletins Nuppa Site'!K95&lt;&gt;0,'Boletins Nuppa Site'!K95,"NULL")</f>
        <v>39</v>
      </c>
      <c r="J95" s="1" t="str">
        <f aca="false">"INSERT INTO COTACAO (blt_id, pap_id, cot_prc_comum, cot_prc_min, cot_prc_max, cot_prc_med, cot_prc_mediana) VALUES ("&amp;B95&amp;", "&amp;C95&amp;", "&amp;D95&amp;", "&amp;E95&amp;", "&amp;F95&amp;", "&amp;G95&amp;", "&amp;H95&amp;");"</f>
        <v>INSERT INTO COTACAO (blt_id, pap_id, cot_prc_comum, cot_prc_min, cot_prc_max, cot_prc_med, cot_prc_mediana) VALUES (3, 16, 42, 30, 42, 37.5, 39);</v>
      </c>
    </row>
    <row r="96" customFormat="false" ht="14.25" hidden="false" customHeight="false" outlineLevel="0" collapsed="false">
      <c r="A96" s="1" t="n">
        <v>95</v>
      </c>
      <c r="B96" s="1" t="n">
        <v>3</v>
      </c>
      <c r="C96" s="1" t="n">
        <v>17</v>
      </c>
      <c r="D96" s="16" t="n">
        <f aca="false">IF('Boletins Nuppa Site'!G96&lt;&gt;0,'Boletins Nuppa Site'!G96,"NULL")</f>
        <v>4</v>
      </c>
      <c r="E96" s="16" t="n">
        <f aca="false">IF('Boletins Nuppa Site'!H96&lt;&gt;0,'Boletins Nuppa Site'!H96,"NULL")</f>
        <v>4</v>
      </c>
      <c r="F96" s="16" t="n">
        <f aca="false">IF('Boletins Nuppa Site'!I96&lt;&gt;0,'Boletins Nuppa Site'!I96,"NULL")</f>
        <v>5</v>
      </c>
      <c r="G96" s="1" t="str">
        <f aca="false">IF('Boletins Nuppa Site'!J96&lt;&gt;0,'Boletins Nuppa Site'!J96,"NULL")</f>
        <v>4.33</v>
      </c>
      <c r="H96" s="16" t="n">
        <f aca="false">IF('Boletins Nuppa Site'!K96&lt;&gt;0,'Boletins Nuppa Site'!K96,"NULL")</f>
        <v>4</v>
      </c>
      <c r="J96" s="1" t="str">
        <f aca="false">"INSERT INTO COTACAO (blt_id, pap_id, cot_prc_comum, cot_prc_min, cot_prc_max, cot_prc_med, cot_prc_mediana) VALUES ("&amp;B96&amp;", "&amp;C96&amp;", "&amp;D96&amp;", "&amp;E96&amp;", "&amp;F96&amp;", "&amp;G96&amp;", "&amp;H96&amp;");"</f>
        <v>INSERT INTO COTACAO (blt_id, pap_id, cot_prc_comum, cot_prc_min, cot_prc_max, cot_prc_med, cot_prc_mediana) VALUES (3, 17, 4, 4, 5, 4.33, 4);</v>
      </c>
    </row>
    <row r="97" customFormat="false" ht="14.25" hidden="false" customHeight="false" outlineLevel="0" collapsed="false">
      <c r="A97" s="1" t="n">
        <v>96</v>
      </c>
      <c r="B97" s="1" t="n">
        <v>3</v>
      </c>
      <c r="C97" s="1" t="n">
        <v>18</v>
      </c>
      <c r="D97" s="16" t="n">
        <f aca="false">IF('Boletins Nuppa Site'!G97&lt;&gt;0,'Boletins Nuppa Site'!G97,"NULL")</f>
        <v>20</v>
      </c>
      <c r="E97" s="16" t="n">
        <f aca="false">IF('Boletins Nuppa Site'!H97&lt;&gt;0,'Boletins Nuppa Site'!H97,"NULL")</f>
        <v>20</v>
      </c>
      <c r="F97" s="16" t="n">
        <f aca="false">IF('Boletins Nuppa Site'!I97&lt;&gt;0,'Boletins Nuppa Site'!I97,"NULL")</f>
        <v>22</v>
      </c>
      <c r="G97" s="1" t="str">
        <f aca="false">IF('Boletins Nuppa Site'!J97&lt;&gt;0,'Boletins Nuppa Site'!J97,"NULL")</f>
        <v>20.67</v>
      </c>
      <c r="H97" s="16" t="n">
        <f aca="false">IF('Boletins Nuppa Site'!K97&lt;&gt;0,'Boletins Nuppa Site'!K97,"NULL")</f>
        <v>20</v>
      </c>
      <c r="J97" s="1" t="str">
        <f aca="false">"INSERT INTO COTACAO (blt_id, pap_id, cot_prc_comum, cot_prc_min, cot_prc_max, cot_prc_med, cot_prc_mediana) VALUES ("&amp;B97&amp;", "&amp;C97&amp;", "&amp;D97&amp;", "&amp;E97&amp;", "&amp;F97&amp;", "&amp;G97&amp;", "&amp;H97&amp;");"</f>
        <v>INSERT INTO COTACAO (blt_id, pap_id, cot_prc_comum, cot_prc_min, cot_prc_max, cot_prc_med, cot_prc_mediana) VALUES (3, 18, 20, 20, 22, 20.67, 20);</v>
      </c>
    </row>
    <row r="98" customFormat="false" ht="14.25" hidden="false" customHeight="false" outlineLevel="0" collapsed="false">
      <c r="A98" s="1" t="n">
        <v>97</v>
      </c>
      <c r="B98" s="1" t="n">
        <v>3</v>
      </c>
      <c r="C98" s="1" t="n">
        <v>19</v>
      </c>
      <c r="D98" s="16" t="n">
        <f aca="false">IF('Boletins Nuppa Site'!G98&lt;&gt;0,'Boletins Nuppa Site'!G98,"NULL")</f>
        <v>25</v>
      </c>
      <c r="E98" s="16" t="n">
        <f aca="false">IF('Boletins Nuppa Site'!H98&lt;&gt;0,'Boletins Nuppa Site'!H98,"NULL")</f>
        <v>25</v>
      </c>
      <c r="F98" s="16" t="n">
        <f aca="false">IF('Boletins Nuppa Site'!I98&lt;&gt;0,'Boletins Nuppa Site'!I98,"NULL")</f>
        <v>25</v>
      </c>
      <c r="G98" s="16" t="n">
        <f aca="false">IF('Boletins Nuppa Site'!J98&lt;&gt;0,'Boletins Nuppa Site'!J98,"NULL")</f>
        <v>25</v>
      </c>
      <c r="H98" s="16" t="n">
        <f aca="false">IF('Boletins Nuppa Site'!K98&lt;&gt;0,'Boletins Nuppa Site'!K98,"NULL")</f>
        <v>25</v>
      </c>
      <c r="J98" s="1" t="str">
        <f aca="false">"INSERT INTO COTACAO (blt_id, pap_id, cot_prc_comum, cot_prc_min, cot_prc_max, cot_prc_med, cot_prc_mediana) VALUES ("&amp;B98&amp;", "&amp;C98&amp;", "&amp;D98&amp;", "&amp;E98&amp;", "&amp;F98&amp;", "&amp;G98&amp;", "&amp;H98&amp;");"</f>
        <v>INSERT INTO COTACAO (blt_id, pap_id, cot_prc_comum, cot_prc_min, cot_prc_max, cot_prc_med, cot_prc_mediana) VALUES (3, 19, 25, 25, 25, 25, 25);</v>
      </c>
    </row>
    <row r="99" customFormat="false" ht="14.25" hidden="false" customHeight="false" outlineLevel="0" collapsed="false">
      <c r="A99" s="1" t="n">
        <v>98</v>
      </c>
      <c r="B99" s="1" t="n">
        <v>3</v>
      </c>
      <c r="C99" s="1" t="n">
        <v>21</v>
      </c>
      <c r="D99" s="16" t="n">
        <f aca="false">IF('Boletins Nuppa Site'!G99&lt;&gt;0,'Boletins Nuppa Site'!G99,"NULL")</f>
        <v>60</v>
      </c>
      <c r="E99" s="16" t="n">
        <f aca="false">IF('Boletins Nuppa Site'!H99&lt;&gt;0,'Boletins Nuppa Site'!H99,"NULL")</f>
        <v>40</v>
      </c>
      <c r="F99" s="16" t="n">
        <f aca="false">IF('Boletins Nuppa Site'!I99&lt;&gt;0,'Boletins Nuppa Site'!I99,"NULL")</f>
        <v>60</v>
      </c>
      <c r="G99" s="16" t="n">
        <f aca="false">IF('Boletins Nuppa Site'!J99&lt;&gt;0,'Boletins Nuppa Site'!J99,"NULL")</f>
        <v>52</v>
      </c>
      <c r="H99" s="16" t="n">
        <f aca="false">IF('Boletins Nuppa Site'!K99&lt;&gt;0,'Boletins Nuppa Site'!K99,"NULL")</f>
        <v>55</v>
      </c>
      <c r="J99" s="1" t="str">
        <f aca="false">"INSERT INTO COTACAO (blt_id, pap_id, cot_prc_comum, cot_prc_min, cot_prc_max, cot_prc_med, cot_prc_mediana) VALUES ("&amp;B99&amp;", "&amp;C99&amp;", "&amp;D99&amp;", "&amp;E99&amp;", "&amp;F99&amp;", "&amp;G99&amp;", "&amp;H99&amp;");"</f>
        <v>INSERT INTO COTACAO (blt_id, pap_id, cot_prc_comum, cot_prc_min, cot_prc_max, cot_prc_med, cot_prc_mediana) VALUES (3, 21, 60, 40, 60, 52, 55);</v>
      </c>
    </row>
    <row r="100" customFormat="false" ht="14.25" hidden="false" customHeight="false" outlineLevel="0" collapsed="false">
      <c r="A100" s="1" t="n">
        <v>99</v>
      </c>
      <c r="B100" s="1" t="n">
        <v>3</v>
      </c>
      <c r="C100" s="1" t="n">
        <v>22</v>
      </c>
      <c r="D100" s="16" t="n">
        <f aca="false">IF('Boletins Nuppa Site'!G100&lt;&gt;0,'Boletins Nuppa Site'!G100,"NULL")</f>
        <v>50</v>
      </c>
      <c r="E100" s="16" t="n">
        <f aca="false">IF('Boletins Nuppa Site'!H100&lt;&gt;0,'Boletins Nuppa Site'!H100,"NULL")</f>
        <v>50</v>
      </c>
      <c r="F100" s="16" t="n">
        <f aca="false">IF('Boletins Nuppa Site'!I100&lt;&gt;0,'Boletins Nuppa Site'!I100,"NULL")</f>
        <v>65</v>
      </c>
      <c r="G100" s="1" t="str">
        <f aca="false">IF('Boletins Nuppa Site'!J100&lt;&gt;0,'Boletins Nuppa Site'!J100,"NULL")</f>
        <v>55.83</v>
      </c>
      <c r="H100" s="16" t="n">
        <f aca="false">IF('Boletins Nuppa Site'!K100&lt;&gt;0,'Boletins Nuppa Site'!K100,"NULL")</f>
        <v>55</v>
      </c>
      <c r="J100" s="1" t="str">
        <f aca="false">"INSERT INTO COTACAO (blt_id, pap_id, cot_prc_comum, cot_prc_min, cot_prc_max, cot_prc_med, cot_prc_mediana) VALUES ("&amp;B100&amp;", "&amp;C100&amp;", "&amp;D100&amp;", "&amp;E100&amp;", "&amp;F100&amp;", "&amp;G100&amp;", "&amp;H100&amp;");"</f>
        <v>INSERT INTO COTACAO (blt_id, pap_id, cot_prc_comum, cot_prc_min, cot_prc_max, cot_prc_med, cot_prc_mediana) VALUES (3, 22, 50, 50, 65, 55.83, 55);</v>
      </c>
    </row>
    <row r="101" customFormat="false" ht="14.25" hidden="false" customHeight="false" outlineLevel="0" collapsed="false">
      <c r="A101" s="1" t="n">
        <v>100</v>
      </c>
      <c r="B101" s="1" t="n">
        <v>3</v>
      </c>
      <c r="C101" s="1" t="n">
        <v>23</v>
      </c>
      <c r="D101" s="16" t="n">
        <f aca="false">IF('Boletins Nuppa Site'!G101&lt;&gt;0,'Boletins Nuppa Site'!G101,"NULL")</f>
        <v>50</v>
      </c>
      <c r="E101" s="16" t="n">
        <f aca="false">IF('Boletins Nuppa Site'!H101&lt;&gt;0,'Boletins Nuppa Site'!H101,"NULL")</f>
        <v>35</v>
      </c>
      <c r="F101" s="16" t="n">
        <f aca="false">IF('Boletins Nuppa Site'!I101&lt;&gt;0,'Boletins Nuppa Site'!I101,"NULL")</f>
        <v>55</v>
      </c>
      <c r="G101" s="1" t="str">
        <f aca="false">IF('Boletins Nuppa Site'!J101&lt;&gt;0,'Boletins Nuppa Site'!J101,"NULL")</f>
        <v>45.83</v>
      </c>
      <c r="H101" s="1" t="str">
        <f aca="false">IF('Boletins Nuppa Site'!K101&lt;&gt;0,'Boletins Nuppa Site'!K101,"NULL")</f>
        <v>47.5</v>
      </c>
      <c r="J101" s="1" t="str">
        <f aca="false">"INSERT INTO COTACAO (blt_id, pap_id, cot_prc_comum, cot_prc_min, cot_prc_max, cot_prc_med, cot_prc_mediana) VALUES ("&amp;B101&amp;", "&amp;C101&amp;", "&amp;D101&amp;", "&amp;E101&amp;", "&amp;F101&amp;", "&amp;G101&amp;", "&amp;H101&amp;");"</f>
        <v>INSERT INTO COTACAO (blt_id, pap_id, cot_prc_comum, cot_prc_min, cot_prc_max, cot_prc_med, cot_prc_mediana) VALUES (3, 23, 50, 35, 55, 45.83, 47.5);</v>
      </c>
    </row>
    <row r="102" customFormat="false" ht="14.25" hidden="false" customHeight="false" outlineLevel="0" collapsed="false">
      <c r="A102" s="1" t="n">
        <v>101</v>
      </c>
      <c r="B102" s="1" t="n">
        <v>3</v>
      </c>
      <c r="C102" s="1" t="n">
        <v>24</v>
      </c>
      <c r="D102" s="1" t="str">
        <f aca="false">IF('Boletins Nuppa Site'!G102&lt;&gt;0,'Boletins Nuppa Site'!G102,"NULL")</f>
        <v>NULL</v>
      </c>
      <c r="E102" s="16" t="n">
        <f aca="false">IF('Boletins Nuppa Site'!H102&lt;&gt;0,'Boletins Nuppa Site'!H102,"NULL")</f>
        <v>120</v>
      </c>
      <c r="F102" s="16" t="n">
        <f aca="false">IF('Boletins Nuppa Site'!I102&lt;&gt;0,'Boletins Nuppa Site'!I102,"NULL")</f>
        <v>120</v>
      </c>
      <c r="G102" s="16" t="n">
        <f aca="false">IF('Boletins Nuppa Site'!J102&lt;&gt;0,'Boletins Nuppa Site'!J102,"NULL")</f>
        <v>120</v>
      </c>
      <c r="H102" s="16" t="n">
        <f aca="false">IF('Boletins Nuppa Site'!K102&lt;&gt;0,'Boletins Nuppa Site'!K102,"NULL")</f>
        <v>120</v>
      </c>
      <c r="J102" s="1" t="str">
        <f aca="false">"INSERT INTO COTACAO (blt_id, pap_id, cot_prc_comum, cot_prc_min, cot_prc_max, cot_prc_med, cot_prc_mediana) VALUES ("&amp;B102&amp;", "&amp;C102&amp;", "&amp;D102&amp;", "&amp;E102&amp;", "&amp;F102&amp;", "&amp;G102&amp;", "&amp;H102&amp;");"</f>
        <v>INSERT INTO COTACAO (blt_id, pap_id, cot_prc_comum, cot_prc_min, cot_prc_max, cot_prc_med, cot_prc_mediana) VALUES (3, 24, NULL, 120, 120, 120, 120);</v>
      </c>
    </row>
    <row r="103" customFormat="false" ht="14.25" hidden="false" customHeight="false" outlineLevel="0" collapsed="false">
      <c r="A103" s="1" t="n">
        <v>102</v>
      </c>
      <c r="B103" s="1" t="n">
        <v>3</v>
      </c>
      <c r="C103" s="1" t="n">
        <v>25</v>
      </c>
      <c r="D103" s="16" t="n">
        <f aca="false">IF('Boletins Nuppa Site'!G103&lt;&gt;0,'Boletins Nuppa Site'!G103,"NULL")</f>
        <v>50</v>
      </c>
      <c r="E103" s="16" t="n">
        <f aca="false">IF('Boletins Nuppa Site'!H103&lt;&gt;0,'Boletins Nuppa Site'!H103,"NULL")</f>
        <v>50</v>
      </c>
      <c r="F103" s="16" t="n">
        <f aca="false">IF('Boletins Nuppa Site'!I103&lt;&gt;0,'Boletins Nuppa Site'!I103,"NULL")</f>
        <v>60</v>
      </c>
      <c r="G103" s="1" t="str">
        <f aca="false">IF('Boletins Nuppa Site'!J103&lt;&gt;0,'Boletins Nuppa Site'!J103,"NULL")</f>
        <v>53.75</v>
      </c>
      <c r="H103" s="1" t="str">
        <f aca="false">IF('Boletins Nuppa Site'!K103&lt;&gt;0,'Boletins Nuppa Site'!K103,"NULL")</f>
        <v>52.5</v>
      </c>
      <c r="J103" s="1" t="str">
        <f aca="false">"INSERT INTO COTACAO (blt_id, pap_id, cot_prc_comum, cot_prc_min, cot_prc_max, cot_prc_med, cot_prc_mediana) VALUES ("&amp;B103&amp;", "&amp;C103&amp;", "&amp;D103&amp;", "&amp;E103&amp;", "&amp;F103&amp;", "&amp;G103&amp;", "&amp;H103&amp;");"</f>
        <v>INSERT INTO COTACAO (blt_id, pap_id, cot_prc_comum, cot_prc_min, cot_prc_max, cot_prc_med, cot_prc_mediana) VALUES (3, 25, 50, 50, 60, 53.75, 52.5);</v>
      </c>
    </row>
    <row r="104" customFormat="false" ht="14.25" hidden="false" customHeight="false" outlineLevel="0" collapsed="false">
      <c r="A104" s="1" t="n">
        <v>103</v>
      </c>
      <c r="B104" s="1" t="n">
        <v>3</v>
      </c>
      <c r="C104" s="1" t="n">
        <v>26</v>
      </c>
      <c r="D104" s="16" t="n">
        <f aca="false">IF('Boletins Nuppa Site'!G104&lt;&gt;0,'Boletins Nuppa Site'!G104,"NULL")</f>
        <v>80</v>
      </c>
      <c r="E104" s="16" t="n">
        <f aca="false">IF('Boletins Nuppa Site'!H104&lt;&gt;0,'Boletins Nuppa Site'!H104,"NULL")</f>
        <v>50</v>
      </c>
      <c r="F104" s="16" t="n">
        <f aca="false">IF('Boletins Nuppa Site'!I104&lt;&gt;0,'Boletins Nuppa Site'!I104,"NULL")</f>
        <v>80</v>
      </c>
      <c r="G104" s="16" t="n">
        <f aca="false">IF('Boletins Nuppa Site'!J104&lt;&gt;0,'Boletins Nuppa Site'!J104,"NULL")</f>
        <v>66</v>
      </c>
      <c r="H104" s="16" t="n">
        <f aca="false">IF('Boletins Nuppa Site'!K104&lt;&gt;0,'Boletins Nuppa Site'!K104,"NULL")</f>
        <v>65</v>
      </c>
      <c r="J104" s="1" t="str">
        <f aca="false">"INSERT INTO COTACAO (blt_id, pap_id, cot_prc_comum, cot_prc_min, cot_prc_max, cot_prc_med, cot_prc_mediana) VALUES ("&amp;B104&amp;", "&amp;C104&amp;", "&amp;D104&amp;", "&amp;E104&amp;", "&amp;F104&amp;", "&amp;G104&amp;", "&amp;H104&amp;");"</f>
        <v>INSERT INTO COTACAO (blt_id, pap_id, cot_prc_comum, cot_prc_min, cot_prc_max, cot_prc_med, cot_prc_mediana) VALUES (3, 26, 80, 50, 80, 66, 65);</v>
      </c>
    </row>
    <row r="105" customFormat="false" ht="14.25" hidden="false" customHeight="false" outlineLevel="0" collapsed="false">
      <c r="A105" s="1" t="n">
        <v>104</v>
      </c>
      <c r="B105" s="1" t="n">
        <v>3</v>
      </c>
      <c r="C105" s="1" t="n">
        <v>27</v>
      </c>
      <c r="D105" s="16" t="n">
        <f aca="false">IF('Boletins Nuppa Site'!G105&lt;&gt;0,'Boletins Nuppa Site'!G105,"NULL")</f>
        <v>70</v>
      </c>
      <c r="E105" s="16" t="n">
        <f aca="false">IF('Boletins Nuppa Site'!H105&lt;&gt;0,'Boletins Nuppa Site'!H105,"NULL")</f>
        <v>70</v>
      </c>
      <c r="F105" s="16" t="n">
        <f aca="false">IF('Boletins Nuppa Site'!I105&lt;&gt;0,'Boletins Nuppa Site'!I105,"NULL")</f>
        <v>80</v>
      </c>
      <c r="G105" s="1" t="str">
        <f aca="false">IF('Boletins Nuppa Site'!J105&lt;&gt;0,'Boletins Nuppa Site'!J105,"NULL")</f>
        <v>73.33</v>
      </c>
      <c r="H105" s="16" t="n">
        <f aca="false">IF('Boletins Nuppa Site'!K105&lt;&gt;0,'Boletins Nuppa Site'!K105,"NULL")</f>
        <v>70</v>
      </c>
      <c r="J105" s="1" t="str">
        <f aca="false">"INSERT INTO COTACAO (blt_id, pap_id, cot_prc_comum, cot_prc_min, cot_prc_max, cot_prc_med, cot_prc_mediana) VALUES ("&amp;B105&amp;", "&amp;C105&amp;", "&amp;D105&amp;", "&amp;E105&amp;", "&amp;F105&amp;", "&amp;G105&amp;", "&amp;H105&amp;");"</f>
        <v>INSERT INTO COTACAO (blt_id, pap_id, cot_prc_comum, cot_prc_min, cot_prc_max, cot_prc_med, cot_prc_mediana) VALUES (3, 27, 70, 70, 80, 73.33, 70);</v>
      </c>
    </row>
    <row r="106" customFormat="false" ht="14.25" hidden="false" customHeight="false" outlineLevel="0" collapsed="false">
      <c r="A106" s="1" t="n">
        <v>105</v>
      </c>
      <c r="B106" s="1" t="n">
        <v>3</v>
      </c>
      <c r="C106" s="1" t="n">
        <v>28</v>
      </c>
      <c r="D106" s="16" t="n">
        <f aca="false">IF('Boletins Nuppa Site'!G106&lt;&gt;0,'Boletins Nuppa Site'!G106,"NULL")</f>
        <v>70</v>
      </c>
      <c r="E106" s="16" t="n">
        <f aca="false">IF('Boletins Nuppa Site'!H106&lt;&gt;0,'Boletins Nuppa Site'!H106,"NULL")</f>
        <v>60</v>
      </c>
      <c r="F106" s="16" t="n">
        <f aca="false">IF('Boletins Nuppa Site'!I106&lt;&gt;0,'Boletins Nuppa Site'!I106,"NULL")</f>
        <v>70</v>
      </c>
      <c r="G106" s="16" t="n">
        <f aca="false">IF('Boletins Nuppa Site'!J106&lt;&gt;0,'Boletins Nuppa Site'!J106,"NULL")</f>
        <v>66</v>
      </c>
      <c r="H106" s="16" t="n">
        <f aca="false">IF('Boletins Nuppa Site'!K106&lt;&gt;0,'Boletins Nuppa Site'!K106,"NULL")</f>
        <v>70</v>
      </c>
      <c r="J106" s="1" t="str">
        <f aca="false">"INSERT INTO COTACAO (blt_id, pap_id, cot_prc_comum, cot_prc_min, cot_prc_max, cot_prc_med, cot_prc_mediana) VALUES ("&amp;B106&amp;", "&amp;C106&amp;", "&amp;D106&amp;", "&amp;E106&amp;", "&amp;F106&amp;", "&amp;G106&amp;", "&amp;H106&amp;");"</f>
        <v>INSERT INTO COTACAO (blt_id, pap_id, cot_prc_comum, cot_prc_min, cot_prc_max, cot_prc_med, cot_prc_mediana) VALUES (3, 28, 70, 60, 70, 66, 70);</v>
      </c>
    </row>
    <row r="107" customFormat="false" ht="14.25" hidden="false" customHeight="false" outlineLevel="0" collapsed="false">
      <c r="A107" s="1" t="n">
        <v>106</v>
      </c>
      <c r="B107" s="1" t="n">
        <v>3</v>
      </c>
      <c r="C107" s="1" t="n">
        <v>29</v>
      </c>
      <c r="D107" s="16" t="n">
        <f aca="false">IF('Boletins Nuppa Site'!G107&lt;&gt;0,'Boletins Nuppa Site'!G107,"NULL")</f>
        <v>60</v>
      </c>
      <c r="E107" s="16" t="n">
        <f aca="false">IF('Boletins Nuppa Site'!H107&lt;&gt;0,'Boletins Nuppa Site'!H107,"NULL")</f>
        <v>60</v>
      </c>
      <c r="F107" s="16" t="n">
        <f aca="false">IF('Boletins Nuppa Site'!I107&lt;&gt;0,'Boletins Nuppa Site'!I107,"NULL")</f>
        <v>60</v>
      </c>
      <c r="G107" s="16" t="n">
        <f aca="false">IF('Boletins Nuppa Site'!J107&lt;&gt;0,'Boletins Nuppa Site'!J107,"NULL")</f>
        <v>60</v>
      </c>
      <c r="H107" s="16" t="n">
        <f aca="false">IF('Boletins Nuppa Site'!K107&lt;&gt;0,'Boletins Nuppa Site'!K107,"NULL")</f>
        <v>60</v>
      </c>
      <c r="J107" s="1" t="str">
        <f aca="false">"INSERT INTO COTACAO (blt_id, pap_id, cot_prc_comum, cot_prc_min, cot_prc_max, cot_prc_med, cot_prc_mediana) VALUES ("&amp;B107&amp;", "&amp;C107&amp;", "&amp;D107&amp;", "&amp;E107&amp;", "&amp;F107&amp;", "&amp;G107&amp;", "&amp;H107&amp;");"</f>
        <v>INSERT INTO COTACAO (blt_id, pap_id, cot_prc_comum, cot_prc_min, cot_prc_max, cot_prc_med, cot_prc_mediana) VALUES (3, 29, 60, 60, 60, 60, 60);</v>
      </c>
    </row>
    <row r="108" customFormat="false" ht="14.25" hidden="false" customHeight="false" outlineLevel="0" collapsed="false">
      <c r="A108" s="1" t="n">
        <v>107</v>
      </c>
      <c r="B108" s="1" t="n">
        <v>3</v>
      </c>
      <c r="C108" s="1" t="n">
        <v>30</v>
      </c>
      <c r="D108" s="16" t="n">
        <f aca="false">IF('Boletins Nuppa Site'!G108&lt;&gt;0,'Boletins Nuppa Site'!G108,"NULL")</f>
        <v>60</v>
      </c>
      <c r="E108" s="16" t="n">
        <f aca="false">IF('Boletins Nuppa Site'!H108&lt;&gt;0,'Boletins Nuppa Site'!H108,"NULL")</f>
        <v>40</v>
      </c>
      <c r="F108" s="16" t="n">
        <f aca="false">IF('Boletins Nuppa Site'!I108&lt;&gt;0,'Boletins Nuppa Site'!I108,"NULL")</f>
        <v>60</v>
      </c>
      <c r="G108" s="16" t="n">
        <f aca="false">IF('Boletins Nuppa Site'!J108&lt;&gt;0,'Boletins Nuppa Site'!J108,"NULL")</f>
        <v>53</v>
      </c>
      <c r="H108" s="16" t="n">
        <f aca="false">IF('Boletins Nuppa Site'!K108&lt;&gt;0,'Boletins Nuppa Site'!K108,"NULL")</f>
        <v>55</v>
      </c>
      <c r="J108" s="1" t="str">
        <f aca="false">"INSERT INTO COTACAO (blt_id, pap_id, cot_prc_comum, cot_prc_min, cot_prc_max, cot_prc_med, cot_prc_mediana) VALUES ("&amp;B108&amp;", "&amp;C108&amp;", "&amp;D108&amp;", "&amp;E108&amp;", "&amp;F108&amp;", "&amp;G108&amp;", "&amp;H108&amp;");"</f>
        <v>INSERT INTO COTACAO (blt_id, pap_id, cot_prc_comum, cot_prc_min, cot_prc_max, cot_prc_med, cot_prc_mediana) VALUES (3, 30, 60, 40, 60, 53, 55);</v>
      </c>
    </row>
    <row r="109" customFormat="false" ht="14.25" hidden="false" customHeight="false" outlineLevel="0" collapsed="false">
      <c r="A109" s="1" t="n">
        <v>108</v>
      </c>
      <c r="B109" s="1" t="n">
        <v>3</v>
      </c>
      <c r="C109" s="1" t="n">
        <v>31</v>
      </c>
      <c r="D109" s="16" t="n">
        <f aca="false">IF('Boletins Nuppa Site'!G109&lt;&gt;0,'Boletins Nuppa Site'!G109,"NULL")</f>
        <v>70</v>
      </c>
      <c r="E109" s="16" t="n">
        <f aca="false">IF('Boletins Nuppa Site'!H109&lt;&gt;0,'Boletins Nuppa Site'!H109,"NULL")</f>
        <v>60</v>
      </c>
      <c r="F109" s="16" t="n">
        <f aca="false">IF('Boletins Nuppa Site'!I109&lt;&gt;0,'Boletins Nuppa Site'!I109,"NULL")</f>
        <v>80</v>
      </c>
      <c r="G109" s="16" t="n">
        <f aca="false">IF('Boletins Nuppa Site'!J109&lt;&gt;0,'Boletins Nuppa Site'!J109,"NULL")</f>
        <v>71</v>
      </c>
      <c r="H109" s="16" t="n">
        <f aca="false">IF('Boletins Nuppa Site'!K109&lt;&gt;0,'Boletins Nuppa Site'!K109,"NULL")</f>
        <v>70</v>
      </c>
      <c r="J109" s="1" t="str">
        <f aca="false">"INSERT INTO COTACAO (blt_id, pap_id, cot_prc_comum, cot_prc_min, cot_prc_max, cot_prc_med, cot_prc_mediana) VALUES ("&amp;B109&amp;", "&amp;C109&amp;", "&amp;D109&amp;", "&amp;E109&amp;", "&amp;F109&amp;", "&amp;G109&amp;", "&amp;H109&amp;");"</f>
        <v>INSERT INTO COTACAO (blt_id, pap_id, cot_prc_comum, cot_prc_min, cot_prc_max, cot_prc_med, cot_prc_mediana) VALUES (3, 31, 70, 60, 80, 71, 70);</v>
      </c>
    </row>
    <row r="110" customFormat="false" ht="14.25" hidden="false" customHeight="false" outlineLevel="0" collapsed="false">
      <c r="A110" s="1" t="n">
        <v>109</v>
      </c>
      <c r="B110" s="1" t="n">
        <v>3</v>
      </c>
      <c r="C110" s="1" t="n">
        <v>32</v>
      </c>
      <c r="D110" s="16" t="n">
        <f aca="false">IF('Boletins Nuppa Site'!G110&lt;&gt;0,'Boletins Nuppa Site'!G110,"NULL")</f>
        <v>40</v>
      </c>
      <c r="E110" s="16" t="n">
        <f aca="false">IF('Boletins Nuppa Site'!H110&lt;&gt;0,'Boletins Nuppa Site'!H110,"NULL")</f>
        <v>35</v>
      </c>
      <c r="F110" s="16" t="n">
        <f aca="false">IF('Boletins Nuppa Site'!I110&lt;&gt;0,'Boletins Nuppa Site'!I110,"NULL")</f>
        <v>45</v>
      </c>
      <c r="G110" s="16" t="n">
        <f aca="false">IF('Boletins Nuppa Site'!J110&lt;&gt;0,'Boletins Nuppa Site'!J110,"NULL")</f>
        <v>40</v>
      </c>
      <c r="H110" s="16" t="n">
        <f aca="false">IF('Boletins Nuppa Site'!K110&lt;&gt;0,'Boletins Nuppa Site'!K110,"NULL")</f>
        <v>40</v>
      </c>
      <c r="J110" s="1" t="str">
        <f aca="false">"INSERT INTO COTACAO (blt_id, pap_id, cot_prc_comum, cot_prc_min, cot_prc_max, cot_prc_med, cot_prc_mediana) VALUES ("&amp;B110&amp;", "&amp;C110&amp;", "&amp;D110&amp;", "&amp;E110&amp;", "&amp;F110&amp;", "&amp;G110&amp;", "&amp;H110&amp;");"</f>
        <v>INSERT INTO COTACAO (blt_id, pap_id, cot_prc_comum, cot_prc_min, cot_prc_max, cot_prc_med, cot_prc_mediana) VALUES (3, 32, 40, 35, 45, 40, 40);</v>
      </c>
    </row>
    <row r="111" customFormat="false" ht="14.25" hidden="false" customHeight="false" outlineLevel="0" collapsed="false">
      <c r="A111" s="1" t="n">
        <v>110</v>
      </c>
      <c r="B111" s="1" t="n">
        <v>3</v>
      </c>
      <c r="C111" s="1" t="n">
        <v>33</v>
      </c>
      <c r="D111" s="16" t="n">
        <f aca="false">IF('Boletins Nuppa Site'!G111&lt;&gt;0,'Boletins Nuppa Site'!G111,"NULL")</f>
        <v>70</v>
      </c>
      <c r="E111" s="16" t="n">
        <f aca="false">IF('Boletins Nuppa Site'!H111&lt;&gt;0,'Boletins Nuppa Site'!H111,"NULL")</f>
        <v>60</v>
      </c>
      <c r="F111" s="16" t="n">
        <f aca="false">IF('Boletins Nuppa Site'!I111&lt;&gt;0,'Boletins Nuppa Site'!I111,"NULL")</f>
        <v>75</v>
      </c>
      <c r="G111" s="1" t="str">
        <f aca="false">IF('Boletins Nuppa Site'!J111&lt;&gt;0,'Boletins Nuppa Site'!J111,"NULL")</f>
        <v>68.75</v>
      </c>
      <c r="H111" s="16" t="n">
        <f aca="false">IF('Boletins Nuppa Site'!K111&lt;&gt;0,'Boletins Nuppa Site'!K111,"NULL")</f>
        <v>70</v>
      </c>
      <c r="J111" s="1" t="str">
        <f aca="false">"INSERT INTO COTACAO (blt_id, pap_id, cot_prc_comum, cot_prc_min, cot_prc_max, cot_prc_med, cot_prc_mediana) VALUES ("&amp;B111&amp;", "&amp;C111&amp;", "&amp;D111&amp;", "&amp;E111&amp;", "&amp;F111&amp;", "&amp;G111&amp;", "&amp;H111&amp;");"</f>
        <v>INSERT INTO COTACAO (blt_id, pap_id, cot_prc_comum, cot_prc_min, cot_prc_max, cot_prc_med, cot_prc_mediana) VALUES (3, 33, 70, 60, 75, 68.75, 70);</v>
      </c>
    </row>
    <row r="112" customFormat="false" ht="14.25" hidden="false" customHeight="false" outlineLevel="0" collapsed="false">
      <c r="A112" s="1" t="n">
        <v>111</v>
      </c>
      <c r="B112" s="1" t="n">
        <v>3</v>
      </c>
      <c r="C112" s="1" t="n">
        <v>34</v>
      </c>
      <c r="D112" s="16" t="n">
        <f aca="false">IF('Boletins Nuppa Site'!G112&lt;&gt;0,'Boletins Nuppa Site'!G112,"NULL")</f>
        <v>90</v>
      </c>
      <c r="E112" s="16" t="n">
        <f aca="false">IF('Boletins Nuppa Site'!H112&lt;&gt;0,'Boletins Nuppa Site'!H112,"NULL")</f>
        <v>70</v>
      </c>
      <c r="F112" s="16" t="n">
        <f aca="false">IF('Boletins Nuppa Site'!I112&lt;&gt;0,'Boletins Nuppa Site'!I112,"NULL")</f>
        <v>100</v>
      </c>
      <c r="G112" s="1" t="str">
        <f aca="false">IF('Boletins Nuppa Site'!J112&lt;&gt;0,'Boletins Nuppa Site'!J112,"NULL")</f>
        <v>84.17</v>
      </c>
      <c r="H112" s="16" t="n">
        <f aca="false">IF('Boletins Nuppa Site'!K112&lt;&gt;0,'Boletins Nuppa Site'!K112,"NULL")</f>
        <v>85</v>
      </c>
      <c r="J112" s="1" t="str">
        <f aca="false">"INSERT INTO COTACAO (blt_id, pap_id, cot_prc_comum, cot_prc_min, cot_prc_max, cot_prc_med, cot_prc_mediana) VALUES ("&amp;B112&amp;", "&amp;C112&amp;", "&amp;D112&amp;", "&amp;E112&amp;", "&amp;F112&amp;", "&amp;G112&amp;", "&amp;H112&amp;");"</f>
        <v>INSERT INTO COTACAO (blt_id, pap_id, cot_prc_comum, cot_prc_min, cot_prc_max, cot_prc_med, cot_prc_mediana) VALUES (3, 34, 90, 70, 100, 84.17, 85);</v>
      </c>
    </row>
    <row r="113" customFormat="false" ht="14.25" hidden="false" customHeight="false" outlineLevel="0" collapsed="false">
      <c r="A113" s="1" t="n">
        <v>112</v>
      </c>
      <c r="B113" s="1" t="n">
        <v>3</v>
      </c>
      <c r="C113" s="1" t="n">
        <v>35</v>
      </c>
      <c r="D113" s="16" t="n">
        <f aca="false">IF('Boletins Nuppa Site'!G113&lt;&gt;0,'Boletins Nuppa Site'!G113,"NULL")</f>
        <v>120</v>
      </c>
      <c r="E113" s="16" t="n">
        <f aca="false">IF('Boletins Nuppa Site'!H113&lt;&gt;0,'Boletins Nuppa Site'!H113,"NULL")</f>
        <v>100</v>
      </c>
      <c r="F113" s="16" t="n">
        <f aca="false">IF('Boletins Nuppa Site'!I113&lt;&gt;0,'Boletins Nuppa Site'!I113,"NULL")</f>
        <v>120</v>
      </c>
      <c r="G113" s="16" t="n">
        <f aca="false">IF('Boletins Nuppa Site'!J113&lt;&gt;0,'Boletins Nuppa Site'!J113,"NULL")</f>
        <v>115</v>
      </c>
      <c r="H113" s="16" t="n">
        <f aca="false">IF('Boletins Nuppa Site'!K113&lt;&gt;0,'Boletins Nuppa Site'!K113,"NULL")</f>
        <v>120</v>
      </c>
      <c r="J113" s="1" t="str">
        <f aca="false">"INSERT INTO COTACAO (blt_id, pap_id, cot_prc_comum, cot_prc_min, cot_prc_max, cot_prc_med, cot_prc_mediana) VALUES ("&amp;B113&amp;", "&amp;C113&amp;", "&amp;D113&amp;", "&amp;E113&amp;", "&amp;F113&amp;", "&amp;G113&amp;", "&amp;H113&amp;");"</f>
        <v>INSERT INTO COTACAO (blt_id, pap_id, cot_prc_comum, cot_prc_min, cot_prc_max, cot_prc_med, cot_prc_mediana) VALUES (3, 35, 120, 100, 120, 115, 120);</v>
      </c>
    </row>
    <row r="114" customFormat="false" ht="14.25" hidden="false" customHeight="false" outlineLevel="0" collapsed="false">
      <c r="A114" s="1" t="n">
        <v>113</v>
      </c>
      <c r="B114" s="1" t="n">
        <v>3</v>
      </c>
      <c r="C114" s="1" t="n">
        <v>36</v>
      </c>
      <c r="D114" s="1" t="str">
        <f aca="false">IF('Boletins Nuppa Site'!G114&lt;&gt;0,'Boletins Nuppa Site'!G114,"NULL")</f>
        <v>NULL</v>
      </c>
      <c r="E114" s="1" t="str">
        <f aca="false">IF('Boletins Nuppa Site'!H114&lt;&gt;0,'Boletins Nuppa Site'!H114,"NULL")</f>
        <v>NULL</v>
      </c>
      <c r="F114" s="1" t="str">
        <f aca="false">IF('Boletins Nuppa Site'!I114&lt;&gt;0,'Boletins Nuppa Site'!I114,"NULL")</f>
        <v>NULL</v>
      </c>
      <c r="G114" s="1" t="str">
        <f aca="false">IF('Boletins Nuppa Site'!J114&lt;&gt;0,'Boletins Nuppa Site'!J114,"NULL")</f>
        <v>NULL</v>
      </c>
      <c r="H114" s="1" t="str">
        <f aca="false">IF('Boletins Nuppa Site'!K114&lt;&gt;0,'Boletins Nuppa Site'!K114,"NULL")</f>
        <v>NULL</v>
      </c>
      <c r="J114" s="1" t="str">
        <f aca="false">"INSERT INTO COTACAO (blt_id, pap_id, cot_prc_comum, cot_prc_min, cot_prc_max, cot_prc_med, cot_prc_mediana) VALUES ("&amp;B114&amp;", "&amp;C114&amp;", "&amp;D114&amp;", "&amp;E114&amp;", "&amp;F114&amp;", "&amp;G114&amp;", "&amp;H114&amp;");"</f>
        <v>INSERT INTO COTACAO (blt_id, pap_id, cot_prc_comum, cot_prc_min, cot_prc_max, cot_prc_med, cot_prc_mediana) VALUES (3, 36, NULL, NULL, NULL, NULL, NULL);</v>
      </c>
    </row>
    <row r="115" customFormat="false" ht="14.25" hidden="false" customHeight="false" outlineLevel="0" collapsed="false">
      <c r="A115" s="1" t="n">
        <v>114</v>
      </c>
      <c r="B115" s="1" t="n">
        <v>3</v>
      </c>
      <c r="C115" s="1" t="n">
        <v>37</v>
      </c>
      <c r="D115" s="1" t="str">
        <f aca="false">IF('Boletins Nuppa Site'!G115&lt;&gt;0,'Boletins Nuppa Site'!G115,"NULL")</f>
        <v>NULL</v>
      </c>
      <c r="E115" s="1" t="str">
        <f aca="false">IF('Boletins Nuppa Site'!H115&lt;&gt;0,'Boletins Nuppa Site'!H115,"NULL")</f>
        <v>NULL</v>
      </c>
      <c r="F115" s="1" t="str">
        <f aca="false">IF('Boletins Nuppa Site'!I115&lt;&gt;0,'Boletins Nuppa Site'!I115,"NULL")</f>
        <v>NULL</v>
      </c>
      <c r="G115" s="1" t="str">
        <f aca="false">IF('Boletins Nuppa Site'!J115&lt;&gt;0,'Boletins Nuppa Site'!J115,"NULL")</f>
        <v>NULL</v>
      </c>
      <c r="H115" s="1" t="str">
        <f aca="false">IF('Boletins Nuppa Site'!K115&lt;&gt;0,'Boletins Nuppa Site'!K115,"NULL")</f>
        <v>NULL</v>
      </c>
      <c r="J115" s="1" t="str">
        <f aca="false">"INSERT INTO COTACAO (blt_id, pap_id, cot_prc_comum, cot_prc_min, cot_prc_max, cot_prc_med, cot_prc_mediana) VALUES ("&amp;B115&amp;", "&amp;C115&amp;", "&amp;D115&amp;", "&amp;E115&amp;", "&amp;F115&amp;", "&amp;G115&amp;", "&amp;H115&amp;");"</f>
        <v>INSERT INTO COTACAO (blt_id, pap_id, cot_prc_comum, cot_prc_min, cot_prc_max, cot_prc_med, cot_prc_mediana) VALUES (3, 37, NULL, NULL, NULL, NULL, NULL);</v>
      </c>
    </row>
    <row r="116" customFormat="false" ht="14.25" hidden="false" customHeight="false" outlineLevel="0" collapsed="false">
      <c r="A116" s="1" t="n">
        <v>115</v>
      </c>
      <c r="B116" s="1" t="n">
        <v>3</v>
      </c>
      <c r="C116" s="1" t="n">
        <v>38</v>
      </c>
      <c r="D116" s="1" t="str">
        <f aca="false">IF('Boletins Nuppa Site'!G116&lt;&gt;0,'Boletins Nuppa Site'!G116,"NULL")</f>
        <v>NULL</v>
      </c>
      <c r="E116" s="1" t="str">
        <f aca="false">IF('Boletins Nuppa Site'!H116&lt;&gt;0,'Boletins Nuppa Site'!H116,"NULL")</f>
        <v>NULL</v>
      </c>
      <c r="F116" s="1" t="str">
        <f aca="false">IF('Boletins Nuppa Site'!I116&lt;&gt;0,'Boletins Nuppa Site'!I116,"NULL")</f>
        <v>NULL</v>
      </c>
      <c r="G116" s="1" t="str">
        <f aca="false">IF('Boletins Nuppa Site'!J116&lt;&gt;0,'Boletins Nuppa Site'!J116,"NULL")</f>
        <v>NULL</v>
      </c>
      <c r="H116" s="1" t="str">
        <f aca="false">IF('Boletins Nuppa Site'!K116&lt;&gt;0,'Boletins Nuppa Site'!K116,"NULL")</f>
        <v>NULL</v>
      </c>
      <c r="J116" s="1" t="str">
        <f aca="false">"INSERT INTO COTACAO (blt_id, pap_id, cot_prc_comum, cot_prc_min, cot_prc_max, cot_prc_med, cot_prc_mediana) VALUES ("&amp;B116&amp;", "&amp;C116&amp;", "&amp;D116&amp;", "&amp;E116&amp;", "&amp;F116&amp;", "&amp;G116&amp;", "&amp;H116&amp;");"</f>
        <v>INSERT INTO COTACAO (blt_id, pap_id, cot_prc_comum, cot_prc_min, cot_prc_max, cot_prc_med, cot_prc_mediana) VALUES (3, 38, NULL, NULL, NULL, NULL, NULL);</v>
      </c>
    </row>
    <row r="117" customFormat="false" ht="14.25" hidden="false" customHeight="false" outlineLevel="0" collapsed="false">
      <c r="A117" s="1" t="n">
        <v>116</v>
      </c>
      <c r="B117" s="1" t="n">
        <v>3</v>
      </c>
      <c r="C117" s="1" t="n">
        <v>39</v>
      </c>
      <c r="D117" s="1" t="str">
        <f aca="false">IF('Boletins Nuppa Site'!G117&lt;&gt;0,'Boletins Nuppa Site'!G117,"NULL")</f>
        <v>NULL</v>
      </c>
      <c r="E117" s="1" t="str">
        <f aca="false">IF('Boletins Nuppa Site'!H117&lt;&gt;0,'Boletins Nuppa Site'!H117,"NULL")</f>
        <v>NULL</v>
      </c>
      <c r="F117" s="1" t="str">
        <f aca="false">IF('Boletins Nuppa Site'!I117&lt;&gt;0,'Boletins Nuppa Site'!I117,"NULL")</f>
        <v>NULL</v>
      </c>
      <c r="G117" s="1" t="str">
        <f aca="false">IF('Boletins Nuppa Site'!J117&lt;&gt;0,'Boletins Nuppa Site'!J117,"NULL")</f>
        <v>NULL</v>
      </c>
      <c r="H117" s="1" t="str">
        <f aca="false">IF('Boletins Nuppa Site'!K117&lt;&gt;0,'Boletins Nuppa Site'!K117,"NULL")</f>
        <v>NULL</v>
      </c>
      <c r="J117" s="1" t="str">
        <f aca="false">"INSERT INTO COTACAO (blt_id, pap_id, cot_prc_comum, cot_prc_min, cot_prc_max, cot_prc_med, cot_prc_mediana) VALUES ("&amp;B117&amp;", "&amp;C117&amp;", "&amp;D117&amp;", "&amp;E117&amp;", "&amp;F117&amp;", "&amp;G117&amp;", "&amp;H117&amp;");"</f>
        <v>INSERT INTO COTACAO (blt_id, pap_id, cot_prc_comum, cot_prc_min, cot_prc_max, cot_prc_med, cot_prc_mediana) VALUES (3, 39, NULL, NULL, NULL, NULL, NULL);</v>
      </c>
    </row>
    <row r="118" customFormat="false" ht="14.25" hidden="false" customHeight="false" outlineLevel="0" collapsed="false">
      <c r="A118" s="1" t="n">
        <v>117</v>
      </c>
      <c r="B118" s="1" t="n">
        <v>3</v>
      </c>
      <c r="C118" s="1" t="n">
        <v>40</v>
      </c>
      <c r="D118" s="1" t="str">
        <f aca="false">IF('Boletins Nuppa Site'!G118&lt;&gt;0,'Boletins Nuppa Site'!G118,"NULL")</f>
        <v>NULL</v>
      </c>
      <c r="E118" s="1" t="str">
        <f aca="false">IF('Boletins Nuppa Site'!H118&lt;&gt;0,'Boletins Nuppa Site'!H118,"NULL")</f>
        <v>NULL</v>
      </c>
      <c r="F118" s="1" t="str">
        <f aca="false">IF('Boletins Nuppa Site'!I118&lt;&gt;0,'Boletins Nuppa Site'!I118,"NULL")</f>
        <v>NULL</v>
      </c>
      <c r="G118" s="1" t="str">
        <f aca="false">IF('Boletins Nuppa Site'!J118&lt;&gt;0,'Boletins Nuppa Site'!J118,"NULL")</f>
        <v>NULL</v>
      </c>
      <c r="H118" s="1" t="str">
        <f aca="false">IF('Boletins Nuppa Site'!K118&lt;&gt;0,'Boletins Nuppa Site'!K118,"NULL")</f>
        <v>NULL</v>
      </c>
      <c r="J118" s="1" t="str">
        <f aca="false">"INSERT INTO COTACAO (blt_id, pap_id, cot_prc_comum, cot_prc_min, cot_prc_max, cot_prc_med, cot_prc_mediana) VALUES ("&amp;B118&amp;", "&amp;C118&amp;", "&amp;D118&amp;", "&amp;E118&amp;", "&amp;F118&amp;", "&amp;G118&amp;", "&amp;H118&amp;");"</f>
        <v>INSERT INTO COTACAO (blt_id, pap_id, cot_prc_comum, cot_prc_min, cot_prc_max, cot_prc_med, cot_prc_mediana) VALUES (3, 40, NULL, NULL, NULL, NULL, NULL);</v>
      </c>
    </row>
    <row r="119" customFormat="false" ht="14.25" hidden="false" customHeight="false" outlineLevel="0" collapsed="false">
      <c r="A119" s="1" t="n">
        <v>118</v>
      </c>
      <c r="B119" s="1" t="n">
        <v>4</v>
      </c>
      <c r="C119" s="1" t="n">
        <v>1</v>
      </c>
      <c r="D119" s="16" t="n">
        <f aca="false">IF('Boletins Nuppa Site'!G119&lt;&gt;0,'Boletins Nuppa Site'!G119,"NULL")</f>
        <v>42</v>
      </c>
      <c r="E119" s="16" t="n">
        <f aca="false">IF('Boletins Nuppa Site'!H119&lt;&gt;0,'Boletins Nuppa Site'!H119,"NULL")</f>
        <v>42</v>
      </c>
      <c r="F119" s="16" t="n">
        <f aca="false">IF('Boletins Nuppa Site'!I119&lt;&gt;0,'Boletins Nuppa Site'!I119,"NULL")</f>
        <v>42</v>
      </c>
      <c r="G119" s="16" t="n">
        <f aca="false">IF('Boletins Nuppa Site'!J119&lt;&gt;0,'Boletins Nuppa Site'!J119,"NULL")</f>
        <v>42</v>
      </c>
      <c r="H119" s="16" t="n">
        <f aca="false">IF('Boletins Nuppa Site'!K119&lt;&gt;0,'Boletins Nuppa Site'!K119,"NULL")</f>
        <v>42</v>
      </c>
      <c r="J119" s="1" t="str">
        <f aca="false">"INSERT INTO COTACAO (blt_id, pap_id, cot_prc_comum, cot_prc_min, cot_prc_max, cot_prc_med, cot_prc_mediana) VALUES ("&amp;B119&amp;", "&amp;C119&amp;", "&amp;D119&amp;", "&amp;E119&amp;", "&amp;F119&amp;", "&amp;G119&amp;", "&amp;H119&amp;");"</f>
        <v>INSERT INTO COTACAO (blt_id, pap_id, cot_prc_comum, cot_prc_min, cot_prc_max, cot_prc_med, cot_prc_mediana) VALUES (4, 1, 42, 42, 42, 42, 42);</v>
      </c>
    </row>
    <row r="120" customFormat="false" ht="14.25" hidden="false" customHeight="false" outlineLevel="0" collapsed="false">
      <c r="A120" s="1" t="n">
        <v>119</v>
      </c>
      <c r="B120" s="1" t="n">
        <v>4</v>
      </c>
      <c r="C120" s="1" t="n">
        <v>2</v>
      </c>
      <c r="D120" s="16" t="n">
        <f aca="false">IF('Boletins Nuppa Site'!G120&lt;&gt;0,'Boletins Nuppa Site'!G120,"NULL")</f>
        <v>60</v>
      </c>
      <c r="E120" s="16" t="n">
        <f aca="false">IF('Boletins Nuppa Site'!H120&lt;&gt;0,'Boletins Nuppa Site'!H120,"NULL")</f>
        <v>60</v>
      </c>
      <c r="F120" s="16" t="n">
        <f aca="false">IF('Boletins Nuppa Site'!I120&lt;&gt;0,'Boletins Nuppa Site'!I120,"NULL")</f>
        <v>60</v>
      </c>
      <c r="G120" s="16" t="n">
        <f aca="false">IF('Boletins Nuppa Site'!J120&lt;&gt;0,'Boletins Nuppa Site'!J120,"NULL")</f>
        <v>60</v>
      </c>
      <c r="H120" s="16" t="n">
        <f aca="false">IF('Boletins Nuppa Site'!K120&lt;&gt;0,'Boletins Nuppa Site'!K120,"NULL")</f>
        <v>60</v>
      </c>
      <c r="J120" s="1" t="str">
        <f aca="false">"INSERT INTO COTACAO (blt_id, pap_id, cot_prc_comum, cot_prc_min, cot_prc_max, cot_prc_med, cot_prc_mediana) VALUES ("&amp;B120&amp;", "&amp;C120&amp;", "&amp;D120&amp;", "&amp;E120&amp;", "&amp;F120&amp;", "&amp;G120&amp;", "&amp;H120&amp;");"</f>
        <v>INSERT INTO COTACAO (blt_id, pap_id, cot_prc_comum, cot_prc_min, cot_prc_max, cot_prc_med, cot_prc_mediana) VALUES (4, 2, 60, 60, 60, 60, 60);</v>
      </c>
    </row>
    <row r="121" customFormat="false" ht="14.25" hidden="false" customHeight="false" outlineLevel="0" collapsed="false">
      <c r="A121" s="1" t="n">
        <v>120</v>
      </c>
      <c r="B121" s="1" t="n">
        <v>4</v>
      </c>
      <c r="C121" s="1" t="n">
        <v>3</v>
      </c>
      <c r="D121" s="1" t="str">
        <f aca="false">IF('Boletins Nuppa Site'!G121&lt;&gt;0,'Boletins Nuppa Site'!G121,"NULL")</f>
        <v>NULL</v>
      </c>
      <c r="E121" s="16" t="n">
        <f aca="false">IF('Boletins Nuppa Site'!H121&lt;&gt;0,'Boletins Nuppa Site'!H121,"NULL")</f>
        <v>36</v>
      </c>
      <c r="F121" s="16" t="n">
        <f aca="false">IF('Boletins Nuppa Site'!I121&lt;&gt;0,'Boletins Nuppa Site'!I121,"NULL")</f>
        <v>42</v>
      </c>
      <c r="G121" s="16" t="n">
        <f aca="false">IF('Boletins Nuppa Site'!J121&lt;&gt;0,'Boletins Nuppa Site'!J121,"NULL")</f>
        <v>39</v>
      </c>
      <c r="H121" s="16" t="n">
        <f aca="false">IF('Boletins Nuppa Site'!K121&lt;&gt;0,'Boletins Nuppa Site'!K121,"NULL")</f>
        <v>39</v>
      </c>
      <c r="J121" s="1" t="str">
        <f aca="false">"INSERT INTO COTACAO (blt_id, pap_id, cot_prc_comum, cot_prc_min, cot_prc_max, cot_prc_med, cot_prc_mediana) VALUES ("&amp;B121&amp;", "&amp;C121&amp;", "&amp;D121&amp;", "&amp;E121&amp;", "&amp;F121&amp;", "&amp;G121&amp;", "&amp;H121&amp;");"</f>
        <v>INSERT INTO COTACAO (blt_id, pap_id, cot_prc_comum, cot_prc_min, cot_prc_max, cot_prc_med, cot_prc_mediana) VALUES (4, 3, NULL, 36, 42, 39, 39);</v>
      </c>
    </row>
    <row r="122" customFormat="false" ht="14.25" hidden="false" customHeight="false" outlineLevel="0" collapsed="false">
      <c r="A122" s="1" t="n">
        <v>121</v>
      </c>
      <c r="B122" s="1" t="n">
        <v>4</v>
      </c>
      <c r="C122" s="1" t="n">
        <v>4</v>
      </c>
      <c r="D122" s="16" t="n">
        <f aca="false">IF('Boletins Nuppa Site'!G122&lt;&gt;0,'Boletins Nuppa Site'!G122,"NULL")</f>
        <v>24</v>
      </c>
      <c r="E122" s="16" t="n">
        <f aca="false">IF('Boletins Nuppa Site'!H122&lt;&gt;0,'Boletins Nuppa Site'!H122,"NULL")</f>
        <v>18</v>
      </c>
      <c r="F122" s="16" t="n">
        <f aca="false">IF('Boletins Nuppa Site'!I122&lt;&gt;0,'Boletins Nuppa Site'!I122,"NULL")</f>
        <v>24</v>
      </c>
      <c r="G122" s="16" t="n">
        <f aca="false">IF('Boletins Nuppa Site'!J122&lt;&gt;0,'Boletins Nuppa Site'!J122,"NULL")</f>
        <v>22</v>
      </c>
      <c r="H122" s="16" t="n">
        <f aca="false">IF('Boletins Nuppa Site'!K122&lt;&gt;0,'Boletins Nuppa Site'!K122,"NULL")</f>
        <v>24</v>
      </c>
      <c r="J122" s="1" t="str">
        <f aca="false">"INSERT INTO COTACAO (blt_id, pap_id, cot_prc_comum, cot_prc_min, cot_prc_max, cot_prc_med, cot_prc_mediana) VALUES ("&amp;B122&amp;", "&amp;C122&amp;", "&amp;D122&amp;", "&amp;E122&amp;", "&amp;F122&amp;", "&amp;G122&amp;", "&amp;H122&amp;");"</f>
        <v>INSERT INTO COTACAO (blt_id, pap_id, cot_prc_comum, cot_prc_min, cot_prc_max, cot_prc_med, cot_prc_mediana) VALUES (4, 4, 24, 18, 24, 22, 24);</v>
      </c>
    </row>
    <row r="123" customFormat="false" ht="14.25" hidden="false" customHeight="false" outlineLevel="0" collapsed="false">
      <c r="A123" s="1" t="n">
        <v>122</v>
      </c>
      <c r="B123" s="1" t="n">
        <v>4</v>
      </c>
      <c r="C123" s="1" t="n">
        <v>5</v>
      </c>
      <c r="D123" s="16" t="n">
        <f aca="false">IF('Boletins Nuppa Site'!G123&lt;&gt;0,'Boletins Nuppa Site'!G123,"NULL")</f>
        <v>24</v>
      </c>
      <c r="E123" s="16" t="n">
        <f aca="false">IF('Boletins Nuppa Site'!H123&lt;&gt;0,'Boletins Nuppa Site'!H123,"NULL")</f>
        <v>18</v>
      </c>
      <c r="F123" s="16" t="n">
        <f aca="false">IF('Boletins Nuppa Site'!I123&lt;&gt;0,'Boletins Nuppa Site'!I123,"NULL")</f>
        <v>24</v>
      </c>
      <c r="G123" s="16" t="n">
        <f aca="false">IF('Boletins Nuppa Site'!J123&lt;&gt;0,'Boletins Nuppa Site'!J123,"NULL")</f>
        <v>22</v>
      </c>
      <c r="H123" s="16" t="n">
        <f aca="false">IF('Boletins Nuppa Site'!K123&lt;&gt;0,'Boletins Nuppa Site'!K123,"NULL")</f>
        <v>24</v>
      </c>
      <c r="J123" s="1" t="str">
        <f aca="false">"INSERT INTO COTACAO (blt_id, pap_id, cot_prc_comum, cot_prc_min, cot_prc_max, cot_prc_med, cot_prc_mediana) VALUES ("&amp;B123&amp;", "&amp;C123&amp;", "&amp;D123&amp;", "&amp;E123&amp;", "&amp;F123&amp;", "&amp;G123&amp;", "&amp;H123&amp;");"</f>
        <v>INSERT INTO COTACAO (blt_id, pap_id, cot_prc_comum, cot_prc_min, cot_prc_max, cot_prc_med, cot_prc_mediana) VALUES (4, 5, 24, 18, 24, 22, 24);</v>
      </c>
    </row>
    <row r="124" customFormat="false" ht="14.25" hidden="false" customHeight="false" outlineLevel="0" collapsed="false">
      <c r="A124" s="1" t="n">
        <v>123</v>
      </c>
      <c r="B124" s="1" t="n">
        <v>4</v>
      </c>
      <c r="C124" s="1" t="n">
        <v>6</v>
      </c>
      <c r="D124" s="1" t="str">
        <f aca="false">IF('Boletins Nuppa Site'!G124&lt;&gt;0,'Boletins Nuppa Site'!G124,"NULL")</f>
        <v>NULL</v>
      </c>
      <c r="E124" s="16" t="n">
        <f aca="false">IF('Boletins Nuppa Site'!H124&lt;&gt;0,'Boletins Nuppa Site'!H124,"NULL")</f>
        <v>42</v>
      </c>
      <c r="F124" s="16" t="n">
        <f aca="false">IF('Boletins Nuppa Site'!I124&lt;&gt;0,'Boletins Nuppa Site'!I124,"NULL")</f>
        <v>48</v>
      </c>
      <c r="G124" s="16" t="n">
        <f aca="false">IF('Boletins Nuppa Site'!J124&lt;&gt;0,'Boletins Nuppa Site'!J124,"NULL")</f>
        <v>45</v>
      </c>
      <c r="H124" s="16" t="n">
        <f aca="false">IF('Boletins Nuppa Site'!K124&lt;&gt;0,'Boletins Nuppa Site'!K124,"NULL")</f>
        <v>45</v>
      </c>
      <c r="J124" s="1" t="str">
        <f aca="false">"INSERT INTO COTACAO (blt_id, pap_id, cot_prc_comum, cot_prc_min, cot_prc_max, cot_prc_med, cot_prc_mediana) VALUES ("&amp;B124&amp;", "&amp;C124&amp;", "&amp;D124&amp;", "&amp;E124&amp;", "&amp;F124&amp;", "&amp;G124&amp;", "&amp;H124&amp;");"</f>
        <v>INSERT INTO COTACAO (blt_id, pap_id, cot_prc_comum, cot_prc_min, cot_prc_max, cot_prc_med, cot_prc_mediana) VALUES (4, 6, NULL, 42, 48, 45, 45);</v>
      </c>
    </row>
    <row r="125" customFormat="false" ht="14.25" hidden="false" customHeight="false" outlineLevel="0" collapsed="false">
      <c r="A125" s="1" t="n">
        <v>124</v>
      </c>
      <c r="B125" s="1" t="n">
        <v>4</v>
      </c>
      <c r="C125" s="1" t="n">
        <v>7</v>
      </c>
      <c r="D125" s="1" t="str">
        <f aca="false">IF('Boletins Nuppa Site'!G125&lt;&gt;0,'Boletins Nuppa Site'!G125,"NULL")</f>
        <v>NULL</v>
      </c>
      <c r="E125" s="16" t="n">
        <f aca="false">IF('Boletins Nuppa Site'!H125&lt;&gt;0,'Boletins Nuppa Site'!H125,"NULL")</f>
        <v>66</v>
      </c>
      <c r="F125" s="16" t="n">
        <f aca="false">IF('Boletins Nuppa Site'!I125&lt;&gt;0,'Boletins Nuppa Site'!I125,"NULL")</f>
        <v>78</v>
      </c>
      <c r="G125" s="16" t="n">
        <f aca="false">IF('Boletins Nuppa Site'!J125&lt;&gt;0,'Boletins Nuppa Site'!J125,"NULL")</f>
        <v>72</v>
      </c>
      <c r="H125" s="16" t="n">
        <f aca="false">IF('Boletins Nuppa Site'!K125&lt;&gt;0,'Boletins Nuppa Site'!K125,"NULL")</f>
        <v>72</v>
      </c>
      <c r="J125" s="1" t="str">
        <f aca="false">"INSERT INTO COTACAO (blt_id, pap_id, cot_prc_comum, cot_prc_min, cot_prc_max, cot_prc_med, cot_prc_mediana) VALUES ("&amp;B125&amp;", "&amp;C125&amp;", "&amp;D125&amp;", "&amp;E125&amp;", "&amp;F125&amp;", "&amp;G125&amp;", "&amp;H125&amp;");"</f>
        <v>INSERT INTO COTACAO (blt_id, pap_id, cot_prc_comum, cot_prc_min, cot_prc_max, cot_prc_med, cot_prc_mediana) VALUES (4, 7, NULL, 66, 78, 72, 72);</v>
      </c>
    </row>
    <row r="126" customFormat="false" ht="14.25" hidden="false" customHeight="false" outlineLevel="0" collapsed="false">
      <c r="A126" s="1" t="n">
        <v>125</v>
      </c>
      <c r="B126" s="1" t="n">
        <v>4</v>
      </c>
      <c r="C126" s="1" t="n">
        <v>8</v>
      </c>
      <c r="D126" s="1" t="str">
        <f aca="false">IF('Boletins Nuppa Site'!G126&lt;&gt;0,'Boletins Nuppa Site'!G126,"NULL")</f>
        <v>NULL</v>
      </c>
      <c r="E126" s="16" t="n">
        <f aca="false">IF('Boletins Nuppa Site'!H126&lt;&gt;0,'Boletins Nuppa Site'!H126,"NULL")</f>
        <v>60</v>
      </c>
      <c r="F126" s="16" t="n">
        <f aca="false">IF('Boletins Nuppa Site'!I126&lt;&gt;0,'Boletins Nuppa Site'!I126,"NULL")</f>
        <v>72</v>
      </c>
      <c r="G126" s="16" t="n">
        <f aca="false">IF('Boletins Nuppa Site'!J126&lt;&gt;0,'Boletins Nuppa Site'!J126,"NULL")</f>
        <v>66</v>
      </c>
      <c r="H126" s="16" t="n">
        <f aca="false">IF('Boletins Nuppa Site'!K126&lt;&gt;0,'Boletins Nuppa Site'!K126,"NULL")</f>
        <v>66</v>
      </c>
      <c r="J126" s="1" t="str">
        <f aca="false">"INSERT INTO COTACAO (blt_id, pap_id, cot_prc_comum, cot_prc_min, cot_prc_max, cot_prc_med, cot_prc_mediana) VALUES ("&amp;B126&amp;", "&amp;C126&amp;", "&amp;D126&amp;", "&amp;E126&amp;", "&amp;F126&amp;", "&amp;G126&amp;", "&amp;H126&amp;");"</f>
        <v>INSERT INTO COTACAO (blt_id, pap_id, cot_prc_comum, cot_prc_min, cot_prc_max, cot_prc_med, cot_prc_mediana) VALUES (4, 8, NULL, 60, 72, 66, 66);</v>
      </c>
    </row>
    <row r="127" customFormat="false" ht="14.25" hidden="false" customHeight="false" outlineLevel="0" collapsed="false">
      <c r="A127" s="1" t="n">
        <v>126</v>
      </c>
      <c r="B127" s="1" t="n">
        <v>4</v>
      </c>
      <c r="C127" s="1" t="n">
        <v>9</v>
      </c>
      <c r="D127" s="1" t="str">
        <f aca="false">IF('Boletins Nuppa Site'!G127&lt;&gt;0,'Boletins Nuppa Site'!G127,"NULL")</f>
        <v>NULL</v>
      </c>
      <c r="E127" s="16" t="n">
        <f aca="false">IF('Boletins Nuppa Site'!H127&lt;&gt;0,'Boletins Nuppa Site'!H127,"NULL")</f>
        <v>15</v>
      </c>
      <c r="F127" s="16" t="n">
        <f aca="false">IF('Boletins Nuppa Site'!I127&lt;&gt;0,'Boletins Nuppa Site'!I127,"NULL")</f>
        <v>24</v>
      </c>
      <c r="G127" s="16" t="n">
        <f aca="false">IF('Boletins Nuppa Site'!J127&lt;&gt;0,'Boletins Nuppa Site'!J127,"NULL")</f>
        <v>19</v>
      </c>
      <c r="H127" s="16" t="n">
        <f aca="false">IF('Boletins Nuppa Site'!K127&lt;&gt;0,'Boletins Nuppa Site'!K127,"NULL")</f>
        <v>18</v>
      </c>
      <c r="J127" s="1" t="str">
        <f aca="false">"INSERT INTO COTACAO (blt_id, pap_id, cot_prc_comum, cot_prc_min, cot_prc_max, cot_prc_med, cot_prc_mediana) VALUES ("&amp;B127&amp;", "&amp;C127&amp;", "&amp;D127&amp;", "&amp;E127&amp;", "&amp;F127&amp;", "&amp;G127&amp;", "&amp;H127&amp;");"</f>
        <v>INSERT INTO COTACAO (blt_id, pap_id, cot_prc_comum, cot_prc_min, cot_prc_max, cot_prc_med, cot_prc_mediana) VALUES (4, 9, NULL, 15, 24, 19, 18);</v>
      </c>
    </row>
    <row r="128" customFormat="false" ht="14.25" hidden="false" customHeight="false" outlineLevel="0" collapsed="false">
      <c r="A128" s="1" t="n">
        <v>127</v>
      </c>
      <c r="B128" s="1" t="n">
        <v>4</v>
      </c>
      <c r="C128" s="1" t="n">
        <v>10</v>
      </c>
      <c r="D128" s="1" t="str">
        <f aca="false">IF('Boletins Nuppa Site'!G128&lt;&gt;0,'Boletins Nuppa Site'!G128,"NULL")</f>
        <v>NULL</v>
      </c>
      <c r="E128" s="16" t="n">
        <f aca="false">IF('Boletins Nuppa Site'!H128&lt;&gt;0,'Boletins Nuppa Site'!H128,"NULL")</f>
        <v>60</v>
      </c>
      <c r="F128" s="16" t="n">
        <f aca="false">IF('Boletins Nuppa Site'!I128&lt;&gt;0,'Boletins Nuppa Site'!I128,"NULL")</f>
        <v>84</v>
      </c>
      <c r="G128" s="16" t="n">
        <f aca="false">IF('Boletins Nuppa Site'!J128&lt;&gt;0,'Boletins Nuppa Site'!J128,"NULL")</f>
        <v>72</v>
      </c>
      <c r="H128" s="16" t="n">
        <f aca="false">IF('Boletins Nuppa Site'!K128&lt;&gt;0,'Boletins Nuppa Site'!K128,"NULL")</f>
        <v>72</v>
      </c>
      <c r="J128" s="1" t="str">
        <f aca="false">"INSERT INTO COTACAO (blt_id, pap_id, cot_prc_comum, cot_prc_min, cot_prc_max, cot_prc_med, cot_prc_mediana) VALUES ("&amp;B128&amp;", "&amp;C128&amp;", "&amp;D128&amp;", "&amp;E128&amp;", "&amp;F128&amp;", "&amp;G128&amp;", "&amp;H128&amp;");"</f>
        <v>INSERT INTO COTACAO (blt_id, pap_id, cot_prc_comum, cot_prc_min, cot_prc_max, cot_prc_med, cot_prc_mediana) VALUES (4, 10, NULL, 60, 84, 72, 72);</v>
      </c>
    </row>
    <row r="129" customFormat="false" ht="14.25" hidden="false" customHeight="false" outlineLevel="0" collapsed="false">
      <c r="A129" s="1" t="n">
        <v>128</v>
      </c>
      <c r="B129" s="1" t="n">
        <v>4</v>
      </c>
      <c r="C129" s="1" t="n">
        <v>11</v>
      </c>
      <c r="D129" s="16" t="n">
        <f aca="false">IF('Boletins Nuppa Site'!G129&lt;&gt;0,'Boletins Nuppa Site'!G129,"NULL")</f>
        <v>24</v>
      </c>
      <c r="E129" s="16" t="n">
        <f aca="false">IF('Boletins Nuppa Site'!H129&lt;&gt;0,'Boletins Nuppa Site'!H129,"NULL")</f>
        <v>18</v>
      </c>
      <c r="F129" s="16" t="n">
        <f aca="false">IF('Boletins Nuppa Site'!I129&lt;&gt;0,'Boletins Nuppa Site'!I129,"NULL")</f>
        <v>24</v>
      </c>
      <c r="G129" s="16" t="n">
        <f aca="false">IF('Boletins Nuppa Site'!J129&lt;&gt;0,'Boletins Nuppa Site'!J129,"NULL")</f>
        <v>22</v>
      </c>
      <c r="H129" s="16" t="n">
        <f aca="false">IF('Boletins Nuppa Site'!K129&lt;&gt;0,'Boletins Nuppa Site'!K129,"NULL")</f>
        <v>24</v>
      </c>
      <c r="J129" s="1" t="str">
        <f aca="false">"INSERT INTO COTACAO (blt_id, pap_id, cot_prc_comum, cot_prc_min, cot_prc_max, cot_prc_med, cot_prc_mediana) VALUES ("&amp;B129&amp;", "&amp;C129&amp;", "&amp;D129&amp;", "&amp;E129&amp;", "&amp;F129&amp;", "&amp;G129&amp;", "&amp;H129&amp;");"</f>
        <v>INSERT INTO COTACAO (blt_id, pap_id, cot_prc_comum, cot_prc_min, cot_prc_max, cot_prc_med, cot_prc_mediana) VALUES (4, 11, 24, 18, 24, 22, 24);</v>
      </c>
    </row>
    <row r="130" customFormat="false" ht="14.25" hidden="false" customHeight="false" outlineLevel="0" collapsed="false">
      <c r="A130" s="1" t="n">
        <v>129</v>
      </c>
      <c r="B130" s="1" t="n">
        <v>4</v>
      </c>
      <c r="C130" s="1" t="n">
        <v>12</v>
      </c>
      <c r="D130" s="16" t="n">
        <f aca="false">IF('Boletins Nuppa Site'!G130&lt;&gt;0,'Boletins Nuppa Site'!G130,"NULL")</f>
        <v>60</v>
      </c>
      <c r="E130" s="16" t="n">
        <f aca="false">IF('Boletins Nuppa Site'!H130&lt;&gt;0,'Boletins Nuppa Site'!H130,"NULL")</f>
        <v>60</v>
      </c>
      <c r="F130" s="16" t="n">
        <f aca="false">IF('Boletins Nuppa Site'!I130&lt;&gt;0,'Boletins Nuppa Site'!I130,"NULL")</f>
        <v>60</v>
      </c>
      <c r="G130" s="16" t="n">
        <f aca="false">IF('Boletins Nuppa Site'!J130&lt;&gt;0,'Boletins Nuppa Site'!J130,"NULL")</f>
        <v>60</v>
      </c>
      <c r="H130" s="16" t="n">
        <f aca="false">IF('Boletins Nuppa Site'!K130&lt;&gt;0,'Boletins Nuppa Site'!K130,"NULL")</f>
        <v>60</v>
      </c>
      <c r="J130" s="1" t="str">
        <f aca="false">"INSERT INTO COTACAO (blt_id, pap_id, cot_prc_comum, cot_prc_min, cot_prc_max, cot_prc_med, cot_prc_mediana) VALUES ("&amp;B130&amp;", "&amp;C130&amp;", "&amp;D130&amp;", "&amp;E130&amp;", "&amp;F130&amp;", "&amp;G130&amp;", "&amp;H130&amp;");"</f>
        <v>INSERT INTO COTACAO (blt_id, pap_id, cot_prc_comum, cot_prc_min, cot_prc_max, cot_prc_med, cot_prc_mediana) VALUES (4, 12, 60, 60, 60, 60, 60);</v>
      </c>
    </row>
    <row r="131" customFormat="false" ht="14.25" hidden="false" customHeight="false" outlineLevel="0" collapsed="false">
      <c r="A131" s="1" t="n">
        <v>130</v>
      </c>
      <c r="B131" s="1" t="n">
        <v>4</v>
      </c>
      <c r="C131" s="1" t="n">
        <v>13</v>
      </c>
      <c r="D131" s="1" t="str">
        <f aca="false">IF('Boletins Nuppa Site'!G131&lt;&gt;0,'Boletins Nuppa Site'!G131,"NULL")</f>
        <v>NULL</v>
      </c>
      <c r="E131" s="16" t="n">
        <f aca="false">IF('Boletins Nuppa Site'!H131&lt;&gt;0,'Boletins Nuppa Site'!H131,"NULL")</f>
        <v>54</v>
      </c>
      <c r="F131" s="16" t="n">
        <f aca="false">IF('Boletins Nuppa Site'!I131&lt;&gt;0,'Boletins Nuppa Site'!I131,"NULL")</f>
        <v>60</v>
      </c>
      <c r="G131" s="16" t="n">
        <f aca="false">IF('Boletins Nuppa Site'!J131&lt;&gt;0,'Boletins Nuppa Site'!J131,"NULL")</f>
        <v>57</v>
      </c>
      <c r="H131" s="16" t="n">
        <f aca="false">IF('Boletins Nuppa Site'!K131&lt;&gt;0,'Boletins Nuppa Site'!K131,"NULL")</f>
        <v>57</v>
      </c>
      <c r="J131" s="1" t="str">
        <f aca="false">"INSERT INTO COTACAO (blt_id, pap_id, cot_prc_comum, cot_prc_min, cot_prc_max, cot_prc_med, cot_prc_mediana) VALUES ("&amp;B131&amp;", "&amp;C131&amp;", "&amp;D131&amp;", "&amp;E131&amp;", "&amp;F131&amp;", "&amp;G131&amp;", "&amp;H131&amp;");"</f>
        <v>INSERT INTO COTACAO (blt_id, pap_id, cot_prc_comum, cot_prc_min, cot_prc_max, cot_prc_med, cot_prc_mediana) VALUES (4, 13, NULL, 54, 60, 57, 57);</v>
      </c>
    </row>
    <row r="132" customFormat="false" ht="14.25" hidden="false" customHeight="false" outlineLevel="0" collapsed="false">
      <c r="A132" s="1" t="n">
        <v>131</v>
      </c>
      <c r="B132" s="1" t="n">
        <v>4</v>
      </c>
      <c r="C132" s="1" t="n">
        <v>14</v>
      </c>
      <c r="D132" s="1" t="str">
        <f aca="false">IF('Boletins Nuppa Site'!G132&lt;&gt;0,'Boletins Nuppa Site'!G132,"NULL")</f>
        <v>NULL</v>
      </c>
      <c r="E132" s="16" t="n">
        <f aca="false">IF('Boletins Nuppa Site'!H132&lt;&gt;0,'Boletins Nuppa Site'!H132,"NULL")</f>
        <v>40</v>
      </c>
      <c r="F132" s="16" t="n">
        <f aca="false">IF('Boletins Nuppa Site'!I132&lt;&gt;0,'Boletins Nuppa Site'!I132,"NULL")</f>
        <v>54</v>
      </c>
      <c r="G132" s="16" t="n">
        <f aca="false">IF('Boletins Nuppa Site'!J132&lt;&gt;0,'Boletins Nuppa Site'!J132,"NULL")</f>
        <v>47</v>
      </c>
      <c r="H132" s="16" t="n">
        <f aca="false">IF('Boletins Nuppa Site'!K132&lt;&gt;0,'Boletins Nuppa Site'!K132,"NULL")</f>
        <v>47</v>
      </c>
      <c r="J132" s="1" t="str">
        <f aca="false">"INSERT INTO COTACAO (blt_id, pap_id, cot_prc_comum, cot_prc_min, cot_prc_max, cot_prc_med, cot_prc_mediana) VALUES ("&amp;B132&amp;", "&amp;C132&amp;", "&amp;D132&amp;", "&amp;E132&amp;", "&amp;F132&amp;", "&amp;G132&amp;", "&amp;H132&amp;");"</f>
        <v>INSERT INTO COTACAO (blt_id, pap_id, cot_prc_comum, cot_prc_min, cot_prc_max, cot_prc_med, cot_prc_mediana) VALUES (4, 14, NULL, 40, 54, 47, 47);</v>
      </c>
    </row>
    <row r="133" customFormat="false" ht="14.25" hidden="false" customHeight="false" outlineLevel="0" collapsed="false">
      <c r="A133" s="1" t="n">
        <v>132</v>
      </c>
      <c r="B133" s="1" t="n">
        <v>4</v>
      </c>
      <c r="C133" s="1" t="n">
        <v>15</v>
      </c>
      <c r="D133" s="1" t="str">
        <f aca="false">IF('Boletins Nuppa Site'!G133&lt;&gt;0,'Boletins Nuppa Site'!G133,"NULL")</f>
        <v>NULL</v>
      </c>
      <c r="E133" s="16" t="n">
        <f aca="false">IF('Boletins Nuppa Site'!H133&lt;&gt;0,'Boletins Nuppa Site'!H133,"NULL")</f>
        <v>25</v>
      </c>
      <c r="F133" s="16" t="n">
        <f aca="false">IF('Boletins Nuppa Site'!I133&lt;&gt;0,'Boletins Nuppa Site'!I133,"NULL")</f>
        <v>36</v>
      </c>
      <c r="G133" s="1" t="str">
        <f aca="false">IF('Boletins Nuppa Site'!J133&lt;&gt;0,'Boletins Nuppa Site'!J133,"NULL")</f>
        <v>30.33</v>
      </c>
      <c r="H133" s="16" t="n">
        <f aca="false">IF('Boletins Nuppa Site'!K133&lt;&gt;0,'Boletins Nuppa Site'!K133,"NULL")</f>
        <v>30</v>
      </c>
      <c r="J133" s="1" t="str">
        <f aca="false">"INSERT INTO COTACAO (blt_id, pap_id, cot_prc_comum, cot_prc_min, cot_prc_max, cot_prc_med, cot_prc_mediana) VALUES ("&amp;B133&amp;", "&amp;C133&amp;", "&amp;D133&amp;", "&amp;E133&amp;", "&amp;F133&amp;", "&amp;G133&amp;", "&amp;H133&amp;");"</f>
        <v>INSERT INTO COTACAO (blt_id, pap_id, cot_prc_comum, cot_prc_min, cot_prc_max, cot_prc_med, cot_prc_mediana) VALUES (4, 15, NULL, 25, 36, 30.33, 30);</v>
      </c>
    </row>
    <row r="134" customFormat="false" ht="14.25" hidden="false" customHeight="false" outlineLevel="0" collapsed="false">
      <c r="A134" s="1" t="n">
        <v>133</v>
      </c>
      <c r="B134" s="1" t="n">
        <v>4</v>
      </c>
      <c r="C134" s="1" t="n">
        <v>16</v>
      </c>
      <c r="D134" s="16" t="n">
        <f aca="false">IF('Boletins Nuppa Site'!G134&lt;&gt;0,'Boletins Nuppa Site'!G134,"NULL")</f>
        <v>42</v>
      </c>
      <c r="E134" s="16" t="n">
        <f aca="false">IF('Boletins Nuppa Site'!H134&lt;&gt;0,'Boletins Nuppa Site'!H134,"NULL")</f>
        <v>42</v>
      </c>
      <c r="F134" s="16" t="n">
        <f aca="false">IF('Boletins Nuppa Site'!I134&lt;&gt;0,'Boletins Nuppa Site'!I134,"NULL")</f>
        <v>42</v>
      </c>
      <c r="G134" s="16" t="n">
        <f aca="false">IF('Boletins Nuppa Site'!J134&lt;&gt;0,'Boletins Nuppa Site'!J134,"NULL")</f>
        <v>42</v>
      </c>
      <c r="H134" s="16" t="n">
        <f aca="false">IF('Boletins Nuppa Site'!K134&lt;&gt;0,'Boletins Nuppa Site'!K134,"NULL")</f>
        <v>42</v>
      </c>
      <c r="J134" s="1" t="str">
        <f aca="false">"INSERT INTO COTACAO (blt_id, pap_id, cot_prc_comum, cot_prc_min, cot_prc_max, cot_prc_med, cot_prc_mediana) VALUES ("&amp;B134&amp;", "&amp;C134&amp;", "&amp;D134&amp;", "&amp;E134&amp;", "&amp;F134&amp;", "&amp;G134&amp;", "&amp;H134&amp;");"</f>
        <v>INSERT INTO COTACAO (blt_id, pap_id, cot_prc_comum, cot_prc_min, cot_prc_max, cot_prc_med, cot_prc_mediana) VALUES (4, 16, 42, 42, 42, 42, 42);</v>
      </c>
    </row>
    <row r="135" customFormat="false" ht="14.25" hidden="false" customHeight="false" outlineLevel="0" collapsed="false">
      <c r="A135" s="1" t="n">
        <v>134</v>
      </c>
      <c r="B135" s="1" t="n">
        <v>4</v>
      </c>
      <c r="C135" s="1" t="n">
        <v>17</v>
      </c>
      <c r="D135" s="1" t="str">
        <f aca="false">IF('Boletins Nuppa Site'!G135&lt;&gt;0,'Boletins Nuppa Site'!G135,"NULL")</f>
        <v>NULL</v>
      </c>
      <c r="E135" s="16" t="n">
        <f aca="false">IF('Boletins Nuppa Site'!H135&lt;&gt;0,'Boletins Nuppa Site'!H135,"NULL")</f>
        <v>4</v>
      </c>
      <c r="F135" s="16" t="n">
        <f aca="false">IF('Boletins Nuppa Site'!I135&lt;&gt;0,'Boletins Nuppa Site'!I135,"NULL")</f>
        <v>5</v>
      </c>
      <c r="G135" s="1" t="str">
        <f aca="false">IF('Boletins Nuppa Site'!J135&lt;&gt;0,'Boletins Nuppa Site'!J135,"NULL")</f>
        <v>4.5</v>
      </c>
      <c r="H135" s="1" t="str">
        <f aca="false">IF('Boletins Nuppa Site'!K135&lt;&gt;0,'Boletins Nuppa Site'!K135,"NULL")</f>
        <v>4.5</v>
      </c>
      <c r="J135" s="1" t="str">
        <f aca="false">"INSERT INTO COTACAO (blt_id, pap_id, cot_prc_comum, cot_prc_min, cot_prc_max, cot_prc_med, cot_prc_mediana) VALUES ("&amp;B135&amp;", "&amp;C135&amp;", "&amp;D135&amp;", "&amp;E135&amp;", "&amp;F135&amp;", "&amp;G135&amp;", "&amp;H135&amp;");"</f>
        <v>INSERT INTO COTACAO (blt_id, pap_id, cot_prc_comum, cot_prc_min, cot_prc_max, cot_prc_med, cot_prc_mediana) VALUES (4, 17, NULL, 4, 5, 4.5, 4.5);</v>
      </c>
    </row>
    <row r="136" customFormat="false" ht="14.25" hidden="false" customHeight="false" outlineLevel="0" collapsed="false">
      <c r="A136" s="1" t="n">
        <v>135</v>
      </c>
      <c r="B136" s="1" t="n">
        <v>4</v>
      </c>
      <c r="C136" s="1" t="n">
        <v>18</v>
      </c>
      <c r="D136" s="1" t="str">
        <f aca="false">IF('Boletins Nuppa Site'!G136&lt;&gt;0,'Boletins Nuppa Site'!G136,"NULL")</f>
        <v>NULL</v>
      </c>
      <c r="E136" s="16" t="n">
        <f aca="false">IF('Boletins Nuppa Site'!H136&lt;&gt;0,'Boletins Nuppa Site'!H136,"NULL")</f>
        <v>18</v>
      </c>
      <c r="F136" s="16" t="n">
        <f aca="false">IF('Boletins Nuppa Site'!I136&lt;&gt;0,'Boletins Nuppa Site'!I136,"NULL")</f>
        <v>20</v>
      </c>
      <c r="G136" s="16" t="n">
        <f aca="false">IF('Boletins Nuppa Site'!J136&lt;&gt;0,'Boletins Nuppa Site'!J136,"NULL")</f>
        <v>19</v>
      </c>
      <c r="H136" s="16" t="n">
        <f aca="false">IF('Boletins Nuppa Site'!K136&lt;&gt;0,'Boletins Nuppa Site'!K136,"NULL")</f>
        <v>19</v>
      </c>
      <c r="J136" s="1" t="str">
        <f aca="false">"INSERT INTO COTACAO (blt_id, pap_id, cot_prc_comum, cot_prc_min, cot_prc_max, cot_prc_med, cot_prc_mediana) VALUES ("&amp;B136&amp;", "&amp;C136&amp;", "&amp;D136&amp;", "&amp;E136&amp;", "&amp;F136&amp;", "&amp;G136&amp;", "&amp;H136&amp;");"</f>
        <v>INSERT INTO COTACAO (blt_id, pap_id, cot_prc_comum, cot_prc_min, cot_prc_max, cot_prc_med, cot_prc_mediana) VALUES (4, 18, NULL, 18, 20, 19, 19);</v>
      </c>
    </row>
    <row r="137" customFormat="false" ht="14.25" hidden="false" customHeight="false" outlineLevel="0" collapsed="false">
      <c r="A137" s="1" t="n">
        <v>136</v>
      </c>
      <c r="B137" s="1" t="n">
        <v>4</v>
      </c>
      <c r="C137" s="1" t="n">
        <v>19</v>
      </c>
      <c r="D137" s="16" t="n">
        <f aca="false">IF('Boletins Nuppa Site'!G137&lt;&gt;0,'Boletins Nuppa Site'!G137,"NULL")</f>
        <v>25</v>
      </c>
      <c r="E137" s="16" t="n">
        <f aca="false">IF('Boletins Nuppa Site'!H137&lt;&gt;0,'Boletins Nuppa Site'!H137,"NULL")</f>
        <v>25</v>
      </c>
      <c r="F137" s="16" t="n">
        <f aca="false">IF('Boletins Nuppa Site'!I137&lt;&gt;0,'Boletins Nuppa Site'!I137,"NULL")</f>
        <v>25</v>
      </c>
      <c r="G137" s="16" t="n">
        <f aca="false">IF('Boletins Nuppa Site'!J137&lt;&gt;0,'Boletins Nuppa Site'!J137,"NULL")</f>
        <v>25</v>
      </c>
      <c r="H137" s="16" t="n">
        <f aca="false">IF('Boletins Nuppa Site'!K137&lt;&gt;0,'Boletins Nuppa Site'!K137,"NULL")</f>
        <v>25</v>
      </c>
      <c r="J137" s="1" t="str">
        <f aca="false">"INSERT INTO COTACAO (blt_id, pap_id, cot_prc_comum, cot_prc_min, cot_prc_max, cot_prc_med, cot_prc_mediana) VALUES ("&amp;B137&amp;", "&amp;C137&amp;", "&amp;D137&amp;", "&amp;E137&amp;", "&amp;F137&amp;", "&amp;G137&amp;", "&amp;H137&amp;");"</f>
        <v>INSERT INTO COTACAO (blt_id, pap_id, cot_prc_comum, cot_prc_min, cot_prc_max, cot_prc_med, cot_prc_mediana) VALUES (4, 19, 25, 25, 25, 25, 25);</v>
      </c>
    </row>
    <row r="138" customFormat="false" ht="14.25" hidden="false" customHeight="false" outlineLevel="0" collapsed="false">
      <c r="A138" s="1" t="n">
        <v>137</v>
      </c>
      <c r="B138" s="1" t="n">
        <v>4</v>
      </c>
      <c r="C138" s="1" t="n">
        <v>21</v>
      </c>
      <c r="D138" s="16" t="n">
        <f aca="false">IF('Boletins Nuppa Site'!G138&lt;&gt;0,'Boletins Nuppa Site'!G138,"NULL")</f>
        <v>50</v>
      </c>
      <c r="E138" s="16" t="n">
        <f aca="false">IF('Boletins Nuppa Site'!H138&lt;&gt;0,'Boletins Nuppa Site'!H138,"NULL")</f>
        <v>30</v>
      </c>
      <c r="F138" s="16" t="n">
        <f aca="false">IF('Boletins Nuppa Site'!I138&lt;&gt;0,'Boletins Nuppa Site'!I138,"NULL")</f>
        <v>50</v>
      </c>
      <c r="G138" s="1" t="str">
        <f aca="false">IF('Boletins Nuppa Site'!J138&lt;&gt;0,'Boletins Nuppa Site'!J138,"NULL")</f>
        <v>43.33</v>
      </c>
      <c r="H138" s="16" t="n">
        <f aca="false">IF('Boletins Nuppa Site'!K138&lt;&gt;0,'Boletins Nuppa Site'!K138,"NULL")</f>
        <v>45</v>
      </c>
      <c r="J138" s="1" t="str">
        <f aca="false">"INSERT INTO COTACAO (blt_id, pap_id, cot_prc_comum, cot_prc_min, cot_prc_max, cot_prc_med, cot_prc_mediana) VALUES ("&amp;B138&amp;", "&amp;C138&amp;", "&amp;D138&amp;", "&amp;E138&amp;", "&amp;F138&amp;", "&amp;G138&amp;", "&amp;H138&amp;");"</f>
        <v>INSERT INTO COTACAO (blt_id, pap_id, cot_prc_comum, cot_prc_min, cot_prc_max, cot_prc_med, cot_prc_mediana) VALUES (4, 21, 50, 30, 50, 43.33, 45);</v>
      </c>
    </row>
    <row r="139" customFormat="false" ht="14.25" hidden="false" customHeight="false" outlineLevel="0" collapsed="false">
      <c r="A139" s="1" t="n">
        <v>138</v>
      </c>
      <c r="B139" s="1" t="n">
        <v>4</v>
      </c>
      <c r="C139" s="1" t="n">
        <v>22</v>
      </c>
      <c r="D139" s="16" t="n">
        <f aca="false">IF('Boletins Nuppa Site'!G139&lt;&gt;0,'Boletins Nuppa Site'!G139,"NULL")</f>
        <v>45</v>
      </c>
      <c r="E139" s="16" t="n">
        <f aca="false">IF('Boletins Nuppa Site'!H139&lt;&gt;0,'Boletins Nuppa Site'!H139,"NULL")</f>
        <v>35</v>
      </c>
      <c r="F139" s="16" t="n">
        <f aca="false">IF('Boletins Nuppa Site'!I139&lt;&gt;0,'Boletins Nuppa Site'!I139,"NULL")</f>
        <v>60</v>
      </c>
      <c r="G139" s="1" t="str">
        <f aca="false">IF('Boletins Nuppa Site'!J139&lt;&gt;0,'Boletins Nuppa Site'!J139,"NULL")</f>
        <v>47.86</v>
      </c>
      <c r="H139" s="16" t="n">
        <f aca="false">IF('Boletins Nuppa Site'!K139&lt;&gt;0,'Boletins Nuppa Site'!K139,"NULL")</f>
        <v>45</v>
      </c>
      <c r="J139" s="1" t="str">
        <f aca="false">"INSERT INTO COTACAO (blt_id, pap_id, cot_prc_comum, cot_prc_min, cot_prc_max, cot_prc_med, cot_prc_mediana) VALUES ("&amp;B139&amp;", "&amp;C139&amp;", "&amp;D139&amp;", "&amp;E139&amp;", "&amp;F139&amp;", "&amp;G139&amp;", "&amp;H139&amp;");"</f>
        <v>INSERT INTO COTACAO (blt_id, pap_id, cot_prc_comum, cot_prc_min, cot_prc_max, cot_prc_med, cot_prc_mediana) VALUES (4, 22, 45, 35, 60, 47.86, 45);</v>
      </c>
    </row>
    <row r="140" customFormat="false" ht="14.25" hidden="false" customHeight="false" outlineLevel="0" collapsed="false">
      <c r="A140" s="1" t="n">
        <v>139</v>
      </c>
      <c r="B140" s="1" t="n">
        <v>4</v>
      </c>
      <c r="C140" s="1" t="n">
        <v>23</v>
      </c>
      <c r="D140" s="16" t="n">
        <f aca="false">IF('Boletins Nuppa Site'!G140&lt;&gt;0,'Boletins Nuppa Site'!G140,"NULL")</f>
        <v>35</v>
      </c>
      <c r="E140" s="16" t="n">
        <f aca="false">IF('Boletins Nuppa Site'!H140&lt;&gt;0,'Boletins Nuppa Site'!H140,"NULL")</f>
        <v>30</v>
      </c>
      <c r="F140" s="16" t="n">
        <f aca="false">IF('Boletins Nuppa Site'!I140&lt;&gt;0,'Boletins Nuppa Site'!I140,"NULL")</f>
        <v>45</v>
      </c>
      <c r="G140" s="1" t="str">
        <f aca="false">IF('Boletins Nuppa Site'!J140&lt;&gt;0,'Boletins Nuppa Site'!J140,"NULL")</f>
        <v>38.57</v>
      </c>
      <c r="H140" s="16" t="n">
        <f aca="false">IF('Boletins Nuppa Site'!K140&lt;&gt;0,'Boletins Nuppa Site'!K140,"NULL")</f>
        <v>40</v>
      </c>
      <c r="J140" s="1" t="str">
        <f aca="false">"INSERT INTO COTACAO (blt_id, pap_id, cot_prc_comum, cot_prc_min, cot_prc_max, cot_prc_med, cot_prc_mediana) VALUES ("&amp;B140&amp;", "&amp;C140&amp;", "&amp;D140&amp;", "&amp;E140&amp;", "&amp;F140&amp;", "&amp;G140&amp;", "&amp;H140&amp;");"</f>
        <v>INSERT INTO COTACAO (blt_id, pap_id, cot_prc_comum, cot_prc_min, cot_prc_max, cot_prc_med, cot_prc_mediana) VALUES (4, 23, 35, 30, 45, 38.57, 40);</v>
      </c>
    </row>
    <row r="141" customFormat="false" ht="14.25" hidden="false" customHeight="false" outlineLevel="0" collapsed="false">
      <c r="A141" s="1" t="n">
        <v>140</v>
      </c>
      <c r="B141" s="1" t="n">
        <v>4</v>
      </c>
      <c r="C141" s="1" t="n">
        <v>24</v>
      </c>
      <c r="D141" s="1" t="str">
        <f aca="false">IF('Boletins Nuppa Site'!G141&lt;&gt;0,'Boletins Nuppa Site'!G141,"NULL")</f>
        <v>NULL</v>
      </c>
      <c r="E141" s="16" t="n">
        <f aca="false">IF('Boletins Nuppa Site'!H141&lt;&gt;0,'Boletins Nuppa Site'!H141,"NULL")</f>
        <v>120</v>
      </c>
      <c r="F141" s="16" t="n">
        <f aca="false">IF('Boletins Nuppa Site'!I141&lt;&gt;0,'Boletins Nuppa Site'!I141,"NULL")</f>
        <v>120</v>
      </c>
      <c r="G141" s="16" t="n">
        <f aca="false">IF('Boletins Nuppa Site'!J141&lt;&gt;0,'Boletins Nuppa Site'!J141,"NULL")</f>
        <v>120</v>
      </c>
      <c r="H141" s="16" t="n">
        <f aca="false">IF('Boletins Nuppa Site'!K141&lt;&gt;0,'Boletins Nuppa Site'!K141,"NULL")</f>
        <v>120</v>
      </c>
      <c r="J141" s="1" t="str">
        <f aca="false">"INSERT INTO COTACAO (blt_id, pap_id, cot_prc_comum, cot_prc_min, cot_prc_max, cot_prc_med, cot_prc_mediana) VALUES ("&amp;B141&amp;", "&amp;C141&amp;", "&amp;D141&amp;", "&amp;E141&amp;", "&amp;F141&amp;", "&amp;G141&amp;", "&amp;H141&amp;");"</f>
        <v>INSERT INTO COTACAO (blt_id, pap_id, cot_prc_comum, cot_prc_min, cot_prc_max, cot_prc_med, cot_prc_mediana) VALUES (4, 24, NULL, 120, 120, 120, 120);</v>
      </c>
    </row>
    <row r="142" customFormat="false" ht="14.25" hidden="false" customHeight="false" outlineLevel="0" collapsed="false">
      <c r="A142" s="1" t="n">
        <v>141</v>
      </c>
      <c r="B142" s="1" t="n">
        <v>4</v>
      </c>
      <c r="C142" s="1" t="n">
        <v>25</v>
      </c>
      <c r="D142" s="16" t="n">
        <f aca="false">IF('Boletins Nuppa Site'!G142&lt;&gt;0,'Boletins Nuppa Site'!G142,"NULL")</f>
        <v>60</v>
      </c>
      <c r="E142" s="16" t="n">
        <f aca="false">IF('Boletins Nuppa Site'!H142&lt;&gt;0,'Boletins Nuppa Site'!H142,"NULL")</f>
        <v>50</v>
      </c>
      <c r="F142" s="16" t="n">
        <f aca="false">IF('Boletins Nuppa Site'!I142&lt;&gt;0,'Boletins Nuppa Site'!I142,"NULL")</f>
        <v>65</v>
      </c>
      <c r="G142" s="1" t="str">
        <f aca="false">IF('Boletins Nuppa Site'!J142&lt;&gt;0,'Boletins Nuppa Site'!J142,"NULL")</f>
        <v>58.75</v>
      </c>
      <c r="H142" s="16" t="n">
        <f aca="false">IF('Boletins Nuppa Site'!K142&lt;&gt;0,'Boletins Nuppa Site'!K142,"NULL")</f>
        <v>60</v>
      </c>
      <c r="J142" s="1" t="str">
        <f aca="false">"INSERT INTO COTACAO (blt_id, pap_id, cot_prc_comum, cot_prc_min, cot_prc_max, cot_prc_med, cot_prc_mediana) VALUES ("&amp;B142&amp;", "&amp;C142&amp;", "&amp;D142&amp;", "&amp;E142&amp;", "&amp;F142&amp;", "&amp;G142&amp;", "&amp;H142&amp;");"</f>
        <v>INSERT INTO COTACAO (blt_id, pap_id, cot_prc_comum, cot_prc_min, cot_prc_max, cot_prc_med, cot_prc_mediana) VALUES (4, 25, 60, 50, 65, 58.75, 60);</v>
      </c>
    </row>
    <row r="143" customFormat="false" ht="14.25" hidden="false" customHeight="false" outlineLevel="0" collapsed="false">
      <c r="A143" s="1" t="n">
        <v>142</v>
      </c>
      <c r="B143" s="1" t="n">
        <v>4</v>
      </c>
      <c r="C143" s="1" t="n">
        <v>26</v>
      </c>
      <c r="D143" s="16" t="n">
        <f aca="false">IF('Boletins Nuppa Site'!G143&lt;&gt;0,'Boletins Nuppa Site'!G143,"NULL")</f>
        <v>60</v>
      </c>
      <c r="E143" s="16" t="n">
        <f aca="false">IF('Boletins Nuppa Site'!H143&lt;&gt;0,'Boletins Nuppa Site'!H143,"NULL")</f>
        <v>60</v>
      </c>
      <c r="F143" s="16" t="n">
        <f aca="false">IF('Boletins Nuppa Site'!I143&lt;&gt;0,'Boletins Nuppa Site'!I143,"NULL")</f>
        <v>80</v>
      </c>
      <c r="G143" s="16" t="n">
        <f aca="false">IF('Boletins Nuppa Site'!J143&lt;&gt;0,'Boletins Nuppa Site'!J143,"NULL")</f>
        <v>68</v>
      </c>
      <c r="H143" s="16" t="n">
        <f aca="false">IF('Boletins Nuppa Site'!K143&lt;&gt;0,'Boletins Nuppa Site'!K143,"NULL")</f>
        <v>60</v>
      </c>
      <c r="J143" s="1" t="str">
        <f aca="false">"INSERT INTO COTACAO (blt_id, pap_id, cot_prc_comum, cot_prc_min, cot_prc_max, cot_prc_med, cot_prc_mediana) VALUES ("&amp;B143&amp;", "&amp;C143&amp;", "&amp;D143&amp;", "&amp;E143&amp;", "&amp;F143&amp;", "&amp;G143&amp;", "&amp;H143&amp;");"</f>
        <v>INSERT INTO COTACAO (blt_id, pap_id, cot_prc_comum, cot_prc_min, cot_prc_max, cot_prc_med, cot_prc_mediana) VALUES (4, 26, 60, 60, 80, 68, 60);</v>
      </c>
    </row>
    <row r="144" customFormat="false" ht="14.25" hidden="false" customHeight="false" outlineLevel="0" collapsed="false">
      <c r="A144" s="1" t="n">
        <v>143</v>
      </c>
      <c r="B144" s="1" t="n">
        <v>4</v>
      </c>
      <c r="C144" s="1" t="n">
        <v>27</v>
      </c>
      <c r="D144" s="16" t="n">
        <f aca="false">IF('Boletins Nuppa Site'!G144&lt;&gt;0,'Boletins Nuppa Site'!G144,"NULL")</f>
        <v>70</v>
      </c>
      <c r="E144" s="16" t="n">
        <f aca="false">IF('Boletins Nuppa Site'!H144&lt;&gt;0,'Boletins Nuppa Site'!H144,"NULL")</f>
        <v>50</v>
      </c>
      <c r="F144" s="16" t="n">
        <f aca="false">IF('Boletins Nuppa Site'!I144&lt;&gt;0,'Boletins Nuppa Site'!I144,"NULL")</f>
        <v>80</v>
      </c>
      <c r="G144" s="1" t="str">
        <f aca="false">IF('Boletins Nuppa Site'!J144&lt;&gt;0,'Boletins Nuppa Site'!J144,"NULL")</f>
        <v>66.67</v>
      </c>
      <c r="H144" s="16" t="n">
        <f aca="false">IF('Boletins Nuppa Site'!K144&lt;&gt;0,'Boletins Nuppa Site'!K144,"NULL")</f>
        <v>70</v>
      </c>
      <c r="J144" s="1" t="str">
        <f aca="false">"INSERT INTO COTACAO (blt_id, pap_id, cot_prc_comum, cot_prc_min, cot_prc_max, cot_prc_med, cot_prc_mediana) VALUES ("&amp;B144&amp;", "&amp;C144&amp;", "&amp;D144&amp;", "&amp;E144&amp;", "&amp;F144&amp;", "&amp;G144&amp;", "&amp;H144&amp;");"</f>
        <v>INSERT INTO COTACAO (blt_id, pap_id, cot_prc_comum, cot_prc_min, cot_prc_max, cot_prc_med, cot_prc_mediana) VALUES (4, 27, 70, 50, 80, 66.67, 70);</v>
      </c>
    </row>
    <row r="145" customFormat="false" ht="14.25" hidden="false" customHeight="false" outlineLevel="0" collapsed="false">
      <c r="A145" s="1" t="n">
        <v>144</v>
      </c>
      <c r="B145" s="1" t="n">
        <v>4</v>
      </c>
      <c r="C145" s="1" t="n">
        <v>28</v>
      </c>
      <c r="D145" s="16" t="n">
        <f aca="false">IF('Boletins Nuppa Site'!G145&lt;&gt;0,'Boletins Nuppa Site'!G145,"NULL")</f>
        <v>70</v>
      </c>
      <c r="E145" s="16" t="n">
        <f aca="false">IF('Boletins Nuppa Site'!H145&lt;&gt;0,'Boletins Nuppa Site'!H145,"NULL")</f>
        <v>60</v>
      </c>
      <c r="F145" s="16" t="n">
        <f aca="false">IF('Boletins Nuppa Site'!I145&lt;&gt;0,'Boletins Nuppa Site'!I145,"NULL")</f>
        <v>70</v>
      </c>
      <c r="G145" s="1" t="str">
        <f aca="false">IF('Boletins Nuppa Site'!J145&lt;&gt;0,'Boletins Nuppa Site'!J145,"NULL")</f>
        <v>67.5</v>
      </c>
      <c r="H145" s="16" t="n">
        <f aca="false">IF('Boletins Nuppa Site'!K145&lt;&gt;0,'Boletins Nuppa Site'!K145,"NULL")</f>
        <v>70</v>
      </c>
      <c r="J145" s="1" t="str">
        <f aca="false">"INSERT INTO COTACAO (blt_id, pap_id, cot_prc_comum, cot_prc_min, cot_prc_max, cot_prc_med, cot_prc_mediana) VALUES ("&amp;B145&amp;", "&amp;C145&amp;", "&amp;D145&amp;", "&amp;E145&amp;", "&amp;F145&amp;", "&amp;G145&amp;", "&amp;H145&amp;");"</f>
        <v>INSERT INTO COTACAO (blt_id, pap_id, cot_prc_comum, cot_prc_min, cot_prc_max, cot_prc_med, cot_prc_mediana) VALUES (4, 28, 70, 60, 70, 67.5, 70);</v>
      </c>
    </row>
    <row r="146" customFormat="false" ht="14.25" hidden="false" customHeight="false" outlineLevel="0" collapsed="false">
      <c r="A146" s="1" t="n">
        <v>145</v>
      </c>
      <c r="B146" s="1" t="n">
        <v>4</v>
      </c>
      <c r="C146" s="1" t="n">
        <v>29</v>
      </c>
      <c r="D146" s="1" t="str">
        <f aca="false">IF('Boletins Nuppa Site'!G146&lt;&gt;0,'Boletins Nuppa Site'!G146,"NULL")</f>
        <v>NULL</v>
      </c>
      <c r="E146" s="16" t="n">
        <f aca="false">IF('Boletins Nuppa Site'!H146&lt;&gt;0,'Boletins Nuppa Site'!H146,"NULL")</f>
        <v>60</v>
      </c>
      <c r="F146" s="16" t="n">
        <f aca="false">IF('Boletins Nuppa Site'!I146&lt;&gt;0,'Boletins Nuppa Site'!I146,"NULL")</f>
        <v>70</v>
      </c>
      <c r="G146" s="16" t="n">
        <f aca="false">IF('Boletins Nuppa Site'!J146&lt;&gt;0,'Boletins Nuppa Site'!J146,"NULL")</f>
        <v>65</v>
      </c>
      <c r="H146" s="16" t="n">
        <f aca="false">IF('Boletins Nuppa Site'!K146&lt;&gt;0,'Boletins Nuppa Site'!K146,"NULL")</f>
        <v>65</v>
      </c>
      <c r="J146" s="1" t="str">
        <f aca="false">"INSERT INTO COTACAO (blt_id, pap_id, cot_prc_comum, cot_prc_min, cot_prc_max, cot_prc_med, cot_prc_mediana) VALUES ("&amp;B146&amp;", "&amp;C146&amp;", "&amp;D146&amp;", "&amp;E146&amp;", "&amp;F146&amp;", "&amp;G146&amp;", "&amp;H146&amp;");"</f>
        <v>INSERT INTO COTACAO (blt_id, pap_id, cot_prc_comum, cot_prc_min, cot_prc_max, cot_prc_med, cot_prc_mediana) VALUES (4, 29, NULL, 60, 70, 65, 65);</v>
      </c>
    </row>
    <row r="147" customFormat="false" ht="14.25" hidden="false" customHeight="false" outlineLevel="0" collapsed="false">
      <c r="A147" s="1" t="n">
        <v>146</v>
      </c>
      <c r="B147" s="1" t="n">
        <v>4</v>
      </c>
      <c r="C147" s="1" t="n">
        <v>30</v>
      </c>
      <c r="D147" s="16" t="n">
        <f aca="false">IF('Boletins Nuppa Site'!G147&lt;&gt;0,'Boletins Nuppa Site'!G147,"NULL")</f>
        <v>60</v>
      </c>
      <c r="E147" s="16" t="n">
        <f aca="false">IF('Boletins Nuppa Site'!H147&lt;&gt;0,'Boletins Nuppa Site'!H147,"NULL")</f>
        <v>40</v>
      </c>
      <c r="F147" s="16" t="n">
        <f aca="false">IF('Boletins Nuppa Site'!I147&lt;&gt;0,'Boletins Nuppa Site'!I147,"NULL")</f>
        <v>60</v>
      </c>
      <c r="G147" s="16" t="n">
        <f aca="false">IF('Boletins Nuppa Site'!J147&lt;&gt;0,'Boletins Nuppa Site'!J147,"NULL")</f>
        <v>53</v>
      </c>
      <c r="H147" s="16" t="n">
        <f aca="false">IF('Boletins Nuppa Site'!K147&lt;&gt;0,'Boletins Nuppa Site'!K147,"NULL")</f>
        <v>60</v>
      </c>
      <c r="J147" s="1" t="str">
        <f aca="false">"INSERT INTO COTACAO (blt_id, pap_id, cot_prc_comum, cot_prc_min, cot_prc_max, cot_prc_med, cot_prc_mediana) VALUES ("&amp;B147&amp;", "&amp;C147&amp;", "&amp;D147&amp;", "&amp;E147&amp;", "&amp;F147&amp;", "&amp;G147&amp;", "&amp;H147&amp;");"</f>
        <v>INSERT INTO COTACAO (blt_id, pap_id, cot_prc_comum, cot_prc_min, cot_prc_max, cot_prc_med, cot_prc_mediana) VALUES (4, 30, 60, 40, 60, 53, 60);</v>
      </c>
    </row>
    <row r="148" customFormat="false" ht="14.25" hidden="false" customHeight="false" outlineLevel="0" collapsed="false">
      <c r="A148" s="1" t="n">
        <v>147</v>
      </c>
      <c r="B148" s="1" t="n">
        <v>4</v>
      </c>
      <c r="C148" s="1" t="n">
        <v>31</v>
      </c>
      <c r="D148" s="16" t="n">
        <f aca="false">IF('Boletins Nuppa Site'!G148&lt;&gt;0,'Boletins Nuppa Site'!G148,"NULL")</f>
        <v>70</v>
      </c>
      <c r="E148" s="16" t="n">
        <f aca="false">IF('Boletins Nuppa Site'!H148&lt;&gt;0,'Boletins Nuppa Site'!H148,"NULL")</f>
        <v>50</v>
      </c>
      <c r="F148" s="16" t="n">
        <f aca="false">IF('Boletins Nuppa Site'!I148&lt;&gt;0,'Boletins Nuppa Site'!I148,"NULL")</f>
        <v>90</v>
      </c>
      <c r="G148" s="1" t="str">
        <f aca="false">IF('Boletins Nuppa Site'!J148&lt;&gt;0,'Boletins Nuppa Site'!J148,"NULL")</f>
        <v>70.83</v>
      </c>
      <c r="H148" s="16" t="n">
        <f aca="false">IF('Boletins Nuppa Site'!K148&lt;&gt;0,'Boletins Nuppa Site'!K148,"NULL")</f>
        <v>70</v>
      </c>
      <c r="J148" s="1" t="str">
        <f aca="false">"INSERT INTO COTACAO (blt_id, pap_id, cot_prc_comum, cot_prc_min, cot_prc_max, cot_prc_med, cot_prc_mediana) VALUES ("&amp;B148&amp;", "&amp;C148&amp;", "&amp;D148&amp;", "&amp;E148&amp;", "&amp;F148&amp;", "&amp;G148&amp;", "&amp;H148&amp;");"</f>
        <v>INSERT INTO COTACAO (blt_id, pap_id, cot_prc_comum, cot_prc_min, cot_prc_max, cot_prc_med, cot_prc_mediana) VALUES (4, 31, 70, 50, 90, 70.83, 70);</v>
      </c>
    </row>
    <row r="149" customFormat="false" ht="14.25" hidden="false" customHeight="false" outlineLevel="0" collapsed="false">
      <c r="A149" s="1" t="n">
        <v>148</v>
      </c>
      <c r="B149" s="1" t="n">
        <v>4</v>
      </c>
      <c r="C149" s="1" t="n">
        <v>32</v>
      </c>
      <c r="D149" s="16" t="n">
        <f aca="false">IF('Boletins Nuppa Site'!G149&lt;&gt;0,'Boletins Nuppa Site'!G149,"NULL")</f>
        <v>40</v>
      </c>
      <c r="E149" s="16" t="n">
        <f aca="false">IF('Boletins Nuppa Site'!H149&lt;&gt;0,'Boletins Nuppa Site'!H149,"NULL")</f>
        <v>35</v>
      </c>
      <c r="F149" s="16" t="n">
        <f aca="false">IF('Boletins Nuppa Site'!I149&lt;&gt;0,'Boletins Nuppa Site'!I149,"NULL")</f>
        <v>40</v>
      </c>
      <c r="G149" s="1" t="str">
        <f aca="false">IF('Boletins Nuppa Site'!J149&lt;&gt;0,'Boletins Nuppa Site'!J149,"NULL")</f>
        <v>39.17</v>
      </c>
      <c r="H149" s="16" t="n">
        <f aca="false">IF('Boletins Nuppa Site'!K149&lt;&gt;0,'Boletins Nuppa Site'!K149,"NULL")</f>
        <v>40</v>
      </c>
      <c r="J149" s="1" t="str">
        <f aca="false">"INSERT INTO COTACAO (blt_id, pap_id, cot_prc_comum, cot_prc_min, cot_prc_max, cot_prc_med, cot_prc_mediana) VALUES ("&amp;B149&amp;", "&amp;C149&amp;", "&amp;D149&amp;", "&amp;E149&amp;", "&amp;F149&amp;", "&amp;G149&amp;", "&amp;H149&amp;");"</f>
        <v>INSERT INTO COTACAO (blt_id, pap_id, cot_prc_comum, cot_prc_min, cot_prc_max, cot_prc_med, cot_prc_mediana) VALUES (4, 32, 40, 35, 40, 39.17, 40);</v>
      </c>
    </row>
    <row r="150" customFormat="false" ht="14.25" hidden="false" customHeight="false" outlineLevel="0" collapsed="false">
      <c r="A150" s="1" t="n">
        <v>149</v>
      </c>
      <c r="B150" s="1" t="n">
        <v>4</v>
      </c>
      <c r="C150" s="1" t="n">
        <v>33</v>
      </c>
      <c r="D150" s="16" t="n">
        <f aca="false">IF('Boletins Nuppa Site'!G150&lt;&gt;0,'Boletins Nuppa Site'!G150,"NULL")</f>
        <v>80</v>
      </c>
      <c r="E150" s="16" t="n">
        <f aca="false">IF('Boletins Nuppa Site'!H150&lt;&gt;0,'Boletins Nuppa Site'!H150,"NULL")</f>
        <v>80</v>
      </c>
      <c r="F150" s="16" t="n">
        <f aca="false">IF('Boletins Nuppa Site'!I150&lt;&gt;0,'Boletins Nuppa Site'!I150,"NULL")</f>
        <v>100</v>
      </c>
      <c r="G150" s="16" t="n">
        <f aca="false">IF('Boletins Nuppa Site'!J150&lt;&gt;0,'Boletins Nuppa Site'!J150,"NULL")</f>
        <v>85</v>
      </c>
      <c r="H150" s="16" t="n">
        <f aca="false">IF('Boletins Nuppa Site'!K150&lt;&gt;0,'Boletins Nuppa Site'!K150,"NULL")</f>
        <v>80</v>
      </c>
      <c r="J150" s="1" t="str">
        <f aca="false">"INSERT INTO COTACAO (blt_id, pap_id, cot_prc_comum, cot_prc_min, cot_prc_max, cot_prc_med, cot_prc_mediana) VALUES ("&amp;B150&amp;", "&amp;C150&amp;", "&amp;D150&amp;", "&amp;E150&amp;", "&amp;F150&amp;", "&amp;G150&amp;", "&amp;H150&amp;");"</f>
        <v>INSERT INTO COTACAO (blt_id, pap_id, cot_prc_comum, cot_prc_min, cot_prc_max, cot_prc_med, cot_prc_mediana) VALUES (4, 33, 80, 80, 100, 85, 80);</v>
      </c>
    </row>
    <row r="151" customFormat="false" ht="14.25" hidden="false" customHeight="false" outlineLevel="0" collapsed="false">
      <c r="A151" s="1" t="n">
        <v>150</v>
      </c>
      <c r="B151" s="1" t="n">
        <v>4</v>
      </c>
      <c r="C151" s="1" t="n">
        <v>34</v>
      </c>
      <c r="D151" s="16" t="n">
        <f aca="false">IF('Boletins Nuppa Site'!G151&lt;&gt;0,'Boletins Nuppa Site'!G151,"NULL")</f>
        <v>70</v>
      </c>
      <c r="E151" s="16" t="n">
        <f aca="false">IF('Boletins Nuppa Site'!H151&lt;&gt;0,'Boletins Nuppa Site'!H151,"NULL")</f>
        <v>70</v>
      </c>
      <c r="F151" s="16" t="n">
        <f aca="false">IF('Boletins Nuppa Site'!I151&lt;&gt;0,'Boletins Nuppa Site'!I151,"NULL")</f>
        <v>80</v>
      </c>
      <c r="G151" s="1" t="str">
        <f aca="false">IF('Boletins Nuppa Site'!J151&lt;&gt;0,'Boletins Nuppa Site'!J151,"NULL")</f>
        <v>73.33</v>
      </c>
      <c r="H151" s="16" t="n">
        <f aca="false">IF('Boletins Nuppa Site'!K151&lt;&gt;0,'Boletins Nuppa Site'!K151,"NULL")</f>
        <v>70</v>
      </c>
      <c r="J151" s="1" t="str">
        <f aca="false">"INSERT INTO COTACAO (blt_id, pap_id, cot_prc_comum, cot_prc_min, cot_prc_max, cot_prc_med, cot_prc_mediana) VALUES ("&amp;B151&amp;", "&amp;C151&amp;", "&amp;D151&amp;", "&amp;E151&amp;", "&amp;F151&amp;", "&amp;G151&amp;", "&amp;H151&amp;");"</f>
        <v>INSERT INTO COTACAO (blt_id, pap_id, cot_prc_comum, cot_prc_min, cot_prc_max, cot_prc_med, cot_prc_mediana) VALUES (4, 34, 70, 70, 80, 73.33, 70);</v>
      </c>
    </row>
    <row r="152" customFormat="false" ht="14.25" hidden="false" customHeight="false" outlineLevel="0" collapsed="false">
      <c r="A152" s="1" t="n">
        <v>151</v>
      </c>
      <c r="B152" s="1" t="n">
        <v>4</v>
      </c>
      <c r="C152" s="1" t="n">
        <v>35</v>
      </c>
      <c r="D152" s="16" t="n">
        <f aca="false">IF('Boletins Nuppa Site'!G152&lt;&gt;0,'Boletins Nuppa Site'!G152,"NULL")</f>
        <v>100</v>
      </c>
      <c r="E152" s="16" t="n">
        <f aca="false">IF('Boletins Nuppa Site'!H152&lt;&gt;0,'Boletins Nuppa Site'!H152,"NULL")</f>
        <v>100</v>
      </c>
      <c r="F152" s="16" t="n">
        <f aca="false">IF('Boletins Nuppa Site'!I152&lt;&gt;0,'Boletins Nuppa Site'!I152,"NULL")</f>
        <v>120</v>
      </c>
      <c r="G152" s="1" t="str">
        <f aca="false">IF('Boletins Nuppa Site'!J152&lt;&gt;0,'Boletins Nuppa Site'!J152,"NULL")</f>
        <v>107.5</v>
      </c>
      <c r="H152" s="16" t="n">
        <f aca="false">IF('Boletins Nuppa Site'!K152&lt;&gt;0,'Boletins Nuppa Site'!K152,"NULL")</f>
        <v>105</v>
      </c>
      <c r="J152" s="1" t="str">
        <f aca="false">"INSERT INTO COTACAO (blt_id, pap_id, cot_prc_comum, cot_prc_min, cot_prc_max, cot_prc_med, cot_prc_mediana) VALUES ("&amp;B152&amp;", "&amp;C152&amp;", "&amp;D152&amp;", "&amp;E152&amp;", "&amp;F152&amp;", "&amp;G152&amp;", "&amp;H152&amp;");"</f>
        <v>INSERT INTO COTACAO (blt_id, pap_id, cot_prc_comum, cot_prc_min, cot_prc_max, cot_prc_med, cot_prc_mediana) VALUES (4, 35, 100, 100, 120, 107.5, 105);</v>
      </c>
    </row>
    <row r="153" customFormat="false" ht="14.25" hidden="false" customHeight="false" outlineLevel="0" collapsed="false">
      <c r="A153" s="1" t="n">
        <v>152</v>
      </c>
      <c r="B153" s="1" t="n">
        <v>4</v>
      </c>
      <c r="C153" s="1" t="n">
        <v>36</v>
      </c>
      <c r="D153" s="1" t="str">
        <f aca="false">IF('Boletins Nuppa Site'!G153&lt;&gt;0,'Boletins Nuppa Site'!G153,"NULL")</f>
        <v>NULL</v>
      </c>
      <c r="E153" s="1" t="str">
        <f aca="false">IF('Boletins Nuppa Site'!H153&lt;&gt;0,'Boletins Nuppa Site'!H153,"NULL")</f>
        <v>NULL</v>
      </c>
      <c r="F153" s="1" t="str">
        <f aca="false">IF('Boletins Nuppa Site'!I153&lt;&gt;0,'Boletins Nuppa Site'!I153,"NULL")</f>
        <v>NULL</v>
      </c>
      <c r="G153" s="1" t="str">
        <f aca="false">IF('Boletins Nuppa Site'!J153&lt;&gt;0,'Boletins Nuppa Site'!J153,"NULL")</f>
        <v>NULL</v>
      </c>
      <c r="H153" s="1" t="str">
        <f aca="false">IF('Boletins Nuppa Site'!K153&lt;&gt;0,'Boletins Nuppa Site'!K153,"NULL")</f>
        <v>NULL</v>
      </c>
      <c r="J153" s="1" t="str">
        <f aca="false">"INSERT INTO COTACAO (blt_id, pap_id, cot_prc_comum, cot_prc_min, cot_prc_max, cot_prc_med, cot_prc_mediana) VALUES ("&amp;B153&amp;", "&amp;C153&amp;", "&amp;D153&amp;", "&amp;E153&amp;", "&amp;F153&amp;", "&amp;G153&amp;", "&amp;H153&amp;");"</f>
        <v>INSERT INTO COTACAO (blt_id, pap_id, cot_prc_comum, cot_prc_min, cot_prc_max, cot_prc_med, cot_prc_mediana) VALUES (4, 36, NULL, NULL, NULL, NULL, NULL);</v>
      </c>
    </row>
    <row r="154" customFormat="false" ht="14.25" hidden="false" customHeight="false" outlineLevel="0" collapsed="false">
      <c r="A154" s="1" t="n">
        <v>153</v>
      </c>
      <c r="B154" s="1" t="n">
        <v>4</v>
      </c>
      <c r="C154" s="1" t="n">
        <v>37</v>
      </c>
      <c r="D154" s="1" t="str">
        <f aca="false">IF('Boletins Nuppa Site'!G154&lt;&gt;0,'Boletins Nuppa Site'!G154,"NULL")</f>
        <v>NULL</v>
      </c>
      <c r="E154" s="1" t="str">
        <f aca="false">IF('Boletins Nuppa Site'!H154&lt;&gt;0,'Boletins Nuppa Site'!H154,"NULL")</f>
        <v>NULL</v>
      </c>
      <c r="F154" s="1" t="str">
        <f aca="false">IF('Boletins Nuppa Site'!I154&lt;&gt;0,'Boletins Nuppa Site'!I154,"NULL")</f>
        <v>NULL</v>
      </c>
      <c r="G154" s="1" t="str">
        <f aca="false">IF('Boletins Nuppa Site'!J154&lt;&gt;0,'Boletins Nuppa Site'!J154,"NULL")</f>
        <v>NULL</v>
      </c>
      <c r="H154" s="1" t="str">
        <f aca="false">IF('Boletins Nuppa Site'!K154&lt;&gt;0,'Boletins Nuppa Site'!K154,"NULL")</f>
        <v>NULL</v>
      </c>
      <c r="J154" s="1" t="str">
        <f aca="false">"INSERT INTO COTACAO (blt_id, pap_id, cot_prc_comum, cot_prc_min, cot_prc_max, cot_prc_med, cot_prc_mediana) VALUES ("&amp;B154&amp;", "&amp;C154&amp;", "&amp;D154&amp;", "&amp;E154&amp;", "&amp;F154&amp;", "&amp;G154&amp;", "&amp;H154&amp;");"</f>
        <v>INSERT INTO COTACAO (blt_id, pap_id, cot_prc_comum, cot_prc_min, cot_prc_max, cot_prc_med, cot_prc_mediana) VALUES (4, 37, NULL, NULL, NULL, NULL, NULL);</v>
      </c>
    </row>
    <row r="155" customFormat="false" ht="14.25" hidden="false" customHeight="false" outlineLevel="0" collapsed="false">
      <c r="A155" s="1" t="n">
        <v>154</v>
      </c>
      <c r="B155" s="1" t="n">
        <v>4</v>
      </c>
      <c r="C155" s="1" t="n">
        <v>38</v>
      </c>
      <c r="D155" s="1" t="str">
        <f aca="false">IF('Boletins Nuppa Site'!G155&lt;&gt;0,'Boletins Nuppa Site'!G155,"NULL")</f>
        <v>NULL</v>
      </c>
      <c r="E155" s="1" t="str">
        <f aca="false">IF('Boletins Nuppa Site'!H155&lt;&gt;0,'Boletins Nuppa Site'!H155,"NULL")</f>
        <v>NULL</v>
      </c>
      <c r="F155" s="1" t="str">
        <f aca="false">IF('Boletins Nuppa Site'!I155&lt;&gt;0,'Boletins Nuppa Site'!I155,"NULL")</f>
        <v>NULL</v>
      </c>
      <c r="G155" s="1" t="str">
        <f aca="false">IF('Boletins Nuppa Site'!J155&lt;&gt;0,'Boletins Nuppa Site'!J155,"NULL")</f>
        <v>NULL</v>
      </c>
      <c r="H155" s="1" t="str">
        <f aca="false">IF('Boletins Nuppa Site'!K155&lt;&gt;0,'Boletins Nuppa Site'!K155,"NULL")</f>
        <v>NULL</v>
      </c>
      <c r="J155" s="1" t="str">
        <f aca="false">"INSERT INTO COTACAO (blt_id, pap_id, cot_prc_comum, cot_prc_min, cot_prc_max, cot_prc_med, cot_prc_mediana) VALUES ("&amp;B155&amp;", "&amp;C155&amp;", "&amp;D155&amp;", "&amp;E155&amp;", "&amp;F155&amp;", "&amp;G155&amp;", "&amp;H155&amp;");"</f>
        <v>INSERT INTO COTACAO (blt_id, pap_id, cot_prc_comum, cot_prc_min, cot_prc_max, cot_prc_med, cot_prc_mediana) VALUES (4, 38, NULL, NULL, NULL, NULL, NULL);</v>
      </c>
    </row>
    <row r="156" customFormat="false" ht="14.25" hidden="false" customHeight="false" outlineLevel="0" collapsed="false">
      <c r="A156" s="1" t="n">
        <v>155</v>
      </c>
      <c r="B156" s="1" t="n">
        <v>4</v>
      </c>
      <c r="C156" s="1" t="n">
        <v>39</v>
      </c>
      <c r="D156" s="1" t="str">
        <f aca="false">IF('Boletins Nuppa Site'!G156&lt;&gt;0,'Boletins Nuppa Site'!G156,"NULL")</f>
        <v>NULL</v>
      </c>
      <c r="E156" s="1" t="str">
        <f aca="false">IF('Boletins Nuppa Site'!H156&lt;&gt;0,'Boletins Nuppa Site'!H156,"NULL")</f>
        <v>NULL</v>
      </c>
      <c r="F156" s="1" t="str">
        <f aca="false">IF('Boletins Nuppa Site'!I156&lt;&gt;0,'Boletins Nuppa Site'!I156,"NULL")</f>
        <v>NULL</v>
      </c>
      <c r="G156" s="1" t="str">
        <f aca="false">IF('Boletins Nuppa Site'!J156&lt;&gt;0,'Boletins Nuppa Site'!J156,"NULL")</f>
        <v>NULL</v>
      </c>
      <c r="H156" s="1" t="str">
        <f aca="false">IF('Boletins Nuppa Site'!K156&lt;&gt;0,'Boletins Nuppa Site'!K156,"NULL")</f>
        <v>NULL</v>
      </c>
      <c r="J156" s="1" t="str">
        <f aca="false">"INSERT INTO COTACAO (blt_id, pap_id, cot_prc_comum, cot_prc_min, cot_prc_max, cot_prc_med, cot_prc_mediana) VALUES ("&amp;B156&amp;", "&amp;C156&amp;", "&amp;D156&amp;", "&amp;E156&amp;", "&amp;F156&amp;", "&amp;G156&amp;", "&amp;H156&amp;");"</f>
        <v>INSERT INTO COTACAO (blt_id, pap_id, cot_prc_comum, cot_prc_min, cot_prc_max, cot_prc_med, cot_prc_mediana) VALUES (4, 39, NULL, NULL, NULL, NULL, NULL);</v>
      </c>
    </row>
    <row r="157" customFormat="false" ht="14.25" hidden="false" customHeight="false" outlineLevel="0" collapsed="false">
      <c r="A157" s="1" t="n">
        <v>156</v>
      </c>
      <c r="B157" s="1" t="n">
        <v>4</v>
      </c>
      <c r="C157" s="1" t="n">
        <v>40</v>
      </c>
      <c r="D157" s="1" t="str">
        <f aca="false">IF('Boletins Nuppa Site'!G157&lt;&gt;0,'Boletins Nuppa Site'!G157,"NULL")</f>
        <v>NULL</v>
      </c>
      <c r="E157" s="1" t="str">
        <f aca="false">IF('Boletins Nuppa Site'!H157&lt;&gt;0,'Boletins Nuppa Site'!H157,"NULL")</f>
        <v>NULL</v>
      </c>
      <c r="F157" s="1" t="str">
        <f aca="false">IF('Boletins Nuppa Site'!I157&lt;&gt;0,'Boletins Nuppa Site'!I157,"NULL")</f>
        <v>NULL</v>
      </c>
      <c r="G157" s="1" t="str">
        <f aca="false">IF('Boletins Nuppa Site'!J157&lt;&gt;0,'Boletins Nuppa Site'!J157,"NULL")</f>
        <v>NULL</v>
      </c>
      <c r="H157" s="1" t="str">
        <f aca="false">IF('Boletins Nuppa Site'!K157&lt;&gt;0,'Boletins Nuppa Site'!K157,"NULL")</f>
        <v>NULL</v>
      </c>
      <c r="J157" s="1" t="str">
        <f aca="false">"INSERT INTO COTACAO (blt_id, pap_id, cot_prc_comum, cot_prc_min, cot_prc_max, cot_prc_med, cot_prc_mediana) VALUES ("&amp;B157&amp;", "&amp;C157&amp;", "&amp;D157&amp;", "&amp;E157&amp;", "&amp;F157&amp;", "&amp;G157&amp;", "&amp;H157&amp;");"</f>
        <v>INSERT INTO COTACAO (blt_id, pap_id, cot_prc_comum, cot_prc_min, cot_prc_max, cot_prc_med, cot_prc_mediana) VALUES (4, 40, NULL, NULL, NULL, NULL, NULL);</v>
      </c>
    </row>
    <row r="158" customFormat="false" ht="14.25" hidden="false" customHeight="false" outlineLevel="0" collapsed="false">
      <c r="A158" s="1" t="n">
        <v>157</v>
      </c>
      <c r="B158" s="1" t="n">
        <v>5</v>
      </c>
      <c r="C158" s="1" t="n">
        <v>1</v>
      </c>
      <c r="D158" s="16" t="n">
        <f aca="false">IF('Boletins Nuppa Site'!G158&lt;&gt;0,'Boletins Nuppa Site'!G158,"NULL")</f>
        <v>42</v>
      </c>
      <c r="E158" s="16" t="n">
        <f aca="false">IF('Boletins Nuppa Site'!H158&lt;&gt;0,'Boletins Nuppa Site'!H158,"NULL")</f>
        <v>42</v>
      </c>
      <c r="F158" s="16" t="n">
        <f aca="false">IF('Boletins Nuppa Site'!I158&lt;&gt;0,'Boletins Nuppa Site'!I158,"NULL")</f>
        <v>42</v>
      </c>
      <c r="G158" s="16" t="n">
        <f aca="false">IF('Boletins Nuppa Site'!J158&lt;&gt;0,'Boletins Nuppa Site'!J158,"NULL")</f>
        <v>42</v>
      </c>
      <c r="H158" s="16" t="n">
        <f aca="false">IF('Boletins Nuppa Site'!K158&lt;&gt;0,'Boletins Nuppa Site'!K158,"NULL")</f>
        <v>42</v>
      </c>
      <c r="J158" s="1" t="str">
        <f aca="false">"INSERT INTO COTACAO (blt_id, pap_id, cot_prc_comum, cot_prc_min, cot_prc_max, cot_prc_med, cot_prc_mediana) VALUES ("&amp;B158&amp;", "&amp;C158&amp;", "&amp;D158&amp;", "&amp;E158&amp;", "&amp;F158&amp;", "&amp;G158&amp;", "&amp;H158&amp;");"</f>
        <v>INSERT INTO COTACAO (blt_id, pap_id, cot_prc_comum, cot_prc_min, cot_prc_max, cot_prc_med, cot_prc_mediana) VALUES (5, 1, 42, 42, 42, 42, 42);</v>
      </c>
    </row>
    <row r="159" customFormat="false" ht="14.25" hidden="false" customHeight="false" outlineLevel="0" collapsed="false">
      <c r="A159" s="1" t="n">
        <v>158</v>
      </c>
      <c r="B159" s="1" t="n">
        <v>5</v>
      </c>
      <c r="C159" s="1" t="n">
        <v>2</v>
      </c>
      <c r="D159" s="16" t="n">
        <f aca="false">IF('Boletins Nuppa Site'!G159&lt;&gt;0,'Boletins Nuppa Site'!G159,"NULL")</f>
        <v>60</v>
      </c>
      <c r="E159" s="16" t="n">
        <f aca="false">IF('Boletins Nuppa Site'!H159&lt;&gt;0,'Boletins Nuppa Site'!H159,"NULL")</f>
        <v>60</v>
      </c>
      <c r="F159" s="16" t="n">
        <f aca="false">IF('Boletins Nuppa Site'!I159&lt;&gt;0,'Boletins Nuppa Site'!I159,"NULL")</f>
        <v>60</v>
      </c>
      <c r="G159" s="16" t="n">
        <f aca="false">IF('Boletins Nuppa Site'!J159&lt;&gt;0,'Boletins Nuppa Site'!J159,"NULL")</f>
        <v>60</v>
      </c>
      <c r="H159" s="16" t="n">
        <f aca="false">IF('Boletins Nuppa Site'!K159&lt;&gt;0,'Boletins Nuppa Site'!K159,"NULL")</f>
        <v>60</v>
      </c>
      <c r="J159" s="1" t="str">
        <f aca="false">"INSERT INTO COTACAO (blt_id, pap_id, cot_prc_comum, cot_prc_min, cot_prc_max, cot_prc_med, cot_prc_mediana) VALUES ("&amp;B159&amp;", "&amp;C159&amp;", "&amp;D159&amp;", "&amp;E159&amp;", "&amp;F159&amp;", "&amp;G159&amp;", "&amp;H159&amp;");"</f>
        <v>INSERT INTO COTACAO (blt_id, pap_id, cot_prc_comum, cot_prc_min, cot_prc_max, cot_prc_med, cot_prc_mediana) VALUES (5, 2, 60, 60, 60, 60, 60);</v>
      </c>
    </row>
    <row r="160" customFormat="false" ht="14.25" hidden="false" customHeight="false" outlineLevel="0" collapsed="false">
      <c r="A160" s="1" t="n">
        <v>159</v>
      </c>
      <c r="B160" s="1" t="n">
        <v>5</v>
      </c>
      <c r="C160" s="1" t="n">
        <v>3</v>
      </c>
      <c r="D160" s="16" t="n">
        <f aca="false">IF('Boletins Nuppa Site'!G160&lt;&gt;0,'Boletins Nuppa Site'!G160,"NULL")</f>
        <v>30</v>
      </c>
      <c r="E160" s="16" t="n">
        <f aca="false">IF('Boletins Nuppa Site'!H160&lt;&gt;0,'Boletins Nuppa Site'!H160,"NULL")</f>
        <v>30</v>
      </c>
      <c r="F160" s="16" t="n">
        <f aca="false">IF('Boletins Nuppa Site'!I160&lt;&gt;0,'Boletins Nuppa Site'!I160,"NULL")</f>
        <v>42</v>
      </c>
      <c r="G160" s="1" t="str">
        <f aca="false">IF('Boletins Nuppa Site'!J160&lt;&gt;0,'Boletins Nuppa Site'!J160,"NULL")</f>
        <v>34.25</v>
      </c>
      <c r="H160" s="1" t="str">
        <f aca="false">IF('Boletins Nuppa Site'!K160&lt;&gt;0,'Boletins Nuppa Site'!K160,"NULL")</f>
        <v>32.5</v>
      </c>
      <c r="J160" s="1" t="str">
        <f aca="false">"INSERT INTO COTACAO (blt_id, pap_id, cot_prc_comum, cot_prc_min, cot_prc_max, cot_prc_med, cot_prc_mediana) VALUES ("&amp;B160&amp;", "&amp;C160&amp;", "&amp;D160&amp;", "&amp;E160&amp;", "&amp;F160&amp;", "&amp;G160&amp;", "&amp;H160&amp;");"</f>
        <v>INSERT INTO COTACAO (blt_id, pap_id, cot_prc_comum, cot_prc_min, cot_prc_max, cot_prc_med, cot_prc_mediana) VALUES (5, 3, 30, 30, 42, 34.25, 32.5);</v>
      </c>
    </row>
    <row r="161" customFormat="false" ht="14.25" hidden="false" customHeight="false" outlineLevel="0" collapsed="false">
      <c r="A161" s="1" t="n">
        <v>160</v>
      </c>
      <c r="B161" s="1" t="n">
        <v>5</v>
      </c>
      <c r="C161" s="1" t="n">
        <v>4</v>
      </c>
      <c r="D161" s="16" t="n">
        <f aca="false">IF('Boletins Nuppa Site'!G161&lt;&gt;0,'Boletins Nuppa Site'!G161,"NULL")</f>
        <v>18</v>
      </c>
      <c r="E161" s="16" t="n">
        <f aca="false">IF('Boletins Nuppa Site'!H161&lt;&gt;0,'Boletins Nuppa Site'!H161,"NULL")</f>
        <v>18</v>
      </c>
      <c r="F161" s="16" t="n">
        <f aca="false">IF('Boletins Nuppa Site'!I161&lt;&gt;0,'Boletins Nuppa Site'!I161,"NULL")</f>
        <v>24</v>
      </c>
      <c r="G161" s="16" t="n">
        <f aca="false">IF('Boletins Nuppa Site'!J161&lt;&gt;0,'Boletins Nuppa Site'!J161,"NULL")</f>
        <v>21</v>
      </c>
      <c r="H161" s="16" t="n">
        <f aca="false">IF('Boletins Nuppa Site'!K161&lt;&gt;0,'Boletins Nuppa Site'!K161,"NULL")</f>
        <v>21</v>
      </c>
      <c r="J161" s="1" t="str">
        <f aca="false">"INSERT INTO COTACAO (blt_id, pap_id, cot_prc_comum, cot_prc_min, cot_prc_max, cot_prc_med, cot_prc_mediana) VALUES ("&amp;B161&amp;", "&amp;C161&amp;", "&amp;D161&amp;", "&amp;E161&amp;", "&amp;F161&amp;", "&amp;G161&amp;", "&amp;H161&amp;");"</f>
        <v>INSERT INTO COTACAO (blt_id, pap_id, cot_prc_comum, cot_prc_min, cot_prc_max, cot_prc_med, cot_prc_mediana) VALUES (5, 4, 18, 18, 24, 21, 21);</v>
      </c>
    </row>
    <row r="162" customFormat="false" ht="14.25" hidden="false" customHeight="false" outlineLevel="0" collapsed="false">
      <c r="A162" s="1" t="n">
        <v>161</v>
      </c>
      <c r="B162" s="1" t="n">
        <v>5</v>
      </c>
      <c r="C162" s="1" t="n">
        <v>5</v>
      </c>
      <c r="D162" s="16" t="n">
        <f aca="false">IF('Boletins Nuppa Site'!G162&lt;&gt;0,'Boletins Nuppa Site'!G162,"NULL")</f>
        <v>18</v>
      </c>
      <c r="E162" s="16" t="n">
        <f aca="false">IF('Boletins Nuppa Site'!H162&lt;&gt;0,'Boletins Nuppa Site'!H162,"NULL")</f>
        <v>18</v>
      </c>
      <c r="F162" s="16" t="n">
        <f aca="false">IF('Boletins Nuppa Site'!I162&lt;&gt;0,'Boletins Nuppa Site'!I162,"NULL")</f>
        <v>24</v>
      </c>
      <c r="G162" s="16" t="n">
        <f aca="false">IF('Boletins Nuppa Site'!J162&lt;&gt;0,'Boletins Nuppa Site'!J162,"NULL")</f>
        <v>21</v>
      </c>
      <c r="H162" s="16" t="n">
        <f aca="false">IF('Boletins Nuppa Site'!K162&lt;&gt;0,'Boletins Nuppa Site'!K162,"NULL")</f>
        <v>21</v>
      </c>
      <c r="J162" s="1" t="str">
        <f aca="false">"INSERT INTO COTACAO (blt_id, pap_id, cot_prc_comum, cot_prc_min, cot_prc_max, cot_prc_med, cot_prc_mediana) VALUES ("&amp;B162&amp;", "&amp;C162&amp;", "&amp;D162&amp;", "&amp;E162&amp;", "&amp;F162&amp;", "&amp;G162&amp;", "&amp;H162&amp;");"</f>
        <v>INSERT INTO COTACAO (blt_id, pap_id, cot_prc_comum, cot_prc_min, cot_prc_max, cot_prc_med, cot_prc_mediana) VALUES (5, 5, 18, 18, 24, 21, 21);</v>
      </c>
    </row>
    <row r="163" customFormat="false" ht="14.25" hidden="false" customHeight="false" outlineLevel="0" collapsed="false">
      <c r="A163" s="1" t="n">
        <v>162</v>
      </c>
      <c r="B163" s="1" t="n">
        <v>5</v>
      </c>
      <c r="C163" s="1" t="n">
        <v>6</v>
      </c>
      <c r="D163" s="16" t="n">
        <f aca="false">IF('Boletins Nuppa Site'!G163&lt;&gt;0,'Boletins Nuppa Site'!G163,"NULL")</f>
        <v>42</v>
      </c>
      <c r="E163" s="16" t="n">
        <f aca="false">IF('Boletins Nuppa Site'!H163&lt;&gt;0,'Boletins Nuppa Site'!H163,"NULL")</f>
        <v>42</v>
      </c>
      <c r="F163" s="16" t="n">
        <f aca="false">IF('Boletins Nuppa Site'!I163&lt;&gt;0,'Boletins Nuppa Site'!I163,"NULL")</f>
        <v>48</v>
      </c>
      <c r="G163" s="16" t="n">
        <f aca="false">IF('Boletins Nuppa Site'!J163&lt;&gt;0,'Boletins Nuppa Site'!J163,"NULL")</f>
        <v>44</v>
      </c>
      <c r="H163" s="16" t="n">
        <f aca="false">IF('Boletins Nuppa Site'!K163&lt;&gt;0,'Boletins Nuppa Site'!K163,"NULL")</f>
        <v>42</v>
      </c>
      <c r="J163" s="1" t="str">
        <f aca="false">"INSERT INTO COTACAO (blt_id, pap_id, cot_prc_comum, cot_prc_min, cot_prc_max, cot_prc_med, cot_prc_mediana) VALUES ("&amp;B163&amp;", "&amp;C163&amp;", "&amp;D163&amp;", "&amp;E163&amp;", "&amp;F163&amp;", "&amp;G163&amp;", "&amp;H163&amp;");"</f>
        <v>INSERT INTO COTACAO (blt_id, pap_id, cot_prc_comum, cot_prc_min, cot_prc_max, cot_prc_med, cot_prc_mediana) VALUES (5, 6, 42, 42, 48, 44, 42);</v>
      </c>
    </row>
    <row r="164" customFormat="false" ht="14.25" hidden="false" customHeight="false" outlineLevel="0" collapsed="false">
      <c r="A164" s="1" t="n">
        <v>163</v>
      </c>
      <c r="B164" s="1" t="n">
        <v>5</v>
      </c>
      <c r="C164" s="1" t="n">
        <v>7</v>
      </c>
      <c r="D164" s="1" t="str">
        <f aca="false">IF('Boletins Nuppa Site'!G164&lt;&gt;0,'Boletins Nuppa Site'!G164,"NULL")</f>
        <v>NULL</v>
      </c>
      <c r="E164" s="16" t="n">
        <f aca="false">IF('Boletins Nuppa Site'!H164&lt;&gt;0,'Boletins Nuppa Site'!H164,"NULL")</f>
        <v>72</v>
      </c>
      <c r="F164" s="16" t="n">
        <f aca="false">IF('Boletins Nuppa Site'!I164&lt;&gt;0,'Boletins Nuppa Site'!I164,"NULL")</f>
        <v>78</v>
      </c>
      <c r="G164" s="16" t="n">
        <f aca="false">IF('Boletins Nuppa Site'!J164&lt;&gt;0,'Boletins Nuppa Site'!J164,"NULL")</f>
        <v>75</v>
      </c>
      <c r="H164" s="16" t="n">
        <f aca="false">IF('Boletins Nuppa Site'!K164&lt;&gt;0,'Boletins Nuppa Site'!K164,"NULL")</f>
        <v>75</v>
      </c>
      <c r="J164" s="1" t="str">
        <f aca="false">"INSERT INTO COTACAO (blt_id, pap_id, cot_prc_comum, cot_prc_min, cot_prc_max, cot_prc_med, cot_prc_mediana) VALUES ("&amp;B164&amp;", "&amp;C164&amp;", "&amp;D164&amp;", "&amp;E164&amp;", "&amp;F164&amp;", "&amp;G164&amp;", "&amp;H164&amp;");"</f>
        <v>INSERT INTO COTACAO (blt_id, pap_id, cot_prc_comum, cot_prc_min, cot_prc_max, cot_prc_med, cot_prc_mediana) VALUES (5, 7, NULL, 72, 78, 75, 75);</v>
      </c>
    </row>
    <row r="165" customFormat="false" ht="14.25" hidden="false" customHeight="false" outlineLevel="0" collapsed="false">
      <c r="A165" s="1" t="n">
        <v>164</v>
      </c>
      <c r="B165" s="1" t="n">
        <v>5</v>
      </c>
      <c r="C165" s="1" t="n">
        <v>8</v>
      </c>
      <c r="D165" s="1" t="str">
        <f aca="false">IF('Boletins Nuppa Site'!G165&lt;&gt;0,'Boletins Nuppa Site'!G165,"NULL")</f>
        <v>NULL</v>
      </c>
      <c r="E165" s="16" t="n">
        <f aca="false">IF('Boletins Nuppa Site'!H165&lt;&gt;0,'Boletins Nuppa Site'!H165,"NULL")</f>
        <v>48</v>
      </c>
      <c r="F165" s="16" t="n">
        <f aca="false">IF('Boletins Nuppa Site'!I165&lt;&gt;0,'Boletins Nuppa Site'!I165,"NULL")</f>
        <v>60</v>
      </c>
      <c r="G165" s="16" t="n">
        <f aca="false">IF('Boletins Nuppa Site'!J165&lt;&gt;0,'Boletins Nuppa Site'!J165,"NULL")</f>
        <v>54</v>
      </c>
      <c r="H165" s="16" t="n">
        <f aca="false">IF('Boletins Nuppa Site'!K165&lt;&gt;0,'Boletins Nuppa Site'!K165,"NULL")</f>
        <v>54</v>
      </c>
      <c r="J165" s="1" t="str">
        <f aca="false">"INSERT INTO COTACAO (blt_id, pap_id, cot_prc_comum, cot_prc_min, cot_prc_max, cot_prc_med, cot_prc_mediana) VALUES ("&amp;B165&amp;", "&amp;C165&amp;", "&amp;D165&amp;", "&amp;E165&amp;", "&amp;F165&amp;", "&amp;G165&amp;", "&amp;H165&amp;");"</f>
        <v>INSERT INTO COTACAO (blt_id, pap_id, cot_prc_comum, cot_prc_min, cot_prc_max, cot_prc_med, cot_prc_mediana) VALUES (5, 8, NULL, 48, 60, 54, 54);</v>
      </c>
    </row>
    <row r="166" customFormat="false" ht="14.25" hidden="false" customHeight="false" outlineLevel="0" collapsed="false">
      <c r="A166" s="1" t="n">
        <v>165</v>
      </c>
      <c r="B166" s="1" t="n">
        <v>5</v>
      </c>
      <c r="C166" s="1" t="n">
        <v>9</v>
      </c>
      <c r="D166" s="1" t="str">
        <f aca="false">IF('Boletins Nuppa Site'!G166&lt;&gt;0,'Boletins Nuppa Site'!G166,"NULL")</f>
        <v>NULL</v>
      </c>
      <c r="E166" s="16" t="n">
        <f aca="false">IF('Boletins Nuppa Site'!H166&lt;&gt;0,'Boletins Nuppa Site'!H166,"NULL")</f>
        <v>18</v>
      </c>
      <c r="F166" s="16" t="n">
        <f aca="false">IF('Boletins Nuppa Site'!I166&lt;&gt;0,'Boletins Nuppa Site'!I166,"NULL")</f>
        <v>24</v>
      </c>
      <c r="G166" s="1" t="str">
        <f aca="false">IF('Boletins Nuppa Site'!J166&lt;&gt;0,'Boletins Nuppa Site'!J166,"NULL")</f>
        <v>20.67</v>
      </c>
      <c r="H166" s="16" t="n">
        <f aca="false">IF('Boletins Nuppa Site'!K166&lt;&gt;0,'Boletins Nuppa Site'!K166,"NULL")</f>
        <v>20</v>
      </c>
      <c r="J166" s="1" t="str">
        <f aca="false">"INSERT INTO COTACAO (blt_id, pap_id, cot_prc_comum, cot_prc_min, cot_prc_max, cot_prc_med, cot_prc_mediana) VALUES ("&amp;B166&amp;", "&amp;C166&amp;", "&amp;D166&amp;", "&amp;E166&amp;", "&amp;F166&amp;", "&amp;G166&amp;", "&amp;H166&amp;");"</f>
        <v>INSERT INTO COTACAO (blt_id, pap_id, cot_prc_comum, cot_prc_min, cot_prc_max, cot_prc_med, cot_prc_mediana) VALUES (5, 9, NULL, 18, 24, 20.67, 20);</v>
      </c>
    </row>
    <row r="167" customFormat="false" ht="14.25" hidden="false" customHeight="false" outlineLevel="0" collapsed="false">
      <c r="A167" s="1" t="n">
        <v>166</v>
      </c>
      <c r="B167" s="1" t="n">
        <v>5</v>
      </c>
      <c r="C167" s="1" t="n">
        <v>10</v>
      </c>
      <c r="D167" s="1" t="str">
        <f aca="false">IF('Boletins Nuppa Site'!G167&lt;&gt;0,'Boletins Nuppa Site'!G167,"NULL")</f>
        <v>NULL</v>
      </c>
      <c r="E167" s="16" t="n">
        <f aca="false">IF('Boletins Nuppa Site'!H167&lt;&gt;0,'Boletins Nuppa Site'!H167,"NULL")</f>
        <v>80</v>
      </c>
      <c r="F167" s="16" t="n">
        <f aca="false">IF('Boletins Nuppa Site'!I167&lt;&gt;0,'Boletins Nuppa Site'!I167,"NULL")</f>
        <v>80</v>
      </c>
      <c r="G167" s="16" t="n">
        <f aca="false">IF('Boletins Nuppa Site'!J167&lt;&gt;0,'Boletins Nuppa Site'!J167,"NULL")</f>
        <v>80</v>
      </c>
      <c r="H167" s="16" t="n">
        <f aca="false">IF('Boletins Nuppa Site'!K167&lt;&gt;0,'Boletins Nuppa Site'!K167,"NULL")</f>
        <v>80</v>
      </c>
      <c r="J167" s="1" t="str">
        <f aca="false">"INSERT INTO COTACAO (blt_id, pap_id, cot_prc_comum, cot_prc_min, cot_prc_max, cot_prc_med, cot_prc_mediana) VALUES ("&amp;B167&amp;", "&amp;C167&amp;", "&amp;D167&amp;", "&amp;E167&amp;", "&amp;F167&amp;", "&amp;G167&amp;", "&amp;H167&amp;");"</f>
        <v>INSERT INTO COTACAO (blt_id, pap_id, cot_prc_comum, cot_prc_min, cot_prc_max, cot_prc_med, cot_prc_mediana) VALUES (5, 10, NULL, 80, 80, 80, 80);</v>
      </c>
    </row>
    <row r="168" customFormat="false" ht="14.25" hidden="false" customHeight="false" outlineLevel="0" collapsed="false">
      <c r="A168" s="1" t="n">
        <v>167</v>
      </c>
      <c r="B168" s="1" t="n">
        <v>5</v>
      </c>
      <c r="C168" s="1" t="n">
        <v>11</v>
      </c>
      <c r="D168" s="16" t="n">
        <f aca="false">IF('Boletins Nuppa Site'!G168&lt;&gt;0,'Boletins Nuppa Site'!G168,"NULL")</f>
        <v>18</v>
      </c>
      <c r="E168" s="16" t="n">
        <f aca="false">IF('Boletins Nuppa Site'!H168&lt;&gt;0,'Boletins Nuppa Site'!H168,"NULL")</f>
        <v>18</v>
      </c>
      <c r="F168" s="16" t="n">
        <f aca="false">IF('Boletins Nuppa Site'!I168&lt;&gt;0,'Boletins Nuppa Site'!I168,"NULL")</f>
        <v>24</v>
      </c>
      <c r="G168" s="16" t="n">
        <f aca="false">IF('Boletins Nuppa Site'!J168&lt;&gt;0,'Boletins Nuppa Site'!J168,"NULL")</f>
        <v>21</v>
      </c>
      <c r="H168" s="16" t="n">
        <f aca="false">IF('Boletins Nuppa Site'!K168&lt;&gt;0,'Boletins Nuppa Site'!K168,"NULL")</f>
        <v>21</v>
      </c>
      <c r="J168" s="1" t="str">
        <f aca="false">"INSERT INTO COTACAO (blt_id, pap_id, cot_prc_comum, cot_prc_min, cot_prc_max, cot_prc_med, cot_prc_mediana) VALUES ("&amp;B168&amp;", "&amp;C168&amp;", "&amp;D168&amp;", "&amp;E168&amp;", "&amp;F168&amp;", "&amp;G168&amp;", "&amp;H168&amp;");"</f>
        <v>INSERT INTO COTACAO (blt_id, pap_id, cot_prc_comum, cot_prc_min, cot_prc_max, cot_prc_med, cot_prc_mediana) VALUES (5, 11, 18, 18, 24, 21, 21);</v>
      </c>
    </row>
    <row r="169" customFormat="false" ht="14.25" hidden="false" customHeight="false" outlineLevel="0" collapsed="false">
      <c r="A169" s="1" t="n">
        <v>168</v>
      </c>
      <c r="B169" s="1" t="n">
        <v>5</v>
      </c>
      <c r="C169" s="1" t="n">
        <v>12</v>
      </c>
      <c r="D169" s="1" t="str">
        <f aca="false">IF('Boletins Nuppa Site'!G169&lt;&gt;0,'Boletins Nuppa Site'!G169,"NULL")</f>
        <v>NULL</v>
      </c>
      <c r="E169" s="16" t="n">
        <f aca="false">IF('Boletins Nuppa Site'!H169&lt;&gt;0,'Boletins Nuppa Site'!H169,"NULL")</f>
        <v>36</v>
      </c>
      <c r="F169" s="16" t="n">
        <f aca="false">IF('Boletins Nuppa Site'!I169&lt;&gt;0,'Boletins Nuppa Site'!I169,"NULL")</f>
        <v>60</v>
      </c>
      <c r="G169" s="16" t="n">
        <f aca="false">IF('Boletins Nuppa Site'!J169&lt;&gt;0,'Boletins Nuppa Site'!J169,"NULL")</f>
        <v>48</v>
      </c>
      <c r="H169" s="16" t="n">
        <f aca="false">IF('Boletins Nuppa Site'!K169&lt;&gt;0,'Boletins Nuppa Site'!K169,"NULL")</f>
        <v>48</v>
      </c>
      <c r="J169" s="1" t="str">
        <f aca="false">"INSERT INTO COTACAO (blt_id, pap_id, cot_prc_comum, cot_prc_min, cot_prc_max, cot_prc_med, cot_prc_mediana) VALUES ("&amp;B169&amp;", "&amp;C169&amp;", "&amp;D169&amp;", "&amp;E169&amp;", "&amp;F169&amp;", "&amp;G169&amp;", "&amp;H169&amp;");"</f>
        <v>INSERT INTO COTACAO (blt_id, pap_id, cot_prc_comum, cot_prc_min, cot_prc_max, cot_prc_med, cot_prc_mediana) VALUES (5, 12, NULL, 36, 60, 48, 48);</v>
      </c>
    </row>
    <row r="170" customFormat="false" ht="14.25" hidden="false" customHeight="false" outlineLevel="0" collapsed="false">
      <c r="A170" s="1" t="n">
        <v>169</v>
      </c>
      <c r="B170" s="1" t="n">
        <v>5</v>
      </c>
      <c r="C170" s="1" t="n">
        <v>13</v>
      </c>
      <c r="D170" s="1" t="str">
        <f aca="false">IF('Boletins Nuppa Site'!G170&lt;&gt;0,'Boletins Nuppa Site'!G170,"NULL")</f>
        <v>NULL</v>
      </c>
      <c r="E170" s="16" t="n">
        <f aca="false">IF('Boletins Nuppa Site'!H170&lt;&gt;0,'Boletins Nuppa Site'!H170,"NULL")</f>
        <v>36</v>
      </c>
      <c r="F170" s="16" t="n">
        <f aca="false">IF('Boletins Nuppa Site'!I170&lt;&gt;0,'Boletins Nuppa Site'!I170,"NULL")</f>
        <v>54</v>
      </c>
      <c r="G170" s="16" t="n">
        <f aca="false">IF('Boletins Nuppa Site'!J170&lt;&gt;0,'Boletins Nuppa Site'!J170,"NULL")</f>
        <v>46</v>
      </c>
      <c r="H170" s="16" t="n">
        <f aca="false">IF('Boletins Nuppa Site'!K170&lt;&gt;0,'Boletins Nuppa Site'!K170,"NULL")</f>
        <v>48</v>
      </c>
      <c r="J170" s="1" t="str">
        <f aca="false">"INSERT INTO COTACAO (blt_id, pap_id, cot_prc_comum, cot_prc_min, cot_prc_max, cot_prc_med, cot_prc_mediana) VALUES ("&amp;B170&amp;", "&amp;C170&amp;", "&amp;D170&amp;", "&amp;E170&amp;", "&amp;F170&amp;", "&amp;G170&amp;", "&amp;H170&amp;");"</f>
        <v>INSERT INTO COTACAO (blt_id, pap_id, cot_prc_comum, cot_prc_min, cot_prc_max, cot_prc_med, cot_prc_mediana) VALUES (5, 13, NULL, 36, 54, 46, 48);</v>
      </c>
    </row>
    <row r="171" customFormat="false" ht="14.25" hidden="false" customHeight="false" outlineLevel="0" collapsed="false">
      <c r="A171" s="1" t="n">
        <v>170</v>
      </c>
      <c r="B171" s="1" t="n">
        <v>5</v>
      </c>
      <c r="C171" s="1" t="n">
        <v>14</v>
      </c>
      <c r="D171" s="1" t="str">
        <f aca="false">IF('Boletins Nuppa Site'!G171&lt;&gt;0,'Boletins Nuppa Site'!G171,"NULL")</f>
        <v>NULL</v>
      </c>
      <c r="E171" s="16" t="n">
        <f aca="false">IF('Boletins Nuppa Site'!H171&lt;&gt;0,'Boletins Nuppa Site'!H171,"NULL")</f>
        <v>40</v>
      </c>
      <c r="F171" s="16" t="n">
        <f aca="false">IF('Boletins Nuppa Site'!I171&lt;&gt;0,'Boletins Nuppa Site'!I171,"NULL")</f>
        <v>40</v>
      </c>
      <c r="G171" s="16" t="n">
        <f aca="false">IF('Boletins Nuppa Site'!J171&lt;&gt;0,'Boletins Nuppa Site'!J171,"NULL")</f>
        <v>40</v>
      </c>
      <c r="H171" s="16" t="n">
        <f aca="false">IF('Boletins Nuppa Site'!K171&lt;&gt;0,'Boletins Nuppa Site'!K171,"NULL")</f>
        <v>40</v>
      </c>
      <c r="J171" s="1" t="str">
        <f aca="false">"INSERT INTO COTACAO (blt_id, pap_id, cot_prc_comum, cot_prc_min, cot_prc_max, cot_prc_med, cot_prc_mediana) VALUES ("&amp;B171&amp;", "&amp;C171&amp;", "&amp;D171&amp;", "&amp;E171&amp;", "&amp;F171&amp;", "&amp;G171&amp;", "&amp;H171&amp;");"</f>
        <v>INSERT INTO COTACAO (blt_id, pap_id, cot_prc_comum, cot_prc_min, cot_prc_max, cot_prc_med, cot_prc_mediana) VALUES (5, 14, NULL, 40, 40, 40, 40);</v>
      </c>
    </row>
    <row r="172" customFormat="false" ht="14.25" hidden="false" customHeight="false" outlineLevel="0" collapsed="false">
      <c r="A172" s="1" t="n">
        <v>171</v>
      </c>
      <c r="B172" s="1" t="n">
        <v>5</v>
      </c>
      <c r="C172" s="1" t="n">
        <v>15</v>
      </c>
      <c r="D172" s="1" t="str">
        <f aca="false">IF('Boletins Nuppa Site'!G172&lt;&gt;0,'Boletins Nuppa Site'!G172,"NULL")</f>
        <v>NULL</v>
      </c>
      <c r="E172" s="16" t="n">
        <f aca="false">IF('Boletins Nuppa Site'!H172&lt;&gt;0,'Boletins Nuppa Site'!H172,"NULL")</f>
        <v>25</v>
      </c>
      <c r="F172" s="16" t="n">
        <f aca="false">IF('Boletins Nuppa Site'!I172&lt;&gt;0,'Boletins Nuppa Site'!I172,"NULL")</f>
        <v>40</v>
      </c>
      <c r="G172" s="1" t="str">
        <f aca="false">IF('Boletins Nuppa Site'!J172&lt;&gt;0,'Boletins Nuppa Site'!J172,"NULL")</f>
        <v>31.67</v>
      </c>
      <c r="H172" s="16" t="n">
        <f aca="false">IF('Boletins Nuppa Site'!K172&lt;&gt;0,'Boletins Nuppa Site'!K172,"NULL")</f>
        <v>30</v>
      </c>
      <c r="J172" s="1" t="str">
        <f aca="false">"INSERT INTO COTACAO (blt_id, pap_id, cot_prc_comum, cot_prc_min, cot_prc_max, cot_prc_med, cot_prc_mediana) VALUES ("&amp;B172&amp;", "&amp;C172&amp;", "&amp;D172&amp;", "&amp;E172&amp;", "&amp;F172&amp;", "&amp;G172&amp;", "&amp;H172&amp;");"</f>
        <v>INSERT INTO COTACAO (blt_id, pap_id, cot_prc_comum, cot_prc_min, cot_prc_max, cot_prc_med, cot_prc_mediana) VALUES (5, 15, NULL, 25, 40, 31.67, 30);</v>
      </c>
    </row>
    <row r="173" customFormat="false" ht="14.25" hidden="false" customHeight="false" outlineLevel="0" collapsed="false">
      <c r="A173" s="1" t="n">
        <v>172</v>
      </c>
      <c r="B173" s="1" t="n">
        <v>5</v>
      </c>
      <c r="C173" s="1" t="n">
        <v>16</v>
      </c>
      <c r="D173" s="16" t="n">
        <f aca="false">IF('Boletins Nuppa Site'!G173&lt;&gt;0,'Boletins Nuppa Site'!G173,"NULL")</f>
        <v>36</v>
      </c>
      <c r="E173" s="16" t="n">
        <f aca="false">IF('Boletins Nuppa Site'!H173&lt;&gt;0,'Boletins Nuppa Site'!H173,"NULL")</f>
        <v>36</v>
      </c>
      <c r="F173" s="16" t="n">
        <f aca="false">IF('Boletins Nuppa Site'!I173&lt;&gt;0,'Boletins Nuppa Site'!I173,"NULL")</f>
        <v>42</v>
      </c>
      <c r="G173" s="16" t="n">
        <f aca="false">IF('Boletins Nuppa Site'!J173&lt;&gt;0,'Boletins Nuppa Site'!J173,"NULL")</f>
        <v>39</v>
      </c>
      <c r="H173" s="16" t="n">
        <f aca="false">IF('Boletins Nuppa Site'!K173&lt;&gt;0,'Boletins Nuppa Site'!K173,"NULL")</f>
        <v>39</v>
      </c>
      <c r="J173" s="1" t="str">
        <f aca="false">"INSERT INTO COTACAO (blt_id, pap_id, cot_prc_comum, cot_prc_min, cot_prc_max, cot_prc_med, cot_prc_mediana) VALUES ("&amp;B173&amp;", "&amp;C173&amp;", "&amp;D173&amp;", "&amp;E173&amp;", "&amp;F173&amp;", "&amp;G173&amp;", "&amp;H173&amp;");"</f>
        <v>INSERT INTO COTACAO (blt_id, pap_id, cot_prc_comum, cot_prc_min, cot_prc_max, cot_prc_med, cot_prc_mediana) VALUES (5, 16, 36, 36, 42, 39, 39);</v>
      </c>
    </row>
    <row r="174" customFormat="false" ht="14.25" hidden="false" customHeight="false" outlineLevel="0" collapsed="false">
      <c r="A174" s="1" t="n">
        <v>173</v>
      </c>
      <c r="B174" s="1" t="n">
        <v>5</v>
      </c>
      <c r="C174" s="1" t="n">
        <v>17</v>
      </c>
      <c r="D174" s="1" t="str">
        <f aca="false">IF('Boletins Nuppa Site'!G174&lt;&gt;0,'Boletins Nuppa Site'!G174,"NULL")</f>
        <v>NULL</v>
      </c>
      <c r="E174" s="1" t="str">
        <f aca="false">IF('Boletins Nuppa Site'!H174&lt;&gt;0,'Boletins Nuppa Site'!H174,"NULL")</f>
        <v>3.5</v>
      </c>
      <c r="F174" s="16" t="n">
        <f aca="false">IF('Boletins Nuppa Site'!I174&lt;&gt;0,'Boletins Nuppa Site'!I174,"NULL")</f>
        <v>5</v>
      </c>
      <c r="G174" s="1" t="str">
        <f aca="false">IF('Boletins Nuppa Site'!J174&lt;&gt;0,'Boletins Nuppa Site'!J174,"NULL")</f>
        <v>4.17</v>
      </c>
      <c r="H174" s="16" t="n">
        <f aca="false">IF('Boletins Nuppa Site'!K174&lt;&gt;0,'Boletins Nuppa Site'!K174,"NULL")</f>
        <v>4</v>
      </c>
      <c r="J174" s="1" t="str">
        <f aca="false">"INSERT INTO COTACAO (blt_id, pap_id, cot_prc_comum, cot_prc_min, cot_prc_max, cot_prc_med, cot_prc_mediana) VALUES ("&amp;B174&amp;", "&amp;C174&amp;", "&amp;D174&amp;", "&amp;E174&amp;", "&amp;F174&amp;", "&amp;G174&amp;", "&amp;H174&amp;");"</f>
        <v>INSERT INTO COTACAO (blt_id, pap_id, cot_prc_comum, cot_prc_min, cot_prc_max, cot_prc_med, cot_prc_mediana) VALUES (5, 17, NULL, 3.5, 5, 4.17, 4);</v>
      </c>
    </row>
    <row r="175" customFormat="false" ht="14.25" hidden="false" customHeight="false" outlineLevel="0" collapsed="false">
      <c r="A175" s="1" t="n">
        <v>174</v>
      </c>
      <c r="B175" s="1" t="n">
        <v>5</v>
      </c>
      <c r="C175" s="1" t="n">
        <v>18</v>
      </c>
      <c r="D175" s="16" t="n">
        <f aca="false">IF('Boletins Nuppa Site'!G175&lt;&gt;0,'Boletins Nuppa Site'!G175,"NULL")</f>
        <v>20</v>
      </c>
      <c r="E175" s="16" t="n">
        <f aca="false">IF('Boletins Nuppa Site'!H175&lt;&gt;0,'Boletins Nuppa Site'!H175,"NULL")</f>
        <v>20</v>
      </c>
      <c r="F175" s="16" t="n">
        <f aca="false">IF('Boletins Nuppa Site'!I175&lt;&gt;0,'Boletins Nuppa Site'!I175,"NULL")</f>
        <v>22</v>
      </c>
      <c r="G175" s="1" t="str">
        <f aca="false">IF('Boletins Nuppa Site'!J175&lt;&gt;0,'Boletins Nuppa Site'!J175,"NULL")</f>
        <v>20.67</v>
      </c>
      <c r="H175" s="16" t="n">
        <f aca="false">IF('Boletins Nuppa Site'!K175&lt;&gt;0,'Boletins Nuppa Site'!K175,"NULL")</f>
        <v>20</v>
      </c>
      <c r="J175" s="1" t="str">
        <f aca="false">"INSERT INTO COTACAO (blt_id, pap_id, cot_prc_comum, cot_prc_min, cot_prc_max, cot_prc_med, cot_prc_mediana) VALUES ("&amp;B175&amp;", "&amp;C175&amp;", "&amp;D175&amp;", "&amp;E175&amp;", "&amp;F175&amp;", "&amp;G175&amp;", "&amp;H175&amp;");"</f>
        <v>INSERT INTO COTACAO (blt_id, pap_id, cot_prc_comum, cot_prc_min, cot_prc_max, cot_prc_med, cot_prc_mediana) VALUES (5, 18, 20, 20, 22, 20.67, 20);</v>
      </c>
    </row>
    <row r="176" customFormat="false" ht="14.25" hidden="false" customHeight="false" outlineLevel="0" collapsed="false">
      <c r="A176" s="1" t="n">
        <v>175</v>
      </c>
      <c r="B176" s="1" t="n">
        <v>5</v>
      </c>
      <c r="C176" s="1" t="n">
        <v>19</v>
      </c>
      <c r="D176" s="16" t="n">
        <f aca="false">IF('Boletins Nuppa Site'!G176&lt;&gt;0,'Boletins Nuppa Site'!G176,"NULL")</f>
        <v>20</v>
      </c>
      <c r="E176" s="16" t="n">
        <f aca="false">IF('Boletins Nuppa Site'!H176&lt;&gt;0,'Boletins Nuppa Site'!H176,"NULL")</f>
        <v>20</v>
      </c>
      <c r="F176" s="16" t="n">
        <f aca="false">IF('Boletins Nuppa Site'!I176&lt;&gt;0,'Boletins Nuppa Site'!I176,"NULL")</f>
        <v>30</v>
      </c>
      <c r="G176" s="1" t="str">
        <f aca="false">IF('Boletins Nuppa Site'!J176&lt;&gt;0,'Boletins Nuppa Site'!J176,"NULL")</f>
        <v>23.33</v>
      </c>
      <c r="H176" s="16" t="n">
        <f aca="false">IF('Boletins Nuppa Site'!K176&lt;&gt;0,'Boletins Nuppa Site'!K176,"NULL")</f>
        <v>20</v>
      </c>
      <c r="J176" s="1" t="str">
        <f aca="false">"INSERT INTO COTACAO (blt_id, pap_id, cot_prc_comum, cot_prc_min, cot_prc_max, cot_prc_med, cot_prc_mediana) VALUES ("&amp;B176&amp;", "&amp;C176&amp;", "&amp;D176&amp;", "&amp;E176&amp;", "&amp;F176&amp;", "&amp;G176&amp;", "&amp;H176&amp;");"</f>
        <v>INSERT INTO COTACAO (blt_id, pap_id, cot_prc_comum, cot_prc_min, cot_prc_max, cot_prc_med, cot_prc_mediana) VALUES (5, 19, 20, 20, 30, 23.33, 20);</v>
      </c>
    </row>
    <row r="177" customFormat="false" ht="14.25" hidden="false" customHeight="false" outlineLevel="0" collapsed="false">
      <c r="A177" s="1" t="n">
        <v>176</v>
      </c>
      <c r="B177" s="1" t="n">
        <v>5</v>
      </c>
      <c r="C177" s="1" t="n">
        <v>21</v>
      </c>
      <c r="D177" s="16" t="n">
        <f aca="false">IF('Boletins Nuppa Site'!G177&lt;&gt;0,'Boletins Nuppa Site'!G177,"NULL")</f>
        <v>35</v>
      </c>
      <c r="E177" s="16" t="n">
        <f aca="false">IF('Boletins Nuppa Site'!H177&lt;&gt;0,'Boletins Nuppa Site'!H177,"NULL")</f>
        <v>35</v>
      </c>
      <c r="F177" s="16" t="n">
        <f aca="false">IF('Boletins Nuppa Site'!I177&lt;&gt;0,'Boletins Nuppa Site'!I177,"NULL")</f>
        <v>65</v>
      </c>
      <c r="G177" s="1" t="str">
        <f aca="false">IF('Boletins Nuppa Site'!J177&lt;&gt;0,'Boletins Nuppa Site'!J177,"NULL")</f>
        <v>50.71</v>
      </c>
      <c r="H177" s="16" t="n">
        <f aca="false">IF('Boletins Nuppa Site'!K177&lt;&gt;0,'Boletins Nuppa Site'!K177,"NULL")</f>
        <v>50</v>
      </c>
      <c r="J177" s="1" t="str">
        <f aca="false">"INSERT INTO COTACAO (blt_id, pap_id, cot_prc_comum, cot_prc_min, cot_prc_max, cot_prc_med, cot_prc_mediana) VALUES ("&amp;B177&amp;", "&amp;C177&amp;", "&amp;D177&amp;", "&amp;E177&amp;", "&amp;F177&amp;", "&amp;G177&amp;", "&amp;H177&amp;");"</f>
        <v>INSERT INTO COTACAO (blt_id, pap_id, cot_prc_comum, cot_prc_min, cot_prc_max, cot_prc_med, cot_prc_mediana) VALUES (5, 21, 35, 35, 65, 50.71, 50);</v>
      </c>
    </row>
    <row r="178" customFormat="false" ht="14.25" hidden="false" customHeight="false" outlineLevel="0" collapsed="false">
      <c r="A178" s="1" t="n">
        <v>177</v>
      </c>
      <c r="B178" s="1" t="n">
        <v>5</v>
      </c>
      <c r="C178" s="1" t="n">
        <v>22</v>
      </c>
      <c r="D178" s="16" t="n">
        <f aca="false">IF('Boletins Nuppa Site'!G178&lt;&gt;0,'Boletins Nuppa Site'!G178,"NULL")</f>
        <v>35</v>
      </c>
      <c r="E178" s="16" t="n">
        <f aca="false">IF('Boletins Nuppa Site'!H178&lt;&gt;0,'Boletins Nuppa Site'!H178,"NULL")</f>
        <v>35</v>
      </c>
      <c r="F178" s="16" t="n">
        <f aca="false">IF('Boletins Nuppa Site'!I178&lt;&gt;0,'Boletins Nuppa Site'!I178,"NULL")</f>
        <v>65</v>
      </c>
      <c r="G178" s="1" t="str">
        <f aca="false">IF('Boletins Nuppa Site'!J178&lt;&gt;0,'Boletins Nuppa Site'!J178,"NULL")</f>
        <v>49.29</v>
      </c>
      <c r="H178" s="16" t="n">
        <f aca="false">IF('Boletins Nuppa Site'!K178&lt;&gt;0,'Boletins Nuppa Site'!K178,"NULL")</f>
        <v>55</v>
      </c>
      <c r="J178" s="1" t="str">
        <f aca="false">"INSERT INTO COTACAO (blt_id, pap_id, cot_prc_comum, cot_prc_min, cot_prc_max, cot_prc_med, cot_prc_mediana) VALUES ("&amp;B178&amp;", "&amp;C178&amp;", "&amp;D178&amp;", "&amp;E178&amp;", "&amp;F178&amp;", "&amp;G178&amp;", "&amp;H178&amp;");"</f>
        <v>INSERT INTO COTACAO (blt_id, pap_id, cot_prc_comum, cot_prc_min, cot_prc_max, cot_prc_med, cot_prc_mediana) VALUES (5, 22, 35, 35, 65, 49.29, 55);</v>
      </c>
    </row>
    <row r="179" customFormat="false" ht="14.25" hidden="false" customHeight="false" outlineLevel="0" collapsed="false">
      <c r="A179" s="1" t="n">
        <v>178</v>
      </c>
      <c r="B179" s="1" t="n">
        <v>5</v>
      </c>
      <c r="C179" s="1" t="n">
        <v>23</v>
      </c>
      <c r="D179" s="16" t="n">
        <f aca="false">IF('Boletins Nuppa Site'!G179&lt;&gt;0,'Boletins Nuppa Site'!G179,"NULL")</f>
        <v>35</v>
      </c>
      <c r="E179" s="16" t="n">
        <f aca="false">IF('Boletins Nuppa Site'!H179&lt;&gt;0,'Boletins Nuppa Site'!H179,"NULL")</f>
        <v>30</v>
      </c>
      <c r="F179" s="16" t="n">
        <f aca="false">IF('Boletins Nuppa Site'!I179&lt;&gt;0,'Boletins Nuppa Site'!I179,"NULL")</f>
        <v>50</v>
      </c>
      <c r="G179" s="1" t="str">
        <f aca="false">IF('Boletins Nuppa Site'!J179&lt;&gt;0,'Boletins Nuppa Site'!J179,"NULL")</f>
        <v>37.86</v>
      </c>
      <c r="H179" s="16" t="n">
        <f aca="false">IF('Boletins Nuppa Site'!K179&lt;&gt;0,'Boletins Nuppa Site'!K179,"NULL")</f>
        <v>35</v>
      </c>
      <c r="J179" s="1" t="str">
        <f aca="false">"INSERT INTO COTACAO (blt_id, pap_id, cot_prc_comum, cot_prc_min, cot_prc_max, cot_prc_med, cot_prc_mediana) VALUES ("&amp;B179&amp;", "&amp;C179&amp;", "&amp;D179&amp;", "&amp;E179&amp;", "&amp;F179&amp;", "&amp;G179&amp;", "&amp;H179&amp;");"</f>
        <v>INSERT INTO COTACAO (blt_id, pap_id, cot_prc_comum, cot_prc_min, cot_prc_max, cot_prc_med, cot_prc_mediana) VALUES (5, 23, 35, 30, 50, 37.86, 35);</v>
      </c>
    </row>
    <row r="180" customFormat="false" ht="14.25" hidden="false" customHeight="false" outlineLevel="0" collapsed="false">
      <c r="A180" s="1" t="n">
        <v>179</v>
      </c>
      <c r="B180" s="1" t="n">
        <v>5</v>
      </c>
      <c r="C180" s="1" t="n">
        <v>24</v>
      </c>
      <c r="D180" s="16" t="n">
        <f aca="false">IF('Boletins Nuppa Site'!G180&lt;&gt;0,'Boletins Nuppa Site'!G180,"NULL")</f>
        <v>100</v>
      </c>
      <c r="E180" s="16" t="n">
        <f aca="false">IF('Boletins Nuppa Site'!H180&lt;&gt;0,'Boletins Nuppa Site'!H180,"NULL")</f>
        <v>100</v>
      </c>
      <c r="F180" s="16" t="n">
        <f aca="false">IF('Boletins Nuppa Site'!I180&lt;&gt;0,'Boletins Nuppa Site'!I180,"NULL")</f>
        <v>110</v>
      </c>
      <c r="G180" s="1" t="str">
        <f aca="false">IF('Boletins Nuppa Site'!J180&lt;&gt;0,'Boletins Nuppa Site'!J180,"NULL")</f>
        <v>103.33</v>
      </c>
      <c r="H180" s="16" t="n">
        <f aca="false">IF('Boletins Nuppa Site'!K180&lt;&gt;0,'Boletins Nuppa Site'!K180,"NULL")</f>
        <v>100</v>
      </c>
      <c r="J180" s="1" t="str">
        <f aca="false">"INSERT INTO COTACAO (blt_id, pap_id, cot_prc_comum, cot_prc_min, cot_prc_max, cot_prc_med, cot_prc_mediana) VALUES ("&amp;B180&amp;", "&amp;C180&amp;", "&amp;D180&amp;", "&amp;E180&amp;", "&amp;F180&amp;", "&amp;G180&amp;", "&amp;H180&amp;");"</f>
        <v>INSERT INTO COTACAO (blt_id, pap_id, cot_prc_comum, cot_prc_min, cot_prc_max, cot_prc_med, cot_prc_mediana) VALUES (5, 24, 100, 100, 110, 103.33, 100);</v>
      </c>
    </row>
    <row r="181" customFormat="false" ht="14.25" hidden="false" customHeight="false" outlineLevel="0" collapsed="false">
      <c r="A181" s="1" t="n">
        <v>180</v>
      </c>
      <c r="B181" s="1" t="n">
        <v>5</v>
      </c>
      <c r="C181" s="1" t="n">
        <v>25</v>
      </c>
      <c r="D181" s="16" t="n">
        <f aca="false">IF('Boletins Nuppa Site'!G181&lt;&gt;0,'Boletins Nuppa Site'!G181,"NULL")</f>
        <v>50</v>
      </c>
      <c r="E181" s="16" t="n">
        <f aca="false">IF('Boletins Nuppa Site'!H181&lt;&gt;0,'Boletins Nuppa Site'!H181,"NULL")</f>
        <v>40</v>
      </c>
      <c r="F181" s="16" t="n">
        <f aca="false">IF('Boletins Nuppa Site'!I181&lt;&gt;0,'Boletins Nuppa Site'!I181,"NULL")</f>
        <v>55</v>
      </c>
      <c r="G181" s="1" t="str">
        <f aca="false">IF('Boletins Nuppa Site'!J181&lt;&gt;0,'Boletins Nuppa Site'!J181,"NULL")</f>
        <v>49.17</v>
      </c>
      <c r="H181" s="16" t="n">
        <f aca="false">IF('Boletins Nuppa Site'!K181&lt;&gt;0,'Boletins Nuppa Site'!K181,"NULL")</f>
        <v>50</v>
      </c>
      <c r="J181" s="1" t="str">
        <f aca="false">"INSERT INTO COTACAO (blt_id, pap_id, cot_prc_comum, cot_prc_min, cot_prc_max, cot_prc_med, cot_prc_mediana) VALUES ("&amp;B181&amp;", "&amp;C181&amp;", "&amp;D181&amp;", "&amp;E181&amp;", "&amp;F181&amp;", "&amp;G181&amp;", "&amp;H181&amp;");"</f>
        <v>INSERT INTO COTACAO (blt_id, pap_id, cot_prc_comum, cot_prc_min, cot_prc_max, cot_prc_med, cot_prc_mediana) VALUES (5, 25, 50, 40, 55, 49.17, 50);</v>
      </c>
    </row>
    <row r="182" customFormat="false" ht="14.25" hidden="false" customHeight="false" outlineLevel="0" collapsed="false">
      <c r="A182" s="1" t="n">
        <v>181</v>
      </c>
      <c r="B182" s="1" t="n">
        <v>5</v>
      </c>
      <c r="C182" s="1" t="n">
        <v>26</v>
      </c>
      <c r="D182" s="16" t="n">
        <f aca="false">IF('Boletins Nuppa Site'!G182&lt;&gt;0,'Boletins Nuppa Site'!G182,"NULL")</f>
        <v>70</v>
      </c>
      <c r="E182" s="16" t="n">
        <f aca="false">IF('Boletins Nuppa Site'!H182&lt;&gt;0,'Boletins Nuppa Site'!H182,"NULL")</f>
        <v>60</v>
      </c>
      <c r="F182" s="16" t="n">
        <f aca="false">IF('Boletins Nuppa Site'!I182&lt;&gt;0,'Boletins Nuppa Site'!I182,"NULL")</f>
        <v>70</v>
      </c>
      <c r="G182" s="1" t="str">
        <f aca="false">IF('Boletins Nuppa Site'!J182&lt;&gt;0,'Boletins Nuppa Site'!J182,"NULL")</f>
        <v>66.67</v>
      </c>
      <c r="H182" s="1" t="str">
        <f aca="false">IF('Boletins Nuppa Site'!K182&lt;&gt;0,'Boletins Nuppa Site'!K182,"NULL")</f>
        <v>67.5</v>
      </c>
      <c r="J182" s="1" t="str">
        <f aca="false">"INSERT INTO COTACAO (blt_id, pap_id, cot_prc_comum, cot_prc_min, cot_prc_max, cot_prc_med, cot_prc_mediana) VALUES ("&amp;B182&amp;", "&amp;C182&amp;", "&amp;D182&amp;", "&amp;E182&amp;", "&amp;F182&amp;", "&amp;G182&amp;", "&amp;H182&amp;");"</f>
        <v>INSERT INTO COTACAO (blt_id, pap_id, cot_prc_comum, cot_prc_min, cot_prc_max, cot_prc_med, cot_prc_mediana) VALUES (5, 26, 70, 60, 70, 66.67, 67.5);</v>
      </c>
    </row>
    <row r="183" customFormat="false" ht="14.25" hidden="false" customHeight="false" outlineLevel="0" collapsed="false">
      <c r="A183" s="1" t="n">
        <v>182</v>
      </c>
      <c r="B183" s="1" t="n">
        <v>5</v>
      </c>
      <c r="C183" s="1" t="n">
        <v>27</v>
      </c>
      <c r="D183" s="16" t="n">
        <f aca="false">IF('Boletins Nuppa Site'!G183&lt;&gt;0,'Boletins Nuppa Site'!G183,"NULL")</f>
        <v>70</v>
      </c>
      <c r="E183" s="16" t="n">
        <f aca="false">IF('Boletins Nuppa Site'!H183&lt;&gt;0,'Boletins Nuppa Site'!H183,"NULL")</f>
        <v>70</v>
      </c>
      <c r="F183" s="16" t="n">
        <f aca="false">IF('Boletins Nuppa Site'!I183&lt;&gt;0,'Boletins Nuppa Site'!I183,"NULL")</f>
        <v>75</v>
      </c>
      <c r="G183" s="1" t="str">
        <f aca="false">IF('Boletins Nuppa Site'!J183&lt;&gt;0,'Boletins Nuppa Site'!J183,"NULL")</f>
        <v>70.83</v>
      </c>
      <c r="H183" s="16" t="n">
        <f aca="false">IF('Boletins Nuppa Site'!K183&lt;&gt;0,'Boletins Nuppa Site'!K183,"NULL")</f>
        <v>70</v>
      </c>
      <c r="J183" s="1" t="str">
        <f aca="false">"INSERT INTO COTACAO (blt_id, pap_id, cot_prc_comum, cot_prc_min, cot_prc_max, cot_prc_med, cot_prc_mediana) VALUES ("&amp;B183&amp;", "&amp;C183&amp;", "&amp;D183&amp;", "&amp;E183&amp;", "&amp;F183&amp;", "&amp;G183&amp;", "&amp;H183&amp;");"</f>
        <v>INSERT INTO COTACAO (blt_id, pap_id, cot_prc_comum, cot_prc_min, cot_prc_max, cot_prc_med, cot_prc_mediana) VALUES (5, 27, 70, 70, 75, 70.83, 70);</v>
      </c>
    </row>
    <row r="184" customFormat="false" ht="14.25" hidden="false" customHeight="false" outlineLevel="0" collapsed="false">
      <c r="A184" s="1" t="n">
        <v>183</v>
      </c>
      <c r="B184" s="1" t="n">
        <v>5</v>
      </c>
      <c r="C184" s="1" t="n">
        <v>28</v>
      </c>
      <c r="D184" s="16" t="n">
        <f aca="false">IF('Boletins Nuppa Site'!G184&lt;&gt;0,'Boletins Nuppa Site'!G184,"NULL")</f>
        <v>70</v>
      </c>
      <c r="E184" s="16" t="n">
        <f aca="false">IF('Boletins Nuppa Site'!H184&lt;&gt;0,'Boletins Nuppa Site'!H184,"NULL")</f>
        <v>60</v>
      </c>
      <c r="F184" s="16" t="n">
        <f aca="false">IF('Boletins Nuppa Site'!I184&lt;&gt;0,'Boletins Nuppa Site'!I184,"NULL")</f>
        <v>80</v>
      </c>
      <c r="G184" s="16" t="n">
        <f aca="false">IF('Boletins Nuppa Site'!J184&lt;&gt;0,'Boletins Nuppa Site'!J184,"NULL")</f>
        <v>70</v>
      </c>
      <c r="H184" s="16" t="n">
        <f aca="false">IF('Boletins Nuppa Site'!K184&lt;&gt;0,'Boletins Nuppa Site'!K184,"NULL")</f>
        <v>70</v>
      </c>
      <c r="J184" s="1" t="str">
        <f aca="false">"INSERT INTO COTACAO (blt_id, pap_id, cot_prc_comum, cot_prc_min, cot_prc_max, cot_prc_med, cot_prc_mediana) VALUES ("&amp;B184&amp;", "&amp;C184&amp;", "&amp;D184&amp;", "&amp;E184&amp;", "&amp;F184&amp;", "&amp;G184&amp;", "&amp;H184&amp;");"</f>
        <v>INSERT INTO COTACAO (blt_id, pap_id, cot_prc_comum, cot_prc_min, cot_prc_max, cot_prc_med, cot_prc_mediana) VALUES (5, 28, 70, 60, 80, 70, 70);</v>
      </c>
    </row>
    <row r="185" customFormat="false" ht="14.25" hidden="false" customHeight="false" outlineLevel="0" collapsed="false">
      <c r="A185" s="1" t="n">
        <v>184</v>
      </c>
      <c r="B185" s="1" t="n">
        <v>5</v>
      </c>
      <c r="C185" s="1" t="n">
        <v>29</v>
      </c>
      <c r="D185" s="1" t="str">
        <f aca="false">IF('Boletins Nuppa Site'!G185&lt;&gt;0,'Boletins Nuppa Site'!G185,"NULL")</f>
        <v>NULL</v>
      </c>
      <c r="E185" s="16" t="n">
        <f aca="false">IF('Boletins Nuppa Site'!H185&lt;&gt;0,'Boletins Nuppa Site'!H185,"NULL")</f>
        <v>60</v>
      </c>
      <c r="F185" s="16" t="n">
        <f aca="false">IF('Boletins Nuppa Site'!I185&lt;&gt;0,'Boletins Nuppa Site'!I185,"NULL")</f>
        <v>60</v>
      </c>
      <c r="G185" s="16" t="n">
        <f aca="false">IF('Boletins Nuppa Site'!J185&lt;&gt;0,'Boletins Nuppa Site'!J185,"NULL")</f>
        <v>60</v>
      </c>
      <c r="H185" s="16" t="n">
        <f aca="false">IF('Boletins Nuppa Site'!K185&lt;&gt;0,'Boletins Nuppa Site'!K185,"NULL")</f>
        <v>60</v>
      </c>
      <c r="J185" s="1" t="str">
        <f aca="false">"INSERT INTO COTACAO (blt_id, pap_id, cot_prc_comum, cot_prc_min, cot_prc_max, cot_prc_med, cot_prc_mediana) VALUES ("&amp;B185&amp;", "&amp;C185&amp;", "&amp;D185&amp;", "&amp;E185&amp;", "&amp;F185&amp;", "&amp;G185&amp;", "&amp;H185&amp;");"</f>
        <v>INSERT INTO COTACAO (blt_id, pap_id, cot_prc_comum, cot_prc_min, cot_prc_max, cot_prc_med, cot_prc_mediana) VALUES (5, 29, NULL, 60, 60, 60, 60);</v>
      </c>
    </row>
    <row r="186" customFormat="false" ht="14.25" hidden="false" customHeight="false" outlineLevel="0" collapsed="false">
      <c r="A186" s="1" t="n">
        <v>185</v>
      </c>
      <c r="B186" s="1" t="n">
        <v>5</v>
      </c>
      <c r="C186" s="1" t="n">
        <v>30</v>
      </c>
      <c r="D186" s="16" t="n">
        <f aca="false">IF('Boletins Nuppa Site'!G186&lt;&gt;0,'Boletins Nuppa Site'!G186,"NULL")</f>
        <v>50</v>
      </c>
      <c r="E186" s="16" t="n">
        <f aca="false">IF('Boletins Nuppa Site'!H186&lt;&gt;0,'Boletins Nuppa Site'!H186,"NULL")</f>
        <v>40</v>
      </c>
      <c r="F186" s="16" t="n">
        <f aca="false">IF('Boletins Nuppa Site'!I186&lt;&gt;0,'Boletins Nuppa Site'!I186,"NULL")</f>
        <v>50</v>
      </c>
      <c r="G186" s="1" t="str">
        <f aca="false">IF('Boletins Nuppa Site'!J186&lt;&gt;0,'Boletins Nuppa Site'!J186,"NULL")</f>
        <v>47.5</v>
      </c>
      <c r="H186" s="16" t="n">
        <f aca="false">IF('Boletins Nuppa Site'!K186&lt;&gt;0,'Boletins Nuppa Site'!K186,"NULL")</f>
        <v>50</v>
      </c>
      <c r="J186" s="1" t="str">
        <f aca="false">"INSERT INTO COTACAO (blt_id, pap_id, cot_prc_comum, cot_prc_min, cot_prc_max, cot_prc_med, cot_prc_mediana) VALUES ("&amp;B186&amp;", "&amp;C186&amp;", "&amp;D186&amp;", "&amp;E186&amp;", "&amp;F186&amp;", "&amp;G186&amp;", "&amp;H186&amp;");"</f>
        <v>INSERT INTO COTACAO (blt_id, pap_id, cot_prc_comum, cot_prc_min, cot_prc_max, cot_prc_med, cot_prc_mediana) VALUES (5, 30, 50, 40, 50, 47.5, 50);</v>
      </c>
    </row>
    <row r="187" customFormat="false" ht="14.25" hidden="false" customHeight="false" outlineLevel="0" collapsed="false">
      <c r="A187" s="1" t="n">
        <v>186</v>
      </c>
      <c r="B187" s="1" t="n">
        <v>5</v>
      </c>
      <c r="C187" s="1" t="n">
        <v>31</v>
      </c>
      <c r="D187" s="16" t="n">
        <f aca="false">IF('Boletins Nuppa Site'!G187&lt;&gt;0,'Boletins Nuppa Site'!G187,"NULL")</f>
        <v>80</v>
      </c>
      <c r="E187" s="16" t="n">
        <f aca="false">IF('Boletins Nuppa Site'!H187&lt;&gt;0,'Boletins Nuppa Site'!H187,"NULL")</f>
        <v>65</v>
      </c>
      <c r="F187" s="16" t="n">
        <f aca="false">IF('Boletins Nuppa Site'!I187&lt;&gt;0,'Boletins Nuppa Site'!I187,"NULL")</f>
        <v>80</v>
      </c>
      <c r="G187" s="16" t="n">
        <f aca="false">IF('Boletins Nuppa Site'!J187&lt;&gt;0,'Boletins Nuppa Site'!J187,"NULL")</f>
        <v>75</v>
      </c>
      <c r="H187" s="16" t="n">
        <f aca="false">IF('Boletins Nuppa Site'!K187&lt;&gt;0,'Boletins Nuppa Site'!K187,"NULL")</f>
        <v>80</v>
      </c>
      <c r="J187" s="1" t="str">
        <f aca="false">"INSERT INTO COTACAO (blt_id, pap_id, cot_prc_comum, cot_prc_min, cot_prc_max, cot_prc_med, cot_prc_mediana) VALUES ("&amp;B187&amp;", "&amp;C187&amp;", "&amp;D187&amp;", "&amp;E187&amp;", "&amp;F187&amp;", "&amp;G187&amp;", "&amp;H187&amp;");"</f>
        <v>INSERT INTO COTACAO (blt_id, pap_id, cot_prc_comum, cot_prc_min, cot_prc_max, cot_prc_med, cot_prc_mediana) VALUES (5, 31, 80, 65, 80, 75, 80);</v>
      </c>
    </row>
    <row r="188" customFormat="false" ht="14.25" hidden="false" customHeight="false" outlineLevel="0" collapsed="false">
      <c r="A188" s="1" t="n">
        <v>187</v>
      </c>
      <c r="B188" s="1" t="n">
        <v>5</v>
      </c>
      <c r="C188" s="1" t="n">
        <v>32</v>
      </c>
      <c r="D188" s="16" t="n">
        <f aca="false">IF('Boletins Nuppa Site'!G188&lt;&gt;0,'Boletins Nuppa Site'!G188,"NULL")</f>
        <v>35</v>
      </c>
      <c r="E188" s="16" t="n">
        <f aca="false">IF('Boletins Nuppa Site'!H188&lt;&gt;0,'Boletins Nuppa Site'!H188,"NULL")</f>
        <v>30</v>
      </c>
      <c r="F188" s="16" t="n">
        <f aca="false">IF('Boletins Nuppa Site'!I188&lt;&gt;0,'Boletins Nuppa Site'!I188,"NULL")</f>
        <v>45</v>
      </c>
      <c r="G188" s="1" t="str">
        <f aca="false">IF('Boletins Nuppa Site'!J188&lt;&gt;0,'Boletins Nuppa Site'!J188,"NULL")</f>
        <v>36.43</v>
      </c>
      <c r="H188" s="16" t="n">
        <f aca="false">IF('Boletins Nuppa Site'!K188&lt;&gt;0,'Boletins Nuppa Site'!K188,"NULL")</f>
        <v>35</v>
      </c>
      <c r="J188" s="1" t="str">
        <f aca="false">"INSERT INTO COTACAO (blt_id, pap_id, cot_prc_comum, cot_prc_min, cot_prc_max, cot_prc_med, cot_prc_mediana) VALUES ("&amp;B188&amp;", "&amp;C188&amp;", "&amp;D188&amp;", "&amp;E188&amp;", "&amp;F188&amp;", "&amp;G188&amp;", "&amp;H188&amp;");"</f>
        <v>INSERT INTO COTACAO (blt_id, pap_id, cot_prc_comum, cot_prc_min, cot_prc_max, cot_prc_med, cot_prc_mediana) VALUES (5, 32, 35, 30, 45, 36.43, 35);</v>
      </c>
    </row>
    <row r="189" customFormat="false" ht="14.25" hidden="false" customHeight="false" outlineLevel="0" collapsed="false">
      <c r="A189" s="1" t="n">
        <v>188</v>
      </c>
      <c r="B189" s="1" t="n">
        <v>5</v>
      </c>
      <c r="C189" s="1" t="n">
        <v>33</v>
      </c>
      <c r="D189" s="16" t="n">
        <f aca="false">IF('Boletins Nuppa Site'!G189&lt;&gt;0,'Boletins Nuppa Site'!G189,"NULL")</f>
        <v>70</v>
      </c>
      <c r="E189" s="16" t="n">
        <f aca="false">IF('Boletins Nuppa Site'!H189&lt;&gt;0,'Boletins Nuppa Site'!H189,"NULL")</f>
        <v>70</v>
      </c>
      <c r="F189" s="16" t="n">
        <f aca="false">IF('Boletins Nuppa Site'!I189&lt;&gt;0,'Boletins Nuppa Site'!I189,"NULL")</f>
        <v>100</v>
      </c>
      <c r="G189" s="1" t="str">
        <f aca="false">IF('Boletins Nuppa Site'!J189&lt;&gt;0,'Boletins Nuppa Site'!J189,"NULL")</f>
        <v>78.57</v>
      </c>
      <c r="H189" s="16" t="n">
        <f aca="false">IF('Boletins Nuppa Site'!K189&lt;&gt;0,'Boletins Nuppa Site'!K189,"NULL")</f>
        <v>70</v>
      </c>
      <c r="J189" s="1" t="str">
        <f aca="false">"INSERT INTO COTACAO (blt_id, pap_id, cot_prc_comum, cot_prc_min, cot_prc_max, cot_prc_med, cot_prc_mediana) VALUES ("&amp;B189&amp;", "&amp;C189&amp;", "&amp;D189&amp;", "&amp;E189&amp;", "&amp;F189&amp;", "&amp;G189&amp;", "&amp;H189&amp;");"</f>
        <v>INSERT INTO COTACAO (blt_id, pap_id, cot_prc_comum, cot_prc_min, cot_prc_max, cot_prc_med, cot_prc_mediana) VALUES (5, 33, 70, 70, 100, 78.57, 70);</v>
      </c>
    </row>
    <row r="190" customFormat="false" ht="14.25" hidden="false" customHeight="false" outlineLevel="0" collapsed="false">
      <c r="A190" s="1" t="n">
        <v>189</v>
      </c>
      <c r="B190" s="1" t="n">
        <v>5</v>
      </c>
      <c r="C190" s="1" t="n">
        <v>34</v>
      </c>
      <c r="D190" s="16" t="n">
        <f aca="false">IF('Boletins Nuppa Site'!G190&lt;&gt;0,'Boletins Nuppa Site'!G190,"NULL")</f>
        <v>100</v>
      </c>
      <c r="E190" s="16" t="n">
        <f aca="false">IF('Boletins Nuppa Site'!H190&lt;&gt;0,'Boletins Nuppa Site'!H190,"NULL")</f>
        <v>90</v>
      </c>
      <c r="F190" s="16" t="n">
        <f aca="false">IF('Boletins Nuppa Site'!I190&lt;&gt;0,'Boletins Nuppa Site'!I190,"NULL")</f>
        <v>110</v>
      </c>
      <c r="G190" s="1" t="str">
        <f aca="false">IF('Boletins Nuppa Site'!J190&lt;&gt;0,'Boletins Nuppa Site'!J190,"NULL")</f>
        <v>102.86</v>
      </c>
      <c r="H190" s="16" t="n">
        <f aca="false">IF('Boletins Nuppa Site'!K190&lt;&gt;0,'Boletins Nuppa Site'!K190,"NULL")</f>
        <v>100</v>
      </c>
      <c r="J190" s="1" t="str">
        <f aca="false">"INSERT INTO COTACAO (blt_id, pap_id, cot_prc_comum, cot_prc_min, cot_prc_max, cot_prc_med, cot_prc_mediana) VALUES ("&amp;B190&amp;", "&amp;C190&amp;", "&amp;D190&amp;", "&amp;E190&amp;", "&amp;F190&amp;", "&amp;G190&amp;", "&amp;H190&amp;");"</f>
        <v>INSERT INTO COTACAO (blt_id, pap_id, cot_prc_comum, cot_prc_min, cot_prc_max, cot_prc_med, cot_prc_mediana) VALUES (5, 34, 100, 90, 110, 102.86, 100);</v>
      </c>
    </row>
    <row r="191" customFormat="false" ht="14.25" hidden="false" customHeight="false" outlineLevel="0" collapsed="false">
      <c r="A191" s="1" t="n">
        <v>190</v>
      </c>
      <c r="B191" s="1" t="n">
        <v>5</v>
      </c>
      <c r="C191" s="1" t="n">
        <v>35</v>
      </c>
      <c r="D191" s="16" t="n">
        <f aca="false">IF('Boletins Nuppa Site'!G191&lt;&gt;0,'Boletins Nuppa Site'!G191,"NULL")</f>
        <v>35</v>
      </c>
      <c r="E191" s="16" t="n">
        <f aca="false">IF('Boletins Nuppa Site'!H191&lt;&gt;0,'Boletins Nuppa Site'!H191,"NULL")</f>
        <v>35</v>
      </c>
      <c r="F191" s="16" t="n">
        <f aca="false">IF('Boletins Nuppa Site'!I191&lt;&gt;0,'Boletins Nuppa Site'!I191,"NULL")</f>
        <v>65</v>
      </c>
      <c r="G191" s="1" t="str">
        <f aca="false">IF('Boletins Nuppa Site'!J191&lt;&gt;0,'Boletins Nuppa Site'!J191,"NULL")</f>
        <v>50.71</v>
      </c>
      <c r="H191" s="16" t="n">
        <f aca="false">IF('Boletins Nuppa Site'!K191&lt;&gt;0,'Boletins Nuppa Site'!K191,"NULL")</f>
        <v>50</v>
      </c>
      <c r="J191" s="1" t="str">
        <f aca="false">"INSERT INTO COTACAO (blt_id, pap_id, cot_prc_comum, cot_prc_min, cot_prc_max, cot_prc_med, cot_prc_mediana) VALUES ("&amp;B191&amp;", "&amp;C191&amp;", "&amp;D191&amp;", "&amp;E191&amp;", "&amp;F191&amp;", "&amp;G191&amp;", "&amp;H191&amp;");"</f>
        <v>INSERT INTO COTACAO (blt_id, pap_id, cot_prc_comum, cot_prc_min, cot_prc_max, cot_prc_med, cot_prc_mediana) VALUES (5, 35, 35, 35, 65, 50.71, 50);</v>
      </c>
    </row>
    <row r="192" customFormat="false" ht="14.25" hidden="false" customHeight="false" outlineLevel="0" collapsed="false">
      <c r="A192" s="1" t="n">
        <v>191</v>
      </c>
      <c r="B192" s="1" t="n">
        <v>5</v>
      </c>
      <c r="C192" s="1" t="n">
        <v>36</v>
      </c>
      <c r="D192" s="1" t="str">
        <f aca="false">IF('Boletins Nuppa Site'!G192&lt;&gt;0,'Boletins Nuppa Site'!G192,"NULL")</f>
        <v>NULL</v>
      </c>
      <c r="E192" s="1" t="str">
        <f aca="false">IF('Boletins Nuppa Site'!H192&lt;&gt;0,'Boletins Nuppa Site'!H192,"NULL")</f>
        <v>NULL</v>
      </c>
      <c r="F192" s="1" t="str">
        <f aca="false">IF('Boletins Nuppa Site'!I192&lt;&gt;0,'Boletins Nuppa Site'!I192,"NULL")</f>
        <v>NULL</v>
      </c>
      <c r="G192" s="1" t="str">
        <f aca="false">IF('Boletins Nuppa Site'!J192&lt;&gt;0,'Boletins Nuppa Site'!J192,"NULL")</f>
        <v>NULL</v>
      </c>
      <c r="H192" s="1" t="str">
        <f aca="false">IF('Boletins Nuppa Site'!K192&lt;&gt;0,'Boletins Nuppa Site'!K192,"NULL")</f>
        <v>NULL</v>
      </c>
      <c r="J192" s="1" t="str">
        <f aca="false">"INSERT INTO COTACAO (blt_id, pap_id, cot_prc_comum, cot_prc_min, cot_prc_max, cot_prc_med, cot_prc_mediana) VALUES ("&amp;B192&amp;", "&amp;C192&amp;", "&amp;D192&amp;", "&amp;E192&amp;", "&amp;F192&amp;", "&amp;G192&amp;", "&amp;H192&amp;");"</f>
        <v>INSERT INTO COTACAO (blt_id, pap_id, cot_prc_comum, cot_prc_min, cot_prc_max, cot_prc_med, cot_prc_mediana) VALUES (5, 36, NULL, NULL, NULL, NULL, NULL);</v>
      </c>
    </row>
    <row r="193" customFormat="false" ht="14.25" hidden="false" customHeight="false" outlineLevel="0" collapsed="false">
      <c r="A193" s="1" t="n">
        <v>192</v>
      </c>
      <c r="B193" s="1" t="n">
        <v>5</v>
      </c>
      <c r="C193" s="1" t="n">
        <v>37</v>
      </c>
      <c r="D193" s="1" t="str">
        <f aca="false">IF('Boletins Nuppa Site'!G193&lt;&gt;0,'Boletins Nuppa Site'!G193,"NULL")</f>
        <v>NULL</v>
      </c>
      <c r="E193" s="1" t="str">
        <f aca="false">IF('Boletins Nuppa Site'!H193&lt;&gt;0,'Boletins Nuppa Site'!H193,"NULL")</f>
        <v>NULL</v>
      </c>
      <c r="F193" s="1" t="str">
        <f aca="false">IF('Boletins Nuppa Site'!I193&lt;&gt;0,'Boletins Nuppa Site'!I193,"NULL")</f>
        <v>NULL</v>
      </c>
      <c r="G193" s="1" t="str">
        <f aca="false">IF('Boletins Nuppa Site'!J193&lt;&gt;0,'Boletins Nuppa Site'!J193,"NULL")</f>
        <v>NULL</v>
      </c>
      <c r="H193" s="1" t="str">
        <f aca="false">IF('Boletins Nuppa Site'!K193&lt;&gt;0,'Boletins Nuppa Site'!K193,"NULL")</f>
        <v>NULL</v>
      </c>
      <c r="J193" s="1" t="str">
        <f aca="false">"INSERT INTO COTACAO (blt_id, pap_id, cot_prc_comum, cot_prc_min, cot_prc_max, cot_prc_med, cot_prc_mediana) VALUES ("&amp;B193&amp;", "&amp;C193&amp;", "&amp;D193&amp;", "&amp;E193&amp;", "&amp;F193&amp;", "&amp;G193&amp;", "&amp;H193&amp;");"</f>
        <v>INSERT INTO COTACAO (blt_id, pap_id, cot_prc_comum, cot_prc_min, cot_prc_max, cot_prc_med, cot_prc_mediana) VALUES (5, 37, NULL, NULL, NULL, NULL, NULL);</v>
      </c>
    </row>
    <row r="194" customFormat="false" ht="14.25" hidden="false" customHeight="false" outlineLevel="0" collapsed="false">
      <c r="A194" s="1" t="n">
        <v>193</v>
      </c>
      <c r="B194" s="1" t="n">
        <v>5</v>
      </c>
      <c r="C194" s="1" t="n">
        <v>38</v>
      </c>
      <c r="D194" s="1" t="str">
        <f aca="false">IF('Boletins Nuppa Site'!G194&lt;&gt;0,'Boletins Nuppa Site'!G194,"NULL")</f>
        <v>NULL</v>
      </c>
      <c r="E194" s="1" t="str">
        <f aca="false">IF('Boletins Nuppa Site'!H194&lt;&gt;0,'Boletins Nuppa Site'!H194,"NULL")</f>
        <v>NULL</v>
      </c>
      <c r="F194" s="1" t="str">
        <f aca="false">IF('Boletins Nuppa Site'!I194&lt;&gt;0,'Boletins Nuppa Site'!I194,"NULL")</f>
        <v>NULL</v>
      </c>
      <c r="G194" s="1" t="str">
        <f aca="false">IF('Boletins Nuppa Site'!J194&lt;&gt;0,'Boletins Nuppa Site'!J194,"NULL")</f>
        <v>NULL</v>
      </c>
      <c r="H194" s="1" t="str">
        <f aca="false">IF('Boletins Nuppa Site'!K194&lt;&gt;0,'Boletins Nuppa Site'!K194,"NULL")</f>
        <v>NULL</v>
      </c>
      <c r="J194" s="1" t="str">
        <f aca="false">"INSERT INTO COTACAO (blt_id, pap_id, cot_prc_comum, cot_prc_min, cot_prc_max, cot_prc_med, cot_prc_mediana) VALUES ("&amp;B194&amp;", "&amp;C194&amp;", "&amp;D194&amp;", "&amp;E194&amp;", "&amp;F194&amp;", "&amp;G194&amp;", "&amp;H194&amp;");"</f>
        <v>INSERT INTO COTACAO (blt_id, pap_id, cot_prc_comum, cot_prc_min, cot_prc_max, cot_prc_med, cot_prc_mediana) VALUES (5, 38, NULL, NULL, NULL, NULL, NULL);</v>
      </c>
    </row>
    <row r="195" customFormat="false" ht="14.25" hidden="false" customHeight="false" outlineLevel="0" collapsed="false">
      <c r="A195" s="1" t="n">
        <v>194</v>
      </c>
      <c r="B195" s="1" t="n">
        <v>5</v>
      </c>
      <c r="C195" s="1" t="n">
        <v>39</v>
      </c>
      <c r="D195" s="1" t="str">
        <f aca="false">IF('Boletins Nuppa Site'!G195&lt;&gt;0,'Boletins Nuppa Site'!G195,"NULL")</f>
        <v>NULL</v>
      </c>
      <c r="E195" s="1" t="str">
        <f aca="false">IF('Boletins Nuppa Site'!H195&lt;&gt;0,'Boletins Nuppa Site'!H195,"NULL")</f>
        <v>NULL</v>
      </c>
      <c r="F195" s="1" t="str">
        <f aca="false">IF('Boletins Nuppa Site'!I195&lt;&gt;0,'Boletins Nuppa Site'!I195,"NULL")</f>
        <v>NULL</v>
      </c>
      <c r="G195" s="1" t="str">
        <f aca="false">IF('Boletins Nuppa Site'!J195&lt;&gt;0,'Boletins Nuppa Site'!J195,"NULL")</f>
        <v>NULL</v>
      </c>
      <c r="H195" s="1" t="str">
        <f aca="false">IF('Boletins Nuppa Site'!K195&lt;&gt;0,'Boletins Nuppa Site'!K195,"NULL")</f>
        <v>NULL</v>
      </c>
      <c r="J195" s="1" t="str">
        <f aca="false">"INSERT INTO COTACAO (blt_id, pap_id, cot_prc_comum, cot_prc_min, cot_prc_max, cot_prc_med, cot_prc_mediana) VALUES ("&amp;B195&amp;", "&amp;C195&amp;", "&amp;D195&amp;", "&amp;E195&amp;", "&amp;F195&amp;", "&amp;G195&amp;", "&amp;H195&amp;");"</f>
        <v>INSERT INTO COTACAO (blt_id, pap_id, cot_prc_comum, cot_prc_min, cot_prc_max, cot_prc_med, cot_prc_mediana) VALUES (5, 39, NULL, NULL, NULL, NULL, NULL);</v>
      </c>
    </row>
    <row r="196" customFormat="false" ht="14.25" hidden="false" customHeight="false" outlineLevel="0" collapsed="false">
      <c r="A196" s="1" t="n">
        <v>195</v>
      </c>
      <c r="B196" s="1" t="n">
        <v>5</v>
      </c>
      <c r="C196" s="1" t="n">
        <v>40</v>
      </c>
      <c r="D196" s="1" t="str">
        <f aca="false">IF('Boletins Nuppa Site'!G196&lt;&gt;0,'Boletins Nuppa Site'!G196,"NULL")</f>
        <v>NULL</v>
      </c>
      <c r="E196" s="1" t="str">
        <f aca="false">IF('Boletins Nuppa Site'!H196&lt;&gt;0,'Boletins Nuppa Site'!H196,"NULL")</f>
        <v>NULL</v>
      </c>
      <c r="F196" s="1" t="str">
        <f aca="false">IF('Boletins Nuppa Site'!I196&lt;&gt;0,'Boletins Nuppa Site'!I196,"NULL")</f>
        <v>NULL</v>
      </c>
      <c r="G196" s="1" t="str">
        <f aca="false">IF('Boletins Nuppa Site'!J196&lt;&gt;0,'Boletins Nuppa Site'!J196,"NULL")</f>
        <v>NULL</v>
      </c>
      <c r="H196" s="1" t="str">
        <f aca="false">IF('Boletins Nuppa Site'!K196&lt;&gt;0,'Boletins Nuppa Site'!K196,"NULL")</f>
        <v>NULL</v>
      </c>
      <c r="J196" s="1" t="str">
        <f aca="false">"INSERT INTO COTACAO (blt_id, pap_id, cot_prc_comum, cot_prc_min, cot_prc_max, cot_prc_med, cot_prc_mediana) VALUES ("&amp;B196&amp;", "&amp;C196&amp;", "&amp;D196&amp;", "&amp;E196&amp;", "&amp;F196&amp;", "&amp;G196&amp;", "&amp;H196&amp;");"</f>
        <v>INSERT INTO COTACAO (blt_id, pap_id, cot_prc_comum, cot_prc_min, cot_prc_max, cot_prc_med, cot_prc_mediana) VALUES (5, 40, NULL, NULL, NULL, NULL, NULL);</v>
      </c>
    </row>
    <row r="197" customFormat="false" ht="14.25" hidden="false" customHeight="false" outlineLevel="0" collapsed="false">
      <c r="A197" s="1" t="n">
        <v>196</v>
      </c>
      <c r="B197" s="1" t="n">
        <v>6</v>
      </c>
      <c r="C197" s="1" t="n">
        <v>1</v>
      </c>
      <c r="D197" s="1" t="str">
        <f aca="false">IF('Boletins Nuppa Site'!G197&lt;&gt;0,'Boletins Nuppa Site'!G197,"NULL")</f>
        <v>NULL</v>
      </c>
      <c r="E197" s="16" t="n">
        <f aca="false">IF('Boletins Nuppa Site'!H197&lt;&gt;0,'Boletins Nuppa Site'!H197,"NULL")</f>
        <v>42</v>
      </c>
      <c r="F197" s="16" t="n">
        <f aca="false">IF('Boletins Nuppa Site'!I197&lt;&gt;0,'Boletins Nuppa Site'!I197,"NULL")</f>
        <v>48</v>
      </c>
      <c r="G197" s="16" t="n">
        <f aca="false">IF('Boletins Nuppa Site'!J197&lt;&gt;0,'Boletins Nuppa Site'!J197,"NULL")</f>
        <v>45</v>
      </c>
      <c r="H197" s="16" t="n">
        <f aca="false">IF('Boletins Nuppa Site'!K197&lt;&gt;0,'Boletins Nuppa Site'!K197,"NULL")</f>
        <v>45</v>
      </c>
      <c r="J197" s="1" t="str">
        <f aca="false">"INSERT INTO COTACAO (blt_id, pap_id, cot_prc_comum, cot_prc_min, cot_prc_max, cot_prc_med, cot_prc_mediana) VALUES ("&amp;B197&amp;", "&amp;C197&amp;", "&amp;D197&amp;", "&amp;E197&amp;", "&amp;F197&amp;", "&amp;G197&amp;", "&amp;H197&amp;");"</f>
        <v>INSERT INTO COTACAO (blt_id, pap_id, cot_prc_comum, cot_prc_min, cot_prc_max, cot_prc_med, cot_prc_mediana) VALUES (6, 1, NULL, 42, 48, 45, 45);</v>
      </c>
    </row>
    <row r="198" customFormat="false" ht="14.25" hidden="false" customHeight="false" outlineLevel="0" collapsed="false">
      <c r="A198" s="1" t="n">
        <v>197</v>
      </c>
      <c r="B198" s="1" t="n">
        <v>6</v>
      </c>
      <c r="C198" s="1" t="n">
        <v>2</v>
      </c>
      <c r="D198" s="16" t="n">
        <f aca="false">IF('Boletins Nuppa Site'!G198&lt;&gt;0,'Boletins Nuppa Site'!G198,"NULL")</f>
        <v>60</v>
      </c>
      <c r="E198" s="16" t="n">
        <f aca="false">IF('Boletins Nuppa Site'!H198&lt;&gt;0,'Boletins Nuppa Site'!H198,"NULL")</f>
        <v>60</v>
      </c>
      <c r="F198" s="16" t="n">
        <f aca="false">IF('Boletins Nuppa Site'!I198&lt;&gt;0,'Boletins Nuppa Site'!I198,"NULL")</f>
        <v>60</v>
      </c>
      <c r="G198" s="16" t="n">
        <f aca="false">IF('Boletins Nuppa Site'!J198&lt;&gt;0,'Boletins Nuppa Site'!J198,"NULL")</f>
        <v>60</v>
      </c>
      <c r="H198" s="16" t="n">
        <f aca="false">IF('Boletins Nuppa Site'!K198&lt;&gt;0,'Boletins Nuppa Site'!K198,"NULL")</f>
        <v>60</v>
      </c>
      <c r="J198" s="1" t="str">
        <f aca="false">"INSERT INTO COTACAO (blt_id, pap_id, cot_prc_comum, cot_prc_min, cot_prc_max, cot_prc_med, cot_prc_mediana) VALUES ("&amp;B198&amp;", "&amp;C198&amp;", "&amp;D198&amp;", "&amp;E198&amp;", "&amp;F198&amp;", "&amp;G198&amp;", "&amp;H198&amp;");"</f>
        <v>INSERT INTO COTACAO (blt_id, pap_id, cot_prc_comum, cot_prc_min, cot_prc_max, cot_prc_med, cot_prc_mediana) VALUES (6, 2, 60, 60, 60, 60, 60);</v>
      </c>
    </row>
    <row r="199" customFormat="false" ht="14.25" hidden="false" customHeight="false" outlineLevel="0" collapsed="false">
      <c r="A199" s="1" t="n">
        <v>198</v>
      </c>
      <c r="B199" s="1" t="n">
        <v>6</v>
      </c>
      <c r="C199" s="1" t="n">
        <v>3</v>
      </c>
      <c r="D199" s="1" t="str">
        <f aca="false">IF('Boletins Nuppa Site'!G199&lt;&gt;0,'Boletins Nuppa Site'!G199,"NULL")</f>
        <v>NULL</v>
      </c>
      <c r="E199" s="16" t="n">
        <f aca="false">IF('Boletins Nuppa Site'!H199&lt;&gt;0,'Boletins Nuppa Site'!H199,"NULL")</f>
        <v>24</v>
      </c>
      <c r="F199" s="16" t="n">
        <f aca="false">IF('Boletins Nuppa Site'!I199&lt;&gt;0,'Boletins Nuppa Site'!I199,"NULL")</f>
        <v>36</v>
      </c>
      <c r="G199" s="16" t="n">
        <f aca="false">IF('Boletins Nuppa Site'!J199&lt;&gt;0,'Boletins Nuppa Site'!J199,"NULL")</f>
        <v>30</v>
      </c>
      <c r="H199" s="16" t="n">
        <f aca="false">IF('Boletins Nuppa Site'!K199&lt;&gt;0,'Boletins Nuppa Site'!K199,"NULL")</f>
        <v>30</v>
      </c>
      <c r="J199" s="1" t="str">
        <f aca="false">"INSERT INTO COTACAO (blt_id, pap_id, cot_prc_comum, cot_prc_min, cot_prc_max, cot_prc_med, cot_prc_mediana) VALUES ("&amp;B199&amp;", "&amp;C199&amp;", "&amp;D199&amp;", "&amp;E199&amp;", "&amp;F199&amp;", "&amp;G199&amp;", "&amp;H199&amp;");"</f>
        <v>INSERT INTO COTACAO (blt_id, pap_id, cot_prc_comum, cot_prc_min, cot_prc_max, cot_prc_med, cot_prc_mediana) VALUES (6, 3, NULL, 24, 36, 30, 30);</v>
      </c>
    </row>
    <row r="200" customFormat="false" ht="14.25" hidden="false" customHeight="false" outlineLevel="0" collapsed="false">
      <c r="A200" s="1" t="n">
        <v>199</v>
      </c>
      <c r="B200" s="1" t="n">
        <v>6</v>
      </c>
      <c r="C200" s="1" t="n">
        <v>4</v>
      </c>
      <c r="D200" s="16" t="n">
        <f aca="false">IF('Boletins Nuppa Site'!G200&lt;&gt;0,'Boletins Nuppa Site'!G200,"NULL")</f>
        <v>18</v>
      </c>
      <c r="E200" s="16" t="n">
        <f aca="false">IF('Boletins Nuppa Site'!H200&lt;&gt;0,'Boletins Nuppa Site'!H200,"NULL")</f>
        <v>18</v>
      </c>
      <c r="F200" s="16" t="n">
        <f aca="false">IF('Boletins Nuppa Site'!I200&lt;&gt;0,'Boletins Nuppa Site'!I200,"NULL")</f>
        <v>26</v>
      </c>
      <c r="G200" s="1" t="str">
        <f aca="false">IF('Boletins Nuppa Site'!J200&lt;&gt;0,'Boletins Nuppa Site'!J200,"NULL")</f>
        <v>21.6</v>
      </c>
      <c r="H200" s="16" t="n">
        <f aca="false">IF('Boletins Nuppa Site'!K200&lt;&gt;0,'Boletins Nuppa Site'!K200,"NULL")</f>
        <v>22</v>
      </c>
      <c r="J200" s="1" t="str">
        <f aca="false">"INSERT INTO COTACAO (blt_id, pap_id, cot_prc_comum, cot_prc_min, cot_prc_max, cot_prc_med, cot_prc_mediana) VALUES ("&amp;B200&amp;", "&amp;C200&amp;", "&amp;D200&amp;", "&amp;E200&amp;", "&amp;F200&amp;", "&amp;G200&amp;", "&amp;H200&amp;");"</f>
        <v>INSERT INTO COTACAO (blt_id, pap_id, cot_prc_comum, cot_prc_min, cot_prc_max, cot_prc_med, cot_prc_mediana) VALUES (6, 4, 18, 18, 26, 21.6, 22);</v>
      </c>
    </row>
    <row r="201" customFormat="false" ht="14.25" hidden="false" customHeight="false" outlineLevel="0" collapsed="false">
      <c r="A201" s="1" t="n">
        <v>200</v>
      </c>
      <c r="B201" s="1" t="n">
        <v>6</v>
      </c>
      <c r="C201" s="1" t="n">
        <v>5</v>
      </c>
      <c r="D201" s="1" t="str">
        <f aca="false">IF('Boletins Nuppa Site'!G201&lt;&gt;0,'Boletins Nuppa Site'!G201,"NULL")</f>
        <v>NULL</v>
      </c>
      <c r="E201" s="16" t="n">
        <f aca="false">IF('Boletins Nuppa Site'!H201&lt;&gt;0,'Boletins Nuppa Site'!H201,"NULL")</f>
        <v>18</v>
      </c>
      <c r="F201" s="16" t="n">
        <f aca="false">IF('Boletins Nuppa Site'!I201&lt;&gt;0,'Boletins Nuppa Site'!I201,"NULL")</f>
        <v>35</v>
      </c>
      <c r="G201" s="1" t="str">
        <f aca="false">IF('Boletins Nuppa Site'!J201&lt;&gt;0,'Boletins Nuppa Site'!J201,"NULL")</f>
        <v>24.75</v>
      </c>
      <c r="H201" s="16" t="n">
        <f aca="false">IF('Boletins Nuppa Site'!K201&lt;&gt;0,'Boletins Nuppa Site'!K201,"NULL")</f>
        <v>23</v>
      </c>
      <c r="J201" s="1" t="str">
        <f aca="false">"INSERT INTO COTACAO (blt_id, pap_id, cot_prc_comum, cot_prc_min, cot_prc_max, cot_prc_med, cot_prc_mediana) VALUES ("&amp;B201&amp;", "&amp;C201&amp;", "&amp;D201&amp;", "&amp;E201&amp;", "&amp;F201&amp;", "&amp;G201&amp;", "&amp;H201&amp;");"</f>
        <v>INSERT INTO COTACAO (blt_id, pap_id, cot_prc_comum, cot_prc_min, cot_prc_max, cot_prc_med, cot_prc_mediana) VALUES (6, 5, NULL, 18, 35, 24.75, 23);</v>
      </c>
    </row>
    <row r="202" customFormat="false" ht="14.25" hidden="false" customHeight="false" outlineLevel="0" collapsed="false">
      <c r="A202" s="1" t="n">
        <v>201</v>
      </c>
      <c r="B202" s="1" t="n">
        <v>6</v>
      </c>
      <c r="C202" s="1" t="n">
        <v>6</v>
      </c>
      <c r="D202" s="1" t="str">
        <f aca="false">IF('Boletins Nuppa Site'!G202&lt;&gt;0,'Boletins Nuppa Site'!G202,"NULL")</f>
        <v>NULL</v>
      </c>
      <c r="E202" s="16" t="n">
        <f aca="false">IF('Boletins Nuppa Site'!H202&lt;&gt;0,'Boletins Nuppa Site'!H202,"NULL")</f>
        <v>48</v>
      </c>
      <c r="F202" s="16" t="n">
        <f aca="false">IF('Boletins Nuppa Site'!I202&lt;&gt;0,'Boletins Nuppa Site'!I202,"NULL")</f>
        <v>48</v>
      </c>
      <c r="G202" s="16" t="n">
        <f aca="false">IF('Boletins Nuppa Site'!J202&lt;&gt;0,'Boletins Nuppa Site'!J202,"NULL")</f>
        <v>48</v>
      </c>
      <c r="H202" s="16" t="n">
        <f aca="false">IF('Boletins Nuppa Site'!K202&lt;&gt;0,'Boletins Nuppa Site'!K202,"NULL")</f>
        <v>48</v>
      </c>
      <c r="J202" s="1" t="str">
        <f aca="false">"INSERT INTO COTACAO (blt_id, pap_id, cot_prc_comum, cot_prc_min, cot_prc_max, cot_prc_med, cot_prc_mediana) VALUES ("&amp;B202&amp;", "&amp;C202&amp;", "&amp;D202&amp;", "&amp;E202&amp;", "&amp;F202&amp;", "&amp;G202&amp;", "&amp;H202&amp;");"</f>
        <v>INSERT INTO COTACAO (blt_id, pap_id, cot_prc_comum, cot_prc_min, cot_prc_max, cot_prc_med, cot_prc_mediana) VALUES (6, 6, NULL, 48, 48, 48, 48);</v>
      </c>
    </row>
    <row r="203" customFormat="false" ht="14.25" hidden="false" customHeight="false" outlineLevel="0" collapsed="false">
      <c r="A203" s="1" t="n">
        <v>202</v>
      </c>
      <c r="B203" s="1" t="n">
        <v>6</v>
      </c>
      <c r="C203" s="1" t="n">
        <v>7</v>
      </c>
      <c r="D203" s="16" t="n">
        <f aca="false">IF('Boletins Nuppa Site'!G203&lt;&gt;0,'Boletins Nuppa Site'!G203,"NULL")</f>
        <v>72</v>
      </c>
      <c r="E203" s="16" t="n">
        <f aca="false">IF('Boletins Nuppa Site'!H203&lt;&gt;0,'Boletins Nuppa Site'!H203,"NULL")</f>
        <v>48</v>
      </c>
      <c r="F203" s="16" t="n">
        <f aca="false">IF('Boletins Nuppa Site'!I203&lt;&gt;0,'Boletins Nuppa Site'!I203,"NULL")</f>
        <v>72</v>
      </c>
      <c r="G203" s="16" t="n">
        <f aca="false">IF('Boletins Nuppa Site'!J203&lt;&gt;0,'Boletins Nuppa Site'!J203,"NULL")</f>
        <v>64</v>
      </c>
      <c r="H203" s="16" t="n">
        <f aca="false">IF('Boletins Nuppa Site'!K203&lt;&gt;0,'Boletins Nuppa Site'!K203,"NULL")</f>
        <v>72</v>
      </c>
      <c r="J203" s="1" t="str">
        <f aca="false">"INSERT INTO COTACAO (blt_id, pap_id, cot_prc_comum, cot_prc_min, cot_prc_max, cot_prc_med, cot_prc_mediana) VALUES ("&amp;B203&amp;", "&amp;C203&amp;", "&amp;D203&amp;", "&amp;E203&amp;", "&amp;F203&amp;", "&amp;G203&amp;", "&amp;H203&amp;");"</f>
        <v>INSERT INTO COTACAO (blt_id, pap_id, cot_prc_comum, cot_prc_min, cot_prc_max, cot_prc_med, cot_prc_mediana) VALUES (6, 7, 72, 48, 72, 64, 72);</v>
      </c>
    </row>
    <row r="204" customFormat="false" ht="14.25" hidden="false" customHeight="false" outlineLevel="0" collapsed="false">
      <c r="A204" s="1" t="n">
        <v>203</v>
      </c>
      <c r="B204" s="1" t="n">
        <v>6</v>
      </c>
      <c r="C204" s="1" t="n">
        <v>8</v>
      </c>
      <c r="D204" s="16" t="n">
        <f aca="false">IF('Boletins Nuppa Site'!G204&lt;&gt;0,'Boletins Nuppa Site'!G204,"NULL")</f>
        <v>72</v>
      </c>
      <c r="E204" s="16" t="n">
        <f aca="false">IF('Boletins Nuppa Site'!H204&lt;&gt;0,'Boletins Nuppa Site'!H204,"NULL")</f>
        <v>72</v>
      </c>
      <c r="F204" s="16" t="n">
        <f aca="false">IF('Boletins Nuppa Site'!I204&lt;&gt;0,'Boletins Nuppa Site'!I204,"NULL")</f>
        <v>72</v>
      </c>
      <c r="G204" s="16" t="n">
        <f aca="false">IF('Boletins Nuppa Site'!J204&lt;&gt;0,'Boletins Nuppa Site'!J204,"NULL")</f>
        <v>72</v>
      </c>
      <c r="H204" s="16" t="n">
        <f aca="false">IF('Boletins Nuppa Site'!K204&lt;&gt;0,'Boletins Nuppa Site'!K204,"NULL")</f>
        <v>72</v>
      </c>
      <c r="J204" s="1" t="str">
        <f aca="false">"INSERT INTO COTACAO (blt_id, pap_id, cot_prc_comum, cot_prc_min, cot_prc_max, cot_prc_med, cot_prc_mediana) VALUES ("&amp;B204&amp;", "&amp;C204&amp;", "&amp;D204&amp;", "&amp;E204&amp;", "&amp;F204&amp;", "&amp;G204&amp;", "&amp;H204&amp;");"</f>
        <v>INSERT INTO COTACAO (blt_id, pap_id, cot_prc_comum, cot_prc_min, cot_prc_max, cot_prc_med, cot_prc_mediana) VALUES (6, 8, 72, 72, 72, 72, 72);</v>
      </c>
    </row>
    <row r="205" customFormat="false" ht="14.25" hidden="false" customHeight="false" outlineLevel="0" collapsed="false">
      <c r="A205" s="1" t="n">
        <v>204</v>
      </c>
      <c r="B205" s="1" t="n">
        <v>6</v>
      </c>
      <c r="C205" s="1" t="n">
        <v>9</v>
      </c>
      <c r="D205" s="16" t="n">
        <f aca="false">IF('Boletins Nuppa Site'!G205&lt;&gt;0,'Boletins Nuppa Site'!G205,"NULL")</f>
        <v>24</v>
      </c>
      <c r="E205" s="16" t="n">
        <f aca="false">IF('Boletins Nuppa Site'!H205&lt;&gt;0,'Boletins Nuppa Site'!H205,"NULL")</f>
        <v>15</v>
      </c>
      <c r="F205" s="16" t="n">
        <f aca="false">IF('Boletins Nuppa Site'!I205&lt;&gt;0,'Boletins Nuppa Site'!I205,"NULL")</f>
        <v>24</v>
      </c>
      <c r="G205" s="1" t="str">
        <f aca="false">IF('Boletins Nuppa Site'!J205&lt;&gt;0,'Boletins Nuppa Site'!J205,"NULL")</f>
        <v>20.25</v>
      </c>
      <c r="H205" s="16" t="n">
        <f aca="false">IF('Boletins Nuppa Site'!K205&lt;&gt;0,'Boletins Nuppa Site'!K205,"NULL")</f>
        <v>21</v>
      </c>
      <c r="J205" s="1" t="str">
        <f aca="false">"INSERT INTO COTACAO (blt_id, pap_id, cot_prc_comum, cot_prc_min, cot_prc_max, cot_prc_med, cot_prc_mediana) VALUES ("&amp;B205&amp;", "&amp;C205&amp;", "&amp;D205&amp;", "&amp;E205&amp;", "&amp;F205&amp;", "&amp;G205&amp;", "&amp;H205&amp;");"</f>
        <v>INSERT INTO COTACAO (blt_id, pap_id, cot_prc_comum, cot_prc_min, cot_prc_max, cot_prc_med, cot_prc_mediana) VALUES (6, 9, 24, 15, 24, 20.25, 21);</v>
      </c>
    </row>
    <row r="206" customFormat="false" ht="14.25" hidden="false" customHeight="false" outlineLevel="0" collapsed="false">
      <c r="A206" s="1" t="n">
        <v>205</v>
      </c>
      <c r="B206" s="1" t="n">
        <v>6</v>
      </c>
      <c r="C206" s="1" t="n">
        <v>10</v>
      </c>
      <c r="D206" s="1" t="str">
        <f aca="false">IF('Boletins Nuppa Site'!G206&lt;&gt;0,'Boletins Nuppa Site'!G206,"NULL")</f>
        <v>NULL</v>
      </c>
      <c r="E206" s="16" t="n">
        <f aca="false">IF('Boletins Nuppa Site'!H206&lt;&gt;0,'Boletins Nuppa Site'!H206,"NULL")</f>
        <v>60</v>
      </c>
      <c r="F206" s="16" t="n">
        <f aca="false">IF('Boletins Nuppa Site'!I206&lt;&gt;0,'Boletins Nuppa Site'!I206,"NULL")</f>
        <v>78</v>
      </c>
      <c r="G206" s="1" t="str">
        <f aca="false">IF('Boletins Nuppa Site'!J206&lt;&gt;0,'Boletins Nuppa Site'!J206,"NULL")</f>
        <v>69.33</v>
      </c>
      <c r="H206" s="16" t="n">
        <f aca="false">IF('Boletins Nuppa Site'!K206&lt;&gt;0,'Boletins Nuppa Site'!K206,"NULL")</f>
        <v>70</v>
      </c>
      <c r="J206" s="1" t="str">
        <f aca="false">"INSERT INTO COTACAO (blt_id, pap_id, cot_prc_comum, cot_prc_min, cot_prc_max, cot_prc_med, cot_prc_mediana) VALUES ("&amp;B206&amp;", "&amp;C206&amp;", "&amp;D206&amp;", "&amp;E206&amp;", "&amp;F206&amp;", "&amp;G206&amp;", "&amp;H206&amp;");"</f>
        <v>INSERT INTO COTACAO (blt_id, pap_id, cot_prc_comum, cot_prc_min, cot_prc_max, cot_prc_med, cot_prc_mediana) VALUES (6, 10, NULL, 60, 78, 69.33, 70);</v>
      </c>
    </row>
    <row r="207" customFormat="false" ht="14.25" hidden="false" customHeight="false" outlineLevel="0" collapsed="false">
      <c r="A207" s="1" t="n">
        <v>206</v>
      </c>
      <c r="B207" s="1" t="n">
        <v>6</v>
      </c>
      <c r="C207" s="1" t="n">
        <v>11</v>
      </c>
      <c r="D207" s="16" t="n">
        <f aca="false">IF('Boletins Nuppa Site'!G207&lt;&gt;0,'Boletins Nuppa Site'!G207,"NULL")</f>
        <v>18</v>
      </c>
      <c r="E207" s="16" t="n">
        <f aca="false">IF('Boletins Nuppa Site'!H207&lt;&gt;0,'Boletins Nuppa Site'!H207,"NULL")</f>
        <v>18</v>
      </c>
      <c r="F207" s="16" t="n">
        <f aca="false">IF('Boletins Nuppa Site'!I207&lt;&gt;0,'Boletins Nuppa Site'!I207,"NULL")</f>
        <v>24</v>
      </c>
      <c r="G207" s="1" t="str">
        <f aca="false">IF('Boletins Nuppa Site'!J207&lt;&gt;0,'Boletins Nuppa Site'!J207,"NULL")</f>
        <v>20.5</v>
      </c>
      <c r="H207" s="16" t="n">
        <f aca="false">IF('Boletins Nuppa Site'!K207&lt;&gt;0,'Boletins Nuppa Site'!K207,"NULL")</f>
        <v>20</v>
      </c>
      <c r="J207" s="1" t="str">
        <f aca="false">"INSERT INTO COTACAO (blt_id, pap_id, cot_prc_comum, cot_prc_min, cot_prc_max, cot_prc_med, cot_prc_mediana) VALUES ("&amp;B207&amp;", "&amp;C207&amp;", "&amp;D207&amp;", "&amp;E207&amp;", "&amp;F207&amp;", "&amp;G207&amp;", "&amp;H207&amp;");"</f>
        <v>INSERT INTO COTACAO (blt_id, pap_id, cot_prc_comum, cot_prc_min, cot_prc_max, cot_prc_med, cot_prc_mediana) VALUES (6, 11, 18, 18, 24, 20.5, 20);</v>
      </c>
    </row>
    <row r="208" customFormat="false" ht="14.25" hidden="false" customHeight="false" outlineLevel="0" collapsed="false">
      <c r="A208" s="1" t="n">
        <v>207</v>
      </c>
      <c r="B208" s="1" t="n">
        <v>6</v>
      </c>
      <c r="C208" s="1" t="n">
        <v>12</v>
      </c>
      <c r="D208" s="1" t="str">
        <f aca="false">IF('Boletins Nuppa Site'!G208&lt;&gt;0,'Boletins Nuppa Site'!G208,"NULL")</f>
        <v>NULL</v>
      </c>
      <c r="E208" s="16" t="n">
        <f aca="false">IF('Boletins Nuppa Site'!H208&lt;&gt;0,'Boletins Nuppa Site'!H208,"NULL")</f>
        <v>54</v>
      </c>
      <c r="F208" s="16" t="n">
        <f aca="false">IF('Boletins Nuppa Site'!I208&lt;&gt;0,'Boletins Nuppa Site'!I208,"NULL")</f>
        <v>60</v>
      </c>
      <c r="G208" s="16" t="n">
        <f aca="false">IF('Boletins Nuppa Site'!J208&lt;&gt;0,'Boletins Nuppa Site'!J208,"NULL")</f>
        <v>57</v>
      </c>
      <c r="H208" s="16" t="n">
        <f aca="false">IF('Boletins Nuppa Site'!K208&lt;&gt;0,'Boletins Nuppa Site'!K208,"NULL")</f>
        <v>57</v>
      </c>
      <c r="J208" s="1" t="str">
        <f aca="false">"INSERT INTO COTACAO (blt_id, pap_id, cot_prc_comum, cot_prc_min, cot_prc_max, cot_prc_med, cot_prc_mediana) VALUES ("&amp;B208&amp;", "&amp;C208&amp;", "&amp;D208&amp;", "&amp;E208&amp;", "&amp;F208&amp;", "&amp;G208&amp;", "&amp;H208&amp;");"</f>
        <v>INSERT INTO COTACAO (blt_id, pap_id, cot_prc_comum, cot_prc_min, cot_prc_max, cot_prc_med, cot_prc_mediana) VALUES (6, 12, NULL, 54, 60, 57, 57);</v>
      </c>
    </row>
    <row r="209" customFormat="false" ht="14.25" hidden="false" customHeight="false" outlineLevel="0" collapsed="false">
      <c r="A209" s="1" t="n">
        <v>208</v>
      </c>
      <c r="B209" s="1" t="n">
        <v>6</v>
      </c>
      <c r="C209" s="1" t="n">
        <v>13</v>
      </c>
      <c r="D209" s="1" t="str">
        <f aca="false">IF('Boletins Nuppa Site'!G209&lt;&gt;0,'Boletins Nuppa Site'!G209,"NULL")</f>
        <v>NULL</v>
      </c>
      <c r="E209" s="16" t="n">
        <f aca="false">IF('Boletins Nuppa Site'!H209&lt;&gt;0,'Boletins Nuppa Site'!H209,"NULL")</f>
        <v>60</v>
      </c>
      <c r="F209" s="16" t="n">
        <f aca="false">IF('Boletins Nuppa Site'!I209&lt;&gt;0,'Boletins Nuppa Site'!I209,"NULL")</f>
        <v>60</v>
      </c>
      <c r="G209" s="16" t="n">
        <f aca="false">IF('Boletins Nuppa Site'!J209&lt;&gt;0,'Boletins Nuppa Site'!J209,"NULL")</f>
        <v>60</v>
      </c>
      <c r="H209" s="16" t="n">
        <f aca="false">IF('Boletins Nuppa Site'!K209&lt;&gt;0,'Boletins Nuppa Site'!K209,"NULL")</f>
        <v>60</v>
      </c>
      <c r="J209" s="1" t="str">
        <f aca="false">"INSERT INTO COTACAO (blt_id, pap_id, cot_prc_comum, cot_prc_min, cot_prc_max, cot_prc_med, cot_prc_mediana) VALUES ("&amp;B209&amp;", "&amp;C209&amp;", "&amp;D209&amp;", "&amp;E209&amp;", "&amp;F209&amp;", "&amp;G209&amp;", "&amp;H209&amp;");"</f>
        <v>INSERT INTO COTACAO (blt_id, pap_id, cot_prc_comum, cot_prc_min, cot_prc_max, cot_prc_med, cot_prc_mediana) VALUES (6, 13, NULL, 60, 60, 60, 60);</v>
      </c>
    </row>
    <row r="210" customFormat="false" ht="14.25" hidden="false" customHeight="false" outlineLevel="0" collapsed="false">
      <c r="A210" s="1" t="n">
        <v>209</v>
      </c>
      <c r="B210" s="1" t="n">
        <v>6</v>
      </c>
      <c r="C210" s="1" t="n">
        <v>14</v>
      </c>
      <c r="D210" s="1" t="str">
        <f aca="false">IF('Boletins Nuppa Site'!G210&lt;&gt;0,'Boletins Nuppa Site'!G210,"NULL")</f>
        <v>NULL</v>
      </c>
      <c r="E210" s="16" t="n">
        <f aca="false">IF('Boletins Nuppa Site'!H210&lt;&gt;0,'Boletins Nuppa Site'!H210,"NULL")</f>
        <v>48</v>
      </c>
      <c r="F210" s="16" t="n">
        <f aca="false">IF('Boletins Nuppa Site'!I210&lt;&gt;0,'Boletins Nuppa Site'!I210,"NULL")</f>
        <v>60</v>
      </c>
      <c r="G210" s="16" t="n">
        <f aca="false">IF('Boletins Nuppa Site'!J210&lt;&gt;0,'Boletins Nuppa Site'!J210,"NULL")</f>
        <v>54</v>
      </c>
      <c r="H210" s="16" t="n">
        <f aca="false">IF('Boletins Nuppa Site'!K210&lt;&gt;0,'Boletins Nuppa Site'!K210,"NULL")</f>
        <v>54</v>
      </c>
      <c r="J210" s="1" t="str">
        <f aca="false">"INSERT INTO COTACAO (blt_id, pap_id, cot_prc_comum, cot_prc_min, cot_prc_max, cot_prc_med, cot_prc_mediana) VALUES ("&amp;B210&amp;", "&amp;C210&amp;", "&amp;D210&amp;", "&amp;E210&amp;", "&amp;F210&amp;", "&amp;G210&amp;", "&amp;H210&amp;");"</f>
        <v>INSERT INTO COTACAO (blt_id, pap_id, cot_prc_comum, cot_prc_min, cot_prc_max, cot_prc_med, cot_prc_mediana) VALUES (6, 14, NULL, 48, 60, 54, 54);</v>
      </c>
    </row>
    <row r="211" customFormat="false" ht="14.25" hidden="false" customHeight="false" outlineLevel="0" collapsed="false">
      <c r="A211" s="1" t="n">
        <v>210</v>
      </c>
      <c r="B211" s="1" t="n">
        <v>6</v>
      </c>
      <c r="C211" s="1" t="n">
        <v>15</v>
      </c>
      <c r="D211" s="16" t="n">
        <f aca="false">IF('Boletins Nuppa Site'!G211&lt;&gt;0,'Boletins Nuppa Site'!G211,"NULL")</f>
        <v>36</v>
      </c>
      <c r="E211" s="16" t="n">
        <f aca="false">IF('Boletins Nuppa Site'!H211&lt;&gt;0,'Boletins Nuppa Site'!H211,"NULL")</f>
        <v>35</v>
      </c>
      <c r="F211" s="16" t="n">
        <f aca="false">IF('Boletins Nuppa Site'!I211&lt;&gt;0,'Boletins Nuppa Site'!I211,"NULL")</f>
        <v>40</v>
      </c>
      <c r="G211" s="1" t="str">
        <f aca="false">IF('Boletins Nuppa Site'!J211&lt;&gt;0,'Boletins Nuppa Site'!J211,"NULL")</f>
        <v>36.75</v>
      </c>
      <c r="H211" s="16" t="n">
        <f aca="false">IF('Boletins Nuppa Site'!K211&lt;&gt;0,'Boletins Nuppa Site'!K211,"NULL")</f>
        <v>36</v>
      </c>
      <c r="J211" s="1" t="str">
        <f aca="false">"INSERT INTO COTACAO (blt_id, pap_id, cot_prc_comum, cot_prc_min, cot_prc_max, cot_prc_med, cot_prc_mediana) VALUES ("&amp;B211&amp;", "&amp;C211&amp;", "&amp;D211&amp;", "&amp;E211&amp;", "&amp;F211&amp;", "&amp;G211&amp;", "&amp;H211&amp;");"</f>
        <v>INSERT INTO COTACAO (blt_id, pap_id, cot_prc_comum, cot_prc_min, cot_prc_max, cot_prc_med, cot_prc_mediana) VALUES (6, 15, 36, 35, 40, 36.75, 36);</v>
      </c>
    </row>
    <row r="212" customFormat="false" ht="14.25" hidden="false" customHeight="false" outlineLevel="0" collapsed="false">
      <c r="A212" s="1" t="n">
        <v>211</v>
      </c>
      <c r="B212" s="1" t="n">
        <v>6</v>
      </c>
      <c r="C212" s="1" t="n">
        <v>16</v>
      </c>
      <c r="D212" s="16" t="n">
        <f aca="false">IF('Boletins Nuppa Site'!G212&lt;&gt;0,'Boletins Nuppa Site'!G212,"NULL")</f>
        <v>42</v>
      </c>
      <c r="E212" s="16" t="n">
        <f aca="false">IF('Boletins Nuppa Site'!H212&lt;&gt;0,'Boletins Nuppa Site'!H212,"NULL")</f>
        <v>42</v>
      </c>
      <c r="F212" s="16" t="n">
        <f aca="false">IF('Boletins Nuppa Site'!I212&lt;&gt;0,'Boletins Nuppa Site'!I212,"NULL")</f>
        <v>42</v>
      </c>
      <c r="G212" s="16" t="n">
        <f aca="false">IF('Boletins Nuppa Site'!J212&lt;&gt;0,'Boletins Nuppa Site'!J212,"NULL")</f>
        <v>42</v>
      </c>
      <c r="H212" s="16" t="n">
        <f aca="false">IF('Boletins Nuppa Site'!K212&lt;&gt;0,'Boletins Nuppa Site'!K212,"NULL")</f>
        <v>42</v>
      </c>
      <c r="J212" s="1" t="str">
        <f aca="false">"INSERT INTO COTACAO (blt_id, pap_id, cot_prc_comum, cot_prc_min, cot_prc_max, cot_prc_med, cot_prc_mediana) VALUES ("&amp;B212&amp;", "&amp;C212&amp;", "&amp;D212&amp;", "&amp;E212&amp;", "&amp;F212&amp;", "&amp;G212&amp;", "&amp;H212&amp;");"</f>
        <v>INSERT INTO COTACAO (blt_id, pap_id, cot_prc_comum, cot_prc_min, cot_prc_max, cot_prc_med, cot_prc_mediana) VALUES (6, 16, 42, 42, 42, 42, 42);</v>
      </c>
    </row>
    <row r="213" customFormat="false" ht="14.25" hidden="false" customHeight="false" outlineLevel="0" collapsed="false">
      <c r="A213" s="1" t="n">
        <v>212</v>
      </c>
      <c r="B213" s="1" t="n">
        <v>6</v>
      </c>
      <c r="C213" s="1" t="n">
        <v>17</v>
      </c>
      <c r="D213" s="16" t="n">
        <f aca="false">IF('Boletins Nuppa Site'!G213&lt;&gt;0,'Boletins Nuppa Site'!G213,"NULL")</f>
        <v>4</v>
      </c>
      <c r="E213" s="16" t="n">
        <f aca="false">IF('Boletins Nuppa Site'!H213&lt;&gt;0,'Boletins Nuppa Site'!H213,"NULL")</f>
        <v>4</v>
      </c>
      <c r="F213" s="16" t="n">
        <f aca="false">IF('Boletins Nuppa Site'!I213&lt;&gt;0,'Boletins Nuppa Site'!I213,"NULL")</f>
        <v>5</v>
      </c>
      <c r="G213" s="1" t="str">
        <f aca="false">IF('Boletins Nuppa Site'!J213&lt;&gt;0,'Boletins Nuppa Site'!J213,"NULL")</f>
        <v>4.25</v>
      </c>
      <c r="H213" s="16" t="n">
        <f aca="false">IF('Boletins Nuppa Site'!K213&lt;&gt;0,'Boletins Nuppa Site'!K213,"NULL")</f>
        <v>4</v>
      </c>
      <c r="J213" s="1" t="str">
        <f aca="false">"INSERT INTO COTACAO (blt_id, pap_id, cot_prc_comum, cot_prc_min, cot_prc_max, cot_prc_med, cot_prc_mediana) VALUES ("&amp;B213&amp;", "&amp;C213&amp;", "&amp;D213&amp;", "&amp;E213&amp;", "&amp;F213&amp;", "&amp;G213&amp;", "&amp;H213&amp;");"</f>
        <v>INSERT INTO COTACAO (blt_id, pap_id, cot_prc_comum, cot_prc_min, cot_prc_max, cot_prc_med, cot_prc_mediana) VALUES (6, 17, 4, 4, 5, 4.25, 4);</v>
      </c>
    </row>
    <row r="214" customFormat="false" ht="14.25" hidden="false" customHeight="false" outlineLevel="0" collapsed="false">
      <c r="A214" s="1" t="n">
        <v>213</v>
      </c>
      <c r="B214" s="1" t="n">
        <v>6</v>
      </c>
      <c r="C214" s="1" t="n">
        <v>18</v>
      </c>
      <c r="D214" s="16" t="n">
        <f aca="false">IF('Boletins Nuppa Site'!G214&lt;&gt;0,'Boletins Nuppa Site'!G214,"NULL")</f>
        <v>25</v>
      </c>
      <c r="E214" s="16" t="n">
        <f aca="false">IF('Boletins Nuppa Site'!H214&lt;&gt;0,'Boletins Nuppa Site'!H214,"NULL")</f>
        <v>15</v>
      </c>
      <c r="F214" s="16" t="n">
        <f aca="false">IF('Boletins Nuppa Site'!I214&lt;&gt;0,'Boletins Nuppa Site'!I214,"NULL")</f>
        <v>25</v>
      </c>
      <c r="G214" s="1" t="str">
        <f aca="false">IF('Boletins Nuppa Site'!J214&lt;&gt;0,'Boletins Nuppa Site'!J214,"NULL")</f>
        <v>21.4</v>
      </c>
      <c r="H214" s="16" t="n">
        <f aca="false">IF('Boletins Nuppa Site'!K214&lt;&gt;0,'Boletins Nuppa Site'!K214,"NULL")</f>
        <v>22</v>
      </c>
      <c r="J214" s="1" t="str">
        <f aca="false">"INSERT INTO COTACAO (blt_id, pap_id, cot_prc_comum, cot_prc_min, cot_prc_max, cot_prc_med, cot_prc_mediana) VALUES ("&amp;B214&amp;", "&amp;C214&amp;", "&amp;D214&amp;", "&amp;E214&amp;", "&amp;F214&amp;", "&amp;G214&amp;", "&amp;H214&amp;");"</f>
        <v>INSERT INTO COTACAO (blt_id, pap_id, cot_prc_comum, cot_prc_min, cot_prc_max, cot_prc_med, cot_prc_mediana) VALUES (6, 18, 25, 15, 25, 21.4, 22);</v>
      </c>
    </row>
    <row r="215" customFormat="false" ht="14.25" hidden="false" customHeight="false" outlineLevel="0" collapsed="false">
      <c r="A215" s="1" t="n">
        <v>214</v>
      </c>
      <c r="B215" s="1" t="n">
        <v>6</v>
      </c>
      <c r="C215" s="1" t="n">
        <v>19</v>
      </c>
      <c r="D215" s="16" t="n">
        <f aca="false">IF('Boletins Nuppa Site'!G215&lt;&gt;0,'Boletins Nuppa Site'!G215,"NULL")</f>
        <v>25</v>
      </c>
      <c r="E215" s="16" t="n">
        <f aca="false">IF('Boletins Nuppa Site'!H215&lt;&gt;0,'Boletins Nuppa Site'!H215,"NULL")</f>
        <v>25</v>
      </c>
      <c r="F215" s="16" t="n">
        <f aca="false">IF('Boletins Nuppa Site'!I215&lt;&gt;0,'Boletins Nuppa Site'!I215,"NULL")</f>
        <v>25</v>
      </c>
      <c r="G215" s="16" t="n">
        <f aca="false">IF('Boletins Nuppa Site'!J215&lt;&gt;0,'Boletins Nuppa Site'!J215,"NULL")</f>
        <v>25</v>
      </c>
      <c r="H215" s="16" t="n">
        <f aca="false">IF('Boletins Nuppa Site'!K215&lt;&gt;0,'Boletins Nuppa Site'!K215,"NULL")</f>
        <v>25</v>
      </c>
      <c r="J215" s="1" t="str">
        <f aca="false">"INSERT INTO COTACAO (blt_id, pap_id, cot_prc_comum, cot_prc_min, cot_prc_max, cot_prc_med, cot_prc_mediana) VALUES ("&amp;B215&amp;", "&amp;C215&amp;", "&amp;D215&amp;", "&amp;E215&amp;", "&amp;F215&amp;", "&amp;G215&amp;", "&amp;H215&amp;");"</f>
        <v>INSERT INTO COTACAO (blt_id, pap_id, cot_prc_comum, cot_prc_min, cot_prc_max, cot_prc_med, cot_prc_mediana) VALUES (6, 19, 25, 25, 25, 25, 25);</v>
      </c>
    </row>
    <row r="216" customFormat="false" ht="14.25" hidden="false" customHeight="false" outlineLevel="0" collapsed="false">
      <c r="A216" s="1" t="n">
        <v>215</v>
      </c>
      <c r="B216" s="1" t="n">
        <v>6</v>
      </c>
      <c r="C216" s="1" t="n">
        <v>21</v>
      </c>
      <c r="D216" s="16" t="n">
        <f aca="false">IF('Boletins Nuppa Site'!G216&lt;&gt;0,'Boletins Nuppa Site'!G216,"NULL")</f>
        <v>70</v>
      </c>
      <c r="E216" s="16" t="n">
        <f aca="false">IF('Boletins Nuppa Site'!H216&lt;&gt;0,'Boletins Nuppa Site'!H216,"NULL")</f>
        <v>35</v>
      </c>
      <c r="F216" s="16" t="n">
        <f aca="false">IF('Boletins Nuppa Site'!I216&lt;&gt;0,'Boletins Nuppa Site'!I216,"NULL")</f>
        <v>70</v>
      </c>
      <c r="G216" s="1" t="str">
        <f aca="false">IF('Boletins Nuppa Site'!J216&lt;&gt;0,'Boletins Nuppa Site'!J216,"NULL")</f>
        <v>56.88</v>
      </c>
      <c r="H216" s="16" t="n">
        <f aca="false">IF('Boletins Nuppa Site'!K216&lt;&gt;0,'Boletins Nuppa Site'!K216,"NULL")</f>
        <v>60</v>
      </c>
      <c r="J216" s="1" t="str">
        <f aca="false">"INSERT INTO COTACAO (blt_id, pap_id, cot_prc_comum, cot_prc_min, cot_prc_max, cot_prc_med, cot_prc_mediana) VALUES ("&amp;B216&amp;", "&amp;C216&amp;", "&amp;D216&amp;", "&amp;E216&amp;", "&amp;F216&amp;", "&amp;G216&amp;", "&amp;H216&amp;");"</f>
        <v>INSERT INTO COTACAO (blt_id, pap_id, cot_prc_comum, cot_prc_min, cot_prc_max, cot_prc_med, cot_prc_mediana) VALUES (6, 21, 70, 35, 70, 56.88, 60);</v>
      </c>
    </row>
    <row r="217" customFormat="false" ht="14.25" hidden="false" customHeight="false" outlineLevel="0" collapsed="false">
      <c r="A217" s="1" t="n">
        <v>216</v>
      </c>
      <c r="B217" s="1" t="n">
        <v>6</v>
      </c>
      <c r="C217" s="1" t="n">
        <v>22</v>
      </c>
      <c r="D217" s="16" t="n">
        <f aca="false">IF('Boletins Nuppa Site'!G217&lt;&gt;0,'Boletins Nuppa Site'!G217,"NULL")</f>
        <v>35</v>
      </c>
      <c r="E217" s="16" t="n">
        <f aca="false">IF('Boletins Nuppa Site'!H217&lt;&gt;0,'Boletins Nuppa Site'!H217,"NULL")</f>
        <v>35</v>
      </c>
      <c r="F217" s="16" t="n">
        <f aca="false">IF('Boletins Nuppa Site'!I217&lt;&gt;0,'Boletins Nuppa Site'!I217,"NULL")</f>
        <v>65</v>
      </c>
      <c r="G217" s="1" t="str">
        <f aca="false">IF('Boletins Nuppa Site'!J217&lt;&gt;0,'Boletins Nuppa Site'!J217,"NULL")</f>
        <v>46.67</v>
      </c>
      <c r="H217" s="16" t="n">
        <f aca="false">IF('Boletins Nuppa Site'!K217&lt;&gt;0,'Boletins Nuppa Site'!K217,"NULL")</f>
        <v>40</v>
      </c>
      <c r="J217" s="1" t="str">
        <f aca="false">"INSERT INTO COTACAO (blt_id, pap_id, cot_prc_comum, cot_prc_min, cot_prc_max, cot_prc_med, cot_prc_mediana) VALUES ("&amp;B217&amp;", "&amp;C217&amp;", "&amp;D217&amp;", "&amp;E217&amp;", "&amp;F217&amp;", "&amp;G217&amp;", "&amp;H217&amp;");"</f>
        <v>INSERT INTO COTACAO (blt_id, pap_id, cot_prc_comum, cot_prc_min, cot_prc_max, cot_prc_med, cot_prc_mediana) VALUES (6, 22, 35, 35, 65, 46.67, 40);</v>
      </c>
    </row>
    <row r="218" customFormat="false" ht="14.25" hidden="false" customHeight="false" outlineLevel="0" collapsed="false">
      <c r="A218" s="1" t="n">
        <v>217</v>
      </c>
      <c r="B218" s="1" t="n">
        <v>6</v>
      </c>
      <c r="C218" s="1" t="n">
        <v>23</v>
      </c>
      <c r="D218" s="16" t="n">
        <f aca="false">IF('Boletins Nuppa Site'!G218&lt;&gt;0,'Boletins Nuppa Site'!G218,"NULL")</f>
        <v>40</v>
      </c>
      <c r="E218" s="16" t="n">
        <f aca="false">IF('Boletins Nuppa Site'!H218&lt;&gt;0,'Boletins Nuppa Site'!H218,"NULL")</f>
        <v>40</v>
      </c>
      <c r="F218" s="16" t="n">
        <f aca="false">IF('Boletins Nuppa Site'!I218&lt;&gt;0,'Boletins Nuppa Site'!I218,"NULL")</f>
        <v>40</v>
      </c>
      <c r="G218" s="16" t="n">
        <f aca="false">IF('Boletins Nuppa Site'!J218&lt;&gt;0,'Boletins Nuppa Site'!J218,"NULL")</f>
        <v>40</v>
      </c>
      <c r="H218" s="16" t="n">
        <f aca="false">IF('Boletins Nuppa Site'!K218&lt;&gt;0,'Boletins Nuppa Site'!K218,"NULL")</f>
        <v>40</v>
      </c>
      <c r="J218" s="1" t="str">
        <f aca="false">"INSERT INTO COTACAO (blt_id, pap_id, cot_prc_comum, cot_prc_min, cot_prc_max, cot_prc_med, cot_prc_mediana) VALUES ("&amp;B218&amp;", "&amp;C218&amp;", "&amp;D218&amp;", "&amp;E218&amp;", "&amp;F218&amp;", "&amp;G218&amp;", "&amp;H218&amp;");"</f>
        <v>INSERT INTO COTACAO (blt_id, pap_id, cot_prc_comum, cot_prc_min, cot_prc_max, cot_prc_med, cot_prc_mediana) VALUES (6, 23, 40, 40, 40, 40, 40);</v>
      </c>
    </row>
    <row r="219" customFormat="false" ht="14.25" hidden="false" customHeight="false" outlineLevel="0" collapsed="false">
      <c r="A219" s="1" t="n">
        <v>218</v>
      </c>
      <c r="B219" s="1" t="n">
        <v>6</v>
      </c>
      <c r="C219" s="1" t="n">
        <v>24</v>
      </c>
      <c r="D219" s="16" t="n">
        <f aca="false">IF('Boletins Nuppa Site'!G219&lt;&gt;0,'Boletins Nuppa Site'!G219,"NULL")</f>
        <v>100</v>
      </c>
      <c r="E219" s="16" t="n">
        <f aca="false">IF('Boletins Nuppa Site'!H219&lt;&gt;0,'Boletins Nuppa Site'!H219,"NULL")</f>
        <v>100</v>
      </c>
      <c r="F219" s="16" t="n">
        <f aca="false">IF('Boletins Nuppa Site'!I219&lt;&gt;0,'Boletins Nuppa Site'!I219,"NULL")</f>
        <v>100</v>
      </c>
      <c r="G219" s="16" t="n">
        <f aca="false">IF('Boletins Nuppa Site'!J219&lt;&gt;0,'Boletins Nuppa Site'!J219,"NULL")</f>
        <v>100</v>
      </c>
      <c r="H219" s="16" t="n">
        <f aca="false">IF('Boletins Nuppa Site'!K219&lt;&gt;0,'Boletins Nuppa Site'!K219,"NULL")</f>
        <v>100</v>
      </c>
      <c r="J219" s="1" t="str">
        <f aca="false">"INSERT INTO COTACAO (blt_id, pap_id, cot_prc_comum, cot_prc_min, cot_prc_max, cot_prc_med, cot_prc_mediana) VALUES ("&amp;B219&amp;", "&amp;C219&amp;", "&amp;D219&amp;", "&amp;E219&amp;", "&amp;F219&amp;", "&amp;G219&amp;", "&amp;H219&amp;");"</f>
        <v>INSERT INTO COTACAO (blt_id, pap_id, cot_prc_comum, cot_prc_min, cot_prc_max, cot_prc_med, cot_prc_mediana) VALUES (6, 24, 100, 100, 100, 100, 100);</v>
      </c>
    </row>
    <row r="220" customFormat="false" ht="14.25" hidden="false" customHeight="false" outlineLevel="0" collapsed="false">
      <c r="A220" s="1" t="n">
        <v>219</v>
      </c>
      <c r="B220" s="1" t="n">
        <v>6</v>
      </c>
      <c r="C220" s="1" t="n">
        <v>25</v>
      </c>
      <c r="D220" s="16" t="n">
        <f aca="false">IF('Boletins Nuppa Site'!G220&lt;&gt;0,'Boletins Nuppa Site'!G220,"NULL")</f>
        <v>40</v>
      </c>
      <c r="E220" s="16" t="n">
        <f aca="false">IF('Boletins Nuppa Site'!H220&lt;&gt;0,'Boletins Nuppa Site'!H220,"NULL")</f>
        <v>40</v>
      </c>
      <c r="F220" s="16" t="n">
        <f aca="false">IF('Boletins Nuppa Site'!I220&lt;&gt;0,'Boletins Nuppa Site'!I220,"NULL")</f>
        <v>60</v>
      </c>
      <c r="G220" s="1" t="str">
        <f aca="false">IF('Boletins Nuppa Site'!J220&lt;&gt;0,'Boletins Nuppa Site'!J220,"NULL")</f>
        <v>49.29</v>
      </c>
      <c r="H220" s="16" t="n">
        <f aca="false">IF('Boletins Nuppa Site'!K220&lt;&gt;0,'Boletins Nuppa Site'!K220,"NULL")</f>
        <v>50</v>
      </c>
      <c r="J220" s="1" t="str">
        <f aca="false">"INSERT INTO COTACAO (blt_id, pap_id, cot_prc_comum, cot_prc_min, cot_prc_max, cot_prc_med, cot_prc_mediana) VALUES ("&amp;B220&amp;", "&amp;C220&amp;", "&amp;D220&amp;", "&amp;E220&amp;", "&amp;F220&amp;", "&amp;G220&amp;", "&amp;H220&amp;");"</f>
        <v>INSERT INTO COTACAO (blt_id, pap_id, cot_prc_comum, cot_prc_min, cot_prc_max, cot_prc_med, cot_prc_mediana) VALUES (6, 25, 40, 40, 60, 49.29, 50);</v>
      </c>
    </row>
    <row r="221" customFormat="false" ht="14.25" hidden="false" customHeight="false" outlineLevel="0" collapsed="false">
      <c r="A221" s="1" t="n">
        <v>220</v>
      </c>
      <c r="B221" s="1" t="n">
        <v>6</v>
      </c>
      <c r="C221" s="1" t="n">
        <v>26</v>
      </c>
      <c r="D221" s="16" t="n">
        <f aca="false">IF('Boletins Nuppa Site'!G221&lt;&gt;0,'Boletins Nuppa Site'!G221,"NULL")</f>
        <v>75</v>
      </c>
      <c r="E221" s="16" t="n">
        <f aca="false">IF('Boletins Nuppa Site'!H221&lt;&gt;0,'Boletins Nuppa Site'!H221,"NULL")</f>
        <v>45</v>
      </c>
      <c r="F221" s="16" t="n">
        <f aca="false">IF('Boletins Nuppa Site'!I221&lt;&gt;0,'Boletins Nuppa Site'!I221,"NULL")</f>
        <v>80</v>
      </c>
      <c r="G221" s="1" t="str">
        <f aca="false">IF('Boletins Nuppa Site'!J221&lt;&gt;0,'Boletins Nuppa Site'!J221,"NULL")</f>
        <v>65.56</v>
      </c>
      <c r="H221" s="16" t="n">
        <f aca="false">IF('Boletins Nuppa Site'!K221&lt;&gt;0,'Boletins Nuppa Site'!K221,"NULL")</f>
        <v>75</v>
      </c>
      <c r="J221" s="1" t="str">
        <f aca="false">"INSERT INTO COTACAO (blt_id, pap_id, cot_prc_comum, cot_prc_min, cot_prc_max, cot_prc_med, cot_prc_mediana) VALUES ("&amp;B221&amp;", "&amp;C221&amp;", "&amp;D221&amp;", "&amp;E221&amp;", "&amp;F221&amp;", "&amp;G221&amp;", "&amp;H221&amp;");"</f>
        <v>INSERT INTO COTACAO (blt_id, pap_id, cot_prc_comum, cot_prc_min, cot_prc_max, cot_prc_med, cot_prc_mediana) VALUES (6, 26, 75, 45, 80, 65.56, 75);</v>
      </c>
    </row>
    <row r="222" customFormat="false" ht="14.25" hidden="false" customHeight="false" outlineLevel="0" collapsed="false">
      <c r="A222" s="1" t="n">
        <v>221</v>
      </c>
      <c r="B222" s="1" t="n">
        <v>6</v>
      </c>
      <c r="C222" s="1" t="n">
        <v>27</v>
      </c>
      <c r="D222" s="16" t="n">
        <f aca="false">IF('Boletins Nuppa Site'!G222&lt;&gt;0,'Boletins Nuppa Site'!G222,"NULL")</f>
        <v>55</v>
      </c>
      <c r="E222" s="16" t="n">
        <f aca="false">IF('Boletins Nuppa Site'!H222&lt;&gt;0,'Boletins Nuppa Site'!H222,"NULL")</f>
        <v>50</v>
      </c>
      <c r="F222" s="16" t="n">
        <f aca="false">IF('Boletins Nuppa Site'!I222&lt;&gt;0,'Boletins Nuppa Site'!I222,"NULL")</f>
        <v>70</v>
      </c>
      <c r="G222" s="1" t="str">
        <f aca="false">IF('Boletins Nuppa Site'!J222&lt;&gt;0,'Boletins Nuppa Site'!J222,"NULL")</f>
        <v>59.38</v>
      </c>
      <c r="H222" s="1" t="str">
        <f aca="false">IF('Boletins Nuppa Site'!K222&lt;&gt;0,'Boletins Nuppa Site'!K222,"NULL")</f>
        <v>57.5</v>
      </c>
      <c r="J222" s="1" t="str">
        <f aca="false">"INSERT INTO COTACAO (blt_id, pap_id, cot_prc_comum, cot_prc_min, cot_prc_max, cot_prc_med, cot_prc_mediana) VALUES ("&amp;B222&amp;", "&amp;C222&amp;", "&amp;D222&amp;", "&amp;E222&amp;", "&amp;F222&amp;", "&amp;G222&amp;", "&amp;H222&amp;");"</f>
        <v>INSERT INTO COTACAO (blt_id, pap_id, cot_prc_comum, cot_prc_min, cot_prc_max, cot_prc_med, cot_prc_mediana) VALUES (6, 27, 55, 50, 70, 59.38, 57.5);</v>
      </c>
    </row>
    <row r="223" customFormat="false" ht="14.25" hidden="false" customHeight="false" outlineLevel="0" collapsed="false">
      <c r="A223" s="1" t="n">
        <v>222</v>
      </c>
      <c r="B223" s="1" t="n">
        <v>6</v>
      </c>
      <c r="C223" s="1" t="n">
        <v>28</v>
      </c>
      <c r="D223" s="16" t="n">
        <f aca="false">IF('Boletins Nuppa Site'!G223&lt;&gt;0,'Boletins Nuppa Site'!G223,"NULL")</f>
        <v>70</v>
      </c>
      <c r="E223" s="16" t="n">
        <f aca="false">IF('Boletins Nuppa Site'!H223&lt;&gt;0,'Boletins Nuppa Site'!H223,"NULL")</f>
        <v>50</v>
      </c>
      <c r="F223" s="16" t="n">
        <f aca="false">IF('Boletins Nuppa Site'!I223&lt;&gt;0,'Boletins Nuppa Site'!I223,"NULL")</f>
        <v>80</v>
      </c>
      <c r="G223" s="1" t="str">
        <f aca="false">IF('Boletins Nuppa Site'!J223&lt;&gt;0,'Boletins Nuppa Site'!J223,"NULL")</f>
        <v>68.57</v>
      </c>
      <c r="H223" s="16" t="n">
        <f aca="false">IF('Boletins Nuppa Site'!K223&lt;&gt;0,'Boletins Nuppa Site'!K223,"NULL")</f>
        <v>70</v>
      </c>
      <c r="J223" s="1" t="str">
        <f aca="false">"INSERT INTO COTACAO (blt_id, pap_id, cot_prc_comum, cot_prc_min, cot_prc_max, cot_prc_med, cot_prc_mediana) VALUES ("&amp;B223&amp;", "&amp;C223&amp;", "&amp;D223&amp;", "&amp;E223&amp;", "&amp;F223&amp;", "&amp;G223&amp;", "&amp;H223&amp;");"</f>
        <v>INSERT INTO COTACAO (blt_id, pap_id, cot_prc_comum, cot_prc_min, cot_prc_max, cot_prc_med, cot_prc_mediana) VALUES (6, 28, 70, 50, 80, 68.57, 70);</v>
      </c>
    </row>
    <row r="224" customFormat="false" ht="14.25" hidden="false" customHeight="false" outlineLevel="0" collapsed="false">
      <c r="A224" s="1" t="n">
        <v>223</v>
      </c>
      <c r="B224" s="1" t="n">
        <v>6</v>
      </c>
      <c r="C224" s="1" t="n">
        <v>29</v>
      </c>
      <c r="D224" s="1" t="str">
        <f aca="false">IF('Boletins Nuppa Site'!G224&lt;&gt;0,'Boletins Nuppa Site'!G224,"NULL")</f>
        <v>NULL</v>
      </c>
      <c r="E224" s="16" t="n">
        <f aca="false">IF('Boletins Nuppa Site'!H224&lt;&gt;0,'Boletins Nuppa Site'!H224,"NULL")</f>
        <v>55</v>
      </c>
      <c r="F224" s="16" t="n">
        <f aca="false">IF('Boletins Nuppa Site'!I224&lt;&gt;0,'Boletins Nuppa Site'!I224,"NULL")</f>
        <v>70</v>
      </c>
      <c r="G224" s="1" t="str">
        <f aca="false">IF('Boletins Nuppa Site'!J224&lt;&gt;0,'Boletins Nuppa Site'!J224,"NULL")</f>
        <v>61.67</v>
      </c>
      <c r="H224" s="16" t="n">
        <f aca="false">IF('Boletins Nuppa Site'!K224&lt;&gt;0,'Boletins Nuppa Site'!K224,"NULL")</f>
        <v>60</v>
      </c>
      <c r="J224" s="1" t="str">
        <f aca="false">"INSERT INTO COTACAO (blt_id, pap_id, cot_prc_comum, cot_prc_min, cot_prc_max, cot_prc_med, cot_prc_mediana) VALUES ("&amp;B224&amp;", "&amp;C224&amp;", "&amp;D224&amp;", "&amp;E224&amp;", "&amp;F224&amp;", "&amp;G224&amp;", "&amp;H224&amp;");"</f>
        <v>INSERT INTO COTACAO (blt_id, pap_id, cot_prc_comum, cot_prc_min, cot_prc_max, cot_prc_med, cot_prc_mediana) VALUES (6, 29, NULL, 55, 70, 61.67, 60);</v>
      </c>
    </row>
    <row r="225" customFormat="false" ht="14.25" hidden="false" customHeight="false" outlineLevel="0" collapsed="false">
      <c r="A225" s="1" t="n">
        <v>224</v>
      </c>
      <c r="B225" s="1" t="n">
        <v>6</v>
      </c>
      <c r="C225" s="1" t="n">
        <v>30</v>
      </c>
      <c r="D225" s="1" t="str">
        <f aca="false">IF('Boletins Nuppa Site'!G225&lt;&gt;0,'Boletins Nuppa Site'!G225,"NULL")</f>
        <v>NULL</v>
      </c>
      <c r="E225" s="16" t="n">
        <f aca="false">IF('Boletins Nuppa Site'!H225&lt;&gt;0,'Boletins Nuppa Site'!H225,"NULL")</f>
        <v>45</v>
      </c>
      <c r="F225" s="16" t="n">
        <f aca="false">IF('Boletins Nuppa Site'!I225&lt;&gt;0,'Boletins Nuppa Site'!I225,"NULL")</f>
        <v>65</v>
      </c>
      <c r="G225" s="16" t="n">
        <f aca="false">IF('Boletins Nuppa Site'!J225&lt;&gt;0,'Boletins Nuppa Site'!J225,"NULL")</f>
        <v>55</v>
      </c>
      <c r="H225" s="16" t="n">
        <f aca="false">IF('Boletins Nuppa Site'!K225&lt;&gt;0,'Boletins Nuppa Site'!K225,"NULL")</f>
        <v>55</v>
      </c>
      <c r="J225" s="1" t="str">
        <f aca="false">"INSERT INTO COTACAO (blt_id, pap_id, cot_prc_comum, cot_prc_min, cot_prc_max, cot_prc_med, cot_prc_mediana) VALUES ("&amp;B225&amp;", "&amp;C225&amp;", "&amp;D225&amp;", "&amp;E225&amp;", "&amp;F225&amp;", "&amp;G225&amp;", "&amp;H225&amp;");"</f>
        <v>INSERT INTO COTACAO (blt_id, pap_id, cot_prc_comum, cot_prc_min, cot_prc_max, cot_prc_med, cot_prc_mediana) VALUES (6, 30, NULL, 45, 65, 55, 55);</v>
      </c>
    </row>
    <row r="226" customFormat="false" ht="14.25" hidden="false" customHeight="false" outlineLevel="0" collapsed="false">
      <c r="A226" s="1" t="n">
        <v>225</v>
      </c>
      <c r="B226" s="1" t="n">
        <v>6</v>
      </c>
      <c r="C226" s="1" t="n">
        <v>31</v>
      </c>
      <c r="D226" s="16" t="n">
        <f aca="false">IF('Boletins Nuppa Site'!G226&lt;&gt;0,'Boletins Nuppa Site'!G226,"NULL")</f>
        <v>85</v>
      </c>
      <c r="E226" s="16" t="n">
        <f aca="false">IF('Boletins Nuppa Site'!H226&lt;&gt;0,'Boletins Nuppa Site'!H226,"NULL")</f>
        <v>50</v>
      </c>
      <c r="F226" s="16" t="n">
        <f aca="false">IF('Boletins Nuppa Site'!I226&lt;&gt;0,'Boletins Nuppa Site'!I226,"NULL")</f>
        <v>85</v>
      </c>
      <c r="G226" s="1" t="str">
        <f aca="false">IF('Boletins Nuppa Site'!J226&lt;&gt;0,'Boletins Nuppa Site'!J226,"NULL")</f>
        <v>72.14</v>
      </c>
      <c r="H226" s="16" t="n">
        <f aca="false">IF('Boletins Nuppa Site'!K226&lt;&gt;0,'Boletins Nuppa Site'!K226,"NULL")</f>
        <v>75</v>
      </c>
      <c r="J226" s="1" t="str">
        <f aca="false">"INSERT INTO COTACAO (blt_id, pap_id, cot_prc_comum, cot_prc_min, cot_prc_max, cot_prc_med, cot_prc_mediana) VALUES ("&amp;B226&amp;", "&amp;C226&amp;", "&amp;D226&amp;", "&amp;E226&amp;", "&amp;F226&amp;", "&amp;G226&amp;", "&amp;H226&amp;");"</f>
        <v>INSERT INTO COTACAO (blt_id, pap_id, cot_prc_comum, cot_prc_min, cot_prc_max, cot_prc_med, cot_prc_mediana) VALUES (6, 31, 85, 50, 85, 72.14, 75);</v>
      </c>
    </row>
    <row r="227" customFormat="false" ht="14.25" hidden="false" customHeight="false" outlineLevel="0" collapsed="false">
      <c r="A227" s="1" t="n">
        <v>226</v>
      </c>
      <c r="B227" s="1" t="n">
        <v>6</v>
      </c>
      <c r="C227" s="1" t="n">
        <v>32</v>
      </c>
      <c r="D227" s="16" t="n">
        <f aca="false">IF('Boletins Nuppa Site'!G227&lt;&gt;0,'Boletins Nuppa Site'!G227,"NULL")</f>
        <v>30</v>
      </c>
      <c r="E227" s="16" t="n">
        <f aca="false">IF('Boletins Nuppa Site'!H227&lt;&gt;0,'Boletins Nuppa Site'!H227,"NULL")</f>
        <v>20</v>
      </c>
      <c r="F227" s="16" t="n">
        <f aca="false">IF('Boletins Nuppa Site'!I227&lt;&gt;0,'Boletins Nuppa Site'!I227,"NULL")</f>
        <v>50</v>
      </c>
      <c r="G227" s="16" t="n">
        <f aca="false">IF('Boletins Nuppa Site'!J227&lt;&gt;0,'Boletins Nuppa Site'!J227,"NULL")</f>
        <v>35</v>
      </c>
      <c r="H227" s="16" t="n">
        <f aca="false">IF('Boletins Nuppa Site'!K227&lt;&gt;0,'Boletins Nuppa Site'!K227,"NULL")</f>
        <v>35</v>
      </c>
      <c r="J227" s="1" t="str">
        <f aca="false">"INSERT INTO COTACAO (blt_id, pap_id, cot_prc_comum, cot_prc_min, cot_prc_max, cot_prc_med, cot_prc_mediana) VALUES ("&amp;B227&amp;", "&amp;C227&amp;", "&amp;D227&amp;", "&amp;E227&amp;", "&amp;F227&amp;", "&amp;G227&amp;", "&amp;H227&amp;");"</f>
        <v>INSERT INTO COTACAO (blt_id, pap_id, cot_prc_comum, cot_prc_min, cot_prc_max, cot_prc_med, cot_prc_mediana) VALUES (6, 32, 30, 20, 50, 35, 35);</v>
      </c>
    </row>
    <row r="228" customFormat="false" ht="14.25" hidden="false" customHeight="false" outlineLevel="0" collapsed="false">
      <c r="A228" s="1" t="n">
        <v>227</v>
      </c>
      <c r="B228" s="1" t="n">
        <v>6</v>
      </c>
      <c r="C228" s="1" t="n">
        <v>33</v>
      </c>
      <c r="D228" s="16" t="n">
        <f aca="false">IF('Boletins Nuppa Site'!G228&lt;&gt;0,'Boletins Nuppa Site'!G228,"NULL")</f>
        <v>80</v>
      </c>
      <c r="E228" s="16" t="n">
        <f aca="false">IF('Boletins Nuppa Site'!H228&lt;&gt;0,'Boletins Nuppa Site'!H228,"NULL")</f>
        <v>50</v>
      </c>
      <c r="F228" s="16" t="n">
        <f aca="false">IF('Boletins Nuppa Site'!I228&lt;&gt;0,'Boletins Nuppa Site'!I228,"NULL")</f>
        <v>80</v>
      </c>
      <c r="G228" s="1" t="str">
        <f aca="false">IF('Boletins Nuppa Site'!J228&lt;&gt;0,'Boletins Nuppa Site'!J228,"NULL")</f>
        <v>73.13</v>
      </c>
      <c r="H228" s="1" t="str">
        <f aca="false">IF('Boletins Nuppa Site'!K228&lt;&gt;0,'Boletins Nuppa Site'!K228,"NULL")</f>
        <v>77.5</v>
      </c>
      <c r="J228" s="1" t="str">
        <f aca="false">"INSERT INTO COTACAO (blt_id, pap_id, cot_prc_comum, cot_prc_min, cot_prc_max, cot_prc_med, cot_prc_mediana) VALUES ("&amp;B228&amp;", "&amp;C228&amp;", "&amp;D228&amp;", "&amp;E228&amp;", "&amp;F228&amp;", "&amp;G228&amp;", "&amp;H228&amp;");"</f>
        <v>INSERT INTO COTACAO (blt_id, pap_id, cot_prc_comum, cot_prc_min, cot_prc_max, cot_prc_med, cot_prc_mediana) VALUES (6, 33, 80, 50, 80, 73.13, 77.5);</v>
      </c>
    </row>
    <row r="229" customFormat="false" ht="14.25" hidden="false" customHeight="false" outlineLevel="0" collapsed="false">
      <c r="A229" s="1" t="n">
        <v>228</v>
      </c>
      <c r="B229" s="1" t="n">
        <v>6</v>
      </c>
      <c r="C229" s="1" t="n">
        <v>34</v>
      </c>
      <c r="D229" s="16" t="n">
        <f aca="false">IF('Boletins Nuppa Site'!G229&lt;&gt;0,'Boletins Nuppa Site'!G229,"NULL")</f>
        <v>100</v>
      </c>
      <c r="E229" s="16" t="n">
        <f aca="false">IF('Boletins Nuppa Site'!H229&lt;&gt;0,'Boletins Nuppa Site'!H229,"NULL")</f>
        <v>75</v>
      </c>
      <c r="F229" s="16" t="n">
        <f aca="false">IF('Boletins Nuppa Site'!I229&lt;&gt;0,'Boletins Nuppa Site'!I229,"NULL")</f>
        <v>100</v>
      </c>
      <c r="G229" s="16" t="n">
        <f aca="false">IF('Boletins Nuppa Site'!J229&lt;&gt;0,'Boletins Nuppa Site'!J229,"NULL")</f>
        <v>90</v>
      </c>
      <c r="H229" s="16" t="n">
        <f aca="false">IF('Boletins Nuppa Site'!K229&lt;&gt;0,'Boletins Nuppa Site'!K229,"NULL")</f>
        <v>95</v>
      </c>
      <c r="J229" s="1" t="str">
        <f aca="false">"INSERT INTO COTACAO (blt_id, pap_id, cot_prc_comum, cot_prc_min, cot_prc_max, cot_prc_med, cot_prc_mediana) VALUES ("&amp;B229&amp;", "&amp;C229&amp;", "&amp;D229&amp;", "&amp;E229&amp;", "&amp;F229&amp;", "&amp;G229&amp;", "&amp;H229&amp;");"</f>
        <v>INSERT INTO COTACAO (blt_id, pap_id, cot_prc_comum, cot_prc_min, cot_prc_max, cot_prc_med, cot_prc_mediana) VALUES (6, 34, 100, 75, 100, 90, 95);</v>
      </c>
    </row>
    <row r="230" customFormat="false" ht="14.25" hidden="false" customHeight="false" outlineLevel="0" collapsed="false">
      <c r="A230" s="1" t="n">
        <v>229</v>
      </c>
      <c r="B230" s="1" t="n">
        <v>6</v>
      </c>
      <c r="C230" s="1" t="n">
        <v>35</v>
      </c>
      <c r="D230" s="16" t="n">
        <f aca="false">IF('Boletins Nuppa Site'!G230&lt;&gt;0,'Boletins Nuppa Site'!G230,"NULL")</f>
        <v>120</v>
      </c>
      <c r="E230" s="16" t="n">
        <f aca="false">IF('Boletins Nuppa Site'!H230&lt;&gt;0,'Boletins Nuppa Site'!H230,"NULL")</f>
        <v>110</v>
      </c>
      <c r="F230" s="16" t="n">
        <f aca="false">IF('Boletins Nuppa Site'!I230&lt;&gt;0,'Boletins Nuppa Site'!I230,"NULL")</f>
        <v>130</v>
      </c>
      <c r="G230" s="16" t="n">
        <f aca="false">IF('Boletins Nuppa Site'!J230&lt;&gt;0,'Boletins Nuppa Site'!J230,"NULL")</f>
        <v>120</v>
      </c>
      <c r="H230" s="16" t="n">
        <f aca="false">IF('Boletins Nuppa Site'!K230&lt;&gt;0,'Boletins Nuppa Site'!K230,"NULL")</f>
        <v>120</v>
      </c>
      <c r="J230" s="1" t="str">
        <f aca="false">"INSERT INTO COTACAO (blt_id, pap_id, cot_prc_comum, cot_prc_min, cot_prc_max, cot_prc_med, cot_prc_mediana) VALUES ("&amp;B230&amp;", "&amp;C230&amp;", "&amp;D230&amp;", "&amp;E230&amp;", "&amp;F230&amp;", "&amp;G230&amp;", "&amp;H230&amp;");"</f>
        <v>INSERT INTO COTACAO (blt_id, pap_id, cot_prc_comum, cot_prc_min, cot_prc_max, cot_prc_med, cot_prc_mediana) VALUES (6, 35, 120, 110, 130, 120, 120);</v>
      </c>
    </row>
    <row r="231" customFormat="false" ht="14.25" hidden="false" customHeight="false" outlineLevel="0" collapsed="false">
      <c r="A231" s="1" t="n">
        <v>230</v>
      </c>
      <c r="B231" s="1" t="n">
        <v>6</v>
      </c>
      <c r="C231" s="1" t="n">
        <v>36</v>
      </c>
      <c r="D231" s="1" t="str">
        <f aca="false">IF('Boletins Nuppa Site'!G231&lt;&gt;0,'Boletins Nuppa Site'!G231,"NULL")</f>
        <v>NULL</v>
      </c>
      <c r="E231" s="1" t="str">
        <f aca="false">IF('Boletins Nuppa Site'!H231&lt;&gt;0,'Boletins Nuppa Site'!H231,"NULL")</f>
        <v>NULL</v>
      </c>
      <c r="F231" s="1" t="str">
        <f aca="false">IF('Boletins Nuppa Site'!I231&lt;&gt;0,'Boletins Nuppa Site'!I231,"NULL")</f>
        <v>NULL</v>
      </c>
      <c r="G231" s="1" t="str">
        <f aca="false">IF('Boletins Nuppa Site'!J231&lt;&gt;0,'Boletins Nuppa Site'!J231,"NULL")</f>
        <v>NULL</v>
      </c>
      <c r="H231" s="1" t="str">
        <f aca="false">IF('Boletins Nuppa Site'!K231&lt;&gt;0,'Boletins Nuppa Site'!K231,"NULL")</f>
        <v>NULL</v>
      </c>
      <c r="J231" s="1" t="str">
        <f aca="false">"INSERT INTO COTACAO (blt_id, pap_id, cot_prc_comum, cot_prc_min, cot_prc_max, cot_prc_med, cot_prc_mediana) VALUES ("&amp;B231&amp;", "&amp;C231&amp;", "&amp;D231&amp;", "&amp;E231&amp;", "&amp;F231&amp;", "&amp;G231&amp;", "&amp;H231&amp;");"</f>
        <v>INSERT INTO COTACAO (blt_id, pap_id, cot_prc_comum, cot_prc_min, cot_prc_max, cot_prc_med, cot_prc_mediana) VALUES (6, 36, NULL, NULL, NULL, NULL, NULL);</v>
      </c>
    </row>
    <row r="232" customFormat="false" ht="14.25" hidden="false" customHeight="false" outlineLevel="0" collapsed="false">
      <c r="A232" s="1" t="n">
        <v>231</v>
      </c>
      <c r="B232" s="1" t="n">
        <v>6</v>
      </c>
      <c r="C232" s="1" t="n">
        <v>37</v>
      </c>
      <c r="D232" s="1" t="str">
        <f aca="false">IF('Boletins Nuppa Site'!G232&lt;&gt;0,'Boletins Nuppa Site'!G232,"NULL")</f>
        <v>NULL</v>
      </c>
      <c r="E232" s="1" t="str">
        <f aca="false">IF('Boletins Nuppa Site'!H232&lt;&gt;0,'Boletins Nuppa Site'!H232,"NULL")</f>
        <v>NULL</v>
      </c>
      <c r="F232" s="1" t="str">
        <f aca="false">IF('Boletins Nuppa Site'!I232&lt;&gt;0,'Boletins Nuppa Site'!I232,"NULL")</f>
        <v>NULL</v>
      </c>
      <c r="G232" s="1" t="str">
        <f aca="false">IF('Boletins Nuppa Site'!J232&lt;&gt;0,'Boletins Nuppa Site'!J232,"NULL")</f>
        <v>NULL</v>
      </c>
      <c r="H232" s="1" t="str">
        <f aca="false">IF('Boletins Nuppa Site'!K232&lt;&gt;0,'Boletins Nuppa Site'!K232,"NULL")</f>
        <v>NULL</v>
      </c>
      <c r="J232" s="1" t="str">
        <f aca="false">"INSERT INTO COTACAO (blt_id, pap_id, cot_prc_comum, cot_prc_min, cot_prc_max, cot_prc_med, cot_prc_mediana) VALUES ("&amp;B232&amp;", "&amp;C232&amp;", "&amp;D232&amp;", "&amp;E232&amp;", "&amp;F232&amp;", "&amp;G232&amp;", "&amp;H232&amp;");"</f>
        <v>INSERT INTO COTACAO (blt_id, pap_id, cot_prc_comum, cot_prc_min, cot_prc_max, cot_prc_med, cot_prc_mediana) VALUES (6, 37, NULL, NULL, NULL, NULL, NULL);</v>
      </c>
    </row>
    <row r="233" customFormat="false" ht="14.25" hidden="false" customHeight="false" outlineLevel="0" collapsed="false">
      <c r="A233" s="1" t="n">
        <v>232</v>
      </c>
      <c r="B233" s="1" t="n">
        <v>6</v>
      </c>
      <c r="C233" s="1" t="n">
        <v>38</v>
      </c>
      <c r="D233" s="1" t="str">
        <f aca="false">IF('Boletins Nuppa Site'!G233&lt;&gt;0,'Boletins Nuppa Site'!G233,"NULL")</f>
        <v>NULL</v>
      </c>
      <c r="E233" s="1" t="str">
        <f aca="false">IF('Boletins Nuppa Site'!H233&lt;&gt;0,'Boletins Nuppa Site'!H233,"NULL")</f>
        <v>NULL</v>
      </c>
      <c r="F233" s="1" t="str">
        <f aca="false">IF('Boletins Nuppa Site'!I233&lt;&gt;0,'Boletins Nuppa Site'!I233,"NULL")</f>
        <v>NULL</v>
      </c>
      <c r="G233" s="1" t="str">
        <f aca="false">IF('Boletins Nuppa Site'!J233&lt;&gt;0,'Boletins Nuppa Site'!J233,"NULL")</f>
        <v>NULL</v>
      </c>
      <c r="H233" s="1" t="str">
        <f aca="false">IF('Boletins Nuppa Site'!K233&lt;&gt;0,'Boletins Nuppa Site'!K233,"NULL")</f>
        <v>NULL</v>
      </c>
      <c r="J233" s="1" t="str">
        <f aca="false">"INSERT INTO COTACAO (blt_id, pap_id, cot_prc_comum, cot_prc_min, cot_prc_max, cot_prc_med, cot_prc_mediana) VALUES ("&amp;B233&amp;", "&amp;C233&amp;", "&amp;D233&amp;", "&amp;E233&amp;", "&amp;F233&amp;", "&amp;G233&amp;", "&amp;H233&amp;");"</f>
        <v>INSERT INTO COTACAO (blt_id, pap_id, cot_prc_comum, cot_prc_min, cot_prc_max, cot_prc_med, cot_prc_mediana) VALUES (6, 38, NULL, NULL, NULL, NULL, NULL);</v>
      </c>
    </row>
    <row r="234" customFormat="false" ht="14.25" hidden="false" customHeight="false" outlineLevel="0" collapsed="false">
      <c r="A234" s="1" t="n">
        <v>233</v>
      </c>
      <c r="B234" s="1" t="n">
        <v>6</v>
      </c>
      <c r="C234" s="1" t="n">
        <v>40</v>
      </c>
      <c r="D234" s="1" t="str">
        <f aca="false">IF('Boletins Nuppa Site'!G234&lt;&gt;0,'Boletins Nuppa Site'!G234,"NULL")</f>
        <v>NULL</v>
      </c>
      <c r="E234" s="1" t="str">
        <f aca="false">IF('Boletins Nuppa Site'!H234&lt;&gt;0,'Boletins Nuppa Site'!H234,"NULL")</f>
        <v>NULL</v>
      </c>
      <c r="F234" s="1" t="str">
        <f aca="false">IF('Boletins Nuppa Site'!I234&lt;&gt;0,'Boletins Nuppa Site'!I234,"NULL")</f>
        <v>NULL</v>
      </c>
      <c r="G234" s="1" t="str">
        <f aca="false">IF('Boletins Nuppa Site'!J234&lt;&gt;0,'Boletins Nuppa Site'!J234,"NULL")</f>
        <v>NULL</v>
      </c>
      <c r="H234" s="1" t="str">
        <f aca="false">IF('Boletins Nuppa Site'!K234&lt;&gt;0,'Boletins Nuppa Site'!K234,"NULL")</f>
        <v>NULL</v>
      </c>
      <c r="J234" s="1" t="str">
        <f aca="false">"INSERT INTO COTACAO (blt_id, pap_id, cot_prc_comum, cot_prc_min, cot_prc_max, cot_prc_med, cot_prc_mediana) VALUES ("&amp;B234&amp;", "&amp;C234&amp;", "&amp;D234&amp;", "&amp;E234&amp;", "&amp;F234&amp;", "&amp;G234&amp;", "&amp;H234&amp;");"</f>
        <v>INSERT INTO COTACAO (blt_id, pap_id, cot_prc_comum, cot_prc_min, cot_prc_max, cot_prc_med, cot_prc_mediana) VALUES (6, 40, NULL, NULL, NULL, NULL, NULL);</v>
      </c>
    </row>
    <row r="235" customFormat="false" ht="14.25" hidden="false" customHeight="false" outlineLevel="0" collapsed="false">
      <c r="A235" s="1" t="n">
        <v>234</v>
      </c>
      <c r="B235" s="1" t="n">
        <v>7</v>
      </c>
      <c r="C235" s="1" t="n">
        <v>1</v>
      </c>
      <c r="D235" s="16" t="n">
        <f aca="false">IF('Boletins Nuppa Site'!G235&lt;&gt;0,'Boletins Nuppa Site'!G235,"NULL")</f>
        <v>42</v>
      </c>
      <c r="E235" s="16" t="n">
        <f aca="false">IF('Boletins Nuppa Site'!H235&lt;&gt;0,'Boletins Nuppa Site'!H235,"NULL")</f>
        <v>36</v>
      </c>
      <c r="F235" s="16" t="n">
        <f aca="false">IF('Boletins Nuppa Site'!I235&lt;&gt;0,'Boletins Nuppa Site'!I235,"NULL")</f>
        <v>42</v>
      </c>
      <c r="G235" s="16" t="n">
        <f aca="false">IF('Boletins Nuppa Site'!J235&lt;&gt;0,'Boletins Nuppa Site'!J235,"NULL")</f>
        <v>40</v>
      </c>
      <c r="H235" s="16" t="n">
        <f aca="false">IF('Boletins Nuppa Site'!K235&lt;&gt;0,'Boletins Nuppa Site'!K235,"NULL")</f>
        <v>42</v>
      </c>
      <c r="J235" s="1" t="str">
        <f aca="false">"INSERT INTO COTACAO (blt_id, pap_id, cot_prc_comum, cot_prc_min, cot_prc_max, cot_prc_med, cot_prc_mediana) VALUES ("&amp;B235&amp;", "&amp;C235&amp;", "&amp;D235&amp;", "&amp;E235&amp;", "&amp;F235&amp;", "&amp;G235&amp;", "&amp;H235&amp;");"</f>
        <v>INSERT INTO COTACAO (blt_id, pap_id, cot_prc_comum, cot_prc_min, cot_prc_max, cot_prc_med, cot_prc_mediana) VALUES (7, 1, 42, 36, 42, 40, 42);</v>
      </c>
    </row>
    <row r="236" customFormat="false" ht="14.25" hidden="false" customHeight="false" outlineLevel="0" collapsed="false">
      <c r="A236" s="1" t="n">
        <v>235</v>
      </c>
      <c r="B236" s="1" t="n">
        <v>7</v>
      </c>
      <c r="C236" s="1" t="n">
        <v>2</v>
      </c>
      <c r="D236" s="16" t="n">
        <f aca="false">IF('Boletins Nuppa Site'!G236&lt;&gt;0,'Boletins Nuppa Site'!G236,"NULL")</f>
        <v>60</v>
      </c>
      <c r="E236" s="16" t="n">
        <f aca="false">IF('Boletins Nuppa Site'!H236&lt;&gt;0,'Boletins Nuppa Site'!H236,"NULL")</f>
        <v>36</v>
      </c>
      <c r="F236" s="16" t="n">
        <f aca="false">IF('Boletins Nuppa Site'!I236&lt;&gt;0,'Boletins Nuppa Site'!I236,"NULL")</f>
        <v>60</v>
      </c>
      <c r="G236" s="16" t="n">
        <f aca="false">IF('Boletins Nuppa Site'!J236&lt;&gt;0,'Boletins Nuppa Site'!J236,"NULL")</f>
        <v>52</v>
      </c>
      <c r="H236" s="16" t="n">
        <f aca="false">IF('Boletins Nuppa Site'!K236&lt;&gt;0,'Boletins Nuppa Site'!K236,"NULL")</f>
        <v>60</v>
      </c>
      <c r="J236" s="1" t="str">
        <f aca="false">"INSERT INTO COTACAO (blt_id, pap_id, cot_prc_comum, cot_prc_min, cot_prc_max, cot_prc_med, cot_prc_mediana) VALUES ("&amp;B236&amp;", "&amp;C236&amp;", "&amp;D236&amp;", "&amp;E236&amp;", "&amp;F236&amp;", "&amp;G236&amp;", "&amp;H236&amp;");"</f>
        <v>INSERT INTO COTACAO (blt_id, pap_id, cot_prc_comum, cot_prc_min, cot_prc_max, cot_prc_med, cot_prc_mediana) VALUES (7, 2, 60, 36, 60, 52, 60);</v>
      </c>
    </row>
    <row r="237" customFormat="false" ht="14.25" hidden="false" customHeight="false" outlineLevel="0" collapsed="false">
      <c r="A237" s="1" t="n">
        <v>236</v>
      </c>
      <c r="B237" s="1" t="n">
        <v>7</v>
      </c>
      <c r="C237" s="1" t="n">
        <v>3</v>
      </c>
      <c r="D237" s="16" t="n">
        <f aca="false">IF('Boletins Nuppa Site'!G237&lt;&gt;0,'Boletins Nuppa Site'!G237,"NULL")</f>
        <v>36</v>
      </c>
      <c r="E237" s="16" t="n">
        <f aca="false">IF('Boletins Nuppa Site'!H237&lt;&gt;0,'Boletins Nuppa Site'!H237,"NULL")</f>
        <v>36</v>
      </c>
      <c r="F237" s="16" t="n">
        <f aca="false">IF('Boletins Nuppa Site'!I237&lt;&gt;0,'Boletins Nuppa Site'!I237,"NULL")</f>
        <v>42</v>
      </c>
      <c r="G237" s="16" t="n">
        <f aca="false">IF('Boletins Nuppa Site'!J237&lt;&gt;0,'Boletins Nuppa Site'!J237,"NULL")</f>
        <v>38</v>
      </c>
      <c r="H237" s="16" t="n">
        <f aca="false">IF('Boletins Nuppa Site'!K237&lt;&gt;0,'Boletins Nuppa Site'!K237,"NULL")</f>
        <v>36</v>
      </c>
      <c r="J237" s="1" t="str">
        <f aca="false">"INSERT INTO COTACAO (blt_id, pap_id, cot_prc_comum, cot_prc_min, cot_prc_max, cot_prc_med, cot_prc_mediana) VALUES ("&amp;B237&amp;", "&amp;C237&amp;", "&amp;D237&amp;", "&amp;E237&amp;", "&amp;F237&amp;", "&amp;G237&amp;", "&amp;H237&amp;");"</f>
        <v>INSERT INTO COTACAO (blt_id, pap_id, cot_prc_comum, cot_prc_min, cot_prc_max, cot_prc_med, cot_prc_mediana) VALUES (7, 3, 36, 36, 42, 38, 36);</v>
      </c>
    </row>
    <row r="238" customFormat="false" ht="14.25" hidden="false" customHeight="false" outlineLevel="0" collapsed="false">
      <c r="A238" s="1" t="n">
        <v>237</v>
      </c>
      <c r="B238" s="1" t="n">
        <v>7</v>
      </c>
      <c r="C238" s="1" t="n">
        <v>4</v>
      </c>
      <c r="D238" s="16" t="n">
        <f aca="false">IF('Boletins Nuppa Site'!G238&lt;&gt;0,'Boletins Nuppa Site'!G238,"NULL")</f>
        <v>24</v>
      </c>
      <c r="E238" s="16" t="n">
        <f aca="false">IF('Boletins Nuppa Site'!H238&lt;&gt;0,'Boletins Nuppa Site'!H238,"NULL")</f>
        <v>18</v>
      </c>
      <c r="F238" s="16" t="n">
        <f aca="false">IF('Boletins Nuppa Site'!I238&lt;&gt;0,'Boletins Nuppa Site'!I238,"NULL")</f>
        <v>24</v>
      </c>
      <c r="G238" s="1" t="str">
        <f aca="false">IF('Boletins Nuppa Site'!J238&lt;&gt;0,'Boletins Nuppa Site'!J238,"NULL")</f>
        <v>22.5</v>
      </c>
      <c r="H238" s="16" t="n">
        <f aca="false">IF('Boletins Nuppa Site'!K238&lt;&gt;0,'Boletins Nuppa Site'!K238,"NULL")</f>
        <v>24</v>
      </c>
      <c r="J238" s="1" t="str">
        <f aca="false">"INSERT INTO COTACAO (blt_id, pap_id, cot_prc_comum, cot_prc_min, cot_prc_max, cot_prc_med, cot_prc_mediana) VALUES ("&amp;B238&amp;", "&amp;C238&amp;", "&amp;D238&amp;", "&amp;E238&amp;", "&amp;F238&amp;", "&amp;G238&amp;", "&amp;H238&amp;");"</f>
        <v>INSERT INTO COTACAO (blt_id, pap_id, cot_prc_comum, cot_prc_min, cot_prc_max, cot_prc_med, cot_prc_mediana) VALUES (7, 4, 24, 18, 24, 22.5, 24);</v>
      </c>
    </row>
    <row r="239" customFormat="false" ht="14.25" hidden="false" customHeight="false" outlineLevel="0" collapsed="false">
      <c r="A239" s="1" t="n">
        <v>238</v>
      </c>
      <c r="B239" s="1" t="n">
        <v>7</v>
      </c>
      <c r="C239" s="1" t="n">
        <v>5</v>
      </c>
      <c r="D239" s="16" t="n">
        <f aca="false">IF('Boletins Nuppa Site'!G239&lt;&gt;0,'Boletins Nuppa Site'!G239,"NULL")</f>
        <v>24</v>
      </c>
      <c r="E239" s="16" t="n">
        <f aca="false">IF('Boletins Nuppa Site'!H239&lt;&gt;0,'Boletins Nuppa Site'!H239,"NULL")</f>
        <v>18</v>
      </c>
      <c r="F239" s="16" t="n">
        <f aca="false">IF('Boletins Nuppa Site'!I239&lt;&gt;0,'Boletins Nuppa Site'!I239,"NULL")</f>
        <v>24</v>
      </c>
      <c r="G239" s="16" t="n">
        <f aca="false">IF('Boletins Nuppa Site'!J239&lt;&gt;0,'Boletins Nuppa Site'!J239,"NULL")</f>
        <v>21</v>
      </c>
      <c r="H239" s="16" t="n">
        <f aca="false">IF('Boletins Nuppa Site'!K239&lt;&gt;0,'Boletins Nuppa Site'!K239,"NULL")</f>
        <v>21</v>
      </c>
      <c r="J239" s="1" t="str">
        <f aca="false">"INSERT INTO COTACAO (blt_id, pap_id, cot_prc_comum, cot_prc_min, cot_prc_max, cot_prc_med, cot_prc_mediana) VALUES ("&amp;B239&amp;", "&amp;C239&amp;", "&amp;D239&amp;", "&amp;E239&amp;", "&amp;F239&amp;", "&amp;G239&amp;", "&amp;H239&amp;");"</f>
        <v>INSERT INTO COTACAO (blt_id, pap_id, cot_prc_comum, cot_prc_min, cot_prc_max, cot_prc_med, cot_prc_mediana) VALUES (7, 5, 24, 18, 24, 21, 21);</v>
      </c>
    </row>
    <row r="240" customFormat="false" ht="14.25" hidden="false" customHeight="false" outlineLevel="0" collapsed="false">
      <c r="A240" s="1" t="n">
        <v>239</v>
      </c>
      <c r="B240" s="1" t="n">
        <v>7</v>
      </c>
      <c r="C240" s="1" t="n">
        <v>6</v>
      </c>
      <c r="D240" s="1" t="str">
        <f aca="false">IF('Boletins Nuppa Site'!G240&lt;&gt;0,'Boletins Nuppa Site'!G240,"NULL")</f>
        <v>NULL</v>
      </c>
      <c r="E240" s="16" t="n">
        <f aca="false">IF('Boletins Nuppa Site'!H240&lt;&gt;0,'Boletins Nuppa Site'!H240,"NULL")</f>
        <v>42</v>
      </c>
      <c r="F240" s="16" t="n">
        <f aca="false">IF('Boletins Nuppa Site'!I240&lt;&gt;0,'Boletins Nuppa Site'!I240,"NULL")</f>
        <v>48</v>
      </c>
      <c r="G240" s="16" t="n">
        <f aca="false">IF('Boletins Nuppa Site'!J240&lt;&gt;0,'Boletins Nuppa Site'!J240,"NULL")</f>
        <v>45</v>
      </c>
      <c r="H240" s="16" t="n">
        <f aca="false">IF('Boletins Nuppa Site'!K240&lt;&gt;0,'Boletins Nuppa Site'!K240,"NULL")</f>
        <v>45</v>
      </c>
      <c r="J240" s="1" t="str">
        <f aca="false">"INSERT INTO COTACAO (blt_id, pap_id, cot_prc_comum, cot_prc_min, cot_prc_max, cot_prc_med, cot_prc_mediana) VALUES ("&amp;B240&amp;", "&amp;C240&amp;", "&amp;D240&amp;", "&amp;E240&amp;", "&amp;F240&amp;", "&amp;G240&amp;", "&amp;H240&amp;");"</f>
        <v>INSERT INTO COTACAO (blt_id, pap_id, cot_prc_comum, cot_prc_min, cot_prc_max, cot_prc_med, cot_prc_mediana) VALUES (7, 6, NULL, 42, 48, 45, 45);</v>
      </c>
    </row>
    <row r="241" customFormat="false" ht="14.25" hidden="false" customHeight="false" outlineLevel="0" collapsed="false">
      <c r="A241" s="1" t="n">
        <v>240</v>
      </c>
      <c r="B241" s="1" t="n">
        <v>7</v>
      </c>
      <c r="C241" s="1" t="n">
        <v>7</v>
      </c>
      <c r="D241" s="16" t="n">
        <f aca="false">IF('Boletins Nuppa Site'!G241&lt;&gt;0,'Boletins Nuppa Site'!G241,"NULL")</f>
        <v>60</v>
      </c>
      <c r="E241" s="16" t="n">
        <f aca="false">IF('Boletins Nuppa Site'!H241&lt;&gt;0,'Boletins Nuppa Site'!H241,"NULL")</f>
        <v>60</v>
      </c>
      <c r="F241" s="16" t="n">
        <f aca="false">IF('Boletins Nuppa Site'!I241&lt;&gt;0,'Boletins Nuppa Site'!I241,"NULL")</f>
        <v>60</v>
      </c>
      <c r="G241" s="16" t="n">
        <f aca="false">IF('Boletins Nuppa Site'!J241&lt;&gt;0,'Boletins Nuppa Site'!J241,"NULL")</f>
        <v>60</v>
      </c>
      <c r="H241" s="16" t="n">
        <f aca="false">IF('Boletins Nuppa Site'!K241&lt;&gt;0,'Boletins Nuppa Site'!K241,"NULL")</f>
        <v>60</v>
      </c>
      <c r="J241" s="1" t="str">
        <f aca="false">"INSERT INTO COTACAO (blt_id, pap_id, cot_prc_comum, cot_prc_min, cot_prc_max, cot_prc_med, cot_prc_mediana) VALUES ("&amp;B241&amp;", "&amp;C241&amp;", "&amp;D241&amp;", "&amp;E241&amp;", "&amp;F241&amp;", "&amp;G241&amp;", "&amp;H241&amp;");"</f>
        <v>INSERT INTO COTACAO (blt_id, pap_id, cot_prc_comum, cot_prc_min, cot_prc_max, cot_prc_med, cot_prc_mediana) VALUES (7, 7, 60, 60, 60, 60, 60);</v>
      </c>
    </row>
    <row r="242" customFormat="false" ht="14.25" hidden="false" customHeight="false" outlineLevel="0" collapsed="false">
      <c r="A242" s="1" t="n">
        <v>241</v>
      </c>
      <c r="B242" s="1" t="n">
        <v>7</v>
      </c>
      <c r="C242" s="1" t="n">
        <v>8</v>
      </c>
      <c r="D242" s="16" t="n">
        <f aca="false">IF('Boletins Nuppa Site'!G242&lt;&gt;0,'Boletins Nuppa Site'!G242,"NULL")</f>
        <v>60</v>
      </c>
      <c r="E242" s="16" t="n">
        <f aca="false">IF('Boletins Nuppa Site'!H242&lt;&gt;0,'Boletins Nuppa Site'!H242,"NULL")</f>
        <v>60</v>
      </c>
      <c r="F242" s="16" t="n">
        <f aca="false">IF('Boletins Nuppa Site'!I242&lt;&gt;0,'Boletins Nuppa Site'!I242,"NULL")</f>
        <v>72</v>
      </c>
      <c r="G242" s="16" t="n">
        <f aca="false">IF('Boletins Nuppa Site'!J242&lt;&gt;0,'Boletins Nuppa Site'!J242,"NULL")</f>
        <v>64</v>
      </c>
      <c r="H242" s="16" t="n">
        <f aca="false">IF('Boletins Nuppa Site'!K242&lt;&gt;0,'Boletins Nuppa Site'!K242,"NULL")</f>
        <v>60</v>
      </c>
      <c r="J242" s="1" t="str">
        <f aca="false">"INSERT INTO COTACAO (blt_id, pap_id, cot_prc_comum, cot_prc_min, cot_prc_max, cot_prc_med, cot_prc_mediana) VALUES ("&amp;B242&amp;", "&amp;C242&amp;", "&amp;D242&amp;", "&amp;E242&amp;", "&amp;F242&amp;", "&amp;G242&amp;", "&amp;H242&amp;");"</f>
        <v>INSERT INTO COTACAO (blt_id, pap_id, cot_prc_comum, cot_prc_min, cot_prc_max, cot_prc_med, cot_prc_mediana) VALUES (7, 8, 60, 60, 72, 64, 60);</v>
      </c>
    </row>
    <row r="243" customFormat="false" ht="14.25" hidden="false" customHeight="false" outlineLevel="0" collapsed="false">
      <c r="A243" s="1" t="n">
        <v>242</v>
      </c>
      <c r="B243" s="1" t="n">
        <v>7</v>
      </c>
      <c r="C243" s="1" t="n">
        <v>9</v>
      </c>
      <c r="D243" s="16" t="n">
        <f aca="false">IF('Boletins Nuppa Site'!G243&lt;&gt;0,'Boletins Nuppa Site'!G243,"NULL")</f>
        <v>15</v>
      </c>
      <c r="E243" s="16" t="n">
        <f aca="false">IF('Boletins Nuppa Site'!H243&lt;&gt;0,'Boletins Nuppa Site'!H243,"NULL")</f>
        <v>15</v>
      </c>
      <c r="F243" s="16" t="n">
        <f aca="false">IF('Boletins Nuppa Site'!I243&lt;&gt;0,'Boletins Nuppa Site'!I243,"NULL")</f>
        <v>24</v>
      </c>
      <c r="G243" s="16" t="n">
        <f aca="false">IF('Boletins Nuppa Site'!J243&lt;&gt;0,'Boletins Nuppa Site'!J243,"NULL")</f>
        <v>18</v>
      </c>
      <c r="H243" s="16" t="n">
        <f aca="false">IF('Boletins Nuppa Site'!K243&lt;&gt;0,'Boletins Nuppa Site'!K243,"NULL")</f>
        <v>15</v>
      </c>
      <c r="J243" s="1" t="str">
        <f aca="false">"INSERT INTO COTACAO (blt_id, pap_id, cot_prc_comum, cot_prc_min, cot_prc_max, cot_prc_med, cot_prc_mediana) VALUES ("&amp;B243&amp;", "&amp;C243&amp;", "&amp;D243&amp;", "&amp;E243&amp;", "&amp;F243&amp;", "&amp;G243&amp;", "&amp;H243&amp;");"</f>
        <v>INSERT INTO COTACAO (blt_id, pap_id, cot_prc_comum, cot_prc_min, cot_prc_max, cot_prc_med, cot_prc_mediana) VALUES (7, 9, 15, 15, 24, 18, 15);</v>
      </c>
    </row>
    <row r="244" customFormat="false" ht="14.25" hidden="false" customHeight="false" outlineLevel="0" collapsed="false">
      <c r="A244" s="1" t="n">
        <v>243</v>
      </c>
      <c r="B244" s="1" t="n">
        <v>7</v>
      </c>
      <c r="C244" s="1" t="n">
        <v>10</v>
      </c>
      <c r="D244" s="16" t="n">
        <f aca="false">IF('Boletins Nuppa Site'!G244&lt;&gt;0,'Boletins Nuppa Site'!G244,"NULL")</f>
        <v>60</v>
      </c>
      <c r="E244" s="16" t="n">
        <f aca="false">IF('Boletins Nuppa Site'!H244&lt;&gt;0,'Boletins Nuppa Site'!H244,"NULL")</f>
        <v>60</v>
      </c>
      <c r="F244" s="16" t="n">
        <f aca="false">IF('Boletins Nuppa Site'!I244&lt;&gt;0,'Boletins Nuppa Site'!I244,"NULL")</f>
        <v>60</v>
      </c>
      <c r="G244" s="16" t="n">
        <f aca="false">IF('Boletins Nuppa Site'!J244&lt;&gt;0,'Boletins Nuppa Site'!J244,"NULL")</f>
        <v>60</v>
      </c>
      <c r="H244" s="16" t="n">
        <f aca="false">IF('Boletins Nuppa Site'!K244&lt;&gt;0,'Boletins Nuppa Site'!K244,"NULL")</f>
        <v>60</v>
      </c>
      <c r="J244" s="1" t="str">
        <f aca="false">"INSERT INTO COTACAO (blt_id, pap_id, cot_prc_comum, cot_prc_min, cot_prc_max, cot_prc_med, cot_prc_mediana) VALUES ("&amp;B244&amp;", "&amp;C244&amp;", "&amp;D244&amp;", "&amp;E244&amp;", "&amp;F244&amp;", "&amp;G244&amp;", "&amp;H244&amp;");"</f>
        <v>INSERT INTO COTACAO (blt_id, pap_id, cot_prc_comum, cot_prc_min, cot_prc_max, cot_prc_med, cot_prc_mediana) VALUES (7, 10, 60, 60, 60, 60, 60);</v>
      </c>
    </row>
    <row r="245" customFormat="false" ht="14.25" hidden="false" customHeight="false" outlineLevel="0" collapsed="false">
      <c r="A245" s="1" t="n">
        <v>244</v>
      </c>
      <c r="B245" s="1" t="n">
        <v>7</v>
      </c>
      <c r="C245" s="1" t="n">
        <v>11</v>
      </c>
      <c r="D245" s="16" t="n">
        <f aca="false">IF('Boletins Nuppa Site'!G245&lt;&gt;0,'Boletins Nuppa Site'!G245,"NULL")</f>
        <v>24</v>
      </c>
      <c r="E245" s="16" t="n">
        <f aca="false">IF('Boletins Nuppa Site'!H245&lt;&gt;0,'Boletins Nuppa Site'!H245,"NULL")</f>
        <v>24</v>
      </c>
      <c r="F245" s="16" t="n">
        <f aca="false">IF('Boletins Nuppa Site'!I245&lt;&gt;0,'Boletins Nuppa Site'!I245,"NULL")</f>
        <v>24</v>
      </c>
      <c r="G245" s="16" t="n">
        <f aca="false">IF('Boletins Nuppa Site'!J245&lt;&gt;0,'Boletins Nuppa Site'!J245,"NULL")</f>
        <v>24</v>
      </c>
      <c r="H245" s="16" t="n">
        <f aca="false">IF('Boletins Nuppa Site'!K245&lt;&gt;0,'Boletins Nuppa Site'!K245,"NULL")</f>
        <v>24</v>
      </c>
      <c r="J245" s="1" t="str">
        <f aca="false">"INSERT INTO COTACAO (blt_id, pap_id, cot_prc_comum, cot_prc_min, cot_prc_max, cot_prc_med, cot_prc_mediana) VALUES ("&amp;B245&amp;", "&amp;C245&amp;", "&amp;D245&amp;", "&amp;E245&amp;", "&amp;F245&amp;", "&amp;G245&amp;", "&amp;H245&amp;");"</f>
        <v>INSERT INTO COTACAO (blt_id, pap_id, cot_prc_comum, cot_prc_min, cot_prc_max, cot_prc_med, cot_prc_mediana) VALUES (7, 11, 24, 24, 24, 24, 24);</v>
      </c>
    </row>
    <row r="246" customFormat="false" ht="14.25" hidden="false" customHeight="false" outlineLevel="0" collapsed="false">
      <c r="A246" s="1" t="n">
        <v>245</v>
      </c>
      <c r="B246" s="1" t="n">
        <v>7</v>
      </c>
      <c r="C246" s="1" t="n">
        <v>12</v>
      </c>
      <c r="D246" s="16" t="n">
        <f aca="false">IF('Boletins Nuppa Site'!G246&lt;&gt;0,'Boletins Nuppa Site'!G246,"NULL")</f>
        <v>42</v>
      </c>
      <c r="E246" s="16" t="n">
        <f aca="false">IF('Boletins Nuppa Site'!H246&lt;&gt;0,'Boletins Nuppa Site'!H246,"NULL")</f>
        <v>42</v>
      </c>
      <c r="F246" s="16" t="n">
        <f aca="false">IF('Boletins Nuppa Site'!I246&lt;&gt;0,'Boletins Nuppa Site'!I246,"NULL")</f>
        <v>42</v>
      </c>
      <c r="G246" s="16" t="n">
        <f aca="false">IF('Boletins Nuppa Site'!J246&lt;&gt;0,'Boletins Nuppa Site'!J246,"NULL")</f>
        <v>42</v>
      </c>
      <c r="H246" s="16" t="n">
        <f aca="false">IF('Boletins Nuppa Site'!K246&lt;&gt;0,'Boletins Nuppa Site'!K246,"NULL")</f>
        <v>42</v>
      </c>
      <c r="J246" s="1" t="str">
        <f aca="false">"INSERT INTO COTACAO (blt_id, pap_id, cot_prc_comum, cot_prc_min, cot_prc_max, cot_prc_med, cot_prc_mediana) VALUES ("&amp;B246&amp;", "&amp;C246&amp;", "&amp;D246&amp;", "&amp;E246&amp;", "&amp;F246&amp;", "&amp;G246&amp;", "&amp;H246&amp;");"</f>
        <v>INSERT INTO COTACAO (blt_id, pap_id, cot_prc_comum, cot_prc_min, cot_prc_max, cot_prc_med, cot_prc_mediana) VALUES (7, 12, 42, 42, 42, 42, 42);</v>
      </c>
    </row>
    <row r="247" customFormat="false" ht="14.25" hidden="false" customHeight="false" outlineLevel="0" collapsed="false">
      <c r="A247" s="1" t="n">
        <v>246</v>
      </c>
      <c r="B247" s="1" t="n">
        <v>7</v>
      </c>
      <c r="C247" s="1" t="n">
        <v>13</v>
      </c>
      <c r="D247" s="1" t="str">
        <f aca="false">IF('Boletins Nuppa Site'!G247&lt;&gt;0,'Boletins Nuppa Site'!G247,"NULL")</f>
        <v>NULL</v>
      </c>
      <c r="E247" s="16" t="n">
        <f aca="false">IF('Boletins Nuppa Site'!H247&lt;&gt;0,'Boletins Nuppa Site'!H247,"NULL")</f>
        <v>42</v>
      </c>
      <c r="F247" s="16" t="n">
        <f aca="false">IF('Boletins Nuppa Site'!I247&lt;&gt;0,'Boletins Nuppa Site'!I247,"NULL")</f>
        <v>60</v>
      </c>
      <c r="G247" s="16" t="n">
        <f aca="false">IF('Boletins Nuppa Site'!J247&lt;&gt;0,'Boletins Nuppa Site'!J247,"NULL")</f>
        <v>51</v>
      </c>
      <c r="H247" s="16" t="n">
        <f aca="false">IF('Boletins Nuppa Site'!K247&lt;&gt;0,'Boletins Nuppa Site'!K247,"NULL")</f>
        <v>51</v>
      </c>
      <c r="J247" s="1" t="str">
        <f aca="false">"INSERT INTO COTACAO (blt_id, pap_id, cot_prc_comum, cot_prc_min, cot_prc_max, cot_prc_med, cot_prc_mediana) VALUES ("&amp;B247&amp;", "&amp;C247&amp;", "&amp;D247&amp;", "&amp;E247&amp;", "&amp;F247&amp;", "&amp;G247&amp;", "&amp;H247&amp;");"</f>
        <v>INSERT INTO COTACAO (blt_id, pap_id, cot_prc_comum, cot_prc_min, cot_prc_max, cot_prc_med, cot_prc_mediana) VALUES (7, 13, NULL, 42, 60, 51, 51);</v>
      </c>
    </row>
    <row r="248" customFormat="false" ht="14.25" hidden="false" customHeight="false" outlineLevel="0" collapsed="false">
      <c r="A248" s="1" t="n">
        <v>247</v>
      </c>
      <c r="B248" s="1" t="n">
        <v>7</v>
      </c>
      <c r="C248" s="1" t="n">
        <v>14</v>
      </c>
      <c r="D248" s="16" t="n">
        <f aca="false">IF('Boletins Nuppa Site'!G248&lt;&gt;0,'Boletins Nuppa Site'!G248,"NULL")</f>
        <v>36</v>
      </c>
      <c r="E248" s="16" t="n">
        <f aca="false">IF('Boletins Nuppa Site'!H248&lt;&gt;0,'Boletins Nuppa Site'!H248,"NULL")</f>
        <v>36</v>
      </c>
      <c r="F248" s="16" t="n">
        <f aca="false">IF('Boletins Nuppa Site'!I248&lt;&gt;0,'Boletins Nuppa Site'!I248,"NULL")</f>
        <v>48</v>
      </c>
      <c r="G248" s="16" t="n">
        <f aca="false">IF('Boletins Nuppa Site'!J248&lt;&gt;0,'Boletins Nuppa Site'!J248,"NULL")</f>
        <v>40</v>
      </c>
      <c r="H248" s="16" t="n">
        <f aca="false">IF('Boletins Nuppa Site'!K248&lt;&gt;0,'Boletins Nuppa Site'!K248,"NULL")</f>
        <v>36</v>
      </c>
      <c r="J248" s="1" t="str">
        <f aca="false">"INSERT INTO COTACAO (blt_id, pap_id, cot_prc_comum, cot_prc_min, cot_prc_max, cot_prc_med, cot_prc_mediana) VALUES ("&amp;B248&amp;", "&amp;C248&amp;", "&amp;D248&amp;", "&amp;E248&amp;", "&amp;F248&amp;", "&amp;G248&amp;", "&amp;H248&amp;");"</f>
        <v>INSERT INTO COTACAO (blt_id, pap_id, cot_prc_comum, cot_prc_min, cot_prc_max, cot_prc_med, cot_prc_mediana) VALUES (7, 14, 36, 36, 48, 40, 36);</v>
      </c>
    </row>
    <row r="249" customFormat="false" ht="14.25" hidden="false" customHeight="false" outlineLevel="0" collapsed="false">
      <c r="A249" s="1" t="n">
        <v>248</v>
      </c>
      <c r="B249" s="1" t="n">
        <v>7</v>
      </c>
      <c r="C249" s="1" t="n">
        <v>15</v>
      </c>
      <c r="D249" s="16" t="n">
        <f aca="false">IF('Boletins Nuppa Site'!G249&lt;&gt;0,'Boletins Nuppa Site'!G249,"NULL")</f>
        <v>24</v>
      </c>
      <c r="E249" s="16" t="n">
        <f aca="false">IF('Boletins Nuppa Site'!H249&lt;&gt;0,'Boletins Nuppa Site'!H249,"NULL")</f>
        <v>18</v>
      </c>
      <c r="F249" s="16" t="n">
        <f aca="false">IF('Boletins Nuppa Site'!I249&lt;&gt;0,'Boletins Nuppa Site'!I249,"NULL")</f>
        <v>30</v>
      </c>
      <c r="G249" s="16" t="n">
        <f aca="false">IF('Boletins Nuppa Site'!J249&lt;&gt;0,'Boletins Nuppa Site'!J249,"NULL")</f>
        <v>24</v>
      </c>
      <c r="H249" s="16" t="n">
        <f aca="false">IF('Boletins Nuppa Site'!K249&lt;&gt;0,'Boletins Nuppa Site'!K249,"NULL")</f>
        <v>24</v>
      </c>
      <c r="J249" s="1" t="str">
        <f aca="false">"INSERT INTO COTACAO (blt_id, pap_id, cot_prc_comum, cot_prc_min, cot_prc_max, cot_prc_med, cot_prc_mediana) VALUES ("&amp;B249&amp;", "&amp;C249&amp;", "&amp;D249&amp;", "&amp;E249&amp;", "&amp;F249&amp;", "&amp;G249&amp;", "&amp;H249&amp;");"</f>
        <v>INSERT INTO COTACAO (blt_id, pap_id, cot_prc_comum, cot_prc_min, cot_prc_max, cot_prc_med, cot_prc_mediana) VALUES (7, 15, 24, 18, 30, 24, 24);</v>
      </c>
    </row>
    <row r="250" customFormat="false" ht="14.25" hidden="false" customHeight="false" outlineLevel="0" collapsed="false">
      <c r="A250" s="1" t="n">
        <v>249</v>
      </c>
      <c r="B250" s="1" t="n">
        <v>7</v>
      </c>
      <c r="C250" s="1" t="n">
        <v>16</v>
      </c>
      <c r="D250" s="16" t="n">
        <f aca="false">IF('Boletins Nuppa Site'!G250&lt;&gt;0,'Boletins Nuppa Site'!G250,"NULL")</f>
        <v>42</v>
      </c>
      <c r="E250" s="16" t="n">
        <f aca="false">IF('Boletins Nuppa Site'!H250&lt;&gt;0,'Boletins Nuppa Site'!H250,"NULL")</f>
        <v>36</v>
      </c>
      <c r="F250" s="16" t="n">
        <f aca="false">IF('Boletins Nuppa Site'!I250&lt;&gt;0,'Boletins Nuppa Site'!I250,"NULL")</f>
        <v>42</v>
      </c>
      <c r="G250" s="16" t="n">
        <f aca="false">IF('Boletins Nuppa Site'!J250&lt;&gt;0,'Boletins Nuppa Site'!J250,"NULL")</f>
        <v>39</v>
      </c>
      <c r="H250" s="16" t="n">
        <f aca="false">IF('Boletins Nuppa Site'!K250&lt;&gt;0,'Boletins Nuppa Site'!K250,"NULL")</f>
        <v>39</v>
      </c>
      <c r="J250" s="1" t="str">
        <f aca="false">"INSERT INTO COTACAO (blt_id, pap_id, cot_prc_comum, cot_prc_min, cot_prc_max, cot_prc_med, cot_prc_mediana) VALUES ("&amp;B250&amp;", "&amp;C250&amp;", "&amp;D250&amp;", "&amp;E250&amp;", "&amp;F250&amp;", "&amp;G250&amp;", "&amp;H250&amp;");"</f>
        <v>INSERT INTO COTACAO (blt_id, pap_id, cot_prc_comum, cot_prc_min, cot_prc_max, cot_prc_med, cot_prc_mediana) VALUES (7, 16, 42, 36, 42, 39, 39);</v>
      </c>
    </row>
    <row r="251" customFormat="false" ht="14.25" hidden="false" customHeight="false" outlineLevel="0" collapsed="false">
      <c r="A251" s="1" t="n">
        <v>250</v>
      </c>
      <c r="B251" s="1" t="n">
        <v>7</v>
      </c>
      <c r="C251" s="1" t="n">
        <v>17</v>
      </c>
      <c r="D251" s="16" t="n">
        <f aca="false">IF('Boletins Nuppa Site'!G251&lt;&gt;0,'Boletins Nuppa Site'!G251,"NULL")</f>
        <v>5</v>
      </c>
      <c r="E251" s="1" t="str">
        <f aca="false">IF('Boletins Nuppa Site'!H251&lt;&gt;0,'Boletins Nuppa Site'!H251,"NULL")</f>
        <v>3.5</v>
      </c>
      <c r="F251" s="16" t="n">
        <f aca="false">IF('Boletins Nuppa Site'!I251&lt;&gt;0,'Boletins Nuppa Site'!I251,"NULL")</f>
        <v>5</v>
      </c>
      <c r="G251" s="1" t="str">
        <f aca="false">IF('Boletins Nuppa Site'!J251&lt;&gt;0,'Boletins Nuppa Site'!J251,"NULL")</f>
        <v>4.38</v>
      </c>
      <c r="H251" s="1" t="str">
        <f aca="false">IF('Boletins Nuppa Site'!K251&lt;&gt;0,'Boletins Nuppa Site'!K251,"NULL")</f>
        <v>4.5</v>
      </c>
      <c r="J251" s="1" t="str">
        <f aca="false">"INSERT INTO COTACAO (blt_id, pap_id, cot_prc_comum, cot_prc_min, cot_prc_max, cot_prc_med, cot_prc_mediana) VALUES ("&amp;B251&amp;", "&amp;C251&amp;", "&amp;D251&amp;", "&amp;E251&amp;", "&amp;F251&amp;", "&amp;G251&amp;", "&amp;H251&amp;");"</f>
        <v>INSERT INTO COTACAO (blt_id, pap_id, cot_prc_comum, cot_prc_min, cot_prc_max, cot_prc_med, cot_prc_mediana) VALUES (7, 17, 5, 3.5, 5, 4.38, 4.5);</v>
      </c>
    </row>
    <row r="252" customFormat="false" ht="14.25" hidden="false" customHeight="false" outlineLevel="0" collapsed="false">
      <c r="A252" s="1" t="n">
        <v>251</v>
      </c>
      <c r="B252" s="1" t="n">
        <v>7</v>
      </c>
      <c r="C252" s="1" t="n">
        <v>18</v>
      </c>
      <c r="D252" s="1" t="str">
        <f aca="false">IF('Boletins Nuppa Site'!G252&lt;&gt;0,'Boletins Nuppa Site'!G252,"NULL")</f>
        <v>NULL</v>
      </c>
      <c r="E252" s="16" t="n">
        <f aca="false">IF('Boletins Nuppa Site'!H252&lt;&gt;0,'Boletins Nuppa Site'!H252,"NULL")</f>
        <v>18</v>
      </c>
      <c r="F252" s="16" t="n">
        <f aca="false">IF('Boletins Nuppa Site'!I252&lt;&gt;0,'Boletins Nuppa Site'!I252,"NULL")</f>
        <v>25</v>
      </c>
      <c r="G252" s="16" t="n">
        <f aca="false">IF('Boletins Nuppa Site'!J252&lt;&gt;0,'Boletins Nuppa Site'!J252,"NULL")</f>
        <v>21</v>
      </c>
      <c r="H252" s="16" t="n">
        <f aca="false">IF('Boletins Nuppa Site'!K252&lt;&gt;0,'Boletins Nuppa Site'!K252,"NULL")</f>
        <v>20</v>
      </c>
      <c r="J252" s="1" t="str">
        <f aca="false">"INSERT INTO COTACAO (blt_id, pap_id, cot_prc_comum, cot_prc_min, cot_prc_max, cot_prc_med, cot_prc_mediana) VALUES ("&amp;B252&amp;", "&amp;C252&amp;", "&amp;D252&amp;", "&amp;E252&amp;", "&amp;F252&amp;", "&amp;G252&amp;", "&amp;H252&amp;");"</f>
        <v>INSERT INTO COTACAO (blt_id, pap_id, cot_prc_comum, cot_prc_min, cot_prc_max, cot_prc_med, cot_prc_mediana) VALUES (7, 18, NULL, 18, 25, 21, 20);</v>
      </c>
    </row>
    <row r="253" customFormat="false" ht="14.25" hidden="false" customHeight="false" outlineLevel="0" collapsed="false">
      <c r="A253" s="1" t="n">
        <v>252</v>
      </c>
      <c r="B253" s="1" t="n">
        <v>7</v>
      </c>
      <c r="C253" s="1" t="n">
        <v>19</v>
      </c>
      <c r="D253" s="16" t="n">
        <f aca="false">IF('Boletins Nuppa Site'!G253&lt;&gt;0,'Boletins Nuppa Site'!G253,"NULL")</f>
        <v>25</v>
      </c>
      <c r="E253" s="16" t="n">
        <f aca="false">IF('Boletins Nuppa Site'!H253&lt;&gt;0,'Boletins Nuppa Site'!H253,"NULL")</f>
        <v>25</v>
      </c>
      <c r="F253" s="16" t="n">
        <f aca="false">IF('Boletins Nuppa Site'!I253&lt;&gt;0,'Boletins Nuppa Site'!I253,"NULL")</f>
        <v>30</v>
      </c>
      <c r="G253" s="1" t="str">
        <f aca="false">IF('Boletins Nuppa Site'!J253&lt;&gt;0,'Boletins Nuppa Site'!J253,"NULL")</f>
        <v>26.67</v>
      </c>
      <c r="H253" s="16" t="n">
        <f aca="false">IF('Boletins Nuppa Site'!K253&lt;&gt;0,'Boletins Nuppa Site'!K253,"NULL")</f>
        <v>25</v>
      </c>
      <c r="J253" s="1" t="str">
        <f aca="false">"INSERT INTO COTACAO (blt_id, pap_id, cot_prc_comum, cot_prc_min, cot_prc_max, cot_prc_med, cot_prc_mediana) VALUES ("&amp;B253&amp;", "&amp;C253&amp;", "&amp;D253&amp;", "&amp;E253&amp;", "&amp;F253&amp;", "&amp;G253&amp;", "&amp;H253&amp;");"</f>
        <v>INSERT INTO COTACAO (blt_id, pap_id, cot_prc_comum, cot_prc_min, cot_prc_max, cot_prc_med, cot_prc_mediana) VALUES (7, 19, 25, 25, 30, 26.67, 25);</v>
      </c>
    </row>
    <row r="254" customFormat="false" ht="14.25" hidden="false" customHeight="false" outlineLevel="0" collapsed="false">
      <c r="A254" s="1" t="n">
        <v>253</v>
      </c>
      <c r="B254" s="1" t="n">
        <v>7</v>
      </c>
      <c r="C254" s="1" t="n">
        <v>21</v>
      </c>
      <c r="D254" s="16" t="n">
        <f aca="false">IF('Boletins Nuppa Site'!G254&lt;&gt;0,'Boletins Nuppa Site'!G254,"NULL")</f>
        <v>60</v>
      </c>
      <c r="E254" s="16" t="n">
        <f aca="false">IF('Boletins Nuppa Site'!H254&lt;&gt;0,'Boletins Nuppa Site'!H254,"NULL")</f>
        <v>40</v>
      </c>
      <c r="F254" s="16" t="n">
        <f aca="false">IF('Boletins Nuppa Site'!I254&lt;&gt;0,'Boletins Nuppa Site'!I254,"NULL")</f>
        <v>60</v>
      </c>
      <c r="G254" s="1" t="str">
        <f aca="false">IF('Boletins Nuppa Site'!J254&lt;&gt;0,'Boletins Nuppa Site'!J254,"NULL")</f>
        <v>52.5</v>
      </c>
      <c r="H254" s="16" t="n">
        <f aca="false">IF('Boletins Nuppa Site'!K254&lt;&gt;0,'Boletins Nuppa Site'!K254,"NULL")</f>
        <v>55</v>
      </c>
      <c r="J254" s="1" t="str">
        <f aca="false">"INSERT INTO COTACAO (blt_id, pap_id, cot_prc_comum, cot_prc_min, cot_prc_max, cot_prc_med, cot_prc_mediana) VALUES ("&amp;B254&amp;", "&amp;C254&amp;", "&amp;D254&amp;", "&amp;E254&amp;", "&amp;F254&amp;", "&amp;G254&amp;", "&amp;H254&amp;");"</f>
        <v>INSERT INTO COTACAO (blt_id, pap_id, cot_prc_comum, cot_prc_min, cot_prc_max, cot_prc_med, cot_prc_mediana) VALUES (7, 21, 60, 40, 60, 52.5, 55);</v>
      </c>
    </row>
    <row r="255" customFormat="false" ht="14.25" hidden="false" customHeight="false" outlineLevel="0" collapsed="false">
      <c r="A255" s="1" t="n">
        <v>254</v>
      </c>
      <c r="B255" s="1" t="n">
        <v>7</v>
      </c>
      <c r="C255" s="1" t="n">
        <v>22</v>
      </c>
      <c r="D255" s="16" t="n">
        <f aca="false">IF('Boletins Nuppa Site'!G255&lt;&gt;0,'Boletins Nuppa Site'!G255,"NULL")</f>
        <v>50</v>
      </c>
      <c r="E255" s="16" t="n">
        <f aca="false">IF('Boletins Nuppa Site'!H255&lt;&gt;0,'Boletins Nuppa Site'!H255,"NULL")</f>
        <v>45</v>
      </c>
      <c r="F255" s="16" t="n">
        <f aca="false">IF('Boletins Nuppa Site'!I255&lt;&gt;0,'Boletins Nuppa Site'!I255,"NULL")</f>
        <v>50</v>
      </c>
      <c r="G255" s="1" t="str">
        <f aca="false">IF('Boletins Nuppa Site'!J255&lt;&gt;0,'Boletins Nuppa Site'!J255,"NULL")</f>
        <v>48.75</v>
      </c>
      <c r="H255" s="16" t="n">
        <f aca="false">IF('Boletins Nuppa Site'!K255&lt;&gt;0,'Boletins Nuppa Site'!K255,"NULL")</f>
        <v>50</v>
      </c>
      <c r="J255" s="1" t="str">
        <f aca="false">"INSERT INTO COTACAO (blt_id, pap_id, cot_prc_comum, cot_prc_min, cot_prc_max, cot_prc_med, cot_prc_mediana) VALUES ("&amp;B255&amp;", "&amp;C255&amp;", "&amp;D255&amp;", "&amp;E255&amp;", "&amp;F255&amp;", "&amp;G255&amp;", "&amp;H255&amp;");"</f>
        <v>INSERT INTO COTACAO (blt_id, pap_id, cot_prc_comum, cot_prc_min, cot_prc_max, cot_prc_med, cot_prc_mediana) VALUES (7, 22, 50, 45, 50, 48.75, 50);</v>
      </c>
    </row>
    <row r="256" customFormat="false" ht="14.25" hidden="false" customHeight="false" outlineLevel="0" collapsed="false">
      <c r="A256" s="1" t="n">
        <v>255</v>
      </c>
      <c r="B256" s="1" t="n">
        <v>7</v>
      </c>
      <c r="C256" s="1" t="n">
        <v>23</v>
      </c>
      <c r="D256" s="16" t="n">
        <f aca="false">IF('Boletins Nuppa Site'!G256&lt;&gt;0,'Boletins Nuppa Site'!G256,"NULL")</f>
        <v>50</v>
      </c>
      <c r="E256" s="16" t="n">
        <f aca="false">IF('Boletins Nuppa Site'!H256&lt;&gt;0,'Boletins Nuppa Site'!H256,"NULL")</f>
        <v>35</v>
      </c>
      <c r="F256" s="16" t="n">
        <f aca="false">IF('Boletins Nuppa Site'!I256&lt;&gt;0,'Boletins Nuppa Site'!I256,"NULL")</f>
        <v>50</v>
      </c>
      <c r="G256" s="16" t="n">
        <f aca="false">IF('Boletins Nuppa Site'!J256&lt;&gt;0,'Boletins Nuppa Site'!J256,"NULL")</f>
        <v>45</v>
      </c>
      <c r="H256" s="1" t="str">
        <f aca="false">IF('Boletins Nuppa Site'!K256&lt;&gt;0,'Boletins Nuppa Site'!K256,"NULL")</f>
        <v>47.5</v>
      </c>
      <c r="J256" s="1" t="str">
        <f aca="false">"INSERT INTO COTACAO (blt_id, pap_id, cot_prc_comum, cot_prc_min, cot_prc_max, cot_prc_med, cot_prc_mediana) VALUES ("&amp;B256&amp;", "&amp;C256&amp;", "&amp;D256&amp;", "&amp;E256&amp;", "&amp;F256&amp;", "&amp;G256&amp;", "&amp;H256&amp;");"</f>
        <v>INSERT INTO COTACAO (blt_id, pap_id, cot_prc_comum, cot_prc_min, cot_prc_max, cot_prc_med, cot_prc_mediana) VALUES (7, 23, 50, 35, 50, 45, 47.5);</v>
      </c>
    </row>
    <row r="257" customFormat="false" ht="14.25" hidden="false" customHeight="false" outlineLevel="0" collapsed="false">
      <c r="A257" s="1" t="n">
        <v>256</v>
      </c>
      <c r="B257" s="1" t="n">
        <v>7</v>
      </c>
      <c r="C257" s="1" t="n">
        <v>24</v>
      </c>
      <c r="D257" s="1" t="str">
        <f aca="false">IF('Boletins Nuppa Site'!G257&lt;&gt;0,'Boletins Nuppa Site'!G257,"NULL")</f>
        <v>NULL</v>
      </c>
      <c r="E257" s="16" t="n">
        <f aca="false">IF('Boletins Nuppa Site'!H257&lt;&gt;0,'Boletins Nuppa Site'!H257,"NULL")</f>
        <v>60</v>
      </c>
      <c r="F257" s="16" t="n">
        <f aca="false">IF('Boletins Nuppa Site'!I257&lt;&gt;0,'Boletins Nuppa Site'!I257,"NULL")</f>
        <v>60</v>
      </c>
      <c r="G257" s="16" t="n">
        <f aca="false">IF('Boletins Nuppa Site'!J257&lt;&gt;0,'Boletins Nuppa Site'!J257,"NULL")</f>
        <v>60</v>
      </c>
      <c r="H257" s="16" t="n">
        <f aca="false">IF('Boletins Nuppa Site'!K257&lt;&gt;0,'Boletins Nuppa Site'!K257,"NULL")</f>
        <v>60</v>
      </c>
      <c r="J257" s="1" t="str">
        <f aca="false">"INSERT INTO COTACAO (blt_id, pap_id, cot_prc_comum, cot_prc_min, cot_prc_max, cot_prc_med, cot_prc_mediana) VALUES ("&amp;B257&amp;", "&amp;C257&amp;", "&amp;D257&amp;", "&amp;E257&amp;", "&amp;F257&amp;", "&amp;G257&amp;", "&amp;H257&amp;");"</f>
        <v>INSERT INTO COTACAO (blt_id, pap_id, cot_prc_comum, cot_prc_min, cot_prc_max, cot_prc_med, cot_prc_mediana) VALUES (7, 24, NULL, 60, 60, 60, 60);</v>
      </c>
    </row>
    <row r="258" customFormat="false" ht="14.25" hidden="false" customHeight="false" outlineLevel="0" collapsed="false">
      <c r="A258" s="1" t="n">
        <v>257</v>
      </c>
      <c r="B258" s="1" t="n">
        <v>7</v>
      </c>
      <c r="C258" s="1" t="n">
        <v>25</v>
      </c>
      <c r="D258" s="16" t="n">
        <f aca="false">IF('Boletins Nuppa Site'!G258&lt;&gt;0,'Boletins Nuppa Site'!G258,"NULL")</f>
        <v>60</v>
      </c>
      <c r="E258" s="16" t="n">
        <f aca="false">IF('Boletins Nuppa Site'!H258&lt;&gt;0,'Boletins Nuppa Site'!H258,"NULL")</f>
        <v>50</v>
      </c>
      <c r="F258" s="16" t="n">
        <f aca="false">IF('Boletins Nuppa Site'!I258&lt;&gt;0,'Boletins Nuppa Site'!I258,"NULL")</f>
        <v>70</v>
      </c>
      <c r="G258" s="16" t="n">
        <f aca="false">IF('Boletins Nuppa Site'!J258&lt;&gt;0,'Boletins Nuppa Site'!J258,"NULL")</f>
        <v>60</v>
      </c>
      <c r="H258" s="16" t="n">
        <f aca="false">IF('Boletins Nuppa Site'!K258&lt;&gt;0,'Boletins Nuppa Site'!K258,"NULL")</f>
        <v>60</v>
      </c>
      <c r="J258" s="1" t="str">
        <f aca="false">"INSERT INTO COTACAO (blt_id, pap_id, cot_prc_comum, cot_prc_min, cot_prc_max, cot_prc_med, cot_prc_mediana) VALUES ("&amp;B258&amp;", "&amp;C258&amp;", "&amp;D258&amp;", "&amp;E258&amp;", "&amp;F258&amp;", "&amp;G258&amp;", "&amp;H258&amp;");"</f>
        <v>INSERT INTO COTACAO (blt_id, pap_id, cot_prc_comum, cot_prc_min, cot_prc_max, cot_prc_med, cot_prc_mediana) VALUES (7, 25, 60, 50, 70, 60, 60);</v>
      </c>
    </row>
    <row r="259" customFormat="false" ht="14.25" hidden="false" customHeight="false" outlineLevel="0" collapsed="false">
      <c r="A259" s="1" t="n">
        <v>258</v>
      </c>
      <c r="B259" s="1" t="n">
        <v>7</v>
      </c>
      <c r="C259" s="1" t="n">
        <v>26</v>
      </c>
      <c r="D259" s="16" t="n">
        <f aca="false">IF('Boletins Nuppa Site'!G259&lt;&gt;0,'Boletins Nuppa Site'!G259,"NULL")</f>
        <v>60</v>
      </c>
      <c r="E259" s="16" t="n">
        <f aca="false">IF('Boletins Nuppa Site'!H259&lt;&gt;0,'Boletins Nuppa Site'!H259,"NULL")</f>
        <v>40</v>
      </c>
      <c r="F259" s="16" t="n">
        <f aca="false">IF('Boletins Nuppa Site'!I259&lt;&gt;0,'Boletins Nuppa Site'!I259,"NULL")</f>
        <v>60</v>
      </c>
      <c r="G259" s="16" t="n">
        <f aca="false">IF('Boletins Nuppa Site'!J259&lt;&gt;0,'Boletins Nuppa Site'!J259,"NULL")</f>
        <v>54</v>
      </c>
      <c r="H259" s="16" t="n">
        <f aca="false">IF('Boletins Nuppa Site'!K259&lt;&gt;0,'Boletins Nuppa Site'!K259,"NULL")</f>
        <v>60</v>
      </c>
      <c r="J259" s="1" t="str">
        <f aca="false">"INSERT INTO COTACAO (blt_id, pap_id, cot_prc_comum, cot_prc_min, cot_prc_max, cot_prc_med, cot_prc_mediana) VALUES ("&amp;B259&amp;", "&amp;C259&amp;", "&amp;D259&amp;", "&amp;E259&amp;", "&amp;F259&amp;", "&amp;G259&amp;", "&amp;H259&amp;");"</f>
        <v>INSERT INTO COTACAO (blt_id, pap_id, cot_prc_comum, cot_prc_min, cot_prc_max, cot_prc_med, cot_prc_mediana) VALUES (7, 26, 60, 40, 60, 54, 60);</v>
      </c>
    </row>
    <row r="260" customFormat="false" ht="14.25" hidden="false" customHeight="false" outlineLevel="0" collapsed="false">
      <c r="A260" s="1" t="n">
        <v>259</v>
      </c>
      <c r="B260" s="1" t="n">
        <v>7</v>
      </c>
      <c r="C260" s="1" t="n">
        <v>27</v>
      </c>
      <c r="D260" s="16" t="n">
        <f aca="false">IF('Boletins Nuppa Site'!G260&lt;&gt;0,'Boletins Nuppa Site'!G260,"NULL")</f>
        <v>50</v>
      </c>
      <c r="E260" s="16" t="n">
        <f aca="false">IF('Boletins Nuppa Site'!H260&lt;&gt;0,'Boletins Nuppa Site'!H260,"NULL")</f>
        <v>35</v>
      </c>
      <c r="F260" s="16" t="n">
        <f aca="false">IF('Boletins Nuppa Site'!I260&lt;&gt;0,'Boletins Nuppa Site'!I260,"NULL")</f>
        <v>50</v>
      </c>
      <c r="G260" s="16" t="n">
        <f aca="false">IF('Boletins Nuppa Site'!J260&lt;&gt;0,'Boletins Nuppa Site'!J260,"NULL")</f>
        <v>46</v>
      </c>
      <c r="H260" s="16" t="n">
        <f aca="false">IF('Boletins Nuppa Site'!K260&lt;&gt;0,'Boletins Nuppa Site'!K260,"NULL")</f>
        <v>50</v>
      </c>
      <c r="J260" s="1" t="str">
        <f aca="false">"INSERT INTO COTACAO (blt_id, pap_id, cot_prc_comum, cot_prc_min, cot_prc_max, cot_prc_med, cot_prc_mediana) VALUES ("&amp;B260&amp;", "&amp;C260&amp;", "&amp;D260&amp;", "&amp;E260&amp;", "&amp;F260&amp;", "&amp;G260&amp;", "&amp;H260&amp;");"</f>
        <v>INSERT INTO COTACAO (blt_id, pap_id, cot_prc_comum, cot_prc_min, cot_prc_max, cot_prc_med, cot_prc_mediana) VALUES (7, 27, 50, 35, 50, 46, 50);</v>
      </c>
    </row>
    <row r="261" customFormat="false" ht="14.25" hidden="false" customHeight="false" outlineLevel="0" collapsed="false">
      <c r="A261" s="1" t="n">
        <v>260</v>
      </c>
      <c r="B261" s="1" t="n">
        <v>7</v>
      </c>
      <c r="C261" s="1" t="n">
        <v>28</v>
      </c>
      <c r="D261" s="16" t="n">
        <f aca="false">IF('Boletins Nuppa Site'!G261&lt;&gt;0,'Boletins Nuppa Site'!G261,"NULL")</f>
        <v>70</v>
      </c>
      <c r="E261" s="16" t="n">
        <f aca="false">IF('Boletins Nuppa Site'!H261&lt;&gt;0,'Boletins Nuppa Site'!H261,"NULL")</f>
        <v>50</v>
      </c>
      <c r="F261" s="16" t="n">
        <f aca="false">IF('Boletins Nuppa Site'!I261&lt;&gt;0,'Boletins Nuppa Site'!I261,"NULL")</f>
        <v>70</v>
      </c>
      <c r="G261" s="1" t="str">
        <f aca="false">IF('Boletins Nuppa Site'!J261&lt;&gt;0,'Boletins Nuppa Site'!J261,"NULL")</f>
        <v>62.5</v>
      </c>
      <c r="H261" s="16" t="n">
        <f aca="false">IF('Boletins Nuppa Site'!K261&lt;&gt;0,'Boletins Nuppa Site'!K261,"NULL")</f>
        <v>65</v>
      </c>
      <c r="J261" s="1" t="str">
        <f aca="false">"INSERT INTO COTACAO (blt_id, pap_id, cot_prc_comum, cot_prc_min, cot_prc_max, cot_prc_med, cot_prc_mediana) VALUES ("&amp;B261&amp;", "&amp;C261&amp;", "&amp;D261&amp;", "&amp;E261&amp;", "&amp;F261&amp;", "&amp;G261&amp;", "&amp;H261&amp;");"</f>
        <v>INSERT INTO COTACAO (blt_id, pap_id, cot_prc_comum, cot_prc_min, cot_prc_max, cot_prc_med, cot_prc_mediana) VALUES (7, 28, 70, 50, 70, 62.5, 65);</v>
      </c>
    </row>
    <row r="262" customFormat="false" ht="14.25" hidden="false" customHeight="false" outlineLevel="0" collapsed="false">
      <c r="A262" s="1" t="n">
        <v>261</v>
      </c>
      <c r="B262" s="1" t="n">
        <v>7</v>
      </c>
      <c r="C262" s="1" t="n">
        <v>29</v>
      </c>
      <c r="D262" s="1" t="str">
        <f aca="false">IF('Boletins Nuppa Site'!G262&lt;&gt;0,'Boletins Nuppa Site'!G262,"NULL")</f>
        <v>NULL</v>
      </c>
      <c r="E262" s="16" t="n">
        <f aca="false">IF('Boletins Nuppa Site'!H262&lt;&gt;0,'Boletins Nuppa Site'!H262,"NULL")</f>
        <v>50</v>
      </c>
      <c r="F262" s="16" t="n">
        <f aca="false">IF('Boletins Nuppa Site'!I262&lt;&gt;0,'Boletins Nuppa Site'!I262,"NULL")</f>
        <v>55</v>
      </c>
      <c r="G262" s="1" t="str">
        <f aca="false">IF('Boletins Nuppa Site'!J262&lt;&gt;0,'Boletins Nuppa Site'!J262,"NULL")</f>
        <v>52.5</v>
      </c>
      <c r="H262" s="1" t="str">
        <f aca="false">IF('Boletins Nuppa Site'!K262&lt;&gt;0,'Boletins Nuppa Site'!K262,"NULL")</f>
        <v>52.5</v>
      </c>
      <c r="J262" s="1" t="str">
        <f aca="false">"INSERT INTO COTACAO (blt_id, pap_id, cot_prc_comum, cot_prc_min, cot_prc_max, cot_prc_med, cot_prc_mediana) VALUES ("&amp;B262&amp;", "&amp;C262&amp;", "&amp;D262&amp;", "&amp;E262&amp;", "&amp;F262&amp;", "&amp;G262&amp;", "&amp;H262&amp;");"</f>
        <v>INSERT INTO COTACAO (blt_id, pap_id, cot_prc_comum, cot_prc_min, cot_prc_max, cot_prc_med, cot_prc_mediana) VALUES (7, 29, NULL, 50, 55, 52.5, 52.5);</v>
      </c>
    </row>
    <row r="263" customFormat="false" ht="14.25" hidden="false" customHeight="false" outlineLevel="0" collapsed="false">
      <c r="A263" s="1" t="n">
        <v>262</v>
      </c>
      <c r="B263" s="1" t="n">
        <v>7</v>
      </c>
      <c r="C263" s="1" t="n">
        <v>30</v>
      </c>
      <c r="D263" s="1" t="str">
        <f aca="false">IF('Boletins Nuppa Site'!G263&lt;&gt;0,'Boletins Nuppa Site'!G263,"NULL")</f>
        <v>NULL</v>
      </c>
      <c r="E263" s="16" t="n">
        <f aca="false">IF('Boletins Nuppa Site'!H263&lt;&gt;0,'Boletins Nuppa Site'!H263,"NULL")</f>
        <v>45</v>
      </c>
      <c r="F263" s="16" t="n">
        <f aca="false">IF('Boletins Nuppa Site'!I263&lt;&gt;0,'Boletins Nuppa Site'!I263,"NULL")</f>
        <v>60</v>
      </c>
      <c r="G263" s="1" t="str">
        <f aca="false">IF('Boletins Nuppa Site'!J263&lt;&gt;0,'Boletins Nuppa Site'!J263,"NULL")</f>
        <v>51.67</v>
      </c>
      <c r="H263" s="16" t="n">
        <f aca="false">IF('Boletins Nuppa Site'!K263&lt;&gt;0,'Boletins Nuppa Site'!K263,"NULL")</f>
        <v>50</v>
      </c>
      <c r="J263" s="1" t="str">
        <f aca="false">"INSERT INTO COTACAO (blt_id, pap_id, cot_prc_comum, cot_prc_min, cot_prc_max, cot_prc_med, cot_prc_mediana) VALUES ("&amp;B263&amp;", "&amp;C263&amp;", "&amp;D263&amp;", "&amp;E263&amp;", "&amp;F263&amp;", "&amp;G263&amp;", "&amp;H263&amp;");"</f>
        <v>INSERT INTO COTACAO (blt_id, pap_id, cot_prc_comum, cot_prc_min, cot_prc_max, cot_prc_med, cot_prc_mediana) VALUES (7, 30, NULL, 45, 60, 51.67, 50);</v>
      </c>
    </row>
    <row r="264" customFormat="false" ht="14.25" hidden="false" customHeight="false" outlineLevel="0" collapsed="false">
      <c r="A264" s="1" t="n">
        <v>263</v>
      </c>
      <c r="B264" s="1" t="n">
        <v>7</v>
      </c>
      <c r="C264" s="1" t="n">
        <v>31</v>
      </c>
      <c r="D264" s="1" t="str">
        <f aca="false">IF('Boletins Nuppa Site'!G264&lt;&gt;0,'Boletins Nuppa Site'!G264,"NULL")</f>
        <v>NULL</v>
      </c>
      <c r="E264" s="16" t="n">
        <f aca="false">IF('Boletins Nuppa Site'!H264&lt;&gt;0,'Boletins Nuppa Site'!H264,"NULL")</f>
        <v>60</v>
      </c>
      <c r="F264" s="16" t="n">
        <f aca="false">IF('Boletins Nuppa Site'!I264&lt;&gt;0,'Boletins Nuppa Site'!I264,"NULL")</f>
        <v>100</v>
      </c>
      <c r="G264" s="16" t="n">
        <f aca="false">IF('Boletins Nuppa Site'!J264&lt;&gt;0,'Boletins Nuppa Site'!J264,"NULL")</f>
        <v>81</v>
      </c>
      <c r="H264" s="16" t="n">
        <f aca="false">IF('Boletins Nuppa Site'!K264&lt;&gt;0,'Boletins Nuppa Site'!K264,"NULL")</f>
        <v>80</v>
      </c>
      <c r="J264" s="1" t="str">
        <f aca="false">"INSERT INTO COTACAO (blt_id, pap_id, cot_prc_comum, cot_prc_min, cot_prc_max, cot_prc_med, cot_prc_mediana) VALUES ("&amp;B264&amp;", "&amp;C264&amp;", "&amp;D264&amp;", "&amp;E264&amp;", "&amp;F264&amp;", "&amp;G264&amp;", "&amp;H264&amp;");"</f>
        <v>INSERT INTO COTACAO (blt_id, pap_id, cot_prc_comum, cot_prc_min, cot_prc_max, cot_prc_med, cot_prc_mediana) VALUES (7, 31, NULL, 60, 100, 81, 80);</v>
      </c>
    </row>
    <row r="265" customFormat="false" ht="14.25" hidden="false" customHeight="false" outlineLevel="0" collapsed="false">
      <c r="A265" s="1" t="n">
        <v>264</v>
      </c>
      <c r="B265" s="1" t="n">
        <v>7</v>
      </c>
      <c r="C265" s="1" t="n">
        <v>32</v>
      </c>
      <c r="D265" s="16" t="n">
        <f aca="false">IF('Boletins Nuppa Site'!G265&lt;&gt;0,'Boletins Nuppa Site'!G265,"NULL")</f>
        <v>40</v>
      </c>
      <c r="E265" s="16" t="n">
        <f aca="false">IF('Boletins Nuppa Site'!H265&lt;&gt;0,'Boletins Nuppa Site'!H265,"NULL")</f>
        <v>35</v>
      </c>
      <c r="F265" s="16" t="n">
        <f aca="false">IF('Boletins Nuppa Site'!I265&lt;&gt;0,'Boletins Nuppa Site'!I265,"NULL")</f>
        <v>40</v>
      </c>
      <c r="G265" s="1" t="str">
        <f aca="false">IF('Boletins Nuppa Site'!J265&lt;&gt;0,'Boletins Nuppa Site'!J265,"NULL")</f>
        <v>38.75</v>
      </c>
      <c r="H265" s="16" t="n">
        <f aca="false">IF('Boletins Nuppa Site'!K265&lt;&gt;0,'Boletins Nuppa Site'!K265,"NULL")</f>
        <v>40</v>
      </c>
      <c r="J265" s="1" t="str">
        <f aca="false">"INSERT INTO COTACAO (blt_id, pap_id, cot_prc_comum, cot_prc_min, cot_prc_max, cot_prc_med, cot_prc_mediana) VALUES ("&amp;B265&amp;", "&amp;C265&amp;", "&amp;D265&amp;", "&amp;E265&amp;", "&amp;F265&amp;", "&amp;G265&amp;", "&amp;H265&amp;");"</f>
        <v>INSERT INTO COTACAO (blt_id, pap_id, cot_prc_comum, cot_prc_min, cot_prc_max, cot_prc_med, cot_prc_mediana) VALUES (7, 32, 40, 35, 40, 38.75, 40);</v>
      </c>
    </row>
    <row r="266" customFormat="false" ht="14.25" hidden="false" customHeight="false" outlineLevel="0" collapsed="false">
      <c r="A266" s="1" t="n">
        <v>265</v>
      </c>
      <c r="B266" s="1" t="n">
        <v>7</v>
      </c>
      <c r="C266" s="1" t="n">
        <v>33</v>
      </c>
      <c r="D266" s="16" t="n">
        <f aca="false">IF('Boletins Nuppa Site'!G266&lt;&gt;0,'Boletins Nuppa Site'!G266,"NULL")</f>
        <v>70</v>
      </c>
      <c r="E266" s="16" t="n">
        <f aca="false">IF('Boletins Nuppa Site'!H266&lt;&gt;0,'Boletins Nuppa Site'!H266,"NULL")</f>
        <v>70</v>
      </c>
      <c r="F266" s="16" t="n">
        <f aca="false">IF('Boletins Nuppa Site'!I266&lt;&gt;0,'Boletins Nuppa Site'!I266,"NULL")</f>
        <v>100</v>
      </c>
      <c r="G266" s="16" t="n">
        <f aca="false">IF('Boletins Nuppa Site'!J266&lt;&gt;0,'Boletins Nuppa Site'!J266,"NULL")</f>
        <v>80</v>
      </c>
      <c r="H266" s="16" t="n">
        <f aca="false">IF('Boletins Nuppa Site'!K266&lt;&gt;0,'Boletins Nuppa Site'!K266,"NULL")</f>
        <v>75</v>
      </c>
      <c r="J266" s="1" t="str">
        <f aca="false">"INSERT INTO COTACAO (blt_id, pap_id, cot_prc_comum, cot_prc_min, cot_prc_max, cot_prc_med, cot_prc_mediana) VALUES ("&amp;B266&amp;", "&amp;C266&amp;", "&amp;D266&amp;", "&amp;E266&amp;", "&amp;F266&amp;", "&amp;G266&amp;", "&amp;H266&amp;");"</f>
        <v>INSERT INTO COTACAO (blt_id, pap_id, cot_prc_comum, cot_prc_min, cot_prc_max, cot_prc_med, cot_prc_mediana) VALUES (7, 33, 70, 70, 100, 80, 75);</v>
      </c>
    </row>
    <row r="267" customFormat="false" ht="14.25" hidden="false" customHeight="false" outlineLevel="0" collapsed="false">
      <c r="A267" s="1" t="n">
        <v>266</v>
      </c>
      <c r="B267" s="1" t="n">
        <v>7</v>
      </c>
      <c r="C267" s="1" t="n">
        <v>34</v>
      </c>
      <c r="D267" s="16" t="n">
        <f aca="false">IF('Boletins Nuppa Site'!G267&lt;&gt;0,'Boletins Nuppa Site'!G267,"NULL")</f>
        <v>110</v>
      </c>
      <c r="E267" s="16" t="n">
        <f aca="false">IF('Boletins Nuppa Site'!H267&lt;&gt;0,'Boletins Nuppa Site'!H267,"NULL")</f>
        <v>100</v>
      </c>
      <c r="F267" s="16" t="n">
        <f aca="false">IF('Boletins Nuppa Site'!I267&lt;&gt;0,'Boletins Nuppa Site'!I267,"NULL")</f>
        <v>140</v>
      </c>
      <c r="G267" s="16" t="n">
        <f aca="false">IF('Boletins Nuppa Site'!J267&lt;&gt;0,'Boletins Nuppa Site'!J267,"NULL")</f>
        <v>115</v>
      </c>
      <c r="H267" s="16" t="n">
        <f aca="false">IF('Boletins Nuppa Site'!K267&lt;&gt;0,'Boletins Nuppa Site'!K267,"NULL")</f>
        <v>110</v>
      </c>
      <c r="J267" s="1" t="str">
        <f aca="false">"INSERT INTO COTACAO (blt_id, pap_id, cot_prc_comum, cot_prc_min, cot_prc_max, cot_prc_med, cot_prc_mediana) VALUES ("&amp;B267&amp;", "&amp;C267&amp;", "&amp;D267&amp;", "&amp;E267&amp;", "&amp;F267&amp;", "&amp;G267&amp;", "&amp;H267&amp;");"</f>
        <v>INSERT INTO COTACAO (blt_id, pap_id, cot_prc_comum, cot_prc_min, cot_prc_max, cot_prc_med, cot_prc_mediana) VALUES (7, 34, 110, 100, 140, 115, 110);</v>
      </c>
    </row>
    <row r="268" customFormat="false" ht="14.25" hidden="false" customHeight="false" outlineLevel="0" collapsed="false">
      <c r="A268" s="1" t="n">
        <v>267</v>
      </c>
      <c r="B268" s="1" t="n">
        <v>7</v>
      </c>
      <c r="C268" s="1" t="n">
        <v>35</v>
      </c>
      <c r="D268" s="16" t="n">
        <f aca="false">IF('Boletins Nuppa Site'!G268&lt;&gt;0,'Boletins Nuppa Site'!G268,"NULL")</f>
        <v>120</v>
      </c>
      <c r="E268" s="16" t="n">
        <f aca="false">IF('Boletins Nuppa Site'!H268&lt;&gt;0,'Boletins Nuppa Site'!H268,"NULL")</f>
        <v>100</v>
      </c>
      <c r="F268" s="16" t="n">
        <f aca="false">IF('Boletins Nuppa Site'!I268&lt;&gt;0,'Boletins Nuppa Site'!I268,"NULL")</f>
        <v>130</v>
      </c>
      <c r="G268" s="1" t="str">
        <f aca="false">IF('Boletins Nuppa Site'!J268&lt;&gt;0,'Boletins Nuppa Site'!J268,"NULL")</f>
        <v>117.5</v>
      </c>
      <c r="H268" s="16" t="n">
        <f aca="false">IF('Boletins Nuppa Site'!K268&lt;&gt;0,'Boletins Nuppa Site'!K268,"NULL")</f>
        <v>120</v>
      </c>
      <c r="J268" s="1" t="str">
        <f aca="false">"INSERT INTO COTACAO (blt_id, pap_id, cot_prc_comum, cot_prc_min, cot_prc_max, cot_prc_med, cot_prc_mediana) VALUES ("&amp;B268&amp;", "&amp;C268&amp;", "&amp;D268&amp;", "&amp;E268&amp;", "&amp;F268&amp;", "&amp;G268&amp;", "&amp;H268&amp;");"</f>
        <v>INSERT INTO COTACAO (blt_id, pap_id, cot_prc_comum, cot_prc_min, cot_prc_max, cot_prc_med, cot_prc_mediana) VALUES (7, 35, 120, 100, 130, 117.5, 120);</v>
      </c>
    </row>
    <row r="269" customFormat="false" ht="14.25" hidden="false" customHeight="false" outlineLevel="0" collapsed="false">
      <c r="A269" s="1" t="n">
        <v>268</v>
      </c>
      <c r="B269" s="1" t="n">
        <v>7</v>
      </c>
      <c r="C269" s="1" t="n">
        <v>36</v>
      </c>
      <c r="D269" s="1" t="str">
        <f aca="false">IF('Boletins Nuppa Site'!G269&lt;&gt;0,'Boletins Nuppa Site'!G269,"NULL")</f>
        <v>NULL</v>
      </c>
      <c r="E269" s="1" t="str">
        <f aca="false">IF('Boletins Nuppa Site'!H269&lt;&gt;0,'Boletins Nuppa Site'!H269,"NULL")</f>
        <v>NULL</v>
      </c>
      <c r="F269" s="1" t="str">
        <f aca="false">IF('Boletins Nuppa Site'!I269&lt;&gt;0,'Boletins Nuppa Site'!I269,"NULL")</f>
        <v>NULL</v>
      </c>
      <c r="G269" s="1" t="str">
        <f aca="false">IF('Boletins Nuppa Site'!J269&lt;&gt;0,'Boletins Nuppa Site'!J269,"NULL")</f>
        <v>NULL</v>
      </c>
      <c r="H269" s="1" t="str">
        <f aca="false">IF('Boletins Nuppa Site'!K269&lt;&gt;0,'Boletins Nuppa Site'!K269,"NULL")</f>
        <v>NULL</v>
      </c>
      <c r="J269" s="1" t="str">
        <f aca="false">"INSERT INTO COTACAO (blt_id, pap_id, cot_prc_comum, cot_prc_min, cot_prc_max, cot_prc_med, cot_prc_mediana) VALUES ("&amp;B269&amp;", "&amp;C269&amp;", "&amp;D269&amp;", "&amp;E269&amp;", "&amp;F269&amp;", "&amp;G269&amp;", "&amp;H269&amp;");"</f>
        <v>INSERT INTO COTACAO (blt_id, pap_id, cot_prc_comum, cot_prc_min, cot_prc_max, cot_prc_med, cot_prc_mediana) VALUES (7, 36, NULL, NULL, NULL, NULL, NULL);</v>
      </c>
    </row>
    <row r="270" customFormat="false" ht="14.25" hidden="false" customHeight="false" outlineLevel="0" collapsed="false">
      <c r="A270" s="1" t="n">
        <v>269</v>
      </c>
      <c r="B270" s="1" t="n">
        <v>7</v>
      </c>
      <c r="C270" s="1" t="n">
        <v>37</v>
      </c>
      <c r="D270" s="1" t="str">
        <f aca="false">IF('Boletins Nuppa Site'!G270&lt;&gt;0,'Boletins Nuppa Site'!G270,"NULL")</f>
        <v>NULL</v>
      </c>
      <c r="E270" s="1" t="str">
        <f aca="false">IF('Boletins Nuppa Site'!H270&lt;&gt;0,'Boletins Nuppa Site'!H270,"NULL")</f>
        <v>NULL</v>
      </c>
      <c r="F270" s="1" t="str">
        <f aca="false">IF('Boletins Nuppa Site'!I270&lt;&gt;0,'Boletins Nuppa Site'!I270,"NULL")</f>
        <v>NULL</v>
      </c>
      <c r="G270" s="1" t="str">
        <f aca="false">IF('Boletins Nuppa Site'!J270&lt;&gt;0,'Boletins Nuppa Site'!J270,"NULL")</f>
        <v>NULL</v>
      </c>
      <c r="H270" s="1" t="str">
        <f aca="false">IF('Boletins Nuppa Site'!K270&lt;&gt;0,'Boletins Nuppa Site'!K270,"NULL")</f>
        <v>NULL</v>
      </c>
      <c r="J270" s="1" t="str">
        <f aca="false">"INSERT INTO COTACAO (blt_id, pap_id, cot_prc_comum, cot_prc_min, cot_prc_max, cot_prc_med, cot_prc_mediana) VALUES ("&amp;B270&amp;", "&amp;C270&amp;", "&amp;D270&amp;", "&amp;E270&amp;", "&amp;F270&amp;", "&amp;G270&amp;", "&amp;H270&amp;");"</f>
        <v>INSERT INTO COTACAO (blt_id, pap_id, cot_prc_comum, cot_prc_min, cot_prc_max, cot_prc_med, cot_prc_mediana) VALUES (7, 37, NULL, NULL, NULL, NULL, NULL);</v>
      </c>
    </row>
    <row r="271" customFormat="false" ht="14.25" hidden="false" customHeight="false" outlineLevel="0" collapsed="false">
      <c r="A271" s="1" t="n">
        <v>270</v>
      </c>
      <c r="B271" s="1" t="n">
        <v>7</v>
      </c>
      <c r="C271" s="1" t="n">
        <v>38</v>
      </c>
      <c r="D271" s="1" t="str">
        <f aca="false">IF('Boletins Nuppa Site'!G271&lt;&gt;0,'Boletins Nuppa Site'!G271,"NULL")</f>
        <v>NULL</v>
      </c>
      <c r="E271" s="1" t="str">
        <f aca="false">IF('Boletins Nuppa Site'!H271&lt;&gt;0,'Boletins Nuppa Site'!H271,"NULL")</f>
        <v>NULL</v>
      </c>
      <c r="F271" s="1" t="str">
        <f aca="false">IF('Boletins Nuppa Site'!I271&lt;&gt;0,'Boletins Nuppa Site'!I271,"NULL")</f>
        <v>NULL</v>
      </c>
      <c r="G271" s="1" t="str">
        <f aca="false">IF('Boletins Nuppa Site'!J271&lt;&gt;0,'Boletins Nuppa Site'!J271,"NULL")</f>
        <v>NULL</v>
      </c>
      <c r="H271" s="1" t="str">
        <f aca="false">IF('Boletins Nuppa Site'!K271&lt;&gt;0,'Boletins Nuppa Site'!K271,"NULL")</f>
        <v>NULL</v>
      </c>
      <c r="J271" s="1" t="str">
        <f aca="false">"INSERT INTO COTACAO (blt_id, pap_id, cot_prc_comum, cot_prc_min, cot_prc_max, cot_prc_med, cot_prc_mediana) VALUES ("&amp;B271&amp;", "&amp;C271&amp;", "&amp;D271&amp;", "&amp;E271&amp;", "&amp;F271&amp;", "&amp;G271&amp;", "&amp;H271&amp;");"</f>
        <v>INSERT INTO COTACAO (blt_id, pap_id, cot_prc_comum, cot_prc_min, cot_prc_max, cot_prc_med, cot_prc_mediana) VALUES (7, 38, NULL, NULL, NULL, NULL, NULL);</v>
      </c>
    </row>
    <row r="272" customFormat="false" ht="14.25" hidden="false" customHeight="false" outlineLevel="0" collapsed="false">
      <c r="A272" s="1" t="n">
        <v>271</v>
      </c>
      <c r="B272" s="1" t="n">
        <v>7</v>
      </c>
      <c r="C272" s="1" t="n">
        <v>39</v>
      </c>
      <c r="D272" s="1" t="str">
        <f aca="false">IF('Boletins Nuppa Site'!G272&lt;&gt;0,'Boletins Nuppa Site'!G272,"NULL")</f>
        <v>NULL</v>
      </c>
      <c r="E272" s="1" t="str">
        <f aca="false">IF('Boletins Nuppa Site'!H272&lt;&gt;0,'Boletins Nuppa Site'!H272,"NULL")</f>
        <v>NULL</v>
      </c>
      <c r="F272" s="1" t="str">
        <f aca="false">IF('Boletins Nuppa Site'!I272&lt;&gt;0,'Boletins Nuppa Site'!I272,"NULL")</f>
        <v>NULL</v>
      </c>
      <c r="G272" s="1" t="str">
        <f aca="false">IF('Boletins Nuppa Site'!J272&lt;&gt;0,'Boletins Nuppa Site'!J272,"NULL")</f>
        <v>NULL</v>
      </c>
      <c r="H272" s="1" t="str">
        <f aca="false">IF('Boletins Nuppa Site'!K272&lt;&gt;0,'Boletins Nuppa Site'!K272,"NULL")</f>
        <v>NULL</v>
      </c>
      <c r="J272" s="1" t="str">
        <f aca="false">"INSERT INTO COTACAO (blt_id, pap_id, cot_prc_comum, cot_prc_min, cot_prc_max, cot_prc_med, cot_prc_mediana) VALUES ("&amp;B272&amp;", "&amp;C272&amp;", "&amp;D272&amp;", "&amp;E272&amp;", "&amp;F272&amp;", "&amp;G272&amp;", "&amp;H272&amp;");"</f>
        <v>INSERT INTO COTACAO (blt_id, pap_id, cot_prc_comum, cot_prc_min, cot_prc_max, cot_prc_med, cot_prc_mediana) VALUES (7, 39, NULL, NULL, NULL, NULL, NULL);</v>
      </c>
    </row>
    <row r="273" customFormat="false" ht="14.25" hidden="false" customHeight="false" outlineLevel="0" collapsed="false">
      <c r="A273" s="1" t="n">
        <v>272</v>
      </c>
      <c r="B273" s="1" t="n">
        <v>7</v>
      </c>
      <c r="C273" s="1" t="n">
        <v>40</v>
      </c>
      <c r="D273" s="1" t="str">
        <f aca="false">IF('Boletins Nuppa Site'!G273&lt;&gt;0,'Boletins Nuppa Site'!G273,"NULL")</f>
        <v>NULL</v>
      </c>
      <c r="E273" s="1" t="str">
        <f aca="false">IF('Boletins Nuppa Site'!H273&lt;&gt;0,'Boletins Nuppa Site'!H273,"NULL")</f>
        <v>NULL</v>
      </c>
      <c r="F273" s="1" t="str">
        <f aca="false">IF('Boletins Nuppa Site'!I273&lt;&gt;0,'Boletins Nuppa Site'!I273,"NULL")</f>
        <v>NULL</v>
      </c>
      <c r="G273" s="1" t="str">
        <f aca="false">IF('Boletins Nuppa Site'!J273&lt;&gt;0,'Boletins Nuppa Site'!J273,"NULL")</f>
        <v>NULL</v>
      </c>
      <c r="H273" s="1" t="str">
        <f aca="false">IF('Boletins Nuppa Site'!K273&lt;&gt;0,'Boletins Nuppa Site'!K273,"NULL")</f>
        <v>NULL</v>
      </c>
      <c r="J273" s="1" t="str">
        <f aca="false">"INSERT INTO COTACAO (blt_id, pap_id, cot_prc_comum, cot_prc_min, cot_prc_max, cot_prc_med, cot_prc_mediana) VALUES ("&amp;B273&amp;", "&amp;C273&amp;", "&amp;D273&amp;", "&amp;E273&amp;", "&amp;F273&amp;", "&amp;G273&amp;", "&amp;H273&amp;");"</f>
        <v>INSERT INTO COTACAO (blt_id, pap_id, cot_prc_comum, cot_prc_min, cot_prc_max, cot_prc_med, cot_prc_mediana) VALUES (7, 40, NULL, NULL, NULL, NULL, NULL);</v>
      </c>
    </row>
    <row r="274" customFormat="false" ht="14.25" hidden="false" customHeight="false" outlineLevel="0" collapsed="false">
      <c r="A274" s="1" t="n">
        <v>273</v>
      </c>
      <c r="B274" s="1" t="n">
        <v>8</v>
      </c>
      <c r="C274" s="1" t="n">
        <v>1</v>
      </c>
      <c r="D274" s="16" t="n">
        <f aca="false">IF('Boletins Nuppa Site'!G274&lt;&gt;0,'Boletins Nuppa Site'!G274,"NULL")</f>
        <v>60</v>
      </c>
      <c r="E274" s="16" t="n">
        <f aca="false">IF('Boletins Nuppa Site'!H274&lt;&gt;0,'Boletins Nuppa Site'!H274,"NULL")</f>
        <v>48</v>
      </c>
      <c r="F274" s="16" t="n">
        <f aca="false">IF('Boletins Nuppa Site'!I274&lt;&gt;0,'Boletins Nuppa Site'!I274,"NULL")</f>
        <v>78</v>
      </c>
      <c r="G274" s="1" t="str">
        <f aca="false">IF('Boletins Nuppa Site'!J274&lt;&gt;0,'Boletins Nuppa Site'!J274,"NULL")</f>
        <v>61.5</v>
      </c>
      <c r="H274" s="16" t="n">
        <f aca="false">IF('Boletins Nuppa Site'!K274&lt;&gt;0,'Boletins Nuppa Site'!K274,"NULL")</f>
        <v>60</v>
      </c>
      <c r="J274" s="1" t="str">
        <f aca="false">"INSERT INTO COTACAO (blt_id, pap_id, cot_prc_comum, cot_prc_min, cot_prc_max, cot_prc_med, cot_prc_mediana) VALUES ("&amp;B274&amp;", "&amp;C274&amp;", "&amp;D274&amp;", "&amp;E274&amp;", "&amp;F274&amp;", "&amp;G274&amp;", "&amp;H274&amp;");"</f>
        <v>INSERT INTO COTACAO (blt_id, pap_id, cot_prc_comum, cot_prc_min, cot_prc_max, cot_prc_med, cot_prc_mediana) VALUES (8, 1, 60, 48, 78, 61.5, 60);</v>
      </c>
    </row>
    <row r="275" customFormat="false" ht="14.25" hidden="false" customHeight="false" outlineLevel="0" collapsed="false">
      <c r="A275" s="1" t="n">
        <v>274</v>
      </c>
      <c r="B275" s="1" t="n">
        <v>8</v>
      </c>
      <c r="C275" s="1" t="n">
        <v>2</v>
      </c>
      <c r="D275" s="16" t="n">
        <f aca="false">IF('Boletins Nuppa Site'!G275&lt;&gt;0,'Boletins Nuppa Site'!G275,"NULL")</f>
        <v>84</v>
      </c>
      <c r="E275" s="16" t="n">
        <f aca="false">IF('Boletins Nuppa Site'!H275&lt;&gt;0,'Boletins Nuppa Site'!H275,"NULL")</f>
        <v>72</v>
      </c>
      <c r="F275" s="16" t="n">
        <f aca="false">IF('Boletins Nuppa Site'!I275&lt;&gt;0,'Boletins Nuppa Site'!I275,"NULL")</f>
        <v>84</v>
      </c>
      <c r="G275" s="16" t="n">
        <f aca="false">IF('Boletins Nuppa Site'!J275&lt;&gt;0,'Boletins Nuppa Site'!J275,"NULL")</f>
        <v>80</v>
      </c>
      <c r="H275" s="16" t="n">
        <f aca="false">IF('Boletins Nuppa Site'!K275&lt;&gt;0,'Boletins Nuppa Site'!K275,"NULL")</f>
        <v>84</v>
      </c>
      <c r="J275" s="1" t="str">
        <f aca="false">"INSERT INTO COTACAO (blt_id, pap_id, cot_prc_comum, cot_prc_min, cot_prc_max, cot_prc_med, cot_prc_mediana) VALUES ("&amp;B275&amp;", "&amp;C275&amp;", "&amp;D275&amp;", "&amp;E275&amp;", "&amp;F275&amp;", "&amp;G275&amp;", "&amp;H275&amp;");"</f>
        <v>INSERT INTO COTACAO (blt_id, pap_id, cot_prc_comum, cot_prc_min, cot_prc_max, cot_prc_med, cot_prc_mediana) VALUES (8, 2, 84, 72, 84, 80, 84);</v>
      </c>
    </row>
    <row r="276" customFormat="false" ht="14.25" hidden="false" customHeight="false" outlineLevel="0" collapsed="false">
      <c r="A276" s="1" t="n">
        <v>275</v>
      </c>
      <c r="B276" s="1" t="n">
        <v>8</v>
      </c>
      <c r="C276" s="1" t="n">
        <v>3</v>
      </c>
      <c r="D276" s="1" t="str">
        <f aca="false">IF('Boletins Nuppa Site'!G276&lt;&gt;0,'Boletins Nuppa Site'!G276,"NULL")</f>
        <v>NULL</v>
      </c>
      <c r="E276" s="16" t="n">
        <f aca="false">IF('Boletins Nuppa Site'!H276&lt;&gt;0,'Boletins Nuppa Site'!H276,"NULL")</f>
        <v>45</v>
      </c>
      <c r="F276" s="16" t="n">
        <f aca="false">IF('Boletins Nuppa Site'!I276&lt;&gt;0,'Boletins Nuppa Site'!I276,"NULL")</f>
        <v>60</v>
      </c>
      <c r="G276" s="1" t="str">
        <f aca="false">IF('Boletins Nuppa Site'!J276&lt;&gt;0,'Boletins Nuppa Site'!J276,"NULL")</f>
        <v>51.75</v>
      </c>
      <c r="H276" s="16" t="n">
        <f aca="false">IF('Boletins Nuppa Site'!K276&lt;&gt;0,'Boletins Nuppa Site'!K276,"NULL")</f>
        <v>51</v>
      </c>
      <c r="J276" s="1" t="str">
        <f aca="false">"INSERT INTO COTACAO (blt_id, pap_id, cot_prc_comum, cot_prc_min, cot_prc_max, cot_prc_med, cot_prc_mediana) VALUES ("&amp;B276&amp;", "&amp;C276&amp;", "&amp;D276&amp;", "&amp;E276&amp;", "&amp;F276&amp;", "&amp;G276&amp;", "&amp;H276&amp;");"</f>
        <v>INSERT INTO COTACAO (blt_id, pap_id, cot_prc_comum, cot_prc_min, cot_prc_max, cot_prc_med, cot_prc_mediana) VALUES (8, 3, NULL, 45, 60, 51.75, 51);</v>
      </c>
    </row>
    <row r="277" customFormat="false" ht="14.25" hidden="false" customHeight="false" outlineLevel="0" collapsed="false">
      <c r="A277" s="1" t="n">
        <v>276</v>
      </c>
      <c r="B277" s="1" t="n">
        <v>8</v>
      </c>
      <c r="C277" s="1" t="n">
        <v>4</v>
      </c>
      <c r="D277" s="1" t="str">
        <f aca="false">IF('Boletins Nuppa Site'!G277&lt;&gt;0,'Boletins Nuppa Site'!G277,"NULL")</f>
        <v>NULL</v>
      </c>
      <c r="E277" s="16" t="n">
        <f aca="false">IF('Boletins Nuppa Site'!H277&lt;&gt;0,'Boletins Nuppa Site'!H277,"NULL")</f>
        <v>30</v>
      </c>
      <c r="F277" s="16" t="n">
        <f aca="false">IF('Boletins Nuppa Site'!I277&lt;&gt;0,'Boletins Nuppa Site'!I277,"NULL")</f>
        <v>50</v>
      </c>
      <c r="G277" s="1" t="str">
        <f aca="false">IF('Boletins Nuppa Site'!J277&lt;&gt;0,'Boletins Nuppa Site'!J277,"NULL")</f>
        <v>38.6</v>
      </c>
      <c r="H277" s="16" t="n">
        <f aca="false">IF('Boletins Nuppa Site'!K277&lt;&gt;0,'Boletins Nuppa Site'!K277,"NULL")</f>
        <v>36</v>
      </c>
      <c r="J277" s="1" t="str">
        <f aca="false">"INSERT INTO COTACAO (blt_id, pap_id, cot_prc_comum, cot_prc_min, cot_prc_max, cot_prc_med, cot_prc_mediana) VALUES ("&amp;B277&amp;", "&amp;C277&amp;", "&amp;D277&amp;", "&amp;E277&amp;", "&amp;F277&amp;", "&amp;G277&amp;", "&amp;H277&amp;");"</f>
        <v>INSERT INTO COTACAO (blt_id, pap_id, cot_prc_comum, cot_prc_min, cot_prc_max, cot_prc_med, cot_prc_mediana) VALUES (8, 4, NULL, 30, 50, 38.6, 36);</v>
      </c>
    </row>
    <row r="278" customFormat="false" ht="14.25" hidden="false" customHeight="false" outlineLevel="0" collapsed="false">
      <c r="A278" s="1" t="n">
        <v>277</v>
      </c>
      <c r="B278" s="1" t="n">
        <v>8</v>
      </c>
      <c r="C278" s="1" t="n">
        <v>5</v>
      </c>
      <c r="D278" s="1" t="str">
        <f aca="false">IF('Boletins Nuppa Site'!G278&lt;&gt;0,'Boletins Nuppa Site'!G278,"NULL")</f>
        <v>NULL</v>
      </c>
      <c r="E278" s="16" t="n">
        <f aca="false">IF('Boletins Nuppa Site'!H278&lt;&gt;0,'Boletins Nuppa Site'!H278,"NULL")</f>
        <v>30</v>
      </c>
      <c r="F278" s="16" t="n">
        <f aca="false">IF('Boletins Nuppa Site'!I278&lt;&gt;0,'Boletins Nuppa Site'!I278,"NULL")</f>
        <v>42</v>
      </c>
      <c r="G278" s="1" t="str">
        <f aca="false">IF('Boletins Nuppa Site'!J278&lt;&gt;0,'Boletins Nuppa Site'!J278,"NULL")</f>
        <v>35.75</v>
      </c>
      <c r="H278" s="1" t="str">
        <f aca="false">IF('Boletins Nuppa Site'!K278&lt;&gt;0,'Boletins Nuppa Site'!K278,"NULL")</f>
        <v>35.5</v>
      </c>
      <c r="J278" s="1" t="str">
        <f aca="false">"INSERT INTO COTACAO (blt_id, pap_id, cot_prc_comum, cot_prc_min, cot_prc_max, cot_prc_med, cot_prc_mediana) VALUES ("&amp;B278&amp;", "&amp;C278&amp;", "&amp;D278&amp;", "&amp;E278&amp;", "&amp;F278&amp;", "&amp;G278&amp;", "&amp;H278&amp;");"</f>
        <v>INSERT INTO COTACAO (blt_id, pap_id, cot_prc_comum, cot_prc_min, cot_prc_max, cot_prc_med, cot_prc_mediana) VALUES (8, 5, NULL, 30, 42, 35.75, 35.5);</v>
      </c>
    </row>
    <row r="279" customFormat="false" ht="14.25" hidden="false" customHeight="false" outlineLevel="0" collapsed="false">
      <c r="A279" s="1" t="n">
        <v>278</v>
      </c>
      <c r="B279" s="1" t="n">
        <v>8</v>
      </c>
      <c r="C279" s="1" t="n">
        <v>6</v>
      </c>
      <c r="D279" s="16" t="n">
        <f aca="false">IF('Boletins Nuppa Site'!G279&lt;&gt;0,'Boletins Nuppa Site'!G279,"NULL")</f>
        <v>60</v>
      </c>
      <c r="E279" s="16" t="n">
        <f aca="false">IF('Boletins Nuppa Site'!H279&lt;&gt;0,'Boletins Nuppa Site'!H279,"NULL")</f>
        <v>48</v>
      </c>
      <c r="F279" s="16" t="n">
        <f aca="false">IF('Boletins Nuppa Site'!I279&lt;&gt;0,'Boletins Nuppa Site'!I279,"NULL")</f>
        <v>60</v>
      </c>
      <c r="G279" s="16" t="n">
        <f aca="false">IF('Boletins Nuppa Site'!J279&lt;&gt;0,'Boletins Nuppa Site'!J279,"NULL")</f>
        <v>56</v>
      </c>
      <c r="H279" s="16" t="n">
        <f aca="false">IF('Boletins Nuppa Site'!K279&lt;&gt;0,'Boletins Nuppa Site'!K279,"NULL")</f>
        <v>60</v>
      </c>
      <c r="J279" s="1" t="str">
        <f aca="false">"INSERT INTO COTACAO (blt_id, pap_id, cot_prc_comum, cot_prc_min, cot_prc_max, cot_prc_med, cot_prc_mediana) VALUES ("&amp;B279&amp;", "&amp;C279&amp;", "&amp;D279&amp;", "&amp;E279&amp;", "&amp;F279&amp;", "&amp;G279&amp;", "&amp;H279&amp;");"</f>
        <v>INSERT INTO COTACAO (blt_id, pap_id, cot_prc_comum, cot_prc_min, cot_prc_max, cot_prc_med, cot_prc_mediana) VALUES (8, 6, 60, 48, 60, 56, 60);</v>
      </c>
    </row>
    <row r="280" customFormat="false" ht="14.25" hidden="false" customHeight="false" outlineLevel="0" collapsed="false">
      <c r="A280" s="1" t="n">
        <v>279</v>
      </c>
      <c r="B280" s="1" t="n">
        <v>8</v>
      </c>
      <c r="C280" s="1" t="n">
        <v>7</v>
      </c>
      <c r="D280" s="16" t="n">
        <f aca="false">IF('Boletins Nuppa Site'!G280&lt;&gt;0,'Boletins Nuppa Site'!G280,"NULL")</f>
        <v>72</v>
      </c>
      <c r="E280" s="16" t="n">
        <f aca="false">IF('Boletins Nuppa Site'!H280&lt;&gt;0,'Boletins Nuppa Site'!H280,"NULL")</f>
        <v>60</v>
      </c>
      <c r="F280" s="16" t="n">
        <f aca="false">IF('Boletins Nuppa Site'!I280&lt;&gt;0,'Boletins Nuppa Site'!I280,"NULL")</f>
        <v>84</v>
      </c>
      <c r="G280" s="16" t="n">
        <f aca="false">IF('Boletins Nuppa Site'!J280&lt;&gt;0,'Boletins Nuppa Site'!J280,"NULL")</f>
        <v>72</v>
      </c>
      <c r="H280" s="16" t="n">
        <f aca="false">IF('Boletins Nuppa Site'!K280&lt;&gt;0,'Boletins Nuppa Site'!K280,"NULL")</f>
        <v>72</v>
      </c>
      <c r="J280" s="1" t="str">
        <f aca="false">"INSERT INTO COTACAO (blt_id, pap_id, cot_prc_comum, cot_prc_min, cot_prc_max, cot_prc_med, cot_prc_mediana) VALUES ("&amp;B280&amp;", "&amp;C280&amp;", "&amp;D280&amp;", "&amp;E280&amp;", "&amp;F280&amp;", "&amp;G280&amp;", "&amp;H280&amp;");"</f>
        <v>INSERT INTO COTACAO (blt_id, pap_id, cot_prc_comum, cot_prc_min, cot_prc_max, cot_prc_med, cot_prc_mediana) VALUES (8, 7, 72, 60, 84, 72, 72);</v>
      </c>
    </row>
    <row r="281" customFormat="false" ht="14.25" hidden="false" customHeight="false" outlineLevel="0" collapsed="false">
      <c r="A281" s="1" t="n">
        <v>280</v>
      </c>
      <c r="B281" s="1" t="n">
        <v>8</v>
      </c>
      <c r="C281" s="1" t="n">
        <v>8</v>
      </c>
      <c r="D281" s="16" t="n">
        <f aca="false">IF('Boletins Nuppa Site'!G281&lt;&gt;0,'Boletins Nuppa Site'!G281,"NULL")</f>
        <v>84</v>
      </c>
      <c r="E281" s="16" t="n">
        <f aca="false">IF('Boletins Nuppa Site'!H281&lt;&gt;0,'Boletins Nuppa Site'!H281,"NULL")</f>
        <v>72</v>
      </c>
      <c r="F281" s="16" t="n">
        <f aca="false">IF('Boletins Nuppa Site'!I281&lt;&gt;0,'Boletins Nuppa Site'!I281,"NULL")</f>
        <v>96</v>
      </c>
      <c r="G281" s="16" t="n">
        <f aca="false">IF('Boletins Nuppa Site'!J281&lt;&gt;0,'Boletins Nuppa Site'!J281,"NULL")</f>
        <v>84</v>
      </c>
      <c r="H281" s="16" t="n">
        <f aca="false">IF('Boletins Nuppa Site'!K281&lt;&gt;0,'Boletins Nuppa Site'!K281,"NULL")</f>
        <v>84</v>
      </c>
      <c r="J281" s="1" t="str">
        <f aca="false">"INSERT INTO COTACAO (blt_id, pap_id, cot_prc_comum, cot_prc_min, cot_prc_max, cot_prc_med, cot_prc_mediana) VALUES ("&amp;B281&amp;", "&amp;C281&amp;", "&amp;D281&amp;", "&amp;E281&amp;", "&amp;F281&amp;", "&amp;G281&amp;", "&amp;H281&amp;");"</f>
        <v>INSERT INTO COTACAO (blt_id, pap_id, cot_prc_comum, cot_prc_min, cot_prc_max, cot_prc_med, cot_prc_mediana) VALUES (8, 8, 84, 72, 96, 84, 84);</v>
      </c>
    </row>
    <row r="282" customFormat="false" ht="14.25" hidden="false" customHeight="false" outlineLevel="0" collapsed="false">
      <c r="A282" s="1" t="n">
        <v>281</v>
      </c>
      <c r="B282" s="1" t="n">
        <v>8</v>
      </c>
      <c r="C282" s="1" t="n">
        <v>9</v>
      </c>
      <c r="D282" s="16" t="n">
        <f aca="false">IF('Boletins Nuppa Site'!G282&lt;&gt;0,'Boletins Nuppa Site'!G282,"NULL")</f>
        <v>25</v>
      </c>
      <c r="E282" s="16" t="n">
        <f aca="false">IF('Boletins Nuppa Site'!H282&lt;&gt;0,'Boletins Nuppa Site'!H282,"NULL")</f>
        <v>24</v>
      </c>
      <c r="F282" s="16" t="n">
        <f aca="false">IF('Boletins Nuppa Site'!I282&lt;&gt;0,'Boletins Nuppa Site'!I282,"NULL")</f>
        <v>30</v>
      </c>
      <c r="G282" s="16" t="n">
        <f aca="false">IF('Boletins Nuppa Site'!J282&lt;&gt;0,'Boletins Nuppa Site'!J282,"NULL")</f>
        <v>26</v>
      </c>
      <c r="H282" s="16" t="n">
        <f aca="false">IF('Boletins Nuppa Site'!K282&lt;&gt;0,'Boletins Nuppa Site'!K282,"NULL")</f>
        <v>25</v>
      </c>
      <c r="J282" s="1" t="str">
        <f aca="false">"INSERT INTO COTACAO (blt_id, pap_id, cot_prc_comum, cot_prc_min, cot_prc_max, cot_prc_med, cot_prc_mediana) VALUES ("&amp;B282&amp;", "&amp;C282&amp;", "&amp;D282&amp;", "&amp;E282&amp;", "&amp;F282&amp;", "&amp;G282&amp;", "&amp;H282&amp;");"</f>
        <v>INSERT INTO COTACAO (blt_id, pap_id, cot_prc_comum, cot_prc_min, cot_prc_max, cot_prc_med, cot_prc_mediana) VALUES (8, 9, 25, 24, 30, 26, 25);</v>
      </c>
    </row>
    <row r="283" customFormat="false" ht="14.25" hidden="false" customHeight="false" outlineLevel="0" collapsed="false">
      <c r="A283" s="1" t="n">
        <v>282</v>
      </c>
      <c r="B283" s="1" t="n">
        <v>8</v>
      </c>
      <c r="C283" s="1" t="n">
        <v>10</v>
      </c>
      <c r="D283" s="16" t="n">
        <f aca="false">IF('Boletins Nuppa Site'!G283&lt;&gt;0,'Boletins Nuppa Site'!G283,"NULL")</f>
        <v>84</v>
      </c>
      <c r="E283" s="16" t="n">
        <f aca="false">IF('Boletins Nuppa Site'!H283&lt;&gt;0,'Boletins Nuppa Site'!H283,"NULL")</f>
        <v>84</v>
      </c>
      <c r="F283" s="16" t="n">
        <f aca="false">IF('Boletins Nuppa Site'!I283&lt;&gt;0,'Boletins Nuppa Site'!I283,"NULL")</f>
        <v>108</v>
      </c>
      <c r="G283" s="1" t="str">
        <f aca="false">IF('Boletins Nuppa Site'!J283&lt;&gt;0,'Boletins Nuppa Site'!J283,"NULL")</f>
        <v>93.6</v>
      </c>
      <c r="H283" s="16" t="n">
        <f aca="false">IF('Boletins Nuppa Site'!K283&lt;&gt;0,'Boletins Nuppa Site'!K283,"NULL")</f>
        <v>96</v>
      </c>
      <c r="J283" s="1" t="str">
        <f aca="false">"INSERT INTO COTACAO (blt_id, pap_id, cot_prc_comum, cot_prc_min, cot_prc_max, cot_prc_med, cot_prc_mediana) VALUES ("&amp;B283&amp;", "&amp;C283&amp;", "&amp;D283&amp;", "&amp;E283&amp;", "&amp;F283&amp;", "&amp;G283&amp;", "&amp;H283&amp;");"</f>
        <v>INSERT INTO COTACAO (blt_id, pap_id, cot_prc_comum, cot_prc_min, cot_prc_max, cot_prc_med, cot_prc_mediana) VALUES (8, 10, 84, 84, 108, 93.6, 96);</v>
      </c>
    </row>
    <row r="284" customFormat="false" ht="14.25" hidden="false" customHeight="false" outlineLevel="0" collapsed="false">
      <c r="A284" s="1" t="n">
        <v>283</v>
      </c>
      <c r="B284" s="1" t="n">
        <v>8</v>
      </c>
      <c r="C284" s="1" t="n">
        <v>11</v>
      </c>
      <c r="D284" s="1" t="str">
        <f aca="false">IF('Boletins Nuppa Site'!G284&lt;&gt;0,'Boletins Nuppa Site'!G284,"NULL")</f>
        <v>NULL</v>
      </c>
      <c r="E284" s="16" t="n">
        <f aca="false">IF('Boletins Nuppa Site'!H284&lt;&gt;0,'Boletins Nuppa Site'!H284,"NULL")</f>
        <v>25</v>
      </c>
      <c r="F284" s="16" t="n">
        <f aca="false">IF('Boletins Nuppa Site'!I284&lt;&gt;0,'Boletins Nuppa Site'!I284,"NULL")</f>
        <v>42</v>
      </c>
      <c r="G284" s="1" t="str">
        <f aca="false">IF('Boletins Nuppa Site'!J284&lt;&gt;0,'Boletins Nuppa Site'!J284,"NULL")</f>
        <v>33.25</v>
      </c>
      <c r="H284" s="16" t="n">
        <f aca="false">IF('Boletins Nuppa Site'!K284&lt;&gt;0,'Boletins Nuppa Site'!K284,"NULL")</f>
        <v>33</v>
      </c>
      <c r="J284" s="1" t="str">
        <f aca="false">"INSERT INTO COTACAO (blt_id, pap_id, cot_prc_comum, cot_prc_min, cot_prc_max, cot_prc_med, cot_prc_mediana) VALUES ("&amp;B284&amp;", "&amp;C284&amp;", "&amp;D284&amp;", "&amp;E284&amp;", "&amp;F284&amp;", "&amp;G284&amp;", "&amp;H284&amp;");"</f>
        <v>INSERT INTO COTACAO (blt_id, pap_id, cot_prc_comum, cot_prc_min, cot_prc_max, cot_prc_med, cot_prc_mediana) VALUES (8, 11, NULL, 25, 42, 33.25, 33);</v>
      </c>
    </row>
    <row r="285" customFormat="false" ht="14.25" hidden="false" customHeight="false" outlineLevel="0" collapsed="false">
      <c r="A285" s="1" t="n">
        <v>284</v>
      </c>
      <c r="B285" s="1" t="n">
        <v>8</v>
      </c>
      <c r="C285" s="1" t="n">
        <v>12</v>
      </c>
      <c r="D285" s="16" t="n">
        <f aca="false">IF('Boletins Nuppa Site'!G285&lt;&gt;0,'Boletins Nuppa Site'!G285,"NULL")</f>
        <v>60</v>
      </c>
      <c r="E285" s="16" t="n">
        <f aca="false">IF('Boletins Nuppa Site'!H285&lt;&gt;0,'Boletins Nuppa Site'!H285,"NULL")</f>
        <v>60</v>
      </c>
      <c r="F285" s="16" t="n">
        <f aca="false">IF('Boletins Nuppa Site'!I285&lt;&gt;0,'Boletins Nuppa Site'!I285,"NULL")</f>
        <v>72</v>
      </c>
      <c r="G285" s="16" t="n">
        <f aca="false">IF('Boletins Nuppa Site'!J285&lt;&gt;0,'Boletins Nuppa Site'!J285,"NULL")</f>
        <v>64</v>
      </c>
      <c r="H285" s="16" t="n">
        <f aca="false">IF('Boletins Nuppa Site'!K285&lt;&gt;0,'Boletins Nuppa Site'!K285,"NULL")</f>
        <v>60</v>
      </c>
      <c r="J285" s="1" t="str">
        <f aca="false">"INSERT INTO COTACAO (blt_id, pap_id, cot_prc_comum, cot_prc_min, cot_prc_max, cot_prc_med, cot_prc_mediana) VALUES ("&amp;B285&amp;", "&amp;C285&amp;", "&amp;D285&amp;", "&amp;E285&amp;", "&amp;F285&amp;", "&amp;G285&amp;", "&amp;H285&amp;");"</f>
        <v>INSERT INTO COTACAO (blt_id, pap_id, cot_prc_comum, cot_prc_min, cot_prc_max, cot_prc_med, cot_prc_mediana) VALUES (8, 12, 60, 60, 72, 64, 60);</v>
      </c>
    </row>
    <row r="286" customFormat="false" ht="14.25" hidden="false" customHeight="false" outlineLevel="0" collapsed="false">
      <c r="A286" s="1" t="n">
        <v>285</v>
      </c>
      <c r="B286" s="1" t="n">
        <v>8</v>
      </c>
      <c r="C286" s="1" t="n">
        <v>13</v>
      </c>
      <c r="D286" s="16" t="n">
        <f aca="false">IF('Boletins Nuppa Site'!G286&lt;&gt;0,'Boletins Nuppa Site'!G286,"NULL")</f>
        <v>60</v>
      </c>
      <c r="E286" s="16" t="n">
        <f aca="false">IF('Boletins Nuppa Site'!H286&lt;&gt;0,'Boletins Nuppa Site'!H286,"NULL")</f>
        <v>48</v>
      </c>
      <c r="F286" s="16" t="n">
        <f aca="false">IF('Boletins Nuppa Site'!I286&lt;&gt;0,'Boletins Nuppa Site'!I286,"NULL")</f>
        <v>72</v>
      </c>
      <c r="G286" s="16" t="n">
        <f aca="false">IF('Boletins Nuppa Site'!J286&lt;&gt;0,'Boletins Nuppa Site'!J286,"NULL")</f>
        <v>60</v>
      </c>
      <c r="H286" s="16" t="n">
        <f aca="false">IF('Boletins Nuppa Site'!K286&lt;&gt;0,'Boletins Nuppa Site'!K286,"NULL")</f>
        <v>60</v>
      </c>
      <c r="J286" s="1" t="str">
        <f aca="false">"INSERT INTO COTACAO (blt_id, pap_id, cot_prc_comum, cot_prc_min, cot_prc_max, cot_prc_med, cot_prc_mediana) VALUES ("&amp;B286&amp;", "&amp;C286&amp;", "&amp;D286&amp;", "&amp;E286&amp;", "&amp;F286&amp;", "&amp;G286&amp;", "&amp;H286&amp;");"</f>
        <v>INSERT INTO COTACAO (blt_id, pap_id, cot_prc_comum, cot_prc_min, cot_prc_max, cot_prc_med, cot_prc_mediana) VALUES (8, 13, 60, 48, 72, 60, 60);</v>
      </c>
    </row>
    <row r="287" customFormat="false" ht="14.25" hidden="false" customHeight="false" outlineLevel="0" collapsed="false">
      <c r="A287" s="1" t="n">
        <v>286</v>
      </c>
      <c r="B287" s="1" t="n">
        <v>8</v>
      </c>
      <c r="C287" s="1" t="n">
        <v>14</v>
      </c>
      <c r="D287" s="16" t="n">
        <f aca="false">IF('Boletins Nuppa Site'!G287&lt;&gt;0,'Boletins Nuppa Site'!G287,"NULL")</f>
        <v>84</v>
      </c>
      <c r="E287" s="16" t="n">
        <f aca="false">IF('Boletins Nuppa Site'!H287&lt;&gt;0,'Boletins Nuppa Site'!H287,"NULL")</f>
        <v>60</v>
      </c>
      <c r="F287" s="16" t="n">
        <f aca="false">IF('Boletins Nuppa Site'!I287&lt;&gt;0,'Boletins Nuppa Site'!I287,"NULL")</f>
        <v>84</v>
      </c>
      <c r="G287" s="16" t="n">
        <f aca="false">IF('Boletins Nuppa Site'!J287&lt;&gt;0,'Boletins Nuppa Site'!J287,"NULL")</f>
        <v>75</v>
      </c>
      <c r="H287" s="16" t="n">
        <f aca="false">IF('Boletins Nuppa Site'!K287&lt;&gt;0,'Boletins Nuppa Site'!K287,"NULL")</f>
        <v>78</v>
      </c>
      <c r="J287" s="1" t="str">
        <f aca="false">"INSERT INTO COTACAO (blt_id, pap_id, cot_prc_comum, cot_prc_min, cot_prc_max, cot_prc_med, cot_prc_mediana) VALUES ("&amp;B287&amp;", "&amp;C287&amp;", "&amp;D287&amp;", "&amp;E287&amp;", "&amp;F287&amp;", "&amp;G287&amp;", "&amp;H287&amp;");"</f>
        <v>INSERT INTO COTACAO (blt_id, pap_id, cot_prc_comum, cot_prc_min, cot_prc_max, cot_prc_med, cot_prc_mediana) VALUES (8, 14, 84, 60, 84, 75, 78);</v>
      </c>
    </row>
    <row r="288" customFormat="false" ht="14.25" hidden="false" customHeight="false" outlineLevel="0" collapsed="false">
      <c r="A288" s="1" t="n">
        <v>287</v>
      </c>
      <c r="B288" s="1" t="n">
        <v>8</v>
      </c>
      <c r="C288" s="1" t="n">
        <v>15</v>
      </c>
      <c r="D288" s="16" t="n">
        <f aca="false">IF('Boletins Nuppa Site'!G288&lt;&gt;0,'Boletins Nuppa Site'!G288,"NULL")</f>
        <v>60</v>
      </c>
      <c r="E288" s="16" t="n">
        <f aca="false">IF('Boletins Nuppa Site'!H288&lt;&gt;0,'Boletins Nuppa Site'!H288,"NULL")</f>
        <v>48</v>
      </c>
      <c r="F288" s="16" t="n">
        <f aca="false">IF('Boletins Nuppa Site'!I288&lt;&gt;0,'Boletins Nuppa Site'!I288,"NULL")</f>
        <v>78</v>
      </c>
      <c r="G288" s="1" t="str">
        <f aca="false">IF('Boletins Nuppa Site'!J288&lt;&gt;0,'Boletins Nuppa Site'!J288,"NULL")</f>
        <v>61.2</v>
      </c>
      <c r="H288" s="16" t="n">
        <f aca="false">IF('Boletins Nuppa Site'!K288&lt;&gt;0,'Boletins Nuppa Site'!K288,"NULL")</f>
        <v>60</v>
      </c>
      <c r="J288" s="1" t="str">
        <f aca="false">"INSERT INTO COTACAO (blt_id, pap_id, cot_prc_comum, cot_prc_min, cot_prc_max, cot_prc_med, cot_prc_mediana) VALUES ("&amp;B288&amp;", "&amp;C288&amp;", "&amp;D288&amp;", "&amp;E288&amp;", "&amp;F288&amp;", "&amp;G288&amp;", "&amp;H288&amp;");"</f>
        <v>INSERT INTO COTACAO (blt_id, pap_id, cot_prc_comum, cot_prc_min, cot_prc_max, cot_prc_med, cot_prc_mediana) VALUES (8, 15, 60, 48, 78, 61.2, 60);</v>
      </c>
    </row>
    <row r="289" customFormat="false" ht="14.25" hidden="false" customHeight="false" outlineLevel="0" collapsed="false">
      <c r="A289" s="1" t="n">
        <v>288</v>
      </c>
      <c r="B289" s="1" t="n">
        <v>8</v>
      </c>
      <c r="C289" s="1" t="n">
        <v>16</v>
      </c>
      <c r="D289" s="1" t="str">
        <f aca="false">IF('Boletins Nuppa Site'!G289&lt;&gt;0,'Boletins Nuppa Site'!G289,"NULL")</f>
        <v>NULL</v>
      </c>
      <c r="E289" s="16" t="n">
        <f aca="false">IF('Boletins Nuppa Site'!H289&lt;&gt;0,'Boletins Nuppa Site'!H289,"NULL")</f>
        <v>42</v>
      </c>
      <c r="F289" s="16" t="n">
        <f aca="false">IF('Boletins Nuppa Site'!I289&lt;&gt;0,'Boletins Nuppa Site'!I289,"NULL")</f>
        <v>54</v>
      </c>
      <c r="G289" s="16" t="n">
        <f aca="false">IF('Boletins Nuppa Site'!J289&lt;&gt;0,'Boletins Nuppa Site'!J289,"NULL")</f>
        <v>48</v>
      </c>
      <c r="H289" s="16" t="n">
        <f aca="false">IF('Boletins Nuppa Site'!K289&lt;&gt;0,'Boletins Nuppa Site'!K289,"NULL")</f>
        <v>48</v>
      </c>
      <c r="J289" s="1" t="str">
        <f aca="false">"INSERT INTO COTACAO (blt_id, pap_id, cot_prc_comum, cot_prc_min, cot_prc_max, cot_prc_med, cot_prc_mediana) VALUES ("&amp;B289&amp;", "&amp;C289&amp;", "&amp;D289&amp;", "&amp;E289&amp;", "&amp;F289&amp;", "&amp;G289&amp;", "&amp;H289&amp;");"</f>
        <v>INSERT INTO COTACAO (blt_id, pap_id, cot_prc_comum, cot_prc_min, cot_prc_max, cot_prc_med, cot_prc_mediana) VALUES (8, 16, NULL, 42, 54, 48, 48);</v>
      </c>
    </row>
    <row r="290" customFormat="false" ht="14.25" hidden="false" customHeight="false" outlineLevel="0" collapsed="false">
      <c r="A290" s="1" t="n">
        <v>289</v>
      </c>
      <c r="B290" s="1" t="n">
        <v>8</v>
      </c>
      <c r="C290" s="1" t="n">
        <v>17</v>
      </c>
      <c r="D290" s="16" t="n">
        <f aca="false">IF('Boletins Nuppa Site'!G290&lt;&gt;0,'Boletins Nuppa Site'!G290,"NULL")</f>
        <v>5</v>
      </c>
      <c r="E290" s="16" t="n">
        <f aca="false">IF('Boletins Nuppa Site'!H290&lt;&gt;0,'Boletins Nuppa Site'!H290,"NULL")</f>
        <v>4</v>
      </c>
      <c r="F290" s="16" t="n">
        <f aca="false">IF('Boletins Nuppa Site'!I290&lt;&gt;0,'Boletins Nuppa Site'!I290,"NULL")</f>
        <v>5</v>
      </c>
      <c r="G290" s="1" t="str">
        <f aca="false">IF('Boletins Nuppa Site'!J290&lt;&gt;0,'Boletins Nuppa Site'!J290,"NULL")</f>
        <v>4.63</v>
      </c>
      <c r="H290" s="1" t="str">
        <f aca="false">IF('Boletins Nuppa Site'!K290&lt;&gt;0,'Boletins Nuppa Site'!K290,"NULL")</f>
        <v>4.75</v>
      </c>
      <c r="J290" s="1" t="str">
        <f aca="false">"INSERT INTO COTACAO (blt_id, pap_id, cot_prc_comum, cot_prc_min, cot_prc_max, cot_prc_med, cot_prc_mediana) VALUES ("&amp;B290&amp;", "&amp;C290&amp;", "&amp;D290&amp;", "&amp;E290&amp;", "&amp;F290&amp;", "&amp;G290&amp;", "&amp;H290&amp;");"</f>
        <v>INSERT INTO COTACAO (blt_id, pap_id, cot_prc_comum, cot_prc_min, cot_prc_max, cot_prc_med, cot_prc_mediana) VALUES (8, 17, 5, 4, 5, 4.63, 4.75);</v>
      </c>
    </row>
    <row r="291" customFormat="false" ht="14.25" hidden="false" customHeight="false" outlineLevel="0" collapsed="false">
      <c r="A291" s="1" t="n">
        <v>290</v>
      </c>
      <c r="B291" s="1" t="n">
        <v>8</v>
      </c>
      <c r="C291" s="1" t="n">
        <v>18</v>
      </c>
      <c r="D291" s="16" t="n">
        <f aca="false">IF('Boletins Nuppa Site'!G291&lt;&gt;0,'Boletins Nuppa Site'!G291,"NULL")</f>
        <v>20</v>
      </c>
      <c r="E291" s="16" t="n">
        <f aca="false">IF('Boletins Nuppa Site'!H291&lt;&gt;0,'Boletins Nuppa Site'!H291,"NULL")</f>
        <v>20</v>
      </c>
      <c r="F291" s="16" t="n">
        <f aca="false">IF('Boletins Nuppa Site'!I291&lt;&gt;0,'Boletins Nuppa Site'!I291,"NULL")</f>
        <v>40</v>
      </c>
      <c r="G291" s="1" t="str">
        <f aca="false">IF('Boletins Nuppa Site'!J291&lt;&gt;0,'Boletins Nuppa Site'!J291,"NULL")</f>
        <v>26.25</v>
      </c>
      <c r="H291" s="1" t="str">
        <f aca="false">IF('Boletins Nuppa Site'!K291&lt;&gt;0,'Boletins Nuppa Site'!K291,"NULL")</f>
        <v>22.5</v>
      </c>
      <c r="J291" s="1" t="str">
        <f aca="false">"INSERT INTO COTACAO (blt_id, pap_id, cot_prc_comum, cot_prc_min, cot_prc_max, cot_prc_med, cot_prc_mediana) VALUES ("&amp;B291&amp;", "&amp;C291&amp;", "&amp;D291&amp;", "&amp;E291&amp;", "&amp;F291&amp;", "&amp;G291&amp;", "&amp;H291&amp;");"</f>
        <v>INSERT INTO COTACAO (blt_id, pap_id, cot_prc_comum, cot_prc_min, cot_prc_max, cot_prc_med, cot_prc_mediana) VALUES (8, 18, 20, 20, 40, 26.25, 22.5);</v>
      </c>
    </row>
    <row r="292" customFormat="false" ht="14.25" hidden="false" customHeight="false" outlineLevel="0" collapsed="false">
      <c r="A292" s="1" t="n">
        <v>291</v>
      </c>
      <c r="B292" s="1" t="n">
        <v>8</v>
      </c>
      <c r="C292" s="1" t="n">
        <v>19</v>
      </c>
      <c r="D292" s="16" t="n">
        <f aca="false">IF('Boletins Nuppa Site'!G292&lt;&gt;0,'Boletins Nuppa Site'!G292,"NULL")</f>
        <v>25</v>
      </c>
      <c r="E292" s="16" t="n">
        <f aca="false">IF('Boletins Nuppa Site'!H292&lt;&gt;0,'Boletins Nuppa Site'!H292,"NULL")</f>
        <v>25</v>
      </c>
      <c r="F292" s="16" t="n">
        <f aca="false">IF('Boletins Nuppa Site'!I292&lt;&gt;0,'Boletins Nuppa Site'!I292,"NULL")</f>
        <v>30</v>
      </c>
      <c r="G292" s="1" t="str">
        <f aca="false">IF('Boletins Nuppa Site'!J292&lt;&gt;0,'Boletins Nuppa Site'!J292,"NULL")</f>
        <v>27.6</v>
      </c>
      <c r="H292" s="16" t="n">
        <f aca="false">IF('Boletins Nuppa Site'!K292&lt;&gt;0,'Boletins Nuppa Site'!K292,"NULL")</f>
        <v>28</v>
      </c>
      <c r="J292" s="1" t="str">
        <f aca="false">"INSERT INTO COTACAO (blt_id, pap_id, cot_prc_comum, cot_prc_min, cot_prc_max, cot_prc_med, cot_prc_mediana) VALUES ("&amp;B292&amp;", "&amp;C292&amp;", "&amp;D292&amp;", "&amp;E292&amp;", "&amp;F292&amp;", "&amp;G292&amp;", "&amp;H292&amp;");"</f>
        <v>INSERT INTO COTACAO (blt_id, pap_id, cot_prc_comum, cot_prc_min, cot_prc_max, cot_prc_med, cot_prc_mediana) VALUES (8, 19, 25, 25, 30, 27.6, 28);</v>
      </c>
    </row>
    <row r="293" customFormat="false" ht="14.25" hidden="false" customHeight="false" outlineLevel="0" collapsed="false">
      <c r="A293" s="1" t="n">
        <v>292</v>
      </c>
      <c r="B293" s="1" t="n">
        <v>8</v>
      </c>
      <c r="C293" s="1" t="n">
        <v>20</v>
      </c>
      <c r="D293" s="1" t="str">
        <f aca="false">IF('Boletins Nuppa Site'!G293&lt;&gt;0,'Boletins Nuppa Site'!G293,"NULL")</f>
        <v>NULL</v>
      </c>
      <c r="E293" s="16" t="n">
        <f aca="false">IF('Boletins Nuppa Site'!H293&lt;&gt;0,'Boletins Nuppa Site'!H293,"NULL")</f>
        <v>10</v>
      </c>
      <c r="F293" s="16" t="n">
        <f aca="false">IF('Boletins Nuppa Site'!I293&lt;&gt;0,'Boletins Nuppa Site'!I293,"NULL")</f>
        <v>110</v>
      </c>
      <c r="G293" s="1" t="str">
        <f aca="false">IF('Boletins Nuppa Site'!J293&lt;&gt;0,'Boletins Nuppa Site'!J293,"NULL")</f>
        <v>78.75</v>
      </c>
      <c r="H293" s="1" t="str">
        <f aca="false">IF('Boletins Nuppa Site'!K293&lt;&gt;0,'Boletins Nuppa Site'!K293,"NULL")</f>
        <v>97.5</v>
      </c>
      <c r="J293" s="1" t="str">
        <f aca="false">"INSERT INTO COTACAO (blt_id, pap_id, cot_prc_comum, cot_prc_min, cot_prc_max, cot_prc_med, cot_prc_mediana) VALUES ("&amp;B293&amp;", "&amp;C293&amp;", "&amp;D293&amp;", "&amp;E293&amp;", "&amp;F293&amp;", "&amp;G293&amp;", "&amp;H293&amp;");"</f>
        <v>INSERT INTO COTACAO (blt_id, pap_id, cot_prc_comum, cot_prc_min, cot_prc_max, cot_prc_med, cot_prc_mediana) VALUES (8, 20, NULL, 10, 110, 78.75, 97.5);</v>
      </c>
    </row>
    <row r="294" customFormat="false" ht="14.25" hidden="false" customHeight="false" outlineLevel="0" collapsed="false">
      <c r="A294" s="1" t="n">
        <v>293</v>
      </c>
      <c r="B294" s="1" t="n">
        <v>8</v>
      </c>
      <c r="C294" s="1" t="n">
        <v>21</v>
      </c>
      <c r="D294" s="16" t="n">
        <f aca="false">IF('Boletins Nuppa Site'!G294&lt;&gt;0,'Boletins Nuppa Site'!G294,"NULL")</f>
        <v>100</v>
      </c>
      <c r="E294" s="16" t="n">
        <f aca="false">IF('Boletins Nuppa Site'!H294&lt;&gt;0,'Boletins Nuppa Site'!H294,"NULL")</f>
        <v>78</v>
      </c>
      <c r="F294" s="16" t="n">
        <f aca="false">IF('Boletins Nuppa Site'!I294&lt;&gt;0,'Boletins Nuppa Site'!I294,"NULL")</f>
        <v>100</v>
      </c>
      <c r="G294" s="1" t="str">
        <f aca="false">IF('Boletins Nuppa Site'!J294&lt;&gt;0,'Boletins Nuppa Site'!J294,"NULL")</f>
        <v>89.67</v>
      </c>
      <c r="H294" s="16" t="n">
        <f aca="false">IF('Boletins Nuppa Site'!K294&lt;&gt;0,'Boletins Nuppa Site'!K294,"NULL")</f>
        <v>90</v>
      </c>
      <c r="J294" s="1" t="str">
        <f aca="false">"INSERT INTO COTACAO (blt_id, pap_id, cot_prc_comum, cot_prc_min, cot_prc_max, cot_prc_med, cot_prc_mediana) VALUES ("&amp;B294&amp;", "&amp;C294&amp;", "&amp;D294&amp;", "&amp;E294&amp;", "&amp;F294&amp;", "&amp;G294&amp;", "&amp;H294&amp;");"</f>
        <v>INSERT INTO COTACAO (blt_id, pap_id, cot_prc_comum, cot_prc_min, cot_prc_max, cot_prc_med, cot_prc_mediana) VALUES (8, 21, 100, 78, 100, 89.67, 90);</v>
      </c>
    </row>
    <row r="295" customFormat="false" ht="14.25" hidden="false" customHeight="false" outlineLevel="0" collapsed="false">
      <c r="A295" s="1" t="n">
        <v>294</v>
      </c>
      <c r="B295" s="1" t="n">
        <v>8</v>
      </c>
      <c r="C295" s="1" t="n">
        <v>22</v>
      </c>
      <c r="D295" s="1" t="str">
        <f aca="false">IF('Boletins Nuppa Site'!G295&lt;&gt;0,'Boletins Nuppa Site'!G295,"NULL")</f>
        <v>NULL</v>
      </c>
      <c r="E295" s="16" t="n">
        <f aca="false">IF('Boletins Nuppa Site'!H295&lt;&gt;0,'Boletins Nuppa Site'!H295,"NULL")</f>
        <v>50</v>
      </c>
      <c r="F295" s="16" t="n">
        <f aca="false">IF('Boletins Nuppa Site'!I295&lt;&gt;0,'Boletins Nuppa Site'!I295,"NULL")</f>
        <v>80</v>
      </c>
      <c r="G295" s="16" t="n">
        <f aca="false">IF('Boletins Nuppa Site'!J295&lt;&gt;0,'Boletins Nuppa Site'!J295,"NULL")</f>
        <v>66</v>
      </c>
      <c r="H295" s="16" t="n">
        <f aca="false">IF('Boletins Nuppa Site'!K295&lt;&gt;0,'Boletins Nuppa Site'!K295,"NULL")</f>
        <v>70</v>
      </c>
      <c r="J295" s="1" t="str">
        <f aca="false">"INSERT INTO COTACAO (blt_id, pap_id, cot_prc_comum, cot_prc_min, cot_prc_max, cot_prc_med, cot_prc_mediana) VALUES ("&amp;B295&amp;", "&amp;C295&amp;", "&amp;D295&amp;", "&amp;E295&amp;", "&amp;F295&amp;", "&amp;G295&amp;", "&amp;H295&amp;");"</f>
        <v>INSERT INTO COTACAO (blt_id, pap_id, cot_prc_comum, cot_prc_min, cot_prc_max, cot_prc_med, cot_prc_mediana) VALUES (8, 22, NULL, 50, 80, 66, 70);</v>
      </c>
    </row>
    <row r="296" customFormat="false" ht="14.25" hidden="false" customHeight="false" outlineLevel="0" collapsed="false">
      <c r="A296" s="1" t="n">
        <v>295</v>
      </c>
      <c r="B296" s="1" t="n">
        <v>8</v>
      </c>
      <c r="C296" s="1" t="n">
        <v>23</v>
      </c>
      <c r="D296" s="16" t="n">
        <f aca="false">IF('Boletins Nuppa Site'!G296&lt;&gt;0,'Boletins Nuppa Site'!G296,"NULL")</f>
        <v>40</v>
      </c>
      <c r="E296" s="16" t="n">
        <f aca="false">IF('Boletins Nuppa Site'!H296&lt;&gt;0,'Boletins Nuppa Site'!H296,"NULL")</f>
        <v>30</v>
      </c>
      <c r="F296" s="16" t="n">
        <f aca="false">IF('Boletins Nuppa Site'!I296&lt;&gt;0,'Boletins Nuppa Site'!I296,"NULL")</f>
        <v>50</v>
      </c>
      <c r="G296" s="16" t="n">
        <f aca="false">IF('Boletins Nuppa Site'!J296&lt;&gt;0,'Boletins Nuppa Site'!J296,"NULL")</f>
        <v>40</v>
      </c>
      <c r="H296" s="16" t="n">
        <f aca="false">IF('Boletins Nuppa Site'!K296&lt;&gt;0,'Boletins Nuppa Site'!K296,"NULL")</f>
        <v>40</v>
      </c>
      <c r="J296" s="1" t="str">
        <f aca="false">"INSERT INTO COTACAO (blt_id, pap_id, cot_prc_comum, cot_prc_min, cot_prc_max, cot_prc_med, cot_prc_mediana) VALUES ("&amp;B296&amp;", "&amp;C296&amp;", "&amp;D296&amp;", "&amp;E296&amp;", "&amp;F296&amp;", "&amp;G296&amp;", "&amp;H296&amp;");"</f>
        <v>INSERT INTO COTACAO (blt_id, pap_id, cot_prc_comum, cot_prc_min, cot_prc_max, cot_prc_med, cot_prc_mediana) VALUES (8, 23, 40, 30, 50, 40, 40);</v>
      </c>
    </row>
    <row r="297" customFormat="false" ht="14.25" hidden="false" customHeight="false" outlineLevel="0" collapsed="false">
      <c r="A297" s="1" t="n">
        <v>296</v>
      </c>
      <c r="B297" s="1" t="n">
        <v>8</v>
      </c>
      <c r="C297" s="1" t="n">
        <v>24</v>
      </c>
      <c r="D297" s="1" t="str">
        <f aca="false">IF('Boletins Nuppa Site'!G297&lt;&gt;0,'Boletins Nuppa Site'!G297,"NULL")</f>
        <v>NULL</v>
      </c>
      <c r="E297" s="16" t="n">
        <f aca="false">IF('Boletins Nuppa Site'!H297&lt;&gt;0,'Boletins Nuppa Site'!H297,"NULL")</f>
        <v>95</v>
      </c>
      <c r="F297" s="16" t="n">
        <f aca="false">IF('Boletins Nuppa Site'!I297&lt;&gt;0,'Boletins Nuppa Site'!I297,"NULL")</f>
        <v>100</v>
      </c>
      <c r="G297" s="1" t="str">
        <f aca="false">IF('Boletins Nuppa Site'!J297&lt;&gt;0,'Boletins Nuppa Site'!J297,"NULL")</f>
        <v>97.5</v>
      </c>
      <c r="H297" s="1" t="str">
        <f aca="false">IF('Boletins Nuppa Site'!K297&lt;&gt;0,'Boletins Nuppa Site'!K297,"NULL")</f>
        <v>97.5</v>
      </c>
      <c r="J297" s="1" t="str">
        <f aca="false">"INSERT INTO COTACAO (blt_id, pap_id, cot_prc_comum, cot_prc_min, cot_prc_max, cot_prc_med, cot_prc_mediana) VALUES ("&amp;B297&amp;", "&amp;C297&amp;", "&amp;D297&amp;", "&amp;E297&amp;", "&amp;F297&amp;", "&amp;G297&amp;", "&amp;H297&amp;");"</f>
        <v>INSERT INTO COTACAO (blt_id, pap_id, cot_prc_comum, cot_prc_min, cot_prc_max, cot_prc_med, cot_prc_mediana) VALUES (8, 24, NULL, 95, 100, 97.5, 97.5);</v>
      </c>
    </row>
    <row r="298" customFormat="false" ht="14.25" hidden="false" customHeight="false" outlineLevel="0" collapsed="false">
      <c r="A298" s="1" t="n">
        <v>297</v>
      </c>
      <c r="B298" s="1" t="n">
        <v>8</v>
      </c>
      <c r="C298" s="1" t="n">
        <v>25</v>
      </c>
      <c r="D298" s="16" t="n">
        <f aca="false">IF('Boletins Nuppa Site'!G298&lt;&gt;0,'Boletins Nuppa Site'!G298,"NULL")</f>
        <v>95</v>
      </c>
      <c r="E298" s="16" t="n">
        <f aca="false">IF('Boletins Nuppa Site'!H298&lt;&gt;0,'Boletins Nuppa Site'!H298,"NULL")</f>
        <v>70</v>
      </c>
      <c r="F298" s="16" t="n">
        <f aca="false">IF('Boletins Nuppa Site'!I298&lt;&gt;0,'Boletins Nuppa Site'!I298,"NULL")</f>
        <v>120</v>
      </c>
      <c r="G298" s="16" t="n">
        <f aca="false">IF('Boletins Nuppa Site'!J298&lt;&gt;0,'Boletins Nuppa Site'!J298,"NULL")</f>
        <v>92</v>
      </c>
      <c r="H298" s="16" t="n">
        <f aca="false">IF('Boletins Nuppa Site'!K298&lt;&gt;0,'Boletins Nuppa Site'!K298,"NULL")</f>
        <v>95</v>
      </c>
      <c r="J298" s="1" t="str">
        <f aca="false">"INSERT INTO COTACAO (blt_id, pap_id, cot_prc_comum, cot_prc_min, cot_prc_max, cot_prc_med, cot_prc_mediana) VALUES ("&amp;B298&amp;", "&amp;C298&amp;", "&amp;D298&amp;", "&amp;E298&amp;", "&amp;F298&amp;", "&amp;G298&amp;", "&amp;H298&amp;");"</f>
        <v>INSERT INTO COTACAO (blt_id, pap_id, cot_prc_comum, cot_prc_min, cot_prc_max, cot_prc_med, cot_prc_mediana) VALUES (8, 25, 95, 70, 120, 92, 95);</v>
      </c>
    </row>
    <row r="299" customFormat="false" ht="14.25" hidden="false" customHeight="false" outlineLevel="0" collapsed="false">
      <c r="A299" s="1" t="n">
        <v>298</v>
      </c>
      <c r="B299" s="1" t="n">
        <v>8</v>
      </c>
      <c r="C299" s="1" t="n">
        <v>26</v>
      </c>
      <c r="D299" s="16" t="n">
        <f aca="false">IF('Boletins Nuppa Site'!G299&lt;&gt;0,'Boletins Nuppa Site'!G299,"NULL")</f>
        <v>130</v>
      </c>
      <c r="E299" s="16" t="n">
        <f aca="false">IF('Boletins Nuppa Site'!H299&lt;&gt;0,'Boletins Nuppa Site'!H299,"NULL")</f>
        <v>80</v>
      </c>
      <c r="F299" s="16" t="n">
        <f aca="false">IF('Boletins Nuppa Site'!I299&lt;&gt;0,'Boletins Nuppa Site'!I299,"NULL")</f>
        <v>130</v>
      </c>
      <c r="G299" s="16" t="n">
        <f aca="false">IF('Boletins Nuppa Site'!J299&lt;&gt;0,'Boletins Nuppa Site'!J299,"NULL")</f>
        <v>110</v>
      </c>
      <c r="H299" s="16" t="n">
        <f aca="false">IF('Boletins Nuppa Site'!K299&lt;&gt;0,'Boletins Nuppa Site'!K299,"NULL")</f>
        <v>130</v>
      </c>
      <c r="J299" s="1" t="str">
        <f aca="false">"INSERT INTO COTACAO (blt_id, pap_id, cot_prc_comum, cot_prc_min, cot_prc_max, cot_prc_med, cot_prc_mediana) VALUES ("&amp;B299&amp;", "&amp;C299&amp;", "&amp;D299&amp;", "&amp;E299&amp;", "&amp;F299&amp;", "&amp;G299&amp;", "&amp;H299&amp;");"</f>
        <v>INSERT INTO COTACAO (blt_id, pap_id, cot_prc_comum, cot_prc_min, cot_prc_max, cot_prc_med, cot_prc_mediana) VALUES (8, 26, 130, 80, 130, 110, 130);</v>
      </c>
    </row>
    <row r="300" customFormat="false" ht="14.25" hidden="false" customHeight="false" outlineLevel="0" collapsed="false">
      <c r="A300" s="1" t="n">
        <v>299</v>
      </c>
      <c r="B300" s="1" t="n">
        <v>8</v>
      </c>
      <c r="C300" s="1" t="n">
        <v>27</v>
      </c>
      <c r="D300" s="16" t="n">
        <f aca="false">IF('Boletins Nuppa Site'!G300&lt;&gt;0,'Boletins Nuppa Site'!G300,"NULL")</f>
        <v>60</v>
      </c>
      <c r="E300" s="16" t="n">
        <f aca="false">IF('Boletins Nuppa Site'!H300&lt;&gt;0,'Boletins Nuppa Site'!H300,"NULL")</f>
        <v>50</v>
      </c>
      <c r="F300" s="16" t="n">
        <f aca="false">IF('Boletins Nuppa Site'!I300&lt;&gt;0,'Boletins Nuppa Site'!I300,"NULL")</f>
        <v>80</v>
      </c>
      <c r="G300" s="16" t="n">
        <f aca="false">IF('Boletins Nuppa Site'!J300&lt;&gt;0,'Boletins Nuppa Site'!J300,"NULL")</f>
        <v>64</v>
      </c>
      <c r="H300" s="16" t="n">
        <f aca="false">IF('Boletins Nuppa Site'!K300&lt;&gt;0,'Boletins Nuppa Site'!K300,"NULL")</f>
        <v>60</v>
      </c>
      <c r="J300" s="1" t="str">
        <f aca="false">"INSERT INTO COTACAO (blt_id, pap_id, cot_prc_comum, cot_prc_min, cot_prc_max, cot_prc_med, cot_prc_mediana) VALUES ("&amp;B300&amp;", "&amp;C300&amp;", "&amp;D300&amp;", "&amp;E300&amp;", "&amp;F300&amp;", "&amp;G300&amp;", "&amp;H300&amp;");"</f>
        <v>INSERT INTO COTACAO (blt_id, pap_id, cot_prc_comum, cot_prc_min, cot_prc_max, cot_prc_med, cot_prc_mediana) VALUES (8, 27, 60, 50, 80, 64, 60);</v>
      </c>
    </row>
    <row r="301" customFormat="false" ht="14.25" hidden="false" customHeight="false" outlineLevel="0" collapsed="false">
      <c r="A301" s="1" t="n">
        <v>300</v>
      </c>
      <c r="B301" s="1" t="n">
        <v>8</v>
      </c>
      <c r="C301" s="1" t="n">
        <v>28</v>
      </c>
      <c r="D301" s="16" t="n">
        <f aca="false">IF('Boletins Nuppa Site'!G301&lt;&gt;0,'Boletins Nuppa Site'!G301,"NULL")</f>
        <v>80</v>
      </c>
      <c r="E301" s="16" t="n">
        <f aca="false">IF('Boletins Nuppa Site'!H301&lt;&gt;0,'Boletins Nuppa Site'!H301,"NULL")</f>
        <v>40</v>
      </c>
      <c r="F301" s="16" t="n">
        <f aca="false">IF('Boletins Nuppa Site'!I301&lt;&gt;0,'Boletins Nuppa Site'!I301,"NULL")</f>
        <v>100</v>
      </c>
      <c r="G301" s="1" t="str">
        <f aca="false">IF('Boletins Nuppa Site'!J301&lt;&gt;0,'Boletins Nuppa Site'!J301,"NULL")</f>
        <v>70.83</v>
      </c>
      <c r="H301" s="1" t="str">
        <f aca="false">IF('Boletins Nuppa Site'!K301&lt;&gt;0,'Boletins Nuppa Site'!K301,"NULL")</f>
        <v>77.5</v>
      </c>
      <c r="J301" s="1" t="str">
        <f aca="false">"INSERT INTO COTACAO (blt_id, pap_id, cot_prc_comum, cot_prc_min, cot_prc_max, cot_prc_med, cot_prc_mediana) VALUES ("&amp;B301&amp;", "&amp;C301&amp;", "&amp;D301&amp;", "&amp;E301&amp;", "&amp;F301&amp;", "&amp;G301&amp;", "&amp;H301&amp;");"</f>
        <v>INSERT INTO COTACAO (blt_id, pap_id, cot_prc_comum, cot_prc_min, cot_prc_max, cot_prc_med, cot_prc_mediana) VALUES (8, 28, 80, 40, 100, 70.83, 77.5);</v>
      </c>
    </row>
    <row r="302" customFormat="false" ht="14.25" hidden="false" customHeight="false" outlineLevel="0" collapsed="false">
      <c r="A302" s="1" t="n">
        <v>301</v>
      </c>
      <c r="B302" s="1" t="n">
        <v>8</v>
      </c>
      <c r="C302" s="1" t="n">
        <v>29</v>
      </c>
      <c r="D302" s="1" t="str">
        <f aca="false">IF('Boletins Nuppa Site'!G302&lt;&gt;0,'Boletins Nuppa Site'!G302,"NULL")</f>
        <v>NULL</v>
      </c>
      <c r="E302" s="16" t="n">
        <f aca="false">IF('Boletins Nuppa Site'!H302&lt;&gt;0,'Boletins Nuppa Site'!H302,"NULL")</f>
        <v>80</v>
      </c>
      <c r="F302" s="16" t="n">
        <f aca="false">IF('Boletins Nuppa Site'!I302&lt;&gt;0,'Boletins Nuppa Site'!I302,"NULL")</f>
        <v>80</v>
      </c>
      <c r="G302" s="16" t="n">
        <f aca="false">IF('Boletins Nuppa Site'!J302&lt;&gt;0,'Boletins Nuppa Site'!J302,"NULL")</f>
        <v>80</v>
      </c>
      <c r="H302" s="16" t="n">
        <f aca="false">IF('Boletins Nuppa Site'!K302&lt;&gt;0,'Boletins Nuppa Site'!K302,"NULL")</f>
        <v>80</v>
      </c>
      <c r="J302" s="1" t="str">
        <f aca="false">"INSERT INTO COTACAO (blt_id, pap_id, cot_prc_comum, cot_prc_min, cot_prc_max, cot_prc_med, cot_prc_mediana) VALUES ("&amp;B302&amp;", "&amp;C302&amp;", "&amp;D302&amp;", "&amp;E302&amp;", "&amp;F302&amp;", "&amp;G302&amp;", "&amp;H302&amp;");"</f>
        <v>INSERT INTO COTACAO (blt_id, pap_id, cot_prc_comum, cot_prc_min, cot_prc_max, cot_prc_med, cot_prc_mediana) VALUES (8, 29, NULL, 80, 80, 80, 80);</v>
      </c>
    </row>
    <row r="303" customFormat="false" ht="14.25" hidden="false" customHeight="false" outlineLevel="0" collapsed="false">
      <c r="A303" s="1" t="n">
        <v>302</v>
      </c>
      <c r="B303" s="1" t="n">
        <v>8</v>
      </c>
      <c r="C303" s="1" t="n">
        <v>30</v>
      </c>
      <c r="D303" s="16" t="n">
        <f aca="false">IF('Boletins Nuppa Site'!G303&lt;&gt;0,'Boletins Nuppa Site'!G303,"NULL")</f>
        <v>80</v>
      </c>
      <c r="E303" s="16" t="n">
        <f aca="false">IF('Boletins Nuppa Site'!H303&lt;&gt;0,'Boletins Nuppa Site'!H303,"NULL")</f>
        <v>70</v>
      </c>
      <c r="F303" s="16" t="n">
        <f aca="false">IF('Boletins Nuppa Site'!I303&lt;&gt;0,'Boletins Nuppa Site'!I303,"NULL")</f>
        <v>80</v>
      </c>
      <c r="G303" s="1" t="str">
        <f aca="false">IF('Boletins Nuppa Site'!J303&lt;&gt;0,'Boletins Nuppa Site'!J303,"NULL")</f>
        <v>76.67</v>
      </c>
      <c r="H303" s="16" t="n">
        <f aca="false">IF('Boletins Nuppa Site'!K303&lt;&gt;0,'Boletins Nuppa Site'!K303,"NULL")</f>
        <v>80</v>
      </c>
      <c r="J303" s="1" t="str">
        <f aca="false">"INSERT INTO COTACAO (blt_id, pap_id, cot_prc_comum, cot_prc_min, cot_prc_max, cot_prc_med, cot_prc_mediana) VALUES ("&amp;B303&amp;", "&amp;C303&amp;", "&amp;D303&amp;", "&amp;E303&amp;", "&amp;F303&amp;", "&amp;G303&amp;", "&amp;H303&amp;");"</f>
        <v>INSERT INTO COTACAO (blt_id, pap_id, cot_prc_comum, cot_prc_min, cot_prc_max, cot_prc_med, cot_prc_mediana) VALUES (8, 30, 80, 70, 80, 76.67, 80);</v>
      </c>
    </row>
    <row r="304" customFormat="false" ht="14.25" hidden="false" customHeight="false" outlineLevel="0" collapsed="false">
      <c r="A304" s="1" t="n">
        <v>303</v>
      </c>
      <c r="B304" s="1" t="n">
        <v>8</v>
      </c>
      <c r="C304" s="1" t="n">
        <v>31</v>
      </c>
      <c r="D304" s="16" t="n">
        <f aca="false">IF('Boletins Nuppa Site'!G304&lt;&gt;0,'Boletins Nuppa Site'!G304,"NULL")</f>
        <v>100</v>
      </c>
      <c r="E304" s="16" t="n">
        <f aca="false">IF('Boletins Nuppa Site'!H304&lt;&gt;0,'Boletins Nuppa Site'!H304,"NULL")</f>
        <v>70</v>
      </c>
      <c r="F304" s="16" t="n">
        <f aca="false">IF('Boletins Nuppa Site'!I304&lt;&gt;0,'Boletins Nuppa Site'!I304,"NULL")</f>
        <v>120</v>
      </c>
      <c r="G304" s="1" t="str">
        <f aca="false">IF('Boletins Nuppa Site'!J304&lt;&gt;0,'Boletins Nuppa Site'!J304,"NULL")</f>
        <v>97.5</v>
      </c>
      <c r="H304" s="16" t="n">
        <f aca="false">IF('Boletins Nuppa Site'!K304&lt;&gt;0,'Boletins Nuppa Site'!K304,"NULL")</f>
        <v>100</v>
      </c>
      <c r="J304" s="1" t="str">
        <f aca="false">"INSERT INTO COTACAO (blt_id, pap_id, cot_prc_comum, cot_prc_min, cot_prc_max, cot_prc_med, cot_prc_mediana) VALUES ("&amp;B304&amp;", "&amp;C304&amp;", "&amp;D304&amp;", "&amp;E304&amp;", "&amp;F304&amp;", "&amp;G304&amp;", "&amp;H304&amp;");"</f>
        <v>INSERT INTO COTACAO (blt_id, pap_id, cot_prc_comum, cot_prc_min, cot_prc_max, cot_prc_med, cot_prc_mediana) VALUES (8, 31, 100, 70, 120, 97.5, 100);</v>
      </c>
    </row>
    <row r="305" customFormat="false" ht="14.25" hidden="false" customHeight="false" outlineLevel="0" collapsed="false">
      <c r="A305" s="1" t="n">
        <v>304</v>
      </c>
      <c r="B305" s="1" t="n">
        <v>8</v>
      </c>
      <c r="C305" s="1" t="n">
        <v>32</v>
      </c>
      <c r="D305" s="16" t="n">
        <f aca="false">IF('Boletins Nuppa Site'!G305&lt;&gt;0,'Boletins Nuppa Site'!G305,"NULL")</f>
        <v>50</v>
      </c>
      <c r="E305" s="16" t="n">
        <f aca="false">IF('Boletins Nuppa Site'!H305&lt;&gt;0,'Boletins Nuppa Site'!H305,"NULL")</f>
        <v>40</v>
      </c>
      <c r="F305" s="16" t="n">
        <f aca="false">IF('Boletins Nuppa Site'!I305&lt;&gt;0,'Boletins Nuppa Site'!I305,"NULL")</f>
        <v>60</v>
      </c>
      <c r="G305" s="1" t="str">
        <f aca="false">IF('Boletins Nuppa Site'!J305&lt;&gt;0,'Boletins Nuppa Site'!J305,"NULL")</f>
        <v>48.33</v>
      </c>
      <c r="H305" s="16" t="n">
        <f aca="false">IF('Boletins Nuppa Site'!K305&lt;&gt;0,'Boletins Nuppa Site'!K305,"NULL")</f>
        <v>50</v>
      </c>
      <c r="J305" s="1" t="str">
        <f aca="false">"INSERT INTO COTACAO (blt_id, pap_id, cot_prc_comum, cot_prc_min, cot_prc_max, cot_prc_med, cot_prc_mediana) VALUES ("&amp;B305&amp;", "&amp;C305&amp;", "&amp;D305&amp;", "&amp;E305&amp;", "&amp;F305&amp;", "&amp;G305&amp;", "&amp;H305&amp;");"</f>
        <v>INSERT INTO COTACAO (blt_id, pap_id, cot_prc_comum, cot_prc_min, cot_prc_max, cot_prc_med, cot_prc_mediana) VALUES (8, 32, 50, 40, 60, 48.33, 50);</v>
      </c>
    </row>
    <row r="306" customFormat="false" ht="14.25" hidden="false" customHeight="false" outlineLevel="0" collapsed="false">
      <c r="A306" s="1" t="n">
        <v>305</v>
      </c>
      <c r="B306" s="1" t="n">
        <v>8</v>
      </c>
      <c r="C306" s="1" t="n">
        <v>33</v>
      </c>
      <c r="D306" s="16" t="n">
        <f aca="false">IF('Boletins Nuppa Site'!G306&lt;&gt;0,'Boletins Nuppa Site'!G306,"NULL")</f>
        <v>70</v>
      </c>
      <c r="E306" s="16" t="n">
        <f aca="false">IF('Boletins Nuppa Site'!H306&lt;&gt;0,'Boletins Nuppa Site'!H306,"NULL")</f>
        <v>60</v>
      </c>
      <c r="F306" s="16" t="n">
        <f aca="false">IF('Boletins Nuppa Site'!I306&lt;&gt;0,'Boletins Nuppa Site'!I306,"NULL")</f>
        <v>90</v>
      </c>
      <c r="G306" s="1" t="str">
        <f aca="false">IF('Boletins Nuppa Site'!J306&lt;&gt;0,'Boletins Nuppa Site'!J306,"NULL")</f>
        <v>73.33</v>
      </c>
      <c r="H306" s="16" t="n">
        <f aca="false">IF('Boletins Nuppa Site'!K306&lt;&gt;0,'Boletins Nuppa Site'!K306,"NULL")</f>
        <v>70</v>
      </c>
      <c r="J306" s="1" t="str">
        <f aca="false">"INSERT INTO COTACAO (blt_id, pap_id, cot_prc_comum, cot_prc_min, cot_prc_max, cot_prc_med, cot_prc_mediana) VALUES ("&amp;B306&amp;", "&amp;C306&amp;", "&amp;D306&amp;", "&amp;E306&amp;", "&amp;F306&amp;", "&amp;G306&amp;", "&amp;H306&amp;");"</f>
        <v>INSERT INTO COTACAO (blt_id, pap_id, cot_prc_comum, cot_prc_min, cot_prc_max, cot_prc_med, cot_prc_mediana) VALUES (8, 33, 70, 60, 90, 73.33, 70);</v>
      </c>
    </row>
    <row r="307" customFormat="false" ht="14.25" hidden="false" customHeight="false" outlineLevel="0" collapsed="false">
      <c r="A307" s="1" t="n">
        <v>306</v>
      </c>
      <c r="B307" s="1" t="n">
        <v>8</v>
      </c>
      <c r="C307" s="1" t="n">
        <v>34</v>
      </c>
      <c r="D307" s="16" t="n">
        <f aca="false">IF('Boletins Nuppa Site'!G307&lt;&gt;0,'Boletins Nuppa Site'!G307,"NULL")</f>
        <v>130</v>
      </c>
      <c r="E307" s="16" t="n">
        <f aca="false">IF('Boletins Nuppa Site'!H307&lt;&gt;0,'Boletins Nuppa Site'!H307,"NULL")</f>
        <v>100</v>
      </c>
      <c r="F307" s="16" t="n">
        <f aca="false">IF('Boletins Nuppa Site'!I307&lt;&gt;0,'Boletins Nuppa Site'!I307,"NULL")</f>
        <v>130</v>
      </c>
      <c r="G307" s="1" t="str">
        <f aca="false">IF('Boletins Nuppa Site'!J307&lt;&gt;0,'Boletins Nuppa Site'!J307,"NULL")</f>
        <v>117.14</v>
      </c>
      <c r="H307" s="16" t="n">
        <f aca="false">IF('Boletins Nuppa Site'!K307&lt;&gt;0,'Boletins Nuppa Site'!K307,"NULL")</f>
        <v>120</v>
      </c>
      <c r="J307" s="1" t="str">
        <f aca="false">"INSERT INTO COTACAO (blt_id, pap_id, cot_prc_comum, cot_prc_min, cot_prc_max, cot_prc_med, cot_prc_mediana) VALUES ("&amp;B307&amp;", "&amp;C307&amp;", "&amp;D307&amp;", "&amp;E307&amp;", "&amp;F307&amp;", "&amp;G307&amp;", "&amp;H307&amp;");"</f>
        <v>INSERT INTO COTACAO (blt_id, pap_id, cot_prc_comum, cot_prc_min, cot_prc_max, cot_prc_med, cot_prc_mediana) VALUES (8, 34, 130, 100, 130, 117.14, 120);</v>
      </c>
    </row>
    <row r="308" customFormat="false" ht="14.25" hidden="false" customHeight="false" outlineLevel="0" collapsed="false">
      <c r="A308" s="1" t="n">
        <v>307</v>
      </c>
      <c r="B308" s="1" t="n">
        <v>8</v>
      </c>
      <c r="C308" s="1" t="n">
        <v>35</v>
      </c>
      <c r="D308" s="16" t="n">
        <f aca="false">IF('Boletins Nuppa Site'!G308&lt;&gt;0,'Boletins Nuppa Site'!G308,"NULL")</f>
        <v>120</v>
      </c>
      <c r="E308" s="16" t="n">
        <f aca="false">IF('Boletins Nuppa Site'!H308&lt;&gt;0,'Boletins Nuppa Site'!H308,"NULL")</f>
        <v>110</v>
      </c>
      <c r="F308" s="16" t="n">
        <f aca="false">IF('Boletins Nuppa Site'!I308&lt;&gt;0,'Boletins Nuppa Site'!I308,"NULL")</f>
        <v>150</v>
      </c>
      <c r="G308" s="16" t="n">
        <f aca="false">IF('Boletins Nuppa Site'!J308&lt;&gt;0,'Boletins Nuppa Site'!J308,"NULL")</f>
        <v>128</v>
      </c>
      <c r="H308" s="16" t="n">
        <f aca="false">IF('Boletins Nuppa Site'!K308&lt;&gt;0,'Boletins Nuppa Site'!K308,"NULL")</f>
        <v>120</v>
      </c>
      <c r="J308" s="1" t="str">
        <f aca="false">"INSERT INTO COTACAO (blt_id, pap_id, cot_prc_comum, cot_prc_min, cot_prc_max, cot_prc_med, cot_prc_mediana) VALUES ("&amp;B308&amp;", "&amp;C308&amp;", "&amp;D308&amp;", "&amp;E308&amp;", "&amp;F308&amp;", "&amp;G308&amp;", "&amp;H308&amp;");"</f>
        <v>INSERT INTO COTACAO (blt_id, pap_id, cot_prc_comum, cot_prc_min, cot_prc_max, cot_prc_med, cot_prc_mediana) VALUES (8, 35, 120, 110, 150, 128, 120);</v>
      </c>
    </row>
    <row r="309" customFormat="false" ht="14.25" hidden="false" customHeight="false" outlineLevel="0" collapsed="false">
      <c r="A309" s="1" t="n">
        <v>308</v>
      </c>
      <c r="B309" s="1" t="n">
        <v>8</v>
      </c>
      <c r="C309" s="1" t="n">
        <v>36</v>
      </c>
      <c r="D309" s="1" t="str">
        <f aca="false">IF('Boletins Nuppa Site'!G309&lt;&gt;0,'Boletins Nuppa Site'!G309,"NULL")</f>
        <v>NULL</v>
      </c>
      <c r="E309" s="16" t="n">
        <f aca="false">IF('Boletins Nuppa Site'!H309&lt;&gt;0,'Boletins Nuppa Site'!H309,"NULL")</f>
        <v>80</v>
      </c>
      <c r="F309" s="16" t="n">
        <f aca="false">IF('Boletins Nuppa Site'!I309&lt;&gt;0,'Boletins Nuppa Site'!I309,"NULL")</f>
        <v>80</v>
      </c>
      <c r="G309" s="16" t="n">
        <f aca="false">IF('Boletins Nuppa Site'!J309&lt;&gt;0,'Boletins Nuppa Site'!J309,"NULL")</f>
        <v>80</v>
      </c>
      <c r="H309" s="16" t="n">
        <f aca="false">IF('Boletins Nuppa Site'!K309&lt;&gt;0,'Boletins Nuppa Site'!K309,"NULL")</f>
        <v>80</v>
      </c>
      <c r="J309" s="1" t="str">
        <f aca="false">"INSERT INTO COTACAO (blt_id, pap_id, cot_prc_comum, cot_prc_min, cot_prc_max, cot_prc_med, cot_prc_mediana) VALUES ("&amp;B309&amp;", "&amp;C309&amp;", "&amp;D309&amp;", "&amp;E309&amp;", "&amp;F309&amp;", "&amp;G309&amp;", "&amp;H309&amp;");"</f>
        <v>INSERT INTO COTACAO (blt_id, pap_id, cot_prc_comum, cot_prc_min, cot_prc_max, cot_prc_med, cot_prc_mediana) VALUES (8, 36, NULL, 80, 80, 80, 80);</v>
      </c>
    </row>
    <row r="310" customFormat="false" ht="14.25" hidden="false" customHeight="false" outlineLevel="0" collapsed="false">
      <c r="A310" s="1" t="n">
        <v>309</v>
      </c>
      <c r="B310" s="1" t="n">
        <v>8</v>
      </c>
      <c r="C310" s="1" t="n">
        <v>37</v>
      </c>
      <c r="D310" s="1" t="str">
        <f aca="false">IF('Boletins Nuppa Site'!G310&lt;&gt;0,'Boletins Nuppa Site'!G310,"NULL")</f>
        <v>NULL</v>
      </c>
      <c r="E310" s="16" t="n">
        <f aca="false">IF('Boletins Nuppa Site'!H310&lt;&gt;0,'Boletins Nuppa Site'!H310,"NULL")</f>
        <v>60</v>
      </c>
      <c r="F310" s="16" t="n">
        <f aca="false">IF('Boletins Nuppa Site'!I310&lt;&gt;0,'Boletins Nuppa Site'!I310,"NULL")</f>
        <v>60</v>
      </c>
      <c r="G310" s="16" t="n">
        <f aca="false">IF('Boletins Nuppa Site'!J310&lt;&gt;0,'Boletins Nuppa Site'!J310,"NULL")</f>
        <v>60</v>
      </c>
      <c r="H310" s="16" t="n">
        <f aca="false">IF('Boletins Nuppa Site'!K310&lt;&gt;0,'Boletins Nuppa Site'!K310,"NULL")</f>
        <v>60</v>
      </c>
      <c r="J310" s="1" t="str">
        <f aca="false">"INSERT INTO COTACAO (blt_id, pap_id, cot_prc_comum, cot_prc_min, cot_prc_max, cot_prc_med, cot_prc_mediana) VALUES ("&amp;B310&amp;", "&amp;C310&amp;", "&amp;D310&amp;", "&amp;E310&amp;", "&amp;F310&amp;", "&amp;G310&amp;", "&amp;H310&amp;");"</f>
        <v>INSERT INTO COTACAO (blt_id, pap_id, cot_prc_comum, cot_prc_min, cot_prc_max, cot_prc_med, cot_prc_mediana) VALUES (8, 37, NULL, 60, 60, 60, 60);</v>
      </c>
    </row>
    <row r="311" customFormat="false" ht="14.25" hidden="false" customHeight="false" outlineLevel="0" collapsed="false">
      <c r="A311" s="1" t="n">
        <v>310</v>
      </c>
      <c r="B311" s="1" t="n">
        <v>8</v>
      </c>
      <c r="C311" s="1" t="n">
        <v>38</v>
      </c>
      <c r="D311" s="1" t="str">
        <f aca="false">IF('Boletins Nuppa Site'!G311&lt;&gt;0,'Boletins Nuppa Site'!G311,"NULL")</f>
        <v>NULL</v>
      </c>
      <c r="E311" s="16" t="n">
        <f aca="false">IF('Boletins Nuppa Site'!H311&lt;&gt;0,'Boletins Nuppa Site'!H311,"NULL")</f>
        <v>40</v>
      </c>
      <c r="F311" s="16" t="n">
        <f aca="false">IF('Boletins Nuppa Site'!I311&lt;&gt;0,'Boletins Nuppa Site'!I311,"NULL")</f>
        <v>40</v>
      </c>
      <c r="G311" s="16" t="n">
        <f aca="false">IF('Boletins Nuppa Site'!J311&lt;&gt;0,'Boletins Nuppa Site'!J311,"NULL")</f>
        <v>40</v>
      </c>
      <c r="H311" s="16" t="n">
        <f aca="false">IF('Boletins Nuppa Site'!K311&lt;&gt;0,'Boletins Nuppa Site'!K311,"NULL")</f>
        <v>40</v>
      </c>
      <c r="J311" s="1" t="str">
        <f aca="false">"INSERT INTO COTACAO (blt_id, pap_id, cot_prc_comum, cot_prc_min, cot_prc_max, cot_prc_med, cot_prc_mediana) VALUES ("&amp;B311&amp;", "&amp;C311&amp;", "&amp;D311&amp;", "&amp;E311&amp;", "&amp;F311&amp;", "&amp;G311&amp;", "&amp;H311&amp;");"</f>
        <v>INSERT INTO COTACAO (blt_id, pap_id, cot_prc_comum, cot_prc_min, cot_prc_max, cot_prc_med, cot_prc_mediana) VALUES (8, 38, NULL, 40, 40, 40, 40);</v>
      </c>
    </row>
    <row r="312" customFormat="false" ht="14.25" hidden="false" customHeight="false" outlineLevel="0" collapsed="false">
      <c r="A312" s="1" t="n">
        <v>311</v>
      </c>
      <c r="B312" s="1" t="n">
        <v>8</v>
      </c>
      <c r="C312" s="1" t="n">
        <v>39</v>
      </c>
      <c r="D312" s="1" t="str">
        <f aca="false">IF('Boletins Nuppa Site'!G312&lt;&gt;0,'Boletins Nuppa Site'!G312,"NULL")</f>
        <v>NULL</v>
      </c>
      <c r="E312" s="1" t="str">
        <f aca="false">IF('Boletins Nuppa Site'!H312&lt;&gt;0,'Boletins Nuppa Site'!H312,"NULL")</f>
        <v>NULL</v>
      </c>
      <c r="F312" s="1" t="str">
        <f aca="false">IF('Boletins Nuppa Site'!I312&lt;&gt;0,'Boletins Nuppa Site'!I312,"NULL")</f>
        <v>NULL</v>
      </c>
      <c r="G312" s="1" t="str">
        <f aca="false">IF('Boletins Nuppa Site'!J312&lt;&gt;0,'Boletins Nuppa Site'!J312,"NULL")</f>
        <v>NULL</v>
      </c>
      <c r="H312" s="1" t="str">
        <f aca="false">IF('Boletins Nuppa Site'!K312&lt;&gt;0,'Boletins Nuppa Site'!K312,"NULL")</f>
        <v>NULL</v>
      </c>
      <c r="J312" s="1" t="str">
        <f aca="false">"INSERT INTO COTACAO (blt_id, pap_id, cot_prc_comum, cot_prc_min, cot_prc_max, cot_prc_med, cot_prc_mediana) VALUES ("&amp;B312&amp;", "&amp;C312&amp;", "&amp;D312&amp;", "&amp;E312&amp;", "&amp;F312&amp;", "&amp;G312&amp;", "&amp;H312&amp;");"</f>
        <v>INSERT INTO COTACAO (blt_id, pap_id, cot_prc_comum, cot_prc_min, cot_prc_max, cot_prc_med, cot_prc_mediana) VALUES (8, 39, NULL, NULL, NULL, NULL, NULL);</v>
      </c>
    </row>
    <row r="313" customFormat="false" ht="14.25" hidden="false" customHeight="false" outlineLevel="0" collapsed="false">
      <c r="A313" s="1" t="n">
        <v>312</v>
      </c>
      <c r="B313" s="1" t="n">
        <v>8</v>
      </c>
      <c r="C313" s="1" t="n">
        <v>40</v>
      </c>
      <c r="D313" s="1" t="str">
        <f aca="false">IF('Boletins Nuppa Site'!G313&lt;&gt;0,'Boletins Nuppa Site'!G313,"NULL")</f>
        <v>NULL</v>
      </c>
      <c r="E313" s="1" t="str">
        <f aca="false">IF('Boletins Nuppa Site'!H313&lt;&gt;0,'Boletins Nuppa Site'!H313,"NULL")</f>
        <v>NULL</v>
      </c>
      <c r="F313" s="1" t="str">
        <f aca="false">IF('Boletins Nuppa Site'!I313&lt;&gt;0,'Boletins Nuppa Site'!I313,"NULL")</f>
        <v>NULL</v>
      </c>
      <c r="G313" s="1" t="str">
        <f aca="false">IF('Boletins Nuppa Site'!J313&lt;&gt;0,'Boletins Nuppa Site'!J313,"NULL")</f>
        <v>NULL</v>
      </c>
      <c r="H313" s="1" t="str">
        <f aca="false">IF('Boletins Nuppa Site'!K313&lt;&gt;0,'Boletins Nuppa Site'!K313,"NULL")</f>
        <v>NULL</v>
      </c>
      <c r="J313" s="1" t="str">
        <f aca="false">"INSERT INTO COTACAO (blt_id, pap_id, cot_prc_comum, cot_prc_min, cot_prc_max, cot_prc_med, cot_prc_mediana) VALUES ("&amp;B313&amp;", "&amp;C313&amp;", "&amp;D313&amp;", "&amp;E313&amp;", "&amp;F313&amp;", "&amp;G313&amp;", "&amp;H313&amp;");"</f>
        <v>INSERT INTO COTACAO (blt_id, pap_id, cot_prc_comum, cot_prc_min, cot_prc_max, cot_prc_med, cot_prc_mediana) VALUES (8, 40, NULL, NULL, NULL, NULL, NULL);</v>
      </c>
    </row>
    <row r="314" customFormat="false" ht="14.25" hidden="false" customHeight="false" outlineLevel="0" collapsed="false">
      <c r="A314" s="1" t="n">
        <v>313</v>
      </c>
      <c r="B314" s="1" t="n">
        <v>9</v>
      </c>
      <c r="C314" s="1" t="n">
        <v>1</v>
      </c>
      <c r="D314" s="1" t="str">
        <f aca="false">IF('Boletins Nuppa Site'!G314&lt;&gt;0,'Boletins Nuppa Site'!G314,"NULL")</f>
        <v>NULL</v>
      </c>
      <c r="E314" s="16" t="n">
        <f aca="false">IF('Boletins Nuppa Site'!H314&lt;&gt;0,'Boletins Nuppa Site'!H314,"NULL")</f>
        <v>60</v>
      </c>
      <c r="F314" s="16" t="n">
        <f aca="false">IF('Boletins Nuppa Site'!I314&lt;&gt;0,'Boletins Nuppa Site'!I314,"NULL")</f>
        <v>78</v>
      </c>
      <c r="G314" s="16" t="n">
        <f aca="false">IF('Boletins Nuppa Site'!J314&lt;&gt;0,'Boletins Nuppa Site'!J314,"NULL")</f>
        <v>69</v>
      </c>
      <c r="H314" s="16" t="n">
        <f aca="false">IF('Boletins Nuppa Site'!K314&lt;&gt;0,'Boletins Nuppa Site'!K314,"NULL")</f>
        <v>69</v>
      </c>
      <c r="J314" s="1" t="str">
        <f aca="false">"INSERT INTO COTACAO (blt_id, pap_id, cot_prc_comum, cot_prc_min, cot_prc_max, cot_prc_med, cot_prc_mediana) VALUES ("&amp;B314&amp;", "&amp;C314&amp;", "&amp;D314&amp;", "&amp;E314&amp;", "&amp;F314&amp;", "&amp;G314&amp;", "&amp;H314&amp;");"</f>
        <v>INSERT INTO COTACAO (blt_id, pap_id, cot_prc_comum, cot_prc_min, cot_prc_max, cot_prc_med, cot_prc_mediana) VALUES (9, 1, NULL, 60, 78, 69, 69);</v>
      </c>
    </row>
    <row r="315" customFormat="false" ht="14.25" hidden="false" customHeight="false" outlineLevel="0" collapsed="false">
      <c r="A315" s="1" t="n">
        <v>314</v>
      </c>
      <c r="B315" s="1" t="n">
        <v>9</v>
      </c>
      <c r="C315" s="1" t="n">
        <v>2</v>
      </c>
      <c r="D315" s="16" t="n">
        <f aca="false">IF('Boletins Nuppa Site'!G315&lt;&gt;0,'Boletins Nuppa Site'!G315,"NULL")</f>
        <v>84</v>
      </c>
      <c r="E315" s="16" t="n">
        <f aca="false">IF('Boletins Nuppa Site'!H315&lt;&gt;0,'Boletins Nuppa Site'!H315,"NULL")</f>
        <v>84</v>
      </c>
      <c r="F315" s="16" t="n">
        <f aca="false">IF('Boletins Nuppa Site'!I315&lt;&gt;0,'Boletins Nuppa Site'!I315,"NULL")</f>
        <v>84</v>
      </c>
      <c r="G315" s="16" t="n">
        <f aca="false">IF('Boletins Nuppa Site'!J315&lt;&gt;0,'Boletins Nuppa Site'!J315,"NULL")</f>
        <v>84</v>
      </c>
      <c r="H315" s="16" t="n">
        <f aca="false">IF('Boletins Nuppa Site'!K315&lt;&gt;0,'Boletins Nuppa Site'!K315,"NULL")</f>
        <v>84</v>
      </c>
      <c r="J315" s="1" t="str">
        <f aca="false">"INSERT INTO COTACAO (blt_id, pap_id, cot_prc_comum, cot_prc_min, cot_prc_max, cot_prc_med, cot_prc_mediana) VALUES ("&amp;B315&amp;", "&amp;C315&amp;", "&amp;D315&amp;", "&amp;E315&amp;", "&amp;F315&amp;", "&amp;G315&amp;", "&amp;H315&amp;");"</f>
        <v>INSERT INTO COTACAO (blt_id, pap_id, cot_prc_comum, cot_prc_min, cot_prc_max, cot_prc_med, cot_prc_mediana) VALUES (9, 2, 84, 84, 84, 84, 84);</v>
      </c>
    </row>
    <row r="316" customFormat="false" ht="14.25" hidden="false" customHeight="false" outlineLevel="0" collapsed="false">
      <c r="A316" s="1" t="n">
        <v>315</v>
      </c>
      <c r="B316" s="1" t="n">
        <v>9</v>
      </c>
      <c r="C316" s="1" t="n">
        <v>3</v>
      </c>
      <c r="D316" s="1" t="str">
        <f aca="false">IF('Boletins Nuppa Site'!G316&lt;&gt;0,'Boletins Nuppa Site'!G316,"NULL")</f>
        <v>NULL</v>
      </c>
      <c r="E316" s="16" t="n">
        <f aca="false">IF('Boletins Nuppa Site'!H316&lt;&gt;0,'Boletins Nuppa Site'!H316,"NULL")</f>
        <v>50</v>
      </c>
      <c r="F316" s="16" t="n">
        <f aca="false">IF('Boletins Nuppa Site'!I316&lt;&gt;0,'Boletins Nuppa Site'!I316,"NULL")</f>
        <v>60</v>
      </c>
      <c r="G316" s="1" t="str">
        <f aca="false">IF('Boletins Nuppa Site'!J316&lt;&gt;0,'Boletins Nuppa Site'!J316,"NULL")</f>
        <v>54.67</v>
      </c>
      <c r="H316" s="16" t="n">
        <f aca="false">IF('Boletins Nuppa Site'!K316&lt;&gt;0,'Boletins Nuppa Site'!K316,"NULL")</f>
        <v>54</v>
      </c>
      <c r="J316" s="1" t="str">
        <f aca="false">"INSERT INTO COTACAO (blt_id, pap_id, cot_prc_comum, cot_prc_min, cot_prc_max, cot_prc_med, cot_prc_mediana) VALUES ("&amp;B316&amp;", "&amp;C316&amp;", "&amp;D316&amp;", "&amp;E316&amp;", "&amp;F316&amp;", "&amp;G316&amp;", "&amp;H316&amp;");"</f>
        <v>INSERT INTO COTACAO (blt_id, pap_id, cot_prc_comum, cot_prc_min, cot_prc_max, cot_prc_med, cot_prc_mediana) VALUES (9, 3, NULL, 50, 60, 54.67, 54);</v>
      </c>
    </row>
    <row r="317" customFormat="false" ht="14.25" hidden="false" customHeight="false" outlineLevel="0" collapsed="false">
      <c r="A317" s="1" t="n">
        <v>316</v>
      </c>
      <c r="B317" s="1" t="n">
        <v>9</v>
      </c>
      <c r="C317" s="1" t="n">
        <v>4</v>
      </c>
      <c r="D317" s="1" t="str">
        <f aca="false">IF('Boletins Nuppa Site'!G317&lt;&gt;0,'Boletins Nuppa Site'!G317,"NULL")</f>
        <v>NULL</v>
      </c>
      <c r="E317" s="16" t="n">
        <f aca="false">IF('Boletins Nuppa Site'!H317&lt;&gt;0,'Boletins Nuppa Site'!H317,"NULL")</f>
        <v>30</v>
      </c>
      <c r="F317" s="16" t="n">
        <f aca="false">IF('Boletins Nuppa Site'!I317&lt;&gt;0,'Boletins Nuppa Site'!I317,"NULL")</f>
        <v>42</v>
      </c>
      <c r="G317" s="16" t="n">
        <f aca="false">IF('Boletins Nuppa Site'!J317&lt;&gt;0,'Boletins Nuppa Site'!J317,"NULL")</f>
        <v>36</v>
      </c>
      <c r="H317" s="16" t="n">
        <f aca="false">IF('Boletins Nuppa Site'!K317&lt;&gt;0,'Boletins Nuppa Site'!K317,"NULL")</f>
        <v>36</v>
      </c>
      <c r="J317" s="1" t="str">
        <f aca="false">"INSERT INTO COTACAO (blt_id, pap_id, cot_prc_comum, cot_prc_min, cot_prc_max, cot_prc_med, cot_prc_mediana) VALUES ("&amp;B317&amp;", "&amp;C317&amp;", "&amp;D317&amp;", "&amp;E317&amp;", "&amp;F317&amp;", "&amp;G317&amp;", "&amp;H317&amp;");"</f>
        <v>INSERT INTO COTACAO (blt_id, pap_id, cot_prc_comum, cot_prc_min, cot_prc_max, cot_prc_med, cot_prc_mediana) VALUES (9, 4, NULL, 30, 42, 36, 36);</v>
      </c>
    </row>
    <row r="318" customFormat="false" ht="14.25" hidden="false" customHeight="false" outlineLevel="0" collapsed="false">
      <c r="A318" s="1" t="n">
        <v>317</v>
      </c>
      <c r="B318" s="1" t="n">
        <v>9</v>
      </c>
      <c r="C318" s="1" t="n">
        <v>5</v>
      </c>
      <c r="D318" s="1" t="str">
        <f aca="false">IF('Boletins Nuppa Site'!G318&lt;&gt;0,'Boletins Nuppa Site'!G318,"NULL")</f>
        <v>NULL</v>
      </c>
      <c r="E318" s="16" t="n">
        <f aca="false">IF('Boletins Nuppa Site'!H318&lt;&gt;0,'Boletins Nuppa Site'!H318,"NULL")</f>
        <v>36</v>
      </c>
      <c r="F318" s="16" t="n">
        <f aca="false">IF('Boletins Nuppa Site'!I318&lt;&gt;0,'Boletins Nuppa Site'!I318,"NULL")</f>
        <v>42</v>
      </c>
      <c r="G318" s="16" t="n">
        <f aca="false">IF('Boletins Nuppa Site'!J318&lt;&gt;0,'Boletins Nuppa Site'!J318,"NULL")</f>
        <v>39</v>
      </c>
      <c r="H318" s="16" t="n">
        <f aca="false">IF('Boletins Nuppa Site'!K318&lt;&gt;0,'Boletins Nuppa Site'!K318,"NULL")</f>
        <v>39</v>
      </c>
      <c r="J318" s="1" t="str">
        <f aca="false">"INSERT INTO COTACAO (blt_id, pap_id, cot_prc_comum, cot_prc_min, cot_prc_max, cot_prc_med, cot_prc_mediana) VALUES ("&amp;B318&amp;", "&amp;C318&amp;", "&amp;D318&amp;", "&amp;E318&amp;", "&amp;F318&amp;", "&amp;G318&amp;", "&amp;H318&amp;");"</f>
        <v>INSERT INTO COTACAO (blt_id, pap_id, cot_prc_comum, cot_prc_min, cot_prc_max, cot_prc_med, cot_prc_mediana) VALUES (9, 5, NULL, 36, 42, 39, 39);</v>
      </c>
    </row>
    <row r="319" customFormat="false" ht="14.25" hidden="false" customHeight="false" outlineLevel="0" collapsed="false">
      <c r="A319" s="1" t="n">
        <v>318</v>
      </c>
      <c r="B319" s="1" t="n">
        <v>9</v>
      </c>
      <c r="C319" s="1" t="n">
        <v>6</v>
      </c>
      <c r="D319" s="16" t="n">
        <f aca="false">IF('Boletins Nuppa Site'!G319&lt;&gt;0,'Boletins Nuppa Site'!G319,"NULL")</f>
        <v>60</v>
      </c>
      <c r="E319" s="16" t="n">
        <f aca="false">IF('Boletins Nuppa Site'!H319&lt;&gt;0,'Boletins Nuppa Site'!H319,"NULL")</f>
        <v>60</v>
      </c>
      <c r="F319" s="16" t="n">
        <f aca="false">IF('Boletins Nuppa Site'!I319&lt;&gt;0,'Boletins Nuppa Site'!I319,"NULL")</f>
        <v>60</v>
      </c>
      <c r="G319" s="16" t="n">
        <f aca="false">IF('Boletins Nuppa Site'!J319&lt;&gt;0,'Boletins Nuppa Site'!J319,"NULL")</f>
        <v>60</v>
      </c>
      <c r="H319" s="16" t="n">
        <f aca="false">IF('Boletins Nuppa Site'!K319&lt;&gt;0,'Boletins Nuppa Site'!K319,"NULL")</f>
        <v>60</v>
      </c>
      <c r="J319" s="1" t="str">
        <f aca="false">"INSERT INTO COTACAO (blt_id, pap_id, cot_prc_comum, cot_prc_min, cot_prc_max, cot_prc_med, cot_prc_mediana) VALUES ("&amp;B319&amp;", "&amp;C319&amp;", "&amp;D319&amp;", "&amp;E319&amp;", "&amp;F319&amp;", "&amp;G319&amp;", "&amp;H319&amp;");"</f>
        <v>INSERT INTO COTACAO (blt_id, pap_id, cot_prc_comum, cot_prc_min, cot_prc_max, cot_prc_med, cot_prc_mediana) VALUES (9, 6, 60, 60, 60, 60, 60);</v>
      </c>
    </row>
    <row r="320" customFormat="false" ht="14.25" hidden="false" customHeight="false" outlineLevel="0" collapsed="false">
      <c r="A320" s="1" t="n">
        <v>319</v>
      </c>
      <c r="B320" s="1" t="n">
        <v>9</v>
      </c>
      <c r="C320" s="1" t="n">
        <v>7</v>
      </c>
      <c r="D320" s="1" t="str">
        <f aca="false">IF('Boletins Nuppa Site'!G320&lt;&gt;0,'Boletins Nuppa Site'!G320,"NULL")</f>
        <v>NULL</v>
      </c>
      <c r="E320" s="16" t="n">
        <f aca="false">IF('Boletins Nuppa Site'!H320&lt;&gt;0,'Boletins Nuppa Site'!H320,"NULL")</f>
        <v>78</v>
      </c>
      <c r="F320" s="16" t="n">
        <f aca="false">IF('Boletins Nuppa Site'!I320&lt;&gt;0,'Boletins Nuppa Site'!I320,"NULL")</f>
        <v>84</v>
      </c>
      <c r="G320" s="16" t="n">
        <f aca="false">IF('Boletins Nuppa Site'!J320&lt;&gt;0,'Boletins Nuppa Site'!J320,"NULL")</f>
        <v>81</v>
      </c>
      <c r="H320" s="16" t="n">
        <f aca="false">IF('Boletins Nuppa Site'!K320&lt;&gt;0,'Boletins Nuppa Site'!K320,"NULL")</f>
        <v>81</v>
      </c>
      <c r="J320" s="1" t="str">
        <f aca="false">"INSERT INTO COTACAO (blt_id, pap_id, cot_prc_comum, cot_prc_min, cot_prc_max, cot_prc_med, cot_prc_mediana) VALUES ("&amp;B320&amp;", "&amp;C320&amp;", "&amp;D320&amp;", "&amp;E320&amp;", "&amp;F320&amp;", "&amp;G320&amp;", "&amp;H320&amp;");"</f>
        <v>INSERT INTO COTACAO (blt_id, pap_id, cot_prc_comum, cot_prc_min, cot_prc_max, cot_prc_med, cot_prc_mediana) VALUES (9, 7, NULL, 78, 84, 81, 81);</v>
      </c>
    </row>
    <row r="321" customFormat="false" ht="14.25" hidden="false" customHeight="false" outlineLevel="0" collapsed="false">
      <c r="A321" s="1" t="n">
        <v>320</v>
      </c>
      <c r="B321" s="1" t="n">
        <v>9</v>
      </c>
      <c r="C321" s="1" t="n">
        <v>8</v>
      </c>
      <c r="D321" s="1" t="str">
        <f aca="false">IF('Boletins Nuppa Site'!G321&lt;&gt;0,'Boletins Nuppa Site'!G321,"NULL")</f>
        <v>NULL</v>
      </c>
      <c r="E321" s="16" t="n">
        <f aca="false">IF('Boletins Nuppa Site'!H321&lt;&gt;0,'Boletins Nuppa Site'!H321,"NULL")</f>
        <v>96</v>
      </c>
      <c r="F321" s="16" t="n">
        <f aca="false">IF('Boletins Nuppa Site'!I321&lt;&gt;0,'Boletins Nuppa Site'!I321,"NULL")</f>
        <v>96</v>
      </c>
      <c r="G321" s="16" t="n">
        <f aca="false">IF('Boletins Nuppa Site'!J321&lt;&gt;0,'Boletins Nuppa Site'!J321,"NULL")</f>
        <v>96</v>
      </c>
      <c r="H321" s="16" t="n">
        <f aca="false">IF('Boletins Nuppa Site'!K321&lt;&gt;0,'Boletins Nuppa Site'!K321,"NULL")</f>
        <v>96</v>
      </c>
      <c r="J321" s="1" t="str">
        <f aca="false">"INSERT INTO COTACAO (blt_id, pap_id, cot_prc_comum, cot_prc_min, cot_prc_max, cot_prc_med, cot_prc_mediana) VALUES ("&amp;B321&amp;", "&amp;C321&amp;", "&amp;D321&amp;", "&amp;E321&amp;", "&amp;F321&amp;", "&amp;G321&amp;", "&amp;H321&amp;");"</f>
        <v>INSERT INTO COTACAO (blt_id, pap_id, cot_prc_comum, cot_prc_min, cot_prc_max, cot_prc_med, cot_prc_mediana) VALUES (9, 8, NULL, 96, 96, 96, 96);</v>
      </c>
    </row>
    <row r="322" customFormat="false" ht="14.25" hidden="false" customHeight="false" outlineLevel="0" collapsed="false">
      <c r="A322" s="1" t="n">
        <v>321</v>
      </c>
      <c r="B322" s="1" t="n">
        <v>9</v>
      </c>
      <c r="C322" s="1" t="n">
        <v>9</v>
      </c>
      <c r="D322" s="1" t="str">
        <f aca="false">IF('Boletins Nuppa Site'!G322&lt;&gt;0,'Boletins Nuppa Site'!G322,"NULL")</f>
        <v>NULL</v>
      </c>
      <c r="E322" s="16" t="n">
        <f aca="false">IF('Boletins Nuppa Site'!H322&lt;&gt;0,'Boletins Nuppa Site'!H322,"NULL")</f>
        <v>25</v>
      </c>
      <c r="F322" s="16" t="n">
        <f aca="false">IF('Boletins Nuppa Site'!I322&lt;&gt;0,'Boletins Nuppa Site'!I322,"NULL")</f>
        <v>36</v>
      </c>
      <c r="G322" s="1" t="str">
        <f aca="false">IF('Boletins Nuppa Site'!J322&lt;&gt;0,'Boletins Nuppa Site'!J322,"NULL")</f>
        <v>30.5</v>
      </c>
      <c r="H322" s="1" t="str">
        <f aca="false">IF('Boletins Nuppa Site'!K322&lt;&gt;0,'Boletins Nuppa Site'!K322,"NULL")</f>
        <v>30.5</v>
      </c>
      <c r="J322" s="1" t="str">
        <f aca="false">"INSERT INTO COTACAO (blt_id, pap_id, cot_prc_comum, cot_prc_min, cot_prc_max, cot_prc_med, cot_prc_mediana) VALUES ("&amp;B322&amp;", "&amp;C322&amp;", "&amp;D322&amp;", "&amp;E322&amp;", "&amp;F322&amp;", "&amp;G322&amp;", "&amp;H322&amp;");"</f>
        <v>INSERT INTO COTACAO (blt_id, pap_id, cot_prc_comum, cot_prc_min, cot_prc_max, cot_prc_med, cot_prc_mediana) VALUES (9, 9, NULL, 25, 36, 30.5, 30.5);</v>
      </c>
    </row>
    <row r="323" customFormat="false" ht="14.25" hidden="false" customHeight="false" outlineLevel="0" collapsed="false">
      <c r="A323" s="1" t="n">
        <v>322</v>
      </c>
      <c r="B323" s="1" t="n">
        <v>9</v>
      </c>
      <c r="C323" s="1" t="n">
        <v>10</v>
      </c>
      <c r="D323" s="1" t="str">
        <f aca="false">IF('Boletins Nuppa Site'!G323&lt;&gt;0,'Boletins Nuppa Site'!G323,"NULL")</f>
        <v>NULL</v>
      </c>
      <c r="E323" s="16" t="n">
        <f aca="false">IF('Boletins Nuppa Site'!H323&lt;&gt;0,'Boletins Nuppa Site'!H323,"NULL")</f>
        <v>84</v>
      </c>
      <c r="F323" s="16" t="n">
        <f aca="false">IF('Boletins Nuppa Site'!I323&lt;&gt;0,'Boletins Nuppa Site'!I323,"NULL")</f>
        <v>120</v>
      </c>
      <c r="G323" s="16" t="n">
        <f aca="false">IF('Boletins Nuppa Site'!J323&lt;&gt;0,'Boletins Nuppa Site'!J323,"NULL")</f>
        <v>102</v>
      </c>
      <c r="H323" s="16" t="n">
        <f aca="false">IF('Boletins Nuppa Site'!K323&lt;&gt;0,'Boletins Nuppa Site'!K323,"NULL")</f>
        <v>102</v>
      </c>
      <c r="J323" s="1" t="str">
        <f aca="false">"INSERT INTO COTACAO (blt_id, pap_id, cot_prc_comum, cot_prc_min, cot_prc_max, cot_prc_med, cot_prc_mediana) VALUES ("&amp;B323&amp;", "&amp;C323&amp;", "&amp;D323&amp;", "&amp;E323&amp;", "&amp;F323&amp;", "&amp;G323&amp;", "&amp;H323&amp;");"</f>
        <v>INSERT INTO COTACAO (blt_id, pap_id, cot_prc_comum, cot_prc_min, cot_prc_max, cot_prc_med, cot_prc_mediana) VALUES (9, 10, NULL, 84, 120, 102, 102);</v>
      </c>
    </row>
    <row r="324" customFormat="false" ht="14.25" hidden="false" customHeight="false" outlineLevel="0" collapsed="false">
      <c r="A324" s="1" t="n">
        <v>323</v>
      </c>
      <c r="B324" s="1" t="n">
        <v>9</v>
      </c>
      <c r="C324" s="1" t="n">
        <v>11</v>
      </c>
      <c r="D324" s="1" t="str">
        <f aca="false">IF('Boletins Nuppa Site'!G324&lt;&gt;0,'Boletins Nuppa Site'!G324,"NULL")</f>
        <v>NULL</v>
      </c>
      <c r="E324" s="16" t="n">
        <f aca="false">IF('Boletins Nuppa Site'!H324&lt;&gt;0,'Boletins Nuppa Site'!H324,"NULL")</f>
        <v>36</v>
      </c>
      <c r="F324" s="16" t="n">
        <f aca="false">IF('Boletins Nuppa Site'!I324&lt;&gt;0,'Boletins Nuppa Site'!I324,"NULL")</f>
        <v>42</v>
      </c>
      <c r="G324" s="16" t="n">
        <f aca="false">IF('Boletins Nuppa Site'!J324&lt;&gt;0,'Boletins Nuppa Site'!J324,"NULL")</f>
        <v>39</v>
      </c>
      <c r="H324" s="16" t="n">
        <f aca="false">IF('Boletins Nuppa Site'!K324&lt;&gt;0,'Boletins Nuppa Site'!K324,"NULL")</f>
        <v>39</v>
      </c>
      <c r="J324" s="1" t="str">
        <f aca="false">"INSERT INTO COTACAO (blt_id, pap_id, cot_prc_comum, cot_prc_min, cot_prc_max, cot_prc_med, cot_prc_mediana) VALUES ("&amp;B324&amp;", "&amp;C324&amp;", "&amp;D324&amp;", "&amp;E324&amp;", "&amp;F324&amp;", "&amp;G324&amp;", "&amp;H324&amp;");"</f>
        <v>INSERT INTO COTACAO (blt_id, pap_id, cot_prc_comum, cot_prc_min, cot_prc_max, cot_prc_med, cot_prc_mediana) VALUES (9, 11, NULL, 36, 42, 39, 39);</v>
      </c>
    </row>
    <row r="325" customFormat="false" ht="14.25" hidden="false" customHeight="false" outlineLevel="0" collapsed="false">
      <c r="A325" s="1" t="n">
        <v>324</v>
      </c>
      <c r="B325" s="1" t="n">
        <v>9</v>
      </c>
      <c r="C325" s="1" t="n">
        <v>12</v>
      </c>
      <c r="D325" s="1" t="str">
        <f aca="false">IF('Boletins Nuppa Site'!G325&lt;&gt;0,'Boletins Nuppa Site'!G325,"NULL")</f>
        <v>NULL</v>
      </c>
      <c r="E325" s="16" t="n">
        <f aca="false">IF('Boletins Nuppa Site'!H325&lt;&gt;0,'Boletins Nuppa Site'!H325,"NULL")</f>
        <v>54</v>
      </c>
      <c r="F325" s="16" t="n">
        <f aca="false">IF('Boletins Nuppa Site'!I325&lt;&gt;0,'Boletins Nuppa Site'!I325,"NULL")</f>
        <v>60</v>
      </c>
      <c r="G325" s="16" t="n">
        <f aca="false">IF('Boletins Nuppa Site'!J325&lt;&gt;0,'Boletins Nuppa Site'!J325,"NULL")</f>
        <v>57</v>
      </c>
      <c r="H325" s="16" t="n">
        <f aca="false">IF('Boletins Nuppa Site'!K325&lt;&gt;0,'Boletins Nuppa Site'!K325,"NULL")</f>
        <v>57</v>
      </c>
      <c r="J325" s="1" t="str">
        <f aca="false">"INSERT INTO COTACAO (blt_id, pap_id, cot_prc_comum, cot_prc_min, cot_prc_max, cot_prc_med, cot_prc_mediana) VALUES ("&amp;B325&amp;", "&amp;C325&amp;", "&amp;D325&amp;", "&amp;E325&amp;", "&amp;F325&amp;", "&amp;G325&amp;", "&amp;H325&amp;");"</f>
        <v>INSERT INTO COTACAO (blt_id, pap_id, cot_prc_comum, cot_prc_min, cot_prc_max, cot_prc_med, cot_prc_mediana) VALUES (9, 12, NULL, 54, 60, 57, 57);</v>
      </c>
    </row>
    <row r="326" customFormat="false" ht="14.25" hidden="false" customHeight="false" outlineLevel="0" collapsed="false">
      <c r="A326" s="1" t="n">
        <v>325</v>
      </c>
      <c r="B326" s="1" t="n">
        <v>9</v>
      </c>
      <c r="C326" s="1" t="n">
        <v>13</v>
      </c>
      <c r="D326" s="1" t="str">
        <f aca="false">IF('Boletins Nuppa Site'!G326&lt;&gt;0,'Boletins Nuppa Site'!G326,"NULL")</f>
        <v>NULL</v>
      </c>
      <c r="E326" s="16" t="n">
        <f aca="false">IF('Boletins Nuppa Site'!H326&lt;&gt;0,'Boletins Nuppa Site'!H326,"NULL")</f>
        <v>60</v>
      </c>
      <c r="F326" s="16" t="n">
        <f aca="false">IF('Boletins Nuppa Site'!I326&lt;&gt;0,'Boletins Nuppa Site'!I326,"NULL")</f>
        <v>78</v>
      </c>
      <c r="G326" s="16" t="n">
        <f aca="false">IF('Boletins Nuppa Site'!J326&lt;&gt;0,'Boletins Nuppa Site'!J326,"NULL")</f>
        <v>69</v>
      </c>
      <c r="H326" s="16" t="n">
        <f aca="false">IF('Boletins Nuppa Site'!K326&lt;&gt;0,'Boletins Nuppa Site'!K326,"NULL")</f>
        <v>69</v>
      </c>
      <c r="J326" s="1" t="str">
        <f aca="false">"INSERT INTO COTACAO (blt_id, pap_id, cot_prc_comum, cot_prc_min, cot_prc_max, cot_prc_med, cot_prc_mediana) VALUES ("&amp;B326&amp;", "&amp;C326&amp;", "&amp;D326&amp;", "&amp;E326&amp;", "&amp;F326&amp;", "&amp;G326&amp;", "&amp;H326&amp;");"</f>
        <v>INSERT INTO COTACAO (blt_id, pap_id, cot_prc_comum, cot_prc_min, cot_prc_max, cot_prc_med, cot_prc_mediana) VALUES (9, 13, NULL, 60, 78, 69, 69);</v>
      </c>
    </row>
    <row r="327" customFormat="false" ht="14.25" hidden="false" customHeight="false" outlineLevel="0" collapsed="false">
      <c r="A327" s="1" t="n">
        <v>326</v>
      </c>
      <c r="B327" s="1" t="n">
        <v>9</v>
      </c>
      <c r="C327" s="1" t="n">
        <v>14</v>
      </c>
      <c r="D327" s="1" t="str">
        <f aca="false">IF('Boletins Nuppa Site'!G327&lt;&gt;0,'Boletins Nuppa Site'!G327,"NULL")</f>
        <v>NULL</v>
      </c>
      <c r="E327" s="16" t="n">
        <f aca="false">IF('Boletins Nuppa Site'!H327&lt;&gt;0,'Boletins Nuppa Site'!H327,"NULL")</f>
        <v>72</v>
      </c>
      <c r="F327" s="16" t="n">
        <f aca="false">IF('Boletins Nuppa Site'!I327&lt;&gt;0,'Boletins Nuppa Site'!I327,"NULL")</f>
        <v>102</v>
      </c>
      <c r="G327" s="16" t="n">
        <f aca="false">IF('Boletins Nuppa Site'!J327&lt;&gt;0,'Boletins Nuppa Site'!J327,"NULL")</f>
        <v>87</v>
      </c>
      <c r="H327" s="16" t="n">
        <f aca="false">IF('Boletins Nuppa Site'!K327&lt;&gt;0,'Boletins Nuppa Site'!K327,"NULL")</f>
        <v>87</v>
      </c>
      <c r="J327" s="1" t="str">
        <f aca="false">"INSERT INTO COTACAO (blt_id, pap_id, cot_prc_comum, cot_prc_min, cot_prc_max, cot_prc_med, cot_prc_mediana) VALUES ("&amp;B327&amp;", "&amp;C327&amp;", "&amp;D327&amp;", "&amp;E327&amp;", "&amp;F327&amp;", "&amp;G327&amp;", "&amp;H327&amp;");"</f>
        <v>INSERT INTO COTACAO (blt_id, pap_id, cot_prc_comum, cot_prc_min, cot_prc_max, cot_prc_med, cot_prc_mediana) VALUES (9, 14, NULL, 72, 102, 87, 87);</v>
      </c>
    </row>
    <row r="328" customFormat="false" ht="14.25" hidden="false" customHeight="false" outlineLevel="0" collapsed="false">
      <c r="A328" s="1" t="n">
        <v>327</v>
      </c>
      <c r="B328" s="1" t="n">
        <v>9</v>
      </c>
      <c r="C328" s="1" t="n">
        <v>15</v>
      </c>
      <c r="D328" s="1" t="str">
        <f aca="false">IF('Boletins Nuppa Site'!G328&lt;&gt;0,'Boletins Nuppa Site'!G328,"NULL")</f>
        <v>NULL</v>
      </c>
      <c r="E328" s="16" t="n">
        <f aca="false">IF('Boletins Nuppa Site'!H328&lt;&gt;0,'Boletins Nuppa Site'!H328,"NULL")</f>
        <v>55</v>
      </c>
      <c r="F328" s="16" t="n">
        <f aca="false">IF('Boletins Nuppa Site'!I328&lt;&gt;0,'Boletins Nuppa Site'!I328,"NULL")</f>
        <v>84</v>
      </c>
      <c r="G328" s="1" t="str">
        <f aca="false">IF('Boletins Nuppa Site'!J328&lt;&gt;0,'Boletins Nuppa Site'!J328,"NULL")</f>
        <v>66.33</v>
      </c>
      <c r="H328" s="16" t="n">
        <f aca="false">IF('Boletins Nuppa Site'!K328&lt;&gt;0,'Boletins Nuppa Site'!K328,"NULL")</f>
        <v>60</v>
      </c>
      <c r="J328" s="1" t="str">
        <f aca="false">"INSERT INTO COTACAO (blt_id, pap_id, cot_prc_comum, cot_prc_min, cot_prc_max, cot_prc_med, cot_prc_mediana) VALUES ("&amp;B328&amp;", "&amp;C328&amp;", "&amp;D328&amp;", "&amp;E328&amp;", "&amp;F328&amp;", "&amp;G328&amp;", "&amp;H328&amp;");"</f>
        <v>INSERT INTO COTACAO (blt_id, pap_id, cot_prc_comum, cot_prc_min, cot_prc_max, cot_prc_med, cot_prc_mediana) VALUES (9, 15, NULL, 55, 84, 66.33, 60);</v>
      </c>
    </row>
    <row r="329" customFormat="false" ht="14.25" hidden="false" customHeight="false" outlineLevel="0" collapsed="false">
      <c r="A329" s="1" t="n">
        <v>328</v>
      </c>
      <c r="B329" s="1" t="n">
        <v>9</v>
      </c>
      <c r="C329" s="1" t="n">
        <v>16</v>
      </c>
      <c r="D329" s="16" t="n">
        <f aca="false">IF('Boletins Nuppa Site'!G329&lt;&gt;0,'Boletins Nuppa Site'!G329,"NULL")</f>
        <v>54</v>
      </c>
      <c r="E329" s="16" t="n">
        <f aca="false">IF('Boletins Nuppa Site'!H329&lt;&gt;0,'Boletins Nuppa Site'!H329,"NULL")</f>
        <v>54</v>
      </c>
      <c r="F329" s="16" t="n">
        <f aca="false">IF('Boletins Nuppa Site'!I329&lt;&gt;0,'Boletins Nuppa Site'!I329,"NULL")</f>
        <v>54</v>
      </c>
      <c r="G329" s="16" t="n">
        <f aca="false">IF('Boletins Nuppa Site'!J329&lt;&gt;0,'Boletins Nuppa Site'!J329,"NULL")</f>
        <v>54</v>
      </c>
      <c r="H329" s="16" t="n">
        <f aca="false">IF('Boletins Nuppa Site'!K329&lt;&gt;0,'Boletins Nuppa Site'!K329,"NULL")</f>
        <v>54</v>
      </c>
      <c r="J329" s="1" t="str">
        <f aca="false">"INSERT INTO COTACAO (blt_id, pap_id, cot_prc_comum, cot_prc_min, cot_prc_max, cot_prc_med, cot_prc_mediana) VALUES ("&amp;B329&amp;", "&amp;C329&amp;", "&amp;D329&amp;", "&amp;E329&amp;", "&amp;F329&amp;", "&amp;G329&amp;", "&amp;H329&amp;");"</f>
        <v>INSERT INTO COTACAO (blt_id, pap_id, cot_prc_comum, cot_prc_min, cot_prc_max, cot_prc_med, cot_prc_mediana) VALUES (9, 16, 54, 54, 54, 54, 54);</v>
      </c>
    </row>
    <row r="330" customFormat="false" ht="14.25" hidden="false" customHeight="false" outlineLevel="0" collapsed="false">
      <c r="A330" s="1" t="n">
        <v>329</v>
      </c>
      <c r="B330" s="1" t="n">
        <v>9</v>
      </c>
      <c r="C330" s="1" t="n">
        <v>17</v>
      </c>
      <c r="D330" s="16" t="n">
        <f aca="false">IF('Boletins Nuppa Site'!G330&lt;&gt;0,'Boletins Nuppa Site'!G330,"NULL")</f>
        <v>5</v>
      </c>
      <c r="E330" s="1" t="str">
        <f aca="false">IF('Boletins Nuppa Site'!H330&lt;&gt;0,'Boletins Nuppa Site'!H330,"NULL")</f>
        <v>4.5</v>
      </c>
      <c r="F330" s="16" t="n">
        <f aca="false">IF('Boletins Nuppa Site'!I330&lt;&gt;0,'Boletins Nuppa Site'!I330,"NULL")</f>
        <v>5</v>
      </c>
      <c r="G330" s="1" t="str">
        <f aca="false">IF('Boletins Nuppa Site'!J330&lt;&gt;0,'Boletins Nuppa Site'!J330,"NULL")</f>
        <v>4.83</v>
      </c>
      <c r="H330" s="16" t="n">
        <f aca="false">IF('Boletins Nuppa Site'!K330&lt;&gt;0,'Boletins Nuppa Site'!K330,"NULL")</f>
        <v>5</v>
      </c>
      <c r="J330" s="1" t="str">
        <f aca="false">"INSERT INTO COTACAO (blt_id, pap_id, cot_prc_comum, cot_prc_min, cot_prc_max, cot_prc_med, cot_prc_mediana) VALUES ("&amp;B330&amp;", "&amp;C330&amp;", "&amp;D330&amp;", "&amp;E330&amp;", "&amp;F330&amp;", "&amp;G330&amp;", "&amp;H330&amp;");"</f>
        <v>INSERT INTO COTACAO (blt_id, pap_id, cot_prc_comum, cot_prc_min, cot_prc_max, cot_prc_med, cot_prc_mediana) VALUES (9, 17, 5, 4.5, 5, 4.83, 5);</v>
      </c>
    </row>
    <row r="331" customFormat="false" ht="14.25" hidden="false" customHeight="false" outlineLevel="0" collapsed="false">
      <c r="A331" s="1" t="n">
        <v>330</v>
      </c>
      <c r="B331" s="1" t="n">
        <v>9</v>
      </c>
      <c r="C331" s="1" t="n">
        <v>18</v>
      </c>
      <c r="D331" s="1" t="str">
        <f aca="false">IF('Boletins Nuppa Site'!G331&lt;&gt;0,'Boletins Nuppa Site'!G331,"NULL")</f>
        <v>NULL</v>
      </c>
      <c r="E331" s="16" t="n">
        <f aca="false">IF('Boletins Nuppa Site'!H331&lt;&gt;0,'Boletins Nuppa Site'!H331,"NULL")</f>
        <v>20</v>
      </c>
      <c r="F331" s="16" t="n">
        <f aca="false">IF('Boletins Nuppa Site'!I331&lt;&gt;0,'Boletins Nuppa Site'!I331,"NULL")</f>
        <v>35</v>
      </c>
      <c r="G331" s="1" t="str">
        <f aca="false">IF('Boletins Nuppa Site'!J331&lt;&gt;0,'Boletins Nuppa Site'!J331,"NULL")</f>
        <v>26.67</v>
      </c>
      <c r="H331" s="16" t="n">
        <f aca="false">IF('Boletins Nuppa Site'!K331&lt;&gt;0,'Boletins Nuppa Site'!K331,"NULL")</f>
        <v>25</v>
      </c>
      <c r="J331" s="1" t="str">
        <f aca="false">"INSERT INTO COTACAO (blt_id, pap_id, cot_prc_comum, cot_prc_min, cot_prc_max, cot_prc_med, cot_prc_mediana) VALUES ("&amp;B331&amp;", "&amp;C331&amp;", "&amp;D331&amp;", "&amp;E331&amp;", "&amp;F331&amp;", "&amp;G331&amp;", "&amp;H331&amp;");"</f>
        <v>INSERT INTO COTACAO (blt_id, pap_id, cot_prc_comum, cot_prc_min, cot_prc_max, cot_prc_med, cot_prc_mediana) VALUES (9, 18, NULL, 20, 35, 26.67, 25);</v>
      </c>
    </row>
    <row r="332" customFormat="false" ht="14.25" hidden="false" customHeight="false" outlineLevel="0" collapsed="false">
      <c r="A332" s="1" t="n">
        <v>331</v>
      </c>
      <c r="B332" s="1" t="n">
        <v>9</v>
      </c>
      <c r="C332" s="1" t="n">
        <v>19</v>
      </c>
      <c r="D332" s="1" t="str">
        <f aca="false">IF('Boletins Nuppa Site'!G332&lt;&gt;0,'Boletins Nuppa Site'!G332,"NULL")</f>
        <v>NULL</v>
      </c>
      <c r="E332" s="16" t="n">
        <f aca="false">IF('Boletins Nuppa Site'!H332&lt;&gt;0,'Boletins Nuppa Site'!H332,"NULL")</f>
        <v>30</v>
      </c>
      <c r="F332" s="16" t="n">
        <f aca="false">IF('Boletins Nuppa Site'!I332&lt;&gt;0,'Boletins Nuppa Site'!I332,"NULL")</f>
        <v>40</v>
      </c>
      <c r="G332" s="16" t="n">
        <f aca="false">IF('Boletins Nuppa Site'!J332&lt;&gt;0,'Boletins Nuppa Site'!J332,"NULL")</f>
        <v>35</v>
      </c>
      <c r="H332" s="16" t="n">
        <f aca="false">IF('Boletins Nuppa Site'!K332&lt;&gt;0,'Boletins Nuppa Site'!K332,"NULL")</f>
        <v>35</v>
      </c>
      <c r="J332" s="1" t="str">
        <f aca="false">"INSERT INTO COTACAO (blt_id, pap_id, cot_prc_comum, cot_prc_min, cot_prc_max, cot_prc_med, cot_prc_mediana) VALUES ("&amp;B332&amp;", "&amp;C332&amp;", "&amp;D332&amp;", "&amp;E332&amp;", "&amp;F332&amp;", "&amp;G332&amp;", "&amp;H332&amp;");"</f>
        <v>INSERT INTO COTACAO (blt_id, pap_id, cot_prc_comum, cot_prc_min, cot_prc_max, cot_prc_med, cot_prc_mediana) VALUES (9, 19, NULL, 30, 40, 35, 35);</v>
      </c>
    </row>
    <row r="333" customFormat="false" ht="14.25" hidden="false" customHeight="false" outlineLevel="0" collapsed="false">
      <c r="A333" s="1" t="n">
        <v>332</v>
      </c>
      <c r="B333" s="1" t="n">
        <v>9</v>
      </c>
      <c r="C333" s="1" t="n">
        <v>20</v>
      </c>
      <c r="D333" s="1" t="str">
        <f aca="false">IF('Boletins Nuppa Site'!G333&lt;&gt;0,'Boletins Nuppa Site'!G333,"NULL")</f>
        <v>NULL</v>
      </c>
      <c r="E333" s="1" t="str">
        <f aca="false">IF('Boletins Nuppa Site'!H333&lt;&gt;0,'Boletins Nuppa Site'!H333,"NULL")</f>
        <v>NULL</v>
      </c>
      <c r="F333" s="1" t="str">
        <f aca="false">IF('Boletins Nuppa Site'!I333&lt;&gt;0,'Boletins Nuppa Site'!I333,"NULL")</f>
        <v>NULL</v>
      </c>
      <c r="G333" s="1" t="str">
        <f aca="false">IF('Boletins Nuppa Site'!J333&lt;&gt;0,'Boletins Nuppa Site'!J333,"NULL")</f>
        <v>NULL</v>
      </c>
      <c r="H333" s="1" t="str">
        <f aca="false">IF('Boletins Nuppa Site'!K333&lt;&gt;0,'Boletins Nuppa Site'!K333,"NULL")</f>
        <v>NULL</v>
      </c>
      <c r="J333" s="1" t="str">
        <f aca="false">"INSERT INTO COTACAO (blt_id, pap_id, cot_prc_comum, cot_prc_min, cot_prc_max, cot_prc_med, cot_prc_mediana) VALUES ("&amp;B333&amp;", "&amp;C333&amp;", "&amp;D333&amp;", "&amp;E333&amp;", "&amp;F333&amp;", "&amp;G333&amp;", "&amp;H333&amp;");"</f>
        <v>INSERT INTO COTACAO (blt_id, pap_id, cot_prc_comum, cot_prc_min, cot_prc_max, cot_prc_med, cot_prc_mediana) VALUES (9, 20, NULL, NULL, NULL, NULL, NULL);</v>
      </c>
    </row>
    <row r="334" customFormat="false" ht="14.25" hidden="false" customHeight="false" outlineLevel="0" collapsed="false">
      <c r="A334" s="1" t="n">
        <v>333</v>
      </c>
      <c r="B334" s="1" t="n">
        <v>9</v>
      </c>
      <c r="C334" s="1" t="n">
        <v>21</v>
      </c>
      <c r="D334" s="16" t="n">
        <f aca="false">IF('Boletins Nuppa Site'!G334&lt;&gt;0,'Boletins Nuppa Site'!G334,"NULL")</f>
        <v>80</v>
      </c>
      <c r="E334" s="16" t="n">
        <f aca="false">IF('Boletins Nuppa Site'!H334&lt;&gt;0,'Boletins Nuppa Site'!H334,"NULL")</f>
        <v>70</v>
      </c>
      <c r="F334" s="16" t="n">
        <f aca="false">IF('Boletins Nuppa Site'!I334&lt;&gt;0,'Boletins Nuppa Site'!I334,"NULL")</f>
        <v>85</v>
      </c>
      <c r="G334" s="1" t="str">
        <f aca="false">IF('Boletins Nuppa Site'!J334&lt;&gt;0,'Boletins Nuppa Site'!J334,"NULL")</f>
        <v>78.75</v>
      </c>
      <c r="H334" s="16" t="n">
        <f aca="false">IF('Boletins Nuppa Site'!K334&lt;&gt;0,'Boletins Nuppa Site'!K334,"NULL")</f>
        <v>80</v>
      </c>
      <c r="J334" s="1" t="str">
        <f aca="false">"INSERT INTO COTACAO (blt_id, pap_id, cot_prc_comum, cot_prc_min, cot_prc_max, cot_prc_med, cot_prc_mediana) VALUES ("&amp;B334&amp;", "&amp;C334&amp;", "&amp;D334&amp;", "&amp;E334&amp;", "&amp;F334&amp;", "&amp;G334&amp;", "&amp;H334&amp;");"</f>
        <v>INSERT INTO COTACAO (blt_id, pap_id, cot_prc_comum, cot_prc_min, cot_prc_max, cot_prc_med, cot_prc_mediana) VALUES (9, 21, 80, 70, 85, 78.75, 80);</v>
      </c>
    </row>
    <row r="335" customFormat="false" ht="14.25" hidden="false" customHeight="false" outlineLevel="0" collapsed="false">
      <c r="A335" s="1" t="n">
        <v>334</v>
      </c>
      <c r="B335" s="1" t="n">
        <v>9</v>
      </c>
      <c r="C335" s="1" t="n">
        <v>22</v>
      </c>
      <c r="D335" s="16" t="n">
        <f aca="false">IF('Boletins Nuppa Site'!G335&lt;&gt;0,'Boletins Nuppa Site'!G335,"NULL")</f>
        <v>75</v>
      </c>
      <c r="E335" s="16" t="n">
        <f aca="false">IF('Boletins Nuppa Site'!H335&lt;&gt;0,'Boletins Nuppa Site'!H335,"NULL")</f>
        <v>55</v>
      </c>
      <c r="F335" s="16" t="n">
        <f aca="false">IF('Boletins Nuppa Site'!I335&lt;&gt;0,'Boletins Nuppa Site'!I335,"NULL")</f>
        <v>75</v>
      </c>
      <c r="G335" s="16" t="n">
        <f aca="false">IF('Boletins Nuppa Site'!J335&lt;&gt;0,'Boletins Nuppa Site'!J335,"NULL")</f>
        <v>70</v>
      </c>
      <c r="H335" s="16" t="n">
        <f aca="false">IF('Boletins Nuppa Site'!K335&lt;&gt;0,'Boletins Nuppa Site'!K335,"NULL")</f>
        <v>75</v>
      </c>
      <c r="J335" s="1" t="str">
        <f aca="false">"INSERT INTO COTACAO (blt_id, pap_id, cot_prc_comum, cot_prc_min, cot_prc_max, cot_prc_med, cot_prc_mediana) VALUES ("&amp;B335&amp;", "&amp;C335&amp;", "&amp;D335&amp;", "&amp;E335&amp;", "&amp;F335&amp;", "&amp;G335&amp;", "&amp;H335&amp;");"</f>
        <v>INSERT INTO COTACAO (blt_id, pap_id, cot_prc_comum, cot_prc_min, cot_prc_max, cot_prc_med, cot_prc_mediana) VALUES (9, 22, 75, 55, 75, 70, 75);</v>
      </c>
    </row>
    <row r="336" customFormat="false" ht="14.25" hidden="false" customHeight="false" outlineLevel="0" collapsed="false">
      <c r="A336" s="1" t="n">
        <v>335</v>
      </c>
      <c r="B336" s="1" t="n">
        <v>9</v>
      </c>
      <c r="C336" s="1" t="n">
        <v>23</v>
      </c>
      <c r="D336" s="16" t="n">
        <f aca="false">IF('Boletins Nuppa Site'!G336&lt;&gt;0,'Boletins Nuppa Site'!G336,"NULL")</f>
        <v>50</v>
      </c>
      <c r="E336" s="16" t="n">
        <f aca="false">IF('Boletins Nuppa Site'!H336&lt;&gt;0,'Boletins Nuppa Site'!H336,"NULL")</f>
        <v>30</v>
      </c>
      <c r="F336" s="16" t="n">
        <f aca="false">IF('Boletins Nuppa Site'!I336&lt;&gt;0,'Boletins Nuppa Site'!I336,"NULL")</f>
        <v>50</v>
      </c>
      <c r="G336" s="16" t="n">
        <f aca="false">IF('Boletins Nuppa Site'!J336&lt;&gt;0,'Boletins Nuppa Site'!J336,"NULL")</f>
        <v>44</v>
      </c>
      <c r="H336" s="16" t="n">
        <f aca="false">IF('Boletins Nuppa Site'!K336&lt;&gt;0,'Boletins Nuppa Site'!K336,"NULL")</f>
        <v>50</v>
      </c>
      <c r="J336" s="1" t="str">
        <f aca="false">"INSERT INTO COTACAO (blt_id, pap_id, cot_prc_comum, cot_prc_min, cot_prc_max, cot_prc_med, cot_prc_mediana) VALUES ("&amp;B336&amp;", "&amp;C336&amp;", "&amp;D336&amp;", "&amp;E336&amp;", "&amp;F336&amp;", "&amp;G336&amp;", "&amp;H336&amp;");"</f>
        <v>INSERT INTO COTACAO (blt_id, pap_id, cot_prc_comum, cot_prc_min, cot_prc_max, cot_prc_med, cot_prc_mediana) VALUES (9, 23, 50, 30, 50, 44, 50);</v>
      </c>
    </row>
    <row r="337" customFormat="false" ht="14.25" hidden="false" customHeight="false" outlineLevel="0" collapsed="false">
      <c r="A337" s="1" t="n">
        <v>336</v>
      </c>
      <c r="B337" s="1" t="n">
        <v>9</v>
      </c>
      <c r="C337" s="1" t="n">
        <v>24</v>
      </c>
      <c r="D337" s="1" t="str">
        <f aca="false">IF('Boletins Nuppa Site'!G337&lt;&gt;0,'Boletins Nuppa Site'!G337,"NULL")</f>
        <v>NULL</v>
      </c>
      <c r="E337" s="16" t="n">
        <f aca="false">IF('Boletins Nuppa Site'!H337&lt;&gt;0,'Boletins Nuppa Site'!H337,"NULL")</f>
        <v>80</v>
      </c>
      <c r="F337" s="16" t="n">
        <f aca="false">IF('Boletins Nuppa Site'!I337&lt;&gt;0,'Boletins Nuppa Site'!I337,"NULL")</f>
        <v>80</v>
      </c>
      <c r="G337" s="16" t="n">
        <f aca="false">IF('Boletins Nuppa Site'!J337&lt;&gt;0,'Boletins Nuppa Site'!J337,"NULL")</f>
        <v>80</v>
      </c>
      <c r="H337" s="16" t="n">
        <f aca="false">IF('Boletins Nuppa Site'!K337&lt;&gt;0,'Boletins Nuppa Site'!K337,"NULL")</f>
        <v>80</v>
      </c>
      <c r="J337" s="1" t="str">
        <f aca="false">"INSERT INTO COTACAO (blt_id, pap_id, cot_prc_comum, cot_prc_min, cot_prc_max, cot_prc_med, cot_prc_mediana) VALUES ("&amp;B337&amp;", "&amp;C337&amp;", "&amp;D337&amp;", "&amp;E337&amp;", "&amp;F337&amp;", "&amp;G337&amp;", "&amp;H337&amp;");"</f>
        <v>INSERT INTO COTACAO (blt_id, pap_id, cot_prc_comum, cot_prc_min, cot_prc_max, cot_prc_med, cot_prc_mediana) VALUES (9, 24, NULL, 80, 80, 80, 80);</v>
      </c>
    </row>
    <row r="338" customFormat="false" ht="14.25" hidden="false" customHeight="false" outlineLevel="0" collapsed="false">
      <c r="A338" s="1" t="n">
        <v>337</v>
      </c>
      <c r="B338" s="1" t="n">
        <v>9</v>
      </c>
      <c r="C338" s="1" t="n">
        <v>25</v>
      </c>
      <c r="D338" s="16" t="n">
        <f aca="false">IF('Boletins Nuppa Site'!G338&lt;&gt;0,'Boletins Nuppa Site'!G338,"NULL")</f>
        <v>100</v>
      </c>
      <c r="E338" s="16" t="n">
        <f aca="false">IF('Boletins Nuppa Site'!H338&lt;&gt;0,'Boletins Nuppa Site'!H338,"NULL")</f>
        <v>100</v>
      </c>
      <c r="F338" s="16" t="n">
        <f aca="false">IF('Boletins Nuppa Site'!I338&lt;&gt;0,'Boletins Nuppa Site'!I338,"NULL")</f>
        <v>130</v>
      </c>
      <c r="G338" s="1" t="str">
        <f aca="false">IF('Boletins Nuppa Site'!J338&lt;&gt;0,'Boletins Nuppa Site'!J338,"NULL")</f>
        <v>113.75</v>
      </c>
      <c r="H338" s="1" t="str">
        <f aca="false">IF('Boletins Nuppa Site'!K338&lt;&gt;0,'Boletins Nuppa Site'!K338,"NULL")</f>
        <v>112.5</v>
      </c>
      <c r="J338" s="1" t="str">
        <f aca="false">"INSERT INTO COTACAO (blt_id, pap_id, cot_prc_comum, cot_prc_min, cot_prc_max, cot_prc_med, cot_prc_mediana) VALUES ("&amp;B338&amp;", "&amp;C338&amp;", "&amp;D338&amp;", "&amp;E338&amp;", "&amp;F338&amp;", "&amp;G338&amp;", "&amp;H338&amp;");"</f>
        <v>INSERT INTO COTACAO (blt_id, pap_id, cot_prc_comum, cot_prc_min, cot_prc_max, cot_prc_med, cot_prc_mediana) VALUES (9, 25, 100, 100, 130, 113.75, 112.5);</v>
      </c>
    </row>
    <row r="339" customFormat="false" ht="14.25" hidden="false" customHeight="false" outlineLevel="0" collapsed="false">
      <c r="A339" s="1" t="n">
        <v>338</v>
      </c>
      <c r="B339" s="1" t="n">
        <v>9</v>
      </c>
      <c r="C339" s="1" t="n">
        <v>26</v>
      </c>
      <c r="D339" s="16" t="n">
        <f aca="false">IF('Boletins Nuppa Site'!G339&lt;&gt;0,'Boletins Nuppa Site'!G339,"NULL")</f>
        <v>130</v>
      </c>
      <c r="E339" s="16" t="n">
        <f aca="false">IF('Boletins Nuppa Site'!H339&lt;&gt;0,'Boletins Nuppa Site'!H339,"NULL")</f>
        <v>90</v>
      </c>
      <c r="F339" s="16" t="n">
        <f aca="false">IF('Boletins Nuppa Site'!I339&lt;&gt;0,'Boletins Nuppa Site'!I339,"NULL")</f>
        <v>140</v>
      </c>
      <c r="G339" s="1" t="str">
        <f aca="false">IF('Boletins Nuppa Site'!J339&lt;&gt;0,'Boletins Nuppa Site'!J339,"NULL")</f>
        <v>122.5</v>
      </c>
      <c r="H339" s="16" t="n">
        <f aca="false">IF('Boletins Nuppa Site'!K339&lt;&gt;0,'Boletins Nuppa Site'!K339,"NULL")</f>
        <v>130</v>
      </c>
      <c r="J339" s="1" t="str">
        <f aca="false">"INSERT INTO COTACAO (blt_id, pap_id, cot_prc_comum, cot_prc_min, cot_prc_max, cot_prc_med, cot_prc_mediana) VALUES ("&amp;B339&amp;", "&amp;C339&amp;", "&amp;D339&amp;", "&amp;E339&amp;", "&amp;F339&amp;", "&amp;G339&amp;", "&amp;H339&amp;");"</f>
        <v>INSERT INTO COTACAO (blt_id, pap_id, cot_prc_comum, cot_prc_min, cot_prc_max, cot_prc_med, cot_prc_mediana) VALUES (9, 26, 130, 90, 140, 122.5, 130);</v>
      </c>
    </row>
    <row r="340" customFormat="false" ht="14.25" hidden="false" customHeight="false" outlineLevel="0" collapsed="false">
      <c r="A340" s="1" t="n">
        <v>339</v>
      </c>
      <c r="B340" s="1" t="n">
        <v>9</v>
      </c>
      <c r="C340" s="1" t="n">
        <v>27</v>
      </c>
      <c r="D340" s="16" t="n">
        <f aca="false">IF('Boletins Nuppa Site'!G340&lt;&gt;0,'Boletins Nuppa Site'!G340,"NULL")</f>
        <v>70</v>
      </c>
      <c r="E340" s="16" t="n">
        <f aca="false">IF('Boletins Nuppa Site'!H340&lt;&gt;0,'Boletins Nuppa Site'!H340,"NULL")</f>
        <v>70</v>
      </c>
      <c r="F340" s="16" t="n">
        <f aca="false">IF('Boletins Nuppa Site'!I340&lt;&gt;0,'Boletins Nuppa Site'!I340,"NULL")</f>
        <v>90</v>
      </c>
      <c r="G340" s="16" t="n">
        <f aca="false">IF('Boletins Nuppa Site'!J340&lt;&gt;0,'Boletins Nuppa Site'!J340,"NULL")</f>
        <v>75</v>
      </c>
      <c r="H340" s="16" t="n">
        <f aca="false">IF('Boletins Nuppa Site'!K340&lt;&gt;0,'Boletins Nuppa Site'!K340,"NULL")</f>
        <v>70</v>
      </c>
      <c r="J340" s="1" t="str">
        <f aca="false">"INSERT INTO COTACAO (blt_id, pap_id, cot_prc_comum, cot_prc_min, cot_prc_max, cot_prc_med, cot_prc_mediana) VALUES ("&amp;B340&amp;", "&amp;C340&amp;", "&amp;D340&amp;", "&amp;E340&amp;", "&amp;F340&amp;", "&amp;G340&amp;", "&amp;H340&amp;");"</f>
        <v>INSERT INTO COTACAO (blt_id, pap_id, cot_prc_comum, cot_prc_min, cot_prc_max, cot_prc_med, cot_prc_mediana) VALUES (9, 27, 70, 70, 90, 75, 70);</v>
      </c>
    </row>
    <row r="341" customFormat="false" ht="14.25" hidden="false" customHeight="false" outlineLevel="0" collapsed="false">
      <c r="A341" s="1" t="n">
        <v>340</v>
      </c>
      <c r="B341" s="1" t="n">
        <v>9</v>
      </c>
      <c r="C341" s="1" t="n">
        <v>28</v>
      </c>
      <c r="D341" s="1" t="str">
        <f aca="false">IF('Boletins Nuppa Site'!G341&lt;&gt;0,'Boletins Nuppa Site'!G341,"NULL")</f>
        <v>NULL</v>
      </c>
      <c r="E341" s="16" t="n">
        <f aca="false">IF('Boletins Nuppa Site'!H341&lt;&gt;0,'Boletins Nuppa Site'!H341,"NULL")</f>
        <v>80</v>
      </c>
      <c r="F341" s="16" t="n">
        <f aca="false">IF('Boletins Nuppa Site'!I341&lt;&gt;0,'Boletins Nuppa Site'!I341,"NULL")</f>
        <v>85</v>
      </c>
      <c r="G341" s="1" t="str">
        <f aca="false">IF('Boletins Nuppa Site'!J341&lt;&gt;0,'Boletins Nuppa Site'!J341,"NULL")</f>
        <v>82.5</v>
      </c>
      <c r="H341" s="1" t="str">
        <f aca="false">IF('Boletins Nuppa Site'!K341&lt;&gt;0,'Boletins Nuppa Site'!K341,"NULL")</f>
        <v>82.5</v>
      </c>
      <c r="J341" s="1" t="str">
        <f aca="false">"INSERT INTO COTACAO (blt_id, pap_id, cot_prc_comum, cot_prc_min, cot_prc_max, cot_prc_med, cot_prc_mediana) VALUES ("&amp;B341&amp;", "&amp;C341&amp;", "&amp;D341&amp;", "&amp;E341&amp;", "&amp;F341&amp;", "&amp;G341&amp;", "&amp;H341&amp;");"</f>
        <v>INSERT INTO COTACAO (blt_id, pap_id, cot_prc_comum, cot_prc_min, cot_prc_max, cot_prc_med, cot_prc_mediana) VALUES (9, 28, NULL, 80, 85, 82.5, 82.5);</v>
      </c>
    </row>
    <row r="342" customFormat="false" ht="14.25" hidden="false" customHeight="false" outlineLevel="0" collapsed="false">
      <c r="A342" s="1" t="n">
        <v>341</v>
      </c>
      <c r="B342" s="1" t="n">
        <v>9</v>
      </c>
      <c r="C342" s="1" t="n">
        <v>29</v>
      </c>
      <c r="D342" s="16" t="n">
        <f aca="false">IF('Boletins Nuppa Site'!G342&lt;&gt;0,'Boletins Nuppa Site'!G342,"NULL")</f>
        <v>60</v>
      </c>
      <c r="E342" s="16" t="n">
        <f aca="false">IF('Boletins Nuppa Site'!H342&lt;&gt;0,'Boletins Nuppa Site'!H342,"NULL")</f>
        <v>60</v>
      </c>
      <c r="F342" s="16" t="n">
        <f aca="false">IF('Boletins Nuppa Site'!I342&lt;&gt;0,'Boletins Nuppa Site'!I342,"NULL")</f>
        <v>60</v>
      </c>
      <c r="G342" s="16" t="n">
        <f aca="false">IF('Boletins Nuppa Site'!J342&lt;&gt;0,'Boletins Nuppa Site'!J342,"NULL")</f>
        <v>60</v>
      </c>
      <c r="H342" s="16" t="n">
        <f aca="false">IF('Boletins Nuppa Site'!K342&lt;&gt;0,'Boletins Nuppa Site'!K342,"NULL")</f>
        <v>60</v>
      </c>
      <c r="J342" s="1" t="str">
        <f aca="false">"INSERT INTO COTACAO (blt_id, pap_id, cot_prc_comum, cot_prc_min, cot_prc_max, cot_prc_med, cot_prc_mediana) VALUES ("&amp;B342&amp;", "&amp;C342&amp;", "&amp;D342&amp;", "&amp;E342&amp;", "&amp;F342&amp;", "&amp;G342&amp;", "&amp;H342&amp;");"</f>
        <v>INSERT INTO COTACAO (blt_id, pap_id, cot_prc_comum, cot_prc_min, cot_prc_max, cot_prc_med, cot_prc_mediana) VALUES (9, 29, 60, 60, 60, 60, 60);</v>
      </c>
    </row>
    <row r="343" customFormat="false" ht="14.25" hidden="false" customHeight="false" outlineLevel="0" collapsed="false">
      <c r="A343" s="1" t="n">
        <v>342</v>
      </c>
      <c r="B343" s="1" t="n">
        <v>9</v>
      </c>
      <c r="C343" s="1" t="n">
        <v>30</v>
      </c>
      <c r="D343" s="16" t="n">
        <f aca="false">IF('Boletins Nuppa Site'!G343&lt;&gt;0,'Boletins Nuppa Site'!G343,"NULL")</f>
        <v>70</v>
      </c>
      <c r="E343" s="16" t="n">
        <f aca="false">IF('Boletins Nuppa Site'!H343&lt;&gt;0,'Boletins Nuppa Site'!H343,"NULL")</f>
        <v>70</v>
      </c>
      <c r="F343" s="16" t="n">
        <f aca="false">IF('Boletins Nuppa Site'!I343&lt;&gt;0,'Boletins Nuppa Site'!I343,"NULL")</f>
        <v>70</v>
      </c>
      <c r="G343" s="16" t="n">
        <f aca="false">IF('Boletins Nuppa Site'!J343&lt;&gt;0,'Boletins Nuppa Site'!J343,"NULL")</f>
        <v>70</v>
      </c>
      <c r="H343" s="16" t="n">
        <f aca="false">IF('Boletins Nuppa Site'!K343&lt;&gt;0,'Boletins Nuppa Site'!K343,"NULL")</f>
        <v>70</v>
      </c>
      <c r="J343" s="1" t="str">
        <f aca="false">"INSERT INTO COTACAO (blt_id, pap_id, cot_prc_comum, cot_prc_min, cot_prc_max, cot_prc_med, cot_prc_mediana) VALUES ("&amp;B343&amp;", "&amp;C343&amp;", "&amp;D343&amp;", "&amp;E343&amp;", "&amp;F343&amp;", "&amp;G343&amp;", "&amp;H343&amp;");"</f>
        <v>INSERT INTO COTACAO (blt_id, pap_id, cot_prc_comum, cot_prc_min, cot_prc_max, cot_prc_med, cot_prc_mediana) VALUES (9, 30, 70, 70, 70, 70, 70);</v>
      </c>
    </row>
    <row r="344" customFormat="false" ht="14.25" hidden="false" customHeight="false" outlineLevel="0" collapsed="false">
      <c r="A344" s="1" t="n">
        <v>343</v>
      </c>
      <c r="B344" s="1" t="n">
        <v>9</v>
      </c>
      <c r="C344" s="1" t="n">
        <v>31</v>
      </c>
      <c r="D344" s="1" t="str">
        <f aca="false">IF('Boletins Nuppa Site'!G344&lt;&gt;0,'Boletins Nuppa Site'!G344,"NULL")</f>
        <v>NULL</v>
      </c>
      <c r="E344" s="16" t="n">
        <f aca="false">IF('Boletins Nuppa Site'!H344&lt;&gt;0,'Boletins Nuppa Site'!H344,"NULL")</f>
        <v>80</v>
      </c>
      <c r="F344" s="16" t="n">
        <f aca="false">IF('Boletins Nuppa Site'!I344&lt;&gt;0,'Boletins Nuppa Site'!I344,"NULL")</f>
        <v>135</v>
      </c>
      <c r="G344" s="1" t="str">
        <f aca="false">IF('Boletins Nuppa Site'!J344&lt;&gt;0,'Boletins Nuppa Site'!J344,"NULL")</f>
        <v>106.25</v>
      </c>
      <c r="H344" s="16" t="n">
        <f aca="false">IF('Boletins Nuppa Site'!K344&lt;&gt;0,'Boletins Nuppa Site'!K344,"NULL")</f>
        <v>105</v>
      </c>
      <c r="J344" s="1" t="str">
        <f aca="false">"INSERT INTO COTACAO (blt_id, pap_id, cot_prc_comum, cot_prc_min, cot_prc_max, cot_prc_med, cot_prc_mediana) VALUES ("&amp;B344&amp;", "&amp;C344&amp;", "&amp;D344&amp;", "&amp;E344&amp;", "&amp;F344&amp;", "&amp;G344&amp;", "&amp;H344&amp;");"</f>
        <v>INSERT INTO COTACAO (blt_id, pap_id, cot_prc_comum, cot_prc_min, cot_prc_max, cot_prc_med, cot_prc_mediana) VALUES (9, 31, NULL, 80, 135, 106.25, 105);</v>
      </c>
    </row>
    <row r="345" customFormat="false" ht="14.25" hidden="false" customHeight="false" outlineLevel="0" collapsed="false">
      <c r="A345" s="1" t="n">
        <v>344</v>
      </c>
      <c r="B345" s="1" t="n">
        <v>9</v>
      </c>
      <c r="C345" s="1" t="n">
        <v>32</v>
      </c>
      <c r="D345" s="16" t="n">
        <f aca="false">IF('Boletins Nuppa Site'!G345&lt;&gt;0,'Boletins Nuppa Site'!G345,"NULL")</f>
        <v>60</v>
      </c>
      <c r="E345" s="16" t="n">
        <f aca="false">IF('Boletins Nuppa Site'!H345&lt;&gt;0,'Boletins Nuppa Site'!H345,"NULL")</f>
        <v>45</v>
      </c>
      <c r="F345" s="16" t="n">
        <f aca="false">IF('Boletins Nuppa Site'!I345&lt;&gt;0,'Boletins Nuppa Site'!I345,"NULL")</f>
        <v>70</v>
      </c>
      <c r="G345" s="1" t="str">
        <f aca="false">IF('Boletins Nuppa Site'!J345&lt;&gt;0,'Boletins Nuppa Site'!J345,"NULL")</f>
        <v>58.75</v>
      </c>
      <c r="H345" s="16" t="n">
        <f aca="false">IF('Boletins Nuppa Site'!K345&lt;&gt;0,'Boletins Nuppa Site'!K345,"NULL")</f>
        <v>60</v>
      </c>
      <c r="J345" s="1" t="str">
        <f aca="false">"INSERT INTO COTACAO (blt_id, pap_id, cot_prc_comum, cot_prc_min, cot_prc_max, cot_prc_med, cot_prc_mediana) VALUES ("&amp;B345&amp;", "&amp;C345&amp;", "&amp;D345&amp;", "&amp;E345&amp;", "&amp;F345&amp;", "&amp;G345&amp;", "&amp;H345&amp;");"</f>
        <v>INSERT INTO COTACAO (blt_id, pap_id, cot_prc_comum, cot_prc_min, cot_prc_max, cot_prc_med, cot_prc_mediana) VALUES (9, 32, 60, 45, 70, 58.75, 60);</v>
      </c>
    </row>
    <row r="346" customFormat="false" ht="14.25" hidden="false" customHeight="false" outlineLevel="0" collapsed="false">
      <c r="A346" s="1" t="n">
        <v>345</v>
      </c>
      <c r="B346" s="1" t="n">
        <v>9</v>
      </c>
      <c r="C346" s="1" t="n">
        <v>33</v>
      </c>
      <c r="D346" s="1" t="str">
        <f aca="false">IF('Boletins Nuppa Site'!G346&lt;&gt;0,'Boletins Nuppa Site'!G346,"NULL")</f>
        <v>NULL</v>
      </c>
      <c r="E346" s="16" t="n">
        <f aca="false">IF('Boletins Nuppa Site'!H346&lt;&gt;0,'Boletins Nuppa Site'!H346,"NULL")</f>
        <v>50</v>
      </c>
      <c r="F346" s="16" t="n">
        <f aca="false">IF('Boletins Nuppa Site'!I346&lt;&gt;0,'Boletins Nuppa Site'!I346,"NULL")</f>
        <v>70</v>
      </c>
      <c r="G346" s="16" t="n">
        <f aca="false">IF('Boletins Nuppa Site'!J346&lt;&gt;0,'Boletins Nuppa Site'!J346,"NULL")</f>
        <v>60</v>
      </c>
      <c r="H346" s="16" t="n">
        <f aca="false">IF('Boletins Nuppa Site'!K346&lt;&gt;0,'Boletins Nuppa Site'!K346,"NULL")</f>
        <v>60</v>
      </c>
      <c r="J346" s="1" t="str">
        <f aca="false">"INSERT INTO COTACAO (blt_id, pap_id, cot_prc_comum, cot_prc_min, cot_prc_max, cot_prc_med, cot_prc_mediana) VALUES ("&amp;B346&amp;", "&amp;C346&amp;", "&amp;D346&amp;", "&amp;E346&amp;", "&amp;F346&amp;", "&amp;G346&amp;", "&amp;H346&amp;");"</f>
        <v>INSERT INTO COTACAO (blt_id, pap_id, cot_prc_comum, cot_prc_min, cot_prc_max, cot_prc_med, cot_prc_mediana) VALUES (9, 33, NULL, 50, 70, 60, 60);</v>
      </c>
    </row>
    <row r="347" customFormat="false" ht="14.25" hidden="false" customHeight="false" outlineLevel="0" collapsed="false">
      <c r="A347" s="1" t="n">
        <v>346</v>
      </c>
      <c r="B347" s="1" t="n">
        <v>9</v>
      </c>
      <c r="C347" s="1" t="n">
        <v>34</v>
      </c>
      <c r="D347" s="16" t="n">
        <f aca="false">IF('Boletins Nuppa Site'!G347&lt;&gt;0,'Boletins Nuppa Site'!G347,"NULL")</f>
        <v>150</v>
      </c>
      <c r="E347" s="16" t="n">
        <f aca="false">IF('Boletins Nuppa Site'!H347&lt;&gt;0,'Boletins Nuppa Site'!H347,"NULL")</f>
        <v>110</v>
      </c>
      <c r="F347" s="16" t="n">
        <f aca="false">IF('Boletins Nuppa Site'!I347&lt;&gt;0,'Boletins Nuppa Site'!I347,"NULL")</f>
        <v>150</v>
      </c>
      <c r="G347" s="1" t="str">
        <f aca="false">IF('Boletins Nuppa Site'!J347&lt;&gt;0,'Boletins Nuppa Site'!J347,"NULL")</f>
        <v>137.5</v>
      </c>
      <c r="H347" s="16" t="n">
        <f aca="false">IF('Boletins Nuppa Site'!K347&lt;&gt;0,'Boletins Nuppa Site'!K347,"NULL")</f>
        <v>145</v>
      </c>
      <c r="J347" s="1" t="str">
        <f aca="false">"INSERT INTO COTACAO (blt_id, pap_id, cot_prc_comum, cot_prc_min, cot_prc_max, cot_prc_med, cot_prc_mediana) VALUES ("&amp;B347&amp;", "&amp;C347&amp;", "&amp;D347&amp;", "&amp;E347&amp;", "&amp;F347&amp;", "&amp;G347&amp;", "&amp;H347&amp;");"</f>
        <v>INSERT INTO COTACAO (blt_id, pap_id, cot_prc_comum, cot_prc_min, cot_prc_max, cot_prc_med, cot_prc_mediana) VALUES (9, 34, 150, 110, 150, 137.5, 145);</v>
      </c>
    </row>
    <row r="348" customFormat="false" ht="14.25" hidden="false" customHeight="false" outlineLevel="0" collapsed="false">
      <c r="A348" s="1" t="n">
        <v>347</v>
      </c>
      <c r="B348" s="1" t="n">
        <v>9</v>
      </c>
      <c r="C348" s="1" t="n">
        <v>35</v>
      </c>
      <c r="D348" s="1" t="str">
        <f aca="false">IF('Boletins Nuppa Site'!G348&lt;&gt;0,'Boletins Nuppa Site'!G348,"NULL")</f>
        <v>NULL</v>
      </c>
      <c r="E348" s="16" t="n">
        <f aca="false">IF('Boletins Nuppa Site'!H348&lt;&gt;0,'Boletins Nuppa Site'!H348,"NULL")</f>
        <v>120</v>
      </c>
      <c r="F348" s="16" t="n">
        <f aca="false">IF('Boletins Nuppa Site'!I348&lt;&gt;0,'Boletins Nuppa Site'!I348,"NULL")</f>
        <v>150</v>
      </c>
      <c r="G348" s="1" t="str">
        <f aca="false">IF('Boletins Nuppa Site'!J348&lt;&gt;0,'Boletins Nuppa Site'!J348,"NULL")</f>
        <v>136.67</v>
      </c>
      <c r="H348" s="16" t="n">
        <f aca="false">IF('Boletins Nuppa Site'!K348&lt;&gt;0,'Boletins Nuppa Site'!K348,"NULL")</f>
        <v>140</v>
      </c>
      <c r="J348" s="1" t="str">
        <f aca="false">"INSERT INTO COTACAO (blt_id, pap_id, cot_prc_comum, cot_prc_min, cot_prc_max, cot_prc_med, cot_prc_mediana) VALUES ("&amp;B348&amp;", "&amp;C348&amp;", "&amp;D348&amp;", "&amp;E348&amp;", "&amp;F348&amp;", "&amp;G348&amp;", "&amp;H348&amp;");"</f>
        <v>INSERT INTO COTACAO (blt_id, pap_id, cot_prc_comum, cot_prc_min, cot_prc_max, cot_prc_med, cot_prc_mediana) VALUES (9, 35, NULL, 120, 150, 136.67, 140);</v>
      </c>
    </row>
    <row r="349" customFormat="false" ht="14.25" hidden="false" customHeight="false" outlineLevel="0" collapsed="false">
      <c r="A349" s="1" t="n">
        <v>348</v>
      </c>
      <c r="B349" s="1" t="n">
        <v>9</v>
      </c>
      <c r="C349" s="1" t="n">
        <v>36</v>
      </c>
      <c r="D349" s="1" t="str">
        <f aca="false">IF('Boletins Nuppa Site'!G349&lt;&gt;0,'Boletins Nuppa Site'!G349,"NULL")</f>
        <v>NULL</v>
      </c>
      <c r="E349" s="16" t="n">
        <f aca="false">IF('Boletins Nuppa Site'!H349&lt;&gt;0,'Boletins Nuppa Site'!H349,"NULL")</f>
        <v>110</v>
      </c>
      <c r="F349" s="16" t="n">
        <f aca="false">IF('Boletins Nuppa Site'!I349&lt;&gt;0,'Boletins Nuppa Site'!I349,"NULL")</f>
        <v>110</v>
      </c>
      <c r="G349" s="16" t="n">
        <f aca="false">IF('Boletins Nuppa Site'!J349&lt;&gt;0,'Boletins Nuppa Site'!J349,"NULL")</f>
        <v>110</v>
      </c>
      <c r="H349" s="16" t="n">
        <f aca="false">IF('Boletins Nuppa Site'!K349&lt;&gt;0,'Boletins Nuppa Site'!K349,"NULL")</f>
        <v>110</v>
      </c>
      <c r="J349" s="1" t="str">
        <f aca="false">"INSERT INTO COTACAO (blt_id, pap_id, cot_prc_comum, cot_prc_min, cot_prc_max, cot_prc_med, cot_prc_mediana) VALUES ("&amp;B349&amp;", "&amp;C349&amp;", "&amp;D349&amp;", "&amp;E349&amp;", "&amp;F349&amp;", "&amp;G349&amp;", "&amp;H349&amp;");"</f>
        <v>INSERT INTO COTACAO (blt_id, pap_id, cot_prc_comum, cot_prc_min, cot_prc_max, cot_prc_med, cot_prc_mediana) VALUES (9, 36, NULL, 110, 110, 110, 110);</v>
      </c>
    </row>
    <row r="350" customFormat="false" ht="14.25" hidden="false" customHeight="false" outlineLevel="0" collapsed="false">
      <c r="A350" s="1" t="n">
        <v>349</v>
      </c>
      <c r="B350" s="1" t="n">
        <v>9</v>
      </c>
      <c r="C350" s="1" t="n">
        <v>37</v>
      </c>
      <c r="D350" s="1" t="str">
        <f aca="false">IF('Boletins Nuppa Site'!G350&lt;&gt;0,'Boletins Nuppa Site'!G350,"NULL")</f>
        <v>NULL</v>
      </c>
      <c r="E350" s="16" t="n">
        <f aca="false">IF('Boletins Nuppa Site'!H350&lt;&gt;0,'Boletins Nuppa Site'!H350,"NULL")</f>
        <v>70</v>
      </c>
      <c r="F350" s="16" t="n">
        <f aca="false">IF('Boletins Nuppa Site'!I350&lt;&gt;0,'Boletins Nuppa Site'!I350,"NULL")</f>
        <v>70</v>
      </c>
      <c r="G350" s="16" t="n">
        <f aca="false">IF('Boletins Nuppa Site'!J350&lt;&gt;0,'Boletins Nuppa Site'!J350,"NULL")</f>
        <v>70</v>
      </c>
      <c r="H350" s="16" t="n">
        <f aca="false">IF('Boletins Nuppa Site'!K350&lt;&gt;0,'Boletins Nuppa Site'!K350,"NULL")</f>
        <v>70</v>
      </c>
      <c r="J350" s="1" t="str">
        <f aca="false">"INSERT INTO COTACAO (blt_id, pap_id, cot_prc_comum, cot_prc_min, cot_prc_max, cot_prc_med, cot_prc_mediana) VALUES ("&amp;B350&amp;", "&amp;C350&amp;", "&amp;D350&amp;", "&amp;E350&amp;", "&amp;F350&amp;", "&amp;G350&amp;", "&amp;H350&amp;");"</f>
        <v>INSERT INTO COTACAO (blt_id, pap_id, cot_prc_comum, cot_prc_min, cot_prc_max, cot_prc_med, cot_prc_mediana) VALUES (9, 37, NULL, 70, 70, 70, 70);</v>
      </c>
    </row>
    <row r="351" customFormat="false" ht="14.25" hidden="false" customHeight="false" outlineLevel="0" collapsed="false">
      <c r="A351" s="1" t="n">
        <v>350</v>
      </c>
      <c r="B351" s="1" t="n">
        <v>9</v>
      </c>
      <c r="C351" s="1" t="n">
        <v>38</v>
      </c>
      <c r="D351" s="1" t="str">
        <f aca="false">IF('Boletins Nuppa Site'!G351&lt;&gt;0,'Boletins Nuppa Site'!G351,"NULL")</f>
        <v>NULL</v>
      </c>
      <c r="E351" s="16" t="n">
        <f aca="false">IF('Boletins Nuppa Site'!H351&lt;&gt;0,'Boletins Nuppa Site'!H351,"NULL")</f>
        <v>40</v>
      </c>
      <c r="F351" s="16" t="n">
        <f aca="false">IF('Boletins Nuppa Site'!I351&lt;&gt;0,'Boletins Nuppa Site'!I351,"NULL")</f>
        <v>40</v>
      </c>
      <c r="G351" s="16" t="n">
        <f aca="false">IF('Boletins Nuppa Site'!J351&lt;&gt;0,'Boletins Nuppa Site'!J351,"NULL")</f>
        <v>40</v>
      </c>
      <c r="H351" s="16" t="n">
        <f aca="false">IF('Boletins Nuppa Site'!K351&lt;&gt;0,'Boletins Nuppa Site'!K351,"NULL")</f>
        <v>40</v>
      </c>
      <c r="J351" s="1" t="str">
        <f aca="false">"INSERT INTO COTACAO (blt_id, pap_id, cot_prc_comum, cot_prc_min, cot_prc_max, cot_prc_med, cot_prc_mediana) VALUES ("&amp;B351&amp;", "&amp;C351&amp;", "&amp;D351&amp;", "&amp;E351&amp;", "&amp;F351&amp;", "&amp;G351&amp;", "&amp;H351&amp;");"</f>
        <v>INSERT INTO COTACAO (blt_id, pap_id, cot_prc_comum, cot_prc_min, cot_prc_max, cot_prc_med, cot_prc_mediana) VALUES (9, 38, NULL, 40, 40, 40, 40);</v>
      </c>
    </row>
    <row r="352" customFormat="false" ht="14.25" hidden="false" customHeight="false" outlineLevel="0" collapsed="false">
      <c r="A352" s="1" t="n">
        <v>351</v>
      </c>
      <c r="B352" s="1" t="n">
        <v>9</v>
      </c>
      <c r="C352" s="1" t="n">
        <v>39</v>
      </c>
      <c r="D352" s="1" t="str">
        <f aca="false">IF('Boletins Nuppa Site'!G352&lt;&gt;0,'Boletins Nuppa Site'!G352,"NULL")</f>
        <v>NULL</v>
      </c>
      <c r="E352" s="16" t="n">
        <f aca="false">IF('Boletins Nuppa Site'!H352&lt;&gt;0,'Boletins Nuppa Site'!H352,"NULL")</f>
        <v>50</v>
      </c>
      <c r="F352" s="16" t="n">
        <f aca="false">IF('Boletins Nuppa Site'!I352&lt;&gt;0,'Boletins Nuppa Site'!I352,"NULL")</f>
        <v>50</v>
      </c>
      <c r="G352" s="16" t="n">
        <f aca="false">IF('Boletins Nuppa Site'!J352&lt;&gt;0,'Boletins Nuppa Site'!J352,"NULL")</f>
        <v>50</v>
      </c>
      <c r="H352" s="16" t="n">
        <f aca="false">IF('Boletins Nuppa Site'!K352&lt;&gt;0,'Boletins Nuppa Site'!K352,"NULL")</f>
        <v>50</v>
      </c>
      <c r="J352" s="1" t="str">
        <f aca="false">"INSERT INTO COTACAO (blt_id, pap_id, cot_prc_comum, cot_prc_min, cot_prc_max, cot_prc_med, cot_prc_mediana) VALUES ("&amp;B352&amp;", "&amp;C352&amp;", "&amp;D352&amp;", "&amp;E352&amp;", "&amp;F352&amp;", "&amp;G352&amp;", "&amp;H352&amp;");"</f>
        <v>INSERT INTO COTACAO (blt_id, pap_id, cot_prc_comum, cot_prc_min, cot_prc_max, cot_prc_med, cot_prc_mediana) VALUES (9, 39, NULL, 50, 50, 50, 50);</v>
      </c>
    </row>
    <row r="353" customFormat="false" ht="14.25" hidden="false" customHeight="false" outlineLevel="0" collapsed="false">
      <c r="A353" s="1" t="n">
        <v>352</v>
      </c>
      <c r="B353" s="1" t="n">
        <v>9</v>
      </c>
      <c r="C353" s="1" t="n">
        <v>40</v>
      </c>
      <c r="D353" s="1" t="str">
        <f aca="false">IF('Boletins Nuppa Site'!G353&lt;&gt;0,'Boletins Nuppa Site'!G353,"NULL")</f>
        <v>NULL</v>
      </c>
      <c r="E353" s="1" t="str">
        <f aca="false">IF('Boletins Nuppa Site'!H353&lt;&gt;0,'Boletins Nuppa Site'!H353,"NULL")</f>
        <v>NULL</v>
      </c>
      <c r="F353" s="1" t="str">
        <f aca="false">IF('Boletins Nuppa Site'!I353&lt;&gt;0,'Boletins Nuppa Site'!I353,"NULL")</f>
        <v>NULL</v>
      </c>
      <c r="G353" s="1" t="str">
        <f aca="false">IF('Boletins Nuppa Site'!J353&lt;&gt;0,'Boletins Nuppa Site'!J353,"NULL")</f>
        <v>NULL</v>
      </c>
      <c r="H353" s="1" t="str">
        <f aca="false">IF('Boletins Nuppa Site'!K353&lt;&gt;0,'Boletins Nuppa Site'!K353,"NULL")</f>
        <v>NULL</v>
      </c>
      <c r="J353" s="1" t="str">
        <f aca="false">"INSERT INTO COTACAO (blt_id, pap_id, cot_prc_comum, cot_prc_min, cot_prc_max, cot_prc_med, cot_prc_mediana) VALUES ("&amp;B353&amp;", "&amp;C353&amp;", "&amp;D353&amp;", "&amp;E353&amp;", "&amp;F353&amp;", "&amp;G353&amp;", "&amp;H353&amp;");"</f>
        <v>INSERT INTO COTACAO (blt_id, pap_id, cot_prc_comum, cot_prc_min, cot_prc_max, cot_prc_med, cot_prc_mediana) VALUES (9, 40, NULL, NULL, NULL, NULL, NULL);</v>
      </c>
    </row>
    <row r="354" customFormat="false" ht="14.25" hidden="false" customHeight="false" outlineLevel="0" collapsed="false">
      <c r="A354" s="1" t="n">
        <v>353</v>
      </c>
      <c r="B354" s="1" t="n">
        <v>10</v>
      </c>
      <c r="C354" s="1" t="n">
        <v>1</v>
      </c>
      <c r="D354" s="16" t="n">
        <f aca="false">IF('Boletins Nuppa Site'!G354&lt;&gt;0,'Boletins Nuppa Site'!G354,"NULL")</f>
        <v>60</v>
      </c>
      <c r="E354" s="16" t="n">
        <f aca="false">IF('Boletins Nuppa Site'!H354&lt;&gt;0,'Boletins Nuppa Site'!H354,"NULL")</f>
        <v>60</v>
      </c>
      <c r="F354" s="16" t="n">
        <f aca="false">IF('Boletins Nuppa Site'!I354&lt;&gt;0,'Boletins Nuppa Site'!I354,"NULL")</f>
        <v>84</v>
      </c>
      <c r="G354" s="16" t="n">
        <f aca="false">IF('Boletins Nuppa Site'!J354&lt;&gt;0,'Boletins Nuppa Site'!J354,"NULL")</f>
        <v>68</v>
      </c>
      <c r="H354" s="16" t="n">
        <f aca="false">IF('Boletins Nuppa Site'!K354&lt;&gt;0,'Boletins Nuppa Site'!K354,"NULL")</f>
        <v>60</v>
      </c>
      <c r="J354" s="1" t="str">
        <f aca="false">"INSERT INTO COTACAO (blt_id, pap_id, cot_prc_comum, cot_prc_min, cot_prc_max, cot_prc_med, cot_prc_mediana) VALUES ("&amp;B354&amp;", "&amp;C354&amp;", "&amp;D354&amp;", "&amp;E354&amp;", "&amp;F354&amp;", "&amp;G354&amp;", "&amp;H354&amp;");"</f>
        <v>INSERT INTO COTACAO (blt_id, pap_id, cot_prc_comum, cot_prc_min, cot_prc_max, cot_prc_med, cot_prc_mediana) VALUES (10, 1, 60, 60, 84, 68, 60);</v>
      </c>
    </row>
    <row r="355" customFormat="false" ht="14.25" hidden="false" customHeight="false" outlineLevel="0" collapsed="false">
      <c r="A355" s="1" t="n">
        <v>354</v>
      </c>
      <c r="B355" s="1" t="n">
        <v>10</v>
      </c>
      <c r="C355" s="1" t="n">
        <v>2</v>
      </c>
      <c r="D355" s="1" t="str">
        <f aca="false">IF('Boletins Nuppa Site'!G355&lt;&gt;0,'Boletins Nuppa Site'!G355,"NULL")</f>
        <v>NULL</v>
      </c>
      <c r="E355" s="16" t="n">
        <f aca="false">IF('Boletins Nuppa Site'!H355&lt;&gt;0,'Boletins Nuppa Site'!H355,"NULL")</f>
        <v>32</v>
      </c>
      <c r="F355" s="16" t="n">
        <f aca="false">IF('Boletins Nuppa Site'!I355&lt;&gt;0,'Boletins Nuppa Site'!I355,"NULL")</f>
        <v>84</v>
      </c>
      <c r="G355" s="1" t="str">
        <f aca="false">IF('Boletins Nuppa Site'!J355&lt;&gt;0,'Boletins Nuppa Site'!J355,"NULL")</f>
        <v>62.67</v>
      </c>
      <c r="H355" s="16" t="n">
        <f aca="false">IF('Boletins Nuppa Site'!K355&lt;&gt;0,'Boletins Nuppa Site'!K355,"NULL")</f>
        <v>72</v>
      </c>
      <c r="J355" s="1" t="str">
        <f aca="false">"INSERT INTO COTACAO (blt_id, pap_id, cot_prc_comum, cot_prc_min, cot_prc_max, cot_prc_med, cot_prc_mediana) VALUES ("&amp;B355&amp;", "&amp;C355&amp;", "&amp;D355&amp;", "&amp;E355&amp;", "&amp;F355&amp;", "&amp;G355&amp;", "&amp;H355&amp;");"</f>
        <v>INSERT INTO COTACAO (blt_id, pap_id, cot_prc_comum, cot_prc_min, cot_prc_max, cot_prc_med, cot_prc_mediana) VALUES (10, 2, NULL, 32, 84, 62.67, 72);</v>
      </c>
    </row>
    <row r="356" customFormat="false" ht="14.25" hidden="false" customHeight="false" outlineLevel="0" collapsed="false">
      <c r="A356" s="1" t="n">
        <v>355</v>
      </c>
      <c r="B356" s="1" t="n">
        <v>10</v>
      </c>
      <c r="C356" s="1" t="n">
        <v>3</v>
      </c>
      <c r="D356" s="16" t="n">
        <f aca="false">IF('Boletins Nuppa Site'!G356&lt;&gt;0,'Boletins Nuppa Site'!G356,"NULL")</f>
        <v>45</v>
      </c>
      <c r="E356" s="16" t="n">
        <f aca="false">IF('Boletins Nuppa Site'!H356&lt;&gt;0,'Boletins Nuppa Site'!H356,"NULL")</f>
        <v>45</v>
      </c>
      <c r="F356" s="16" t="n">
        <f aca="false">IF('Boletins Nuppa Site'!I356&lt;&gt;0,'Boletins Nuppa Site'!I356,"NULL")</f>
        <v>60</v>
      </c>
      <c r="G356" s="1" t="str">
        <f aca="false">IF('Boletins Nuppa Site'!J356&lt;&gt;0,'Boletins Nuppa Site'!J356,"NULL")</f>
        <v>49.5</v>
      </c>
      <c r="H356" s="1" t="str">
        <f aca="false">IF('Boletins Nuppa Site'!K356&lt;&gt;0,'Boletins Nuppa Site'!K356,"NULL")</f>
        <v>46.5</v>
      </c>
      <c r="J356" s="1" t="str">
        <f aca="false">"INSERT INTO COTACAO (blt_id, pap_id, cot_prc_comum, cot_prc_min, cot_prc_max, cot_prc_med, cot_prc_mediana) VALUES ("&amp;B356&amp;", "&amp;C356&amp;", "&amp;D356&amp;", "&amp;E356&amp;", "&amp;F356&amp;", "&amp;G356&amp;", "&amp;H356&amp;");"</f>
        <v>INSERT INTO COTACAO (blt_id, pap_id, cot_prc_comum, cot_prc_min, cot_prc_max, cot_prc_med, cot_prc_mediana) VALUES (10, 3, 45, 45, 60, 49.5, 46.5);</v>
      </c>
    </row>
    <row r="357" customFormat="false" ht="14.25" hidden="false" customHeight="false" outlineLevel="0" collapsed="false">
      <c r="A357" s="1" t="n">
        <v>356</v>
      </c>
      <c r="B357" s="1" t="n">
        <v>10</v>
      </c>
      <c r="C357" s="1" t="n">
        <v>4</v>
      </c>
      <c r="D357" s="1" t="str">
        <f aca="false">IF('Boletins Nuppa Site'!G357&lt;&gt;0,'Boletins Nuppa Site'!G357,"NULL")</f>
        <v>NULL</v>
      </c>
      <c r="E357" s="16" t="n">
        <f aca="false">IF('Boletins Nuppa Site'!H357&lt;&gt;0,'Boletins Nuppa Site'!H357,"NULL")</f>
        <v>30</v>
      </c>
      <c r="F357" s="16" t="n">
        <f aca="false">IF('Boletins Nuppa Site'!I357&lt;&gt;0,'Boletins Nuppa Site'!I357,"NULL")</f>
        <v>60</v>
      </c>
      <c r="G357" s="1" t="str">
        <f aca="false">IF('Boletins Nuppa Site'!J357&lt;&gt;0,'Boletins Nuppa Site'!J357,"NULL")</f>
        <v>41.75</v>
      </c>
      <c r="H357" s="1" t="str">
        <f aca="false">IF('Boletins Nuppa Site'!K357&lt;&gt;0,'Boletins Nuppa Site'!K357,"NULL")</f>
        <v>38.5</v>
      </c>
      <c r="J357" s="1" t="str">
        <f aca="false">"INSERT INTO COTACAO (blt_id, pap_id, cot_prc_comum, cot_prc_min, cot_prc_max, cot_prc_med, cot_prc_mediana) VALUES ("&amp;B357&amp;", "&amp;C357&amp;", "&amp;D357&amp;", "&amp;E357&amp;", "&amp;F357&amp;", "&amp;G357&amp;", "&amp;H357&amp;");"</f>
        <v>INSERT INTO COTACAO (blt_id, pap_id, cot_prc_comum, cot_prc_min, cot_prc_max, cot_prc_med, cot_prc_mediana) VALUES (10, 4, NULL, 30, 60, 41.75, 38.5);</v>
      </c>
    </row>
    <row r="358" customFormat="false" ht="14.25" hidden="false" customHeight="false" outlineLevel="0" collapsed="false">
      <c r="A358" s="1" t="n">
        <v>357</v>
      </c>
      <c r="B358" s="1" t="n">
        <v>10</v>
      </c>
      <c r="C358" s="1" t="n">
        <v>5</v>
      </c>
      <c r="D358" s="1" t="str">
        <f aca="false">IF('Boletins Nuppa Site'!G358&lt;&gt;0,'Boletins Nuppa Site'!G358,"NULL")</f>
        <v>NULL</v>
      </c>
      <c r="E358" s="16" t="n">
        <f aca="false">IF('Boletins Nuppa Site'!H358&lt;&gt;0,'Boletins Nuppa Site'!H358,"NULL")</f>
        <v>35</v>
      </c>
      <c r="F358" s="16" t="n">
        <f aca="false">IF('Boletins Nuppa Site'!I358&lt;&gt;0,'Boletins Nuppa Site'!I358,"NULL")</f>
        <v>60</v>
      </c>
      <c r="G358" s="1" t="str">
        <f aca="false">IF('Boletins Nuppa Site'!J358&lt;&gt;0,'Boletins Nuppa Site'!J358,"NULL")</f>
        <v>45.67</v>
      </c>
      <c r="H358" s="16" t="n">
        <f aca="false">IF('Boletins Nuppa Site'!K358&lt;&gt;0,'Boletins Nuppa Site'!K358,"NULL")</f>
        <v>42</v>
      </c>
      <c r="J358" s="1" t="str">
        <f aca="false">"INSERT INTO COTACAO (blt_id, pap_id, cot_prc_comum, cot_prc_min, cot_prc_max, cot_prc_med, cot_prc_mediana) VALUES ("&amp;B358&amp;", "&amp;C358&amp;", "&amp;D358&amp;", "&amp;E358&amp;", "&amp;F358&amp;", "&amp;G358&amp;", "&amp;H358&amp;");"</f>
        <v>INSERT INTO COTACAO (blt_id, pap_id, cot_prc_comum, cot_prc_min, cot_prc_max, cot_prc_med, cot_prc_mediana) VALUES (10, 5, NULL, 35, 60, 45.67, 42);</v>
      </c>
    </row>
    <row r="359" customFormat="false" ht="14.25" hidden="false" customHeight="false" outlineLevel="0" collapsed="false">
      <c r="A359" s="1" t="n">
        <v>358</v>
      </c>
      <c r="B359" s="1" t="n">
        <v>10</v>
      </c>
      <c r="C359" s="1" t="n">
        <v>6</v>
      </c>
      <c r="D359" s="16" t="n">
        <f aca="false">IF('Boletins Nuppa Site'!G359&lt;&gt;0,'Boletins Nuppa Site'!G359,"NULL")</f>
        <v>60</v>
      </c>
      <c r="E359" s="16" t="n">
        <f aca="false">IF('Boletins Nuppa Site'!H359&lt;&gt;0,'Boletins Nuppa Site'!H359,"NULL")</f>
        <v>54</v>
      </c>
      <c r="F359" s="16" t="n">
        <f aca="false">IF('Boletins Nuppa Site'!I359&lt;&gt;0,'Boletins Nuppa Site'!I359,"NULL")</f>
        <v>60</v>
      </c>
      <c r="G359" s="16" t="n">
        <f aca="false">IF('Boletins Nuppa Site'!J359&lt;&gt;0,'Boletins Nuppa Site'!J359,"NULL")</f>
        <v>58</v>
      </c>
      <c r="H359" s="16" t="n">
        <f aca="false">IF('Boletins Nuppa Site'!K359&lt;&gt;0,'Boletins Nuppa Site'!K359,"NULL")</f>
        <v>60</v>
      </c>
      <c r="J359" s="1" t="str">
        <f aca="false">"INSERT INTO COTACAO (blt_id, pap_id, cot_prc_comum, cot_prc_min, cot_prc_max, cot_prc_med, cot_prc_mediana) VALUES ("&amp;B359&amp;", "&amp;C359&amp;", "&amp;D359&amp;", "&amp;E359&amp;", "&amp;F359&amp;", "&amp;G359&amp;", "&amp;H359&amp;");"</f>
        <v>INSERT INTO COTACAO (blt_id, pap_id, cot_prc_comum, cot_prc_min, cot_prc_max, cot_prc_med, cot_prc_mediana) VALUES (10, 6, 60, 54, 60, 58, 60);</v>
      </c>
    </row>
    <row r="360" customFormat="false" ht="14.25" hidden="false" customHeight="false" outlineLevel="0" collapsed="false">
      <c r="A360" s="1" t="n">
        <v>359</v>
      </c>
      <c r="B360" s="1" t="n">
        <v>10</v>
      </c>
      <c r="C360" s="1" t="n">
        <v>7</v>
      </c>
      <c r="D360" s="16" t="n">
        <f aca="false">IF('Boletins Nuppa Site'!G360&lt;&gt;0,'Boletins Nuppa Site'!G360,"NULL")</f>
        <v>60</v>
      </c>
      <c r="E360" s="16" t="n">
        <f aca="false">IF('Boletins Nuppa Site'!H360&lt;&gt;0,'Boletins Nuppa Site'!H360,"NULL")</f>
        <v>60</v>
      </c>
      <c r="F360" s="16" t="n">
        <f aca="false">IF('Boletins Nuppa Site'!I360&lt;&gt;0,'Boletins Nuppa Site'!I360,"NULL")</f>
        <v>78</v>
      </c>
      <c r="G360" s="1" t="str">
        <f aca="false">IF('Boletins Nuppa Site'!J360&lt;&gt;0,'Boletins Nuppa Site'!J360,"NULL")</f>
        <v>64.5</v>
      </c>
      <c r="H360" s="16" t="n">
        <f aca="false">IF('Boletins Nuppa Site'!K360&lt;&gt;0,'Boletins Nuppa Site'!K360,"NULL")</f>
        <v>60</v>
      </c>
      <c r="J360" s="1" t="str">
        <f aca="false">"INSERT INTO COTACAO (blt_id, pap_id, cot_prc_comum, cot_prc_min, cot_prc_max, cot_prc_med, cot_prc_mediana) VALUES ("&amp;B360&amp;", "&amp;C360&amp;", "&amp;D360&amp;", "&amp;E360&amp;", "&amp;F360&amp;", "&amp;G360&amp;", "&amp;H360&amp;");"</f>
        <v>INSERT INTO COTACAO (blt_id, pap_id, cot_prc_comum, cot_prc_min, cot_prc_max, cot_prc_med, cot_prc_mediana) VALUES (10, 7, 60, 60, 78, 64.5, 60);</v>
      </c>
    </row>
    <row r="361" customFormat="false" ht="14.25" hidden="false" customHeight="false" outlineLevel="0" collapsed="false">
      <c r="A361" s="1" t="n">
        <v>360</v>
      </c>
      <c r="B361" s="1" t="n">
        <v>10</v>
      </c>
      <c r="C361" s="1" t="n">
        <v>8</v>
      </c>
      <c r="D361" s="16" t="n">
        <f aca="false">IF('Boletins Nuppa Site'!G361&lt;&gt;0,'Boletins Nuppa Site'!G361,"NULL")</f>
        <v>84</v>
      </c>
      <c r="E361" s="16" t="n">
        <f aca="false">IF('Boletins Nuppa Site'!H361&lt;&gt;0,'Boletins Nuppa Site'!H361,"NULL")</f>
        <v>72</v>
      </c>
      <c r="F361" s="16" t="n">
        <f aca="false">IF('Boletins Nuppa Site'!I361&lt;&gt;0,'Boletins Nuppa Site'!I361,"NULL")</f>
        <v>96</v>
      </c>
      <c r="G361" s="16" t="n">
        <f aca="false">IF('Boletins Nuppa Site'!J361&lt;&gt;0,'Boletins Nuppa Site'!J361,"NULL")</f>
        <v>84</v>
      </c>
      <c r="H361" s="16" t="n">
        <f aca="false">IF('Boletins Nuppa Site'!K361&lt;&gt;0,'Boletins Nuppa Site'!K361,"NULL")</f>
        <v>84</v>
      </c>
      <c r="J361" s="1" t="str">
        <f aca="false">"INSERT INTO COTACAO (blt_id, pap_id, cot_prc_comum, cot_prc_min, cot_prc_max, cot_prc_med, cot_prc_mediana) VALUES ("&amp;B361&amp;", "&amp;C361&amp;", "&amp;D361&amp;", "&amp;E361&amp;", "&amp;F361&amp;", "&amp;G361&amp;", "&amp;H361&amp;");"</f>
        <v>INSERT INTO COTACAO (blt_id, pap_id, cot_prc_comum, cot_prc_min, cot_prc_max, cot_prc_med, cot_prc_mediana) VALUES (10, 8, 84, 72, 96, 84, 84);</v>
      </c>
    </row>
    <row r="362" customFormat="false" ht="14.25" hidden="false" customHeight="false" outlineLevel="0" collapsed="false">
      <c r="A362" s="1" t="n">
        <v>361</v>
      </c>
      <c r="B362" s="1" t="n">
        <v>10</v>
      </c>
      <c r="C362" s="1" t="n">
        <v>9</v>
      </c>
      <c r="D362" s="16" t="n">
        <f aca="false">IF('Boletins Nuppa Site'!G362&lt;&gt;0,'Boletins Nuppa Site'!G362,"NULL")</f>
        <v>30</v>
      </c>
      <c r="E362" s="16" t="n">
        <f aca="false">IF('Boletins Nuppa Site'!H362&lt;&gt;0,'Boletins Nuppa Site'!H362,"NULL")</f>
        <v>24</v>
      </c>
      <c r="F362" s="16" t="n">
        <f aca="false">IF('Boletins Nuppa Site'!I362&lt;&gt;0,'Boletins Nuppa Site'!I362,"NULL")</f>
        <v>30</v>
      </c>
      <c r="G362" s="1" t="str">
        <f aca="false">IF('Boletins Nuppa Site'!J362&lt;&gt;0,'Boletins Nuppa Site'!J362,"NULL")</f>
        <v>28.5</v>
      </c>
      <c r="H362" s="16" t="n">
        <f aca="false">IF('Boletins Nuppa Site'!K362&lt;&gt;0,'Boletins Nuppa Site'!K362,"NULL")</f>
        <v>30</v>
      </c>
      <c r="J362" s="1" t="str">
        <f aca="false">"INSERT INTO COTACAO (blt_id, pap_id, cot_prc_comum, cot_prc_min, cot_prc_max, cot_prc_med, cot_prc_mediana) VALUES ("&amp;B362&amp;", "&amp;C362&amp;", "&amp;D362&amp;", "&amp;E362&amp;", "&amp;F362&amp;", "&amp;G362&amp;", "&amp;H362&amp;");"</f>
        <v>INSERT INTO COTACAO (blt_id, pap_id, cot_prc_comum, cot_prc_min, cot_prc_max, cot_prc_med, cot_prc_mediana) VALUES (10, 9, 30, 24, 30, 28.5, 30);</v>
      </c>
    </row>
    <row r="363" customFormat="false" ht="14.25" hidden="false" customHeight="false" outlineLevel="0" collapsed="false">
      <c r="A363" s="1" t="n">
        <v>362</v>
      </c>
      <c r="B363" s="1" t="n">
        <v>10</v>
      </c>
      <c r="C363" s="1" t="n">
        <v>10</v>
      </c>
      <c r="D363" s="1" t="str">
        <f aca="false">IF('Boletins Nuppa Site'!G363&lt;&gt;0,'Boletins Nuppa Site'!G363,"NULL")</f>
        <v>NULL</v>
      </c>
      <c r="E363" s="16" t="n">
        <f aca="false">IF('Boletins Nuppa Site'!H363&lt;&gt;0,'Boletins Nuppa Site'!H363,"NULL")</f>
        <v>84</v>
      </c>
      <c r="F363" s="16" t="n">
        <f aca="false">IF('Boletins Nuppa Site'!I363&lt;&gt;0,'Boletins Nuppa Site'!I363,"NULL")</f>
        <v>120</v>
      </c>
      <c r="G363" s="16" t="n">
        <f aca="false">IF('Boletins Nuppa Site'!J363&lt;&gt;0,'Boletins Nuppa Site'!J363,"NULL")</f>
        <v>100</v>
      </c>
      <c r="H363" s="16" t="n">
        <f aca="false">IF('Boletins Nuppa Site'!K363&lt;&gt;0,'Boletins Nuppa Site'!K363,"NULL")</f>
        <v>96</v>
      </c>
      <c r="J363" s="1" t="str">
        <f aca="false">"INSERT INTO COTACAO (blt_id, pap_id, cot_prc_comum, cot_prc_min, cot_prc_max, cot_prc_med, cot_prc_mediana) VALUES ("&amp;B363&amp;", "&amp;C363&amp;", "&amp;D363&amp;", "&amp;E363&amp;", "&amp;F363&amp;", "&amp;G363&amp;", "&amp;H363&amp;");"</f>
        <v>INSERT INTO COTACAO (blt_id, pap_id, cot_prc_comum, cot_prc_min, cot_prc_max, cot_prc_med, cot_prc_mediana) VALUES (10, 10, NULL, 84, 120, 100, 96);</v>
      </c>
    </row>
    <row r="364" customFormat="false" ht="14.25" hidden="false" customHeight="false" outlineLevel="0" collapsed="false">
      <c r="A364" s="1" t="n">
        <v>363</v>
      </c>
      <c r="B364" s="1" t="n">
        <v>10</v>
      </c>
      <c r="C364" s="1" t="n">
        <v>11</v>
      </c>
      <c r="D364" s="1" t="str">
        <f aca="false">IF('Boletins Nuppa Site'!G364&lt;&gt;0,'Boletins Nuppa Site'!G364,"NULL")</f>
        <v>NULL</v>
      </c>
      <c r="E364" s="16" t="n">
        <f aca="false">IF('Boletins Nuppa Site'!H364&lt;&gt;0,'Boletins Nuppa Site'!H364,"NULL")</f>
        <v>30</v>
      </c>
      <c r="F364" s="16" t="n">
        <f aca="false">IF('Boletins Nuppa Site'!I364&lt;&gt;0,'Boletins Nuppa Site'!I364,"NULL")</f>
        <v>42</v>
      </c>
      <c r="G364" s="1" t="str">
        <f aca="false">IF('Boletins Nuppa Site'!J364&lt;&gt;0,'Boletins Nuppa Site'!J364,"NULL")</f>
        <v>35.67</v>
      </c>
      <c r="H364" s="16" t="n">
        <f aca="false">IF('Boletins Nuppa Site'!K364&lt;&gt;0,'Boletins Nuppa Site'!K364,"NULL")</f>
        <v>35</v>
      </c>
      <c r="J364" s="1" t="str">
        <f aca="false">"INSERT INTO COTACAO (blt_id, pap_id, cot_prc_comum, cot_prc_min, cot_prc_max, cot_prc_med, cot_prc_mediana) VALUES ("&amp;B364&amp;", "&amp;C364&amp;", "&amp;D364&amp;", "&amp;E364&amp;", "&amp;F364&amp;", "&amp;G364&amp;", "&amp;H364&amp;");"</f>
        <v>INSERT INTO COTACAO (blt_id, pap_id, cot_prc_comum, cot_prc_min, cot_prc_max, cot_prc_med, cot_prc_mediana) VALUES (10, 11, NULL, 30, 42, 35.67, 35);</v>
      </c>
    </row>
    <row r="365" customFormat="false" ht="14.25" hidden="false" customHeight="false" outlineLevel="0" collapsed="false">
      <c r="A365" s="1" t="n">
        <v>364</v>
      </c>
      <c r="B365" s="1" t="n">
        <v>10</v>
      </c>
      <c r="C365" s="1" t="n">
        <v>12</v>
      </c>
      <c r="D365" s="16" t="n">
        <f aca="false">IF('Boletins Nuppa Site'!G365&lt;&gt;0,'Boletins Nuppa Site'!G365,"NULL")</f>
        <v>84</v>
      </c>
      <c r="E365" s="16" t="n">
        <f aca="false">IF('Boletins Nuppa Site'!H365&lt;&gt;0,'Boletins Nuppa Site'!H365,"NULL")</f>
        <v>72</v>
      </c>
      <c r="F365" s="16" t="n">
        <f aca="false">IF('Boletins Nuppa Site'!I365&lt;&gt;0,'Boletins Nuppa Site'!I365,"NULL")</f>
        <v>84</v>
      </c>
      <c r="G365" s="16" t="n">
        <f aca="false">IF('Boletins Nuppa Site'!J365&lt;&gt;0,'Boletins Nuppa Site'!J365,"NULL")</f>
        <v>80</v>
      </c>
      <c r="H365" s="16" t="n">
        <f aca="false">IF('Boletins Nuppa Site'!K365&lt;&gt;0,'Boletins Nuppa Site'!K365,"NULL")</f>
        <v>84</v>
      </c>
      <c r="J365" s="1" t="str">
        <f aca="false">"INSERT INTO COTACAO (blt_id, pap_id, cot_prc_comum, cot_prc_min, cot_prc_max, cot_prc_med, cot_prc_mediana) VALUES ("&amp;B365&amp;", "&amp;C365&amp;", "&amp;D365&amp;", "&amp;E365&amp;", "&amp;F365&amp;", "&amp;G365&amp;", "&amp;H365&amp;");"</f>
        <v>INSERT INTO COTACAO (blt_id, pap_id, cot_prc_comum, cot_prc_min, cot_prc_max, cot_prc_med, cot_prc_mediana) VALUES (10, 12, 84, 72, 84, 80, 84);</v>
      </c>
    </row>
    <row r="366" customFormat="false" ht="14.25" hidden="false" customHeight="false" outlineLevel="0" collapsed="false">
      <c r="A366" s="1" t="n">
        <v>365</v>
      </c>
      <c r="B366" s="1" t="n">
        <v>10</v>
      </c>
      <c r="C366" s="1" t="n">
        <v>13</v>
      </c>
      <c r="D366" s="1" t="str">
        <f aca="false">IF('Boletins Nuppa Site'!G366&lt;&gt;0,'Boletins Nuppa Site'!G366,"NULL")</f>
        <v>NULL</v>
      </c>
      <c r="E366" s="16" t="n">
        <f aca="false">IF('Boletins Nuppa Site'!H366&lt;&gt;0,'Boletins Nuppa Site'!H366,"NULL")</f>
        <v>48</v>
      </c>
      <c r="F366" s="16" t="n">
        <f aca="false">IF('Boletins Nuppa Site'!I366&lt;&gt;0,'Boletins Nuppa Site'!I366,"NULL")</f>
        <v>78</v>
      </c>
      <c r="G366" s="1" t="str">
        <f aca="false">IF('Boletins Nuppa Site'!J366&lt;&gt;0,'Boletins Nuppa Site'!J366,"NULL")</f>
        <v>64.5</v>
      </c>
      <c r="H366" s="16" t="n">
        <f aca="false">IF('Boletins Nuppa Site'!K366&lt;&gt;0,'Boletins Nuppa Site'!K366,"NULL")</f>
        <v>66</v>
      </c>
      <c r="J366" s="1" t="str">
        <f aca="false">"INSERT INTO COTACAO (blt_id, pap_id, cot_prc_comum, cot_prc_min, cot_prc_max, cot_prc_med, cot_prc_mediana) VALUES ("&amp;B366&amp;", "&amp;C366&amp;", "&amp;D366&amp;", "&amp;E366&amp;", "&amp;F366&amp;", "&amp;G366&amp;", "&amp;H366&amp;");"</f>
        <v>INSERT INTO COTACAO (blt_id, pap_id, cot_prc_comum, cot_prc_min, cot_prc_max, cot_prc_med, cot_prc_mediana) VALUES (10, 13, NULL, 48, 78, 64.5, 66);</v>
      </c>
    </row>
    <row r="367" customFormat="false" ht="14.25" hidden="false" customHeight="false" outlineLevel="0" collapsed="false">
      <c r="A367" s="1" t="n">
        <v>366</v>
      </c>
      <c r="B367" s="1" t="n">
        <v>10</v>
      </c>
      <c r="C367" s="1" t="n">
        <v>14</v>
      </c>
      <c r="D367" s="1" t="str">
        <f aca="false">IF('Boletins Nuppa Site'!G367&lt;&gt;0,'Boletins Nuppa Site'!G367,"NULL")</f>
        <v>NULL</v>
      </c>
      <c r="E367" s="16" t="n">
        <f aca="false">IF('Boletins Nuppa Site'!H367&lt;&gt;0,'Boletins Nuppa Site'!H367,"NULL")</f>
        <v>50</v>
      </c>
      <c r="F367" s="16" t="n">
        <f aca="false">IF('Boletins Nuppa Site'!I367&lt;&gt;0,'Boletins Nuppa Site'!I367,"NULL")</f>
        <v>80</v>
      </c>
      <c r="G367" s="1" t="str">
        <f aca="false">IF('Boletins Nuppa Site'!J367&lt;&gt;0,'Boletins Nuppa Site'!J367,"NULL")</f>
        <v>67.33</v>
      </c>
      <c r="H367" s="16" t="n">
        <f aca="false">IF('Boletins Nuppa Site'!K367&lt;&gt;0,'Boletins Nuppa Site'!K367,"NULL")</f>
        <v>72</v>
      </c>
      <c r="J367" s="1" t="str">
        <f aca="false">"INSERT INTO COTACAO (blt_id, pap_id, cot_prc_comum, cot_prc_min, cot_prc_max, cot_prc_med, cot_prc_mediana) VALUES ("&amp;B367&amp;", "&amp;C367&amp;", "&amp;D367&amp;", "&amp;E367&amp;", "&amp;F367&amp;", "&amp;G367&amp;", "&amp;H367&amp;");"</f>
        <v>INSERT INTO COTACAO (blt_id, pap_id, cot_prc_comum, cot_prc_min, cot_prc_max, cot_prc_med, cot_prc_mediana) VALUES (10, 14, NULL, 50, 80, 67.33, 72);</v>
      </c>
    </row>
    <row r="368" customFormat="false" ht="14.25" hidden="false" customHeight="false" outlineLevel="0" collapsed="false">
      <c r="A368" s="1" t="n">
        <v>367</v>
      </c>
      <c r="B368" s="1" t="n">
        <v>10</v>
      </c>
      <c r="C368" s="1" t="n">
        <v>15</v>
      </c>
      <c r="D368" s="16" t="n">
        <f aca="false">IF('Boletins Nuppa Site'!G368&lt;&gt;0,'Boletins Nuppa Site'!G368,"NULL")</f>
        <v>50</v>
      </c>
      <c r="E368" s="16" t="n">
        <f aca="false">IF('Boletins Nuppa Site'!H368&lt;&gt;0,'Boletins Nuppa Site'!H368,"NULL")</f>
        <v>50</v>
      </c>
      <c r="F368" s="16" t="n">
        <f aca="false">IF('Boletins Nuppa Site'!I368&lt;&gt;0,'Boletins Nuppa Site'!I368,"NULL")</f>
        <v>60</v>
      </c>
      <c r="G368" s="16" t="n">
        <f aca="false">IF('Boletins Nuppa Site'!J368&lt;&gt;0,'Boletins Nuppa Site'!J368,"NULL")</f>
        <v>55</v>
      </c>
      <c r="H368" s="16" t="n">
        <f aca="false">IF('Boletins Nuppa Site'!K368&lt;&gt;0,'Boletins Nuppa Site'!K368,"NULL")</f>
        <v>55</v>
      </c>
      <c r="J368" s="1" t="str">
        <f aca="false">"INSERT INTO COTACAO (blt_id, pap_id, cot_prc_comum, cot_prc_min, cot_prc_max, cot_prc_med, cot_prc_mediana) VALUES ("&amp;B368&amp;", "&amp;C368&amp;", "&amp;D368&amp;", "&amp;E368&amp;", "&amp;F368&amp;", "&amp;G368&amp;", "&amp;H368&amp;");"</f>
        <v>INSERT INTO COTACAO (blt_id, pap_id, cot_prc_comum, cot_prc_min, cot_prc_max, cot_prc_med, cot_prc_mediana) VALUES (10, 15, 50, 50, 60, 55, 55);</v>
      </c>
    </row>
    <row r="369" customFormat="false" ht="14.25" hidden="false" customHeight="false" outlineLevel="0" collapsed="false">
      <c r="A369" s="1" t="n">
        <v>368</v>
      </c>
      <c r="B369" s="1" t="n">
        <v>10</v>
      </c>
      <c r="C369" s="1" t="n">
        <v>16</v>
      </c>
      <c r="D369" s="1" t="str">
        <f aca="false">IF('Boletins Nuppa Site'!G369&lt;&gt;0,'Boletins Nuppa Site'!G369,"NULL")</f>
        <v>NULL</v>
      </c>
      <c r="E369" s="16" t="n">
        <f aca="false">IF('Boletins Nuppa Site'!H369&lt;&gt;0,'Boletins Nuppa Site'!H369,"NULL")</f>
        <v>42</v>
      </c>
      <c r="F369" s="16" t="n">
        <f aca="false">IF('Boletins Nuppa Site'!I369&lt;&gt;0,'Boletins Nuppa Site'!I369,"NULL")</f>
        <v>54</v>
      </c>
      <c r="G369" s="16" t="n">
        <f aca="false">IF('Boletins Nuppa Site'!J369&lt;&gt;0,'Boletins Nuppa Site'!J369,"NULL")</f>
        <v>48</v>
      </c>
      <c r="H369" s="16" t="n">
        <f aca="false">IF('Boletins Nuppa Site'!K369&lt;&gt;0,'Boletins Nuppa Site'!K369,"NULL")</f>
        <v>48</v>
      </c>
      <c r="J369" s="1" t="str">
        <f aca="false">"INSERT INTO COTACAO (blt_id, pap_id, cot_prc_comum, cot_prc_min, cot_prc_max, cot_prc_med, cot_prc_mediana) VALUES ("&amp;B369&amp;", "&amp;C369&amp;", "&amp;D369&amp;", "&amp;E369&amp;", "&amp;F369&amp;", "&amp;G369&amp;", "&amp;H369&amp;");"</f>
        <v>INSERT INTO COTACAO (blt_id, pap_id, cot_prc_comum, cot_prc_min, cot_prc_max, cot_prc_med, cot_prc_mediana) VALUES (10, 16, NULL, 42, 54, 48, 48);</v>
      </c>
    </row>
    <row r="370" customFormat="false" ht="14.25" hidden="false" customHeight="false" outlineLevel="0" collapsed="false">
      <c r="A370" s="1" t="n">
        <v>369</v>
      </c>
      <c r="B370" s="1" t="n">
        <v>10</v>
      </c>
      <c r="C370" s="1" t="n">
        <v>17</v>
      </c>
      <c r="D370" s="16" t="n">
        <f aca="false">IF('Boletins Nuppa Site'!G370&lt;&gt;0,'Boletins Nuppa Site'!G370,"NULL")</f>
        <v>5</v>
      </c>
      <c r="E370" s="16" t="n">
        <f aca="false">IF('Boletins Nuppa Site'!H370&lt;&gt;0,'Boletins Nuppa Site'!H370,"NULL")</f>
        <v>4</v>
      </c>
      <c r="F370" s="16" t="n">
        <f aca="false">IF('Boletins Nuppa Site'!I370&lt;&gt;0,'Boletins Nuppa Site'!I370,"NULL")</f>
        <v>5</v>
      </c>
      <c r="G370" s="1" t="str">
        <f aca="false">IF('Boletins Nuppa Site'!J370&lt;&gt;0,'Boletins Nuppa Site'!J370,"NULL")</f>
        <v>4.63</v>
      </c>
      <c r="H370" s="1" t="str">
        <f aca="false">IF('Boletins Nuppa Site'!K370&lt;&gt;0,'Boletins Nuppa Site'!K370,"NULL")</f>
        <v>4.75</v>
      </c>
      <c r="J370" s="1" t="str">
        <f aca="false">"INSERT INTO COTACAO (blt_id, pap_id, cot_prc_comum, cot_prc_min, cot_prc_max, cot_prc_med, cot_prc_mediana) VALUES ("&amp;B370&amp;", "&amp;C370&amp;", "&amp;D370&amp;", "&amp;E370&amp;", "&amp;F370&amp;", "&amp;G370&amp;", "&amp;H370&amp;");"</f>
        <v>INSERT INTO COTACAO (blt_id, pap_id, cot_prc_comum, cot_prc_min, cot_prc_max, cot_prc_med, cot_prc_mediana) VALUES (10, 17, 5, 4, 5, 4.63, 4.75);</v>
      </c>
    </row>
    <row r="371" customFormat="false" ht="14.25" hidden="false" customHeight="false" outlineLevel="0" collapsed="false">
      <c r="A371" s="1" t="n">
        <v>370</v>
      </c>
      <c r="B371" s="1" t="n">
        <v>10</v>
      </c>
      <c r="C371" s="1" t="n">
        <v>18</v>
      </c>
      <c r="D371" s="16" t="n">
        <f aca="false">IF('Boletins Nuppa Site'!G371&lt;&gt;0,'Boletins Nuppa Site'!G371,"NULL")</f>
        <v>20</v>
      </c>
      <c r="E371" s="16" t="n">
        <f aca="false">IF('Boletins Nuppa Site'!H371&lt;&gt;0,'Boletins Nuppa Site'!H371,"NULL")</f>
        <v>15</v>
      </c>
      <c r="F371" s="16" t="n">
        <f aca="false">IF('Boletins Nuppa Site'!I371&lt;&gt;0,'Boletins Nuppa Site'!I371,"NULL")</f>
        <v>25</v>
      </c>
      <c r="G371" s="1" t="str">
        <f aca="false">IF('Boletins Nuppa Site'!J371&lt;&gt;0,'Boletins Nuppa Site'!J371,"NULL")</f>
        <v>20.83</v>
      </c>
      <c r="H371" s="16" t="n">
        <f aca="false">IF('Boletins Nuppa Site'!K371&lt;&gt;0,'Boletins Nuppa Site'!K371,"NULL")</f>
        <v>20</v>
      </c>
      <c r="J371" s="1" t="str">
        <f aca="false">"INSERT INTO COTACAO (blt_id, pap_id, cot_prc_comum, cot_prc_min, cot_prc_max, cot_prc_med, cot_prc_mediana) VALUES ("&amp;B371&amp;", "&amp;C371&amp;", "&amp;D371&amp;", "&amp;E371&amp;", "&amp;F371&amp;", "&amp;G371&amp;", "&amp;H371&amp;");"</f>
        <v>INSERT INTO COTACAO (blt_id, pap_id, cot_prc_comum, cot_prc_min, cot_prc_max, cot_prc_med, cot_prc_mediana) VALUES (10, 18, 20, 15, 25, 20.83, 20);</v>
      </c>
    </row>
    <row r="372" customFormat="false" ht="14.25" hidden="false" customHeight="false" outlineLevel="0" collapsed="false">
      <c r="A372" s="1" t="n">
        <v>371</v>
      </c>
      <c r="B372" s="1" t="n">
        <v>10</v>
      </c>
      <c r="C372" s="1" t="n">
        <v>19</v>
      </c>
      <c r="D372" s="1" t="str">
        <f aca="false">IF('Boletins Nuppa Site'!G372&lt;&gt;0,'Boletins Nuppa Site'!G372,"NULL")</f>
        <v>NULL</v>
      </c>
      <c r="E372" s="16" t="n">
        <f aca="false">IF('Boletins Nuppa Site'!H372&lt;&gt;0,'Boletins Nuppa Site'!H372,"NULL")</f>
        <v>30</v>
      </c>
      <c r="F372" s="16" t="n">
        <f aca="false">IF('Boletins Nuppa Site'!I372&lt;&gt;0,'Boletins Nuppa Site'!I372,"NULL")</f>
        <v>45</v>
      </c>
      <c r="G372" s="1" t="str">
        <f aca="false">IF('Boletins Nuppa Site'!J372&lt;&gt;0,'Boletins Nuppa Site'!J372,"NULL")</f>
        <v>37.5</v>
      </c>
      <c r="H372" s="1" t="str">
        <f aca="false">IF('Boletins Nuppa Site'!K372&lt;&gt;0,'Boletins Nuppa Site'!K372,"NULL")</f>
        <v>37.5</v>
      </c>
      <c r="J372" s="1" t="str">
        <f aca="false">"INSERT INTO COTACAO (blt_id, pap_id, cot_prc_comum, cot_prc_min, cot_prc_max, cot_prc_med, cot_prc_mediana) VALUES ("&amp;B372&amp;", "&amp;C372&amp;", "&amp;D372&amp;", "&amp;E372&amp;", "&amp;F372&amp;", "&amp;G372&amp;", "&amp;H372&amp;");"</f>
        <v>INSERT INTO COTACAO (blt_id, pap_id, cot_prc_comum, cot_prc_min, cot_prc_max, cot_prc_med, cot_prc_mediana) VALUES (10, 19, NULL, 30, 45, 37.5, 37.5);</v>
      </c>
    </row>
    <row r="373" customFormat="false" ht="14.25" hidden="false" customHeight="false" outlineLevel="0" collapsed="false">
      <c r="A373" s="1" t="n">
        <v>372</v>
      </c>
      <c r="B373" s="1" t="n">
        <v>10</v>
      </c>
      <c r="C373" s="1" t="n">
        <v>20</v>
      </c>
      <c r="D373" s="1" t="str">
        <f aca="false">IF('Boletins Nuppa Site'!G373&lt;&gt;0,'Boletins Nuppa Site'!G373,"NULL")</f>
        <v>NULL</v>
      </c>
      <c r="E373" s="16" t="n">
        <f aca="false">IF('Boletins Nuppa Site'!H373&lt;&gt;0,'Boletins Nuppa Site'!H373,"NULL")</f>
        <v>100</v>
      </c>
      <c r="F373" s="16" t="n">
        <f aca="false">IF('Boletins Nuppa Site'!I373&lt;&gt;0,'Boletins Nuppa Site'!I373,"NULL")</f>
        <v>105</v>
      </c>
      <c r="G373" s="1" t="str">
        <f aca="false">IF('Boletins Nuppa Site'!J373&lt;&gt;0,'Boletins Nuppa Site'!J373,"NULL")</f>
        <v>102.5</v>
      </c>
      <c r="H373" s="1" t="str">
        <f aca="false">IF('Boletins Nuppa Site'!K373&lt;&gt;0,'Boletins Nuppa Site'!K373,"NULL")</f>
        <v>102.5</v>
      </c>
      <c r="J373" s="1" t="str">
        <f aca="false">"INSERT INTO COTACAO (blt_id, pap_id, cot_prc_comum, cot_prc_min, cot_prc_max, cot_prc_med, cot_prc_mediana) VALUES ("&amp;B373&amp;", "&amp;C373&amp;", "&amp;D373&amp;", "&amp;E373&amp;", "&amp;F373&amp;", "&amp;G373&amp;", "&amp;H373&amp;");"</f>
        <v>INSERT INTO COTACAO (blt_id, pap_id, cot_prc_comum, cot_prc_min, cot_prc_max, cot_prc_med, cot_prc_mediana) VALUES (10, 20, NULL, 100, 105, 102.5, 102.5);</v>
      </c>
    </row>
    <row r="374" customFormat="false" ht="14.25" hidden="false" customHeight="false" outlineLevel="0" collapsed="false">
      <c r="A374" s="1" t="n">
        <v>373</v>
      </c>
      <c r="B374" s="1" t="n">
        <v>10</v>
      </c>
      <c r="C374" s="1" t="n">
        <v>21</v>
      </c>
      <c r="D374" s="16" t="n">
        <f aca="false">IF('Boletins Nuppa Site'!G374&lt;&gt;0,'Boletins Nuppa Site'!G374,"NULL")</f>
        <v>70</v>
      </c>
      <c r="E374" s="16" t="n">
        <f aca="false">IF('Boletins Nuppa Site'!H374&lt;&gt;0,'Boletins Nuppa Site'!H374,"NULL")</f>
        <v>50</v>
      </c>
      <c r="F374" s="16" t="n">
        <f aca="false">IF('Boletins Nuppa Site'!I374&lt;&gt;0,'Boletins Nuppa Site'!I374,"NULL")</f>
        <v>80</v>
      </c>
      <c r="G374" s="1" t="str">
        <f aca="false">IF('Boletins Nuppa Site'!J374&lt;&gt;0,'Boletins Nuppa Site'!J374,"NULL")</f>
        <v>67.5</v>
      </c>
      <c r="H374" s="16" t="n">
        <f aca="false">IF('Boletins Nuppa Site'!K374&lt;&gt;0,'Boletins Nuppa Site'!K374,"NULL")</f>
        <v>70</v>
      </c>
      <c r="J374" s="1" t="str">
        <f aca="false">"INSERT INTO COTACAO (blt_id, pap_id, cot_prc_comum, cot_prc_min, cot_prc_max, cot_prc_med, cot_prc_mediana) VALUES ("&amp;B374&amp;", "&amp;C374&amp;", "&amp;D374&amp;", "&amp;E374&amp;", "&amp;F374&amp;", "&amp;G374&amp;", "&amp;H374&amp;");"</f>
        <v>INSERT INTO COTACAO (blt_id, pap_id, cot_prc_comum, cot_prc_min, cot_prc_max, cot_prc_med, cot_prc_mediana) VALUES (10, 21, 70, 50, 80, 67.5, 70);</v>
      </c>
    </row>
    <row r="375" customFormat="false" ht="14.25" hidden="false" customHeight="false" outlineLevel="0" collapsed="false">
      <c r="A375" s="1" t="n">
        <v>374</v>
      </c>
      <c r="B375" s="1" t="n">
        <v>10</v>
      </c>
      <c r="C375" s="1" t="n">
        <v>22</v>
      </c>
      <c r="D375" s="16" t="n">
        <f aca="false">IF('Boletins Nuppa Site'!G375&lt;&gt;0,'Boletins Nuppa Site'!G375,"NULL")</f>
        <v>70</v>
      </c>
      <c r="E375" s="16" t="n">
        <f aca="false">IF('Boletins Nuppa Site'!H375&lt;&gt;0,'Boletins Nuppa Site'!H375,"NULL")</f>
        <v>50</v>
      </c>
      <c r="F375" s="16" t="n">
        <f aca="false">IF('Boletins Nuppa Site'!I375&lt;&gt;0,'Boletins Nuppa Site'!I375,"NULL")</f>
        <v>75</v>
      </c>
      <c r="G375" s="16" t="n">
        <f aca="false">IF('Boletins Nuppa Site'!J375&lt;&gt;0,'Boletins Nuppa Site'!J375,"NULL")</f>
        <v>65</v>
      </c>
      <c r="H375" s="16" t="n">
        <f aca="false">IF('Boletins Nuppa Site'!K375&lt;&gt;0,'Boletins Nuppa Site'!K375,"NULL")</f>
        <v>70</v>
      </c>
      <c r="J375" s="1" t="str">
        <f aca="false">"INSERT INTO COTACAO (blt_id, pap_id, cot_prc_comum, cot_prc_min, cot_prc_max, cot_prc_med, cot_prc_mediana) VALUES ("&amp;B375&amp;", "&amp;C375&amp;", "&amp;D375&amp;", "&amp;E375&amp;", "&amp;F375&amp;", "&amp;G375&amp;", "&amp;H375&amp;");"</f>
        <v>INSERT INTO COTACAO (blt_id, pap_id, cot_prc_comum, cot_prc_min, cot_prc_max, cot_prc_med, cot_prc_mediana) VALUES (10, 22, 70, 50, 75, 65, 70);</v>
      </c>
    </row>
    <row r="376" customFormat="false" ht="14.25" hidden="false" customHeight="false" outlineLevel="0" collapsed="false">
      <c r="A376" s="1" t="n">
        <v>375</v>
      </c>
      <c r="B376" s="1" t="n">
        <v>10</v>
      </c>
      <c r="C376" s="1" t="n">
        <v>23</v>
      </c>
      <c r="D376" s="16" t="n">
        <f aca="false">IF('Boletins Nuppa Site'!G376&lt;&gt;0,'Boletins Nuppa Site'!G376,"NULL")</f>
        <v>35</v>
      </c>
      <c r="E376" s="16" t="n">
        <f aca="false">IF('Boletins Nuppa Site'!H376&lt;&gt;0,'Boletins Nuppa Site'!H376,"NULL")</f>
        <v>35</v>
      </c>
      <c r="F376" s="16" t="n">
        <f aca="false">IF('Boletins Nuppa Site'!I376&lt;&gt;0,'Boletins Nuppa Site'!I376,"NULL")</f>
        <v>50</v>
      </c>
      <c r="G376" s="1" t="str">
        <f aca="false">IF('Boletins Nuppa Site'!J376&lt;&gt;0,'Boletins Nuppa Site'!J376,"NULL")</f>
        <v>42.5</v>
      </c>
      <c r="H376" s="1" t="str">
        <f aca="false">IF('Boletins Nuppa Site'!K376&lt;&gt;0,'Boletins Nuppa Site'!K376,"NULL")</f>
        <v>42.5</v>
      </c>
      <c r="J376" s="1" t="str">
        <f aca="false">"INSERT INTO COTACAO (blt_id, pap_id, cot_prc_comum, cot_prc_min, cot_prc_max, cot_prc_med, cot_prc_mediana) VALUES ("&amp;B376&amp;", "&amp;C376&amp;", "&amp;D376&amp;", "&amp;E376&amp;", "&amp;F376&amp;", "&amp;G376&amp;", "&amp;H376&amp;");"</f>
        <v>INSERT INTO COTACAO (blt_id, pap_id, cot_prc_comum, cot_prc_min, cot_prc_max, cot_prc_med, cot_prc_mediana) VALUES (10, 23, 35, 35, 50, 42.5, 42.5);</v>
      </c>
    </row>
    <row r="377" customFormat="false" ht="14.25" hidden="false" customHeight="false" outlineLevel="0" collapsed="false">
      <c r="A377" s="1" t="n">
        <v>376</v>
      </c>
      <c r="B377" s="1" t="n">
        <v>10</v>
      </c>
      <c r="C377" s="1" t="n">
        <v>24</v>
      </c>
      <c r="D377" s="1" t="str">
        <f aca="false">IF('Boletins Nuppa Site'!G377&lt;&gt;0,'Boletins Nuppa Site'!G377,"NULL")</f>
        <v>NULL</v>
      </c>
      <c r="E377" s="16" t="n">
        <f aca="false">IF('Boletins Nuppa Site'!H377&lt;&gt;0,'Boletins Nuppa Site'!H377,"NULL")</f>
        <v>100</v>
      </c>
      <c r="F377" s="16" t="n">
        <f aca="false">IF('Boletins Nuppa Site'!I377&lt;&gt;0,'Boletins Nuppa Site'!I377,"NULL")</f>
        <v>120</v>
      </c>
      <c r="G377" s="16" t="n">
        <f aca="false">IF('Boletins Nuppa Site'!J377&lt;&gt;0,'Boletins Nuppa Site'!J377,"NULL")</f>
        <v>110</v>
      </c>
      <c r="H377" s="16" t="n">
        <f aca="false">IF('Boletins Nuppa Site'!K377&lt;&gt;0,'Boletins Nuppa Site'!K377,"NULL")</f>
        <v>110</v>
      </c>
      <c r="J377" s="1" t="str">
        <f aca="false">"INSERT INTO COTACAO (blt_id, pap_id, cot_prc_comum, cot_prc_min, cot_prc_max, cot_prc_med, cot_prc_mediana) VALUES ("&amp;B377&amp;", "&amp;C377&amp;", "&amp;D377&amp;", "&amp;E377&amp;", "&amp;F377&amp;", "&amp;G377&amp;", "&amp;H377&amp;");"</f>
        <v>INSERT INTO COTACAO (blt_id, pap_id, cot_prc_comum, cot_prc_min, cot_prc_max, cot_prc_med, cot_prc_mediana) VALUES (10, 24, NULL, 100, 120, 110, 110);</v>
      </c>
    </row>
    <row r="378" customFormat="false" ht="14.25" hidden="false" customHeight="false" outlineLevel="0" collapsed="false">
      <c r="A378" s="1" t="n">
        <v>377</v>
      </c>
      <c r="B378" s="1" t="n">
        <v>10</v>
      </c>
      <c r="C378" s="1" t="n">
        <v>25</v>
      </c>
      <c r="D378" s="16" t="n">
        <f aca="false">IF('Boletins Nuppa Site'!G378&lt;&gt;0,'Boletins Nuppa Site'!G378,"NULL")</f>
        <v>100</v>
      </c>
      <c r="E378" s="16" t="n">
        <f aca="false">IF('Boletins Nuppa Site'!H378&lt;&gt;0,'Boletins Nuppa Site'!H378,"NULL")</f>
        <v>70</v>
      </c>
      <c r="F378" s="16" t="n">
        <f aca="false">IF('Boletins Nuppa Site'!I378&lt;&gt;0,'Boletins Nuppa Site'!I378,"NULL")</f>
        <v>130</v>
      </c>
      <c r="G378" s="16" t="n">
        <f aca="false">IF('Boletins Nuppa Site'!J378&lt;&gt;0,'Boletins Nuppa Site'!J378,"NULL")</f>
        <v>106</v>
      </c>
      <c r="H378" s="16" t="n">
        <f aca="false">IF('Boletins Nuppa Site'!K378&lt;&gt;0,'Boletins Nuppa Site'!K378,"NULL")</f>
        <v>100</v>
      </c>
      <c r="J378" s="1" t="str">
        <f aca="false">"INSERT INTO COTACAO (blt_id, pap_id, cot_prc_comum, cot_prc_min, cot_prc_max, cot_prc_med, cot_prc_mediana) VALUES ("&amp;B378&amp;", "&amp;C378&amp;", "&amp;D378&amp;", "&amp;E378&amp;", "&amp;F378&amp;", "&amp;G378&amp;", "&amp;H378&amp;");"</f>
        <v>INSERT INTO COTACAO (blt_id, pap_id, cot_prc_comum, cot_prc_min, cot_prc_max, cot_prc_med, cot_prc_mediana) VALUES (10, 25, 100, 70, 130, 106, 100);</v>
      </c>
    </row>
    <row r="379" customFormat="false" ht="14.25" hidden="false" customHeight="false" outlineLevel="0" collapsed="false">
      <c r="A379" s="1" t="n">
        <v>378</v>
      </c>
      <c r="B379" s="1" t="n">
        <v>10</v>
      </c>
      <c r="C379" s="1" t="n">
        <v>26</v>
      </c>
      <c r="D379" s="1" t="str">
        <f aca="false">IF('Boletins Nuppa Site'!G379&lt;&gt;0,'Boletins Nuppa Site'!G379,"NULL")</f>
        <v>NULL</v>
      </c>
      <c r="E379" s="16" t="n">
        <f aca="false">IF('Boletins Nuppa Site'!H379&lt;&gt;0,'Boletins Nuppa Site'!H379,"NULL")</f>
        <v>60</v>
      </c>
      <c r="F379" s="16" t="n">
        <f aca="false">IF('Boletins Nuppa Site'!I379&lt;&gt;0,'Boletins Nuppa Site'!I379,"NULL")</f>
        <v>140</v>
      </c>
      <c r="G379" s="1" t="str">
        <f aca="false">IF('Boletins Nuppa Site'!J379&lt;&gt;0,'Boletins Nuppa Site'!J379,"NULL")</f>
        <v>96.67</v>
      </c>
      <c r="H379" s="16" t="n">
        <f aca="false">IF('Boletins Nuppa Site'!K379&lt;&gt;0,'Boletins Nuppa Site'!K379,"NULL")</f>
        <v>90</v>
      </c>
      <c r="J379" s="1" t="str">
        <f aca="false">"INSERT INTO COTACAO (blt_id, pap_id, cot_prc_comum, cot_prc_min, cot_prc_max, cot_prc_med, cot_prc_mediana) VALUES ("&amp;B379&amp;", "&amp;C379&amp;", "&amp;D379&amp;", "&amp;E379&amp;", "&amp;F379&amp;", "&amp;G379&amp;", "&amp;H379&amp;");"</f>
        <v>INSERT INTO COTACAO (blt_id, pap_id, cot_prc_comum, cot_prc_min, cot_prc_max, cot_prc_med, cot_prc_mediana) VALUES (10, 26, NULL, 60, 140, 96.67, 90);</v>
      </c>
    </row>
    <row r="380" customFormat="false" ht="14.25" hidden="false" customHeight="false" outlineLevel="0" collapsed="false">
      <c r="A380" s="1" t="n">
        <v>379</v>
      </c>
      <c r="B380" s="1" t="n">
        <v>10</v>
      </c>
      <c r="C380" s="1" t="n">
        <v>27</v>
      </c>
      <c r="D380" s="1" t="str">
        <f aca="false">IF('Boletins Nuppa Site'!G380&lt;&gt;0,'Boletins Nuppa Site'!G380,"NULL")</f>
        <v>NULL</v>
      </c>
      <c r="E380" s="16" t="n">
        <f aca="false">IF('Boletins Nuppa Site'!H380&lt;&gt;0,'Boletins Nuppa Site'!H380,"NULL")</f>
        <v>50</v>
      </c>
      <c r="F380" s="16" t="n">
        <f aca="false">IF('Boletins Nuppa Site'!I380&lt;&gt;0,'Boletins Nuppa Site'!I380,"NULL")</f>
        <v>95</v>
      </c>
      <c r="G380" s="16" t="n">
        <f aca="false">IF('Boletins Nuppa Site'!J380&lt;&gt;0,'Boletins Nuppa Site'!J380,"NULL")</f>
        <v>68</v>
      </c>
      <c r="H380" s="16" t="n">
        <f aca="false">IF('Boletins Nuppa Site'!K380&lt;&gt;0,'Boletins Nuppa Site'!K380,"NULL")</f>
        <v>65</v>
      </c>
      <c r="J380" s="1" t="str">
        <f aca="false">"INSERT INTO COTACAO (blt_id, pap_id, cot_prc_comum, cot_prc_min, cot_prc_max, cot_prc_med, cot_prc_mediana) VALUES ("&amp;B380&amp;", "&amp;C380&amp;", "&amp;D380&amp;", "&amp;E380&amp;", "&amp;F380&amp;", "&amp;G380&amp;", "&amp;H380&amp;");"</f>
        <v>INSERT INTO COTACAO (blt_id, pap_id, cot_prc_comum, cot_prc_min, cot_prc_max, cot_prc_med, cot_prc_mediana) VALUES (10, 27, NULL, 50, 95, 68, 65);</v>
      </c>
    </row>
    <row r="381" customFormat="false" ht="14.25" hidden="false" customHeight="false" outlineLevel="0" collapsed="false">
      <c r="A381" s="1" t="n">
        <v>380</v>
      </c>
      <c r="B381" s="1" t="n">
        <v>10</v>
      </c>
      <c r="C381" s="1" t="n">
        <v>28</v>
      </c>
      <c r="D381" s="1" t="str">
        <f aca="false">IF('Boletins Nuppa Site'!G381&lt;&gt;0,'Boletins Nuppa Site'!G381,"NULL")</f>
        <v>NULL</v>
      </c>
      <c r="E381" s="16" t="n">
        <f aca="false">IF('Boletins Nuppa Site'!H381&lt;&gt;0,'Boletins Nuppa Site'!H381,"NULL")</f>
        <v>90</v>
      </c>
      <c r="F381" s="16" t="n">
        <f aca="false">IF('Boletins Nuppa Site'!I381&lt;&gt;0,'Boletins Nuppa Site'!I381,"NULL")</f>
        <v>90</v>
      </c>
      <c r="G381" s="16" t="n">
        <f aca="false">IF('Boletins Nuppa Site'!J381&lt;&gt;0,'Boletins Nuppa Site'!J381,"NULL")</f>
        <v>90</v>
      </c>
      <c r="H381" s="16" t="n">
        <f aca="false">IF('Boletins Nuppa Site'!K381&lt;&gt;0,'Boletins Nuppa Site'!K381,"NULL")</f>
        <v>90</v>
      </c>
      <c r="J381" s="1" t="str">
        <f aca="false">"INSERT INTO COTACAO (blt_id, pap_id, cot_prc_comum, cot_prc_min, cot_prc_max, cot_prc_med, cot_prc_mediana) VALUES ("&amp;B381&amp;", "&amp;C381&amp;", "&amp;D381&amp;", "&amp;E381&amp;", "&amp;F381&amp;", "&amp;G381&amp;", "&amp;H381&amp;");"</f>
        <v>INSERT INTO COTACAO (blt_id, pap_id, cot_prc_comum, cot_prc_min, cot_prc_max, cot_prc_med, cot_prc_mediana) VALUES (10, 28, NULL, 90, 90, 90, 90);</v>
      </c>
    </row>
    <row r="382" customFormat="false" ht="14.25" hidden="false" customHeight="false" outlineLevel="0" collapsed="false">
      <c r="A382" s="1" t="n">
        <v>381</v>
      </c>
      <c r="B382" s="1" t="n">
        <v>10</v>
      </c>
      <c r="C382" s="1" t="n">
        <v>29</v>
      </c>
      <c r="D382" s="1" t="str">
        <f aca="false">IF('Boletins Nuppa Site'!G382&lt;&gt;0,'Boletins Nuppa Site'!G382,"NULL")</f>
        <v>NULL</v>
      </c>
      <c r="E382" s="16" t="n">
        <f aca="false">IF('Boletins Nuppa Site'!H382&lt;&gt;0,'Boletins Nuppa Site'!H382,"NULL")</f>
        <v>80</v>
      </c>
      <c r="F382" s="16" t="n">
        <f aca="false">IF('Boletins Nuppa Site'!I382&lt;&gt;0,'Boletins Nuppa Site'!I382,"NULL")</f>
        <v>90</v>
      </c>
      <c r="G382" s="16" t="n">
        <f aca="false">IF('Boletins Nuppa Site'!J382&lt;&gt;0,'Boletins Nuppa Site'!J382,"NULL")</f>
        <v>85</v>
      </c>
      <c r="H382" s="16" t="n">
        <f aca="false">IF('Boletins Nuppa Site'!K382&lt;&gt;0,'Boletins Nuppa Site'!K382,"NULL")</f>
        <v>85</v>
      </c>
      <c r="J382" s="1" t="str">
        <f aca="false">"INSERT INTO COTACAO (blt_id, pap_id, cot_prc_comum, cot_prc_min, cot_prc_max, cot_prc_med, cot_prc_mediana) VALUES ("&amp;B382&amp;", "&amp;C382&amp;", "&amp;D382&amp;", "&amp;E382&amp;", "&amp;F382&amp;", "&amp;G382&amp;", "&amp;H382&amp;");"</f>
        <v>INSERT INTO COTACAO (blt_id, pap_id, cot_prc_comum, cot_prc_min, cot_prc_max, cot_prc_med, cot_prc_mediana) VALUES (10, 29, NULL, 80, 90, 85, 85);</v>
      </c>
    </row>
    <row r="383" customFormat="false" ht="14.25" hidden="false" customHeight="false" outlineLevel="0" collapsed="false">
      <c r="A383" s="1" t="n">
        <v>382</v>
      </c>
      <c r="B383" s="1" t="n">
        <v>10</v>
      </c>
      <c r="C383" s="1" t="n">
        <v>30</v>
      </c>
      <c r="D383" s="1" t="str">
        <f aca="false">IF('Boletins Nuppa Site'!G383&lt;&gt;0,'Boletins Nuppa Site'!G383,"NULL")</f>
        <v>NULL</v>
      </c>
      <c r="E383" s="16" t="n">
        <f aca="false">IF('Boletins Nuppa Site'!H383&lt;&gt;0,'Boletins Nuppa Site'!H383,"NULL")</f>
        <v>42</v>
      </c>
      <c r="F383" s="16" t="n">
        <f aca="false">IF('Boletins Nuppa Site'!I383&lt;&gt;0,'Boletins Nuppa Site'!I383,"NULL")</f>
        <v>110</v>
      </c>
      <c r="G383" s="16" t="n">
        <f aca="false">IF('Boletins Nuppa Site'!J383&lt;&gt;0,'Boletins Nuppa Site'!J383,"NULL")</f>
        <v>84</v>
      </c>
      <c r="H383" s="16" t="n">
        <f aca="false">IF('Boletins Nuppa Site'!K383&lt;&gt;0,'Boletins Nuppa Site'!K383,"NULL")</f>
        <v>100</v>
      </c>
      <c r="J383" s="1" t="str">
        <f aca="false">"INSERT INTO COTACAO (blt_id, pap_id, cot_prc_comum, cot_prc_min, cot_prc_max, cot_prc_med, cot_prc_mediana) VALUES ("&amp;B383&amp;", "&amp;C383&amp;", "&amp;D383&amp;", "&amp;E383&amp;", "&amp;F383&amp;", "&amp;G383&amp;", "&amp;H383&amp;");"</f>
        <v>INSERT INTO COTACAO (blt_id, pap_id, cot_prc_comum, cot_prc_min, cot_prc_max, cot_prc_med, cot_prc_mediana) VALUES (10, 30, NULL, 42, 110, 84, 100);</v>
      </c>
    </row>
    <row r="384" customFormat="false" ht="14.25" hidden="false" customHeight="false" outlineLevel="0" collapsed="false">
      <c r="A384" s="1" t="n">
        <v>383</v>
      </c>
      <c r="B384" s="1" t="n">
        <v>10</v>
      </c>
      <c r="C384" s="1" t="n">
        <v>31</v>
      </c>
      <c r="D384" s="16" t="n">
        <f aca="false">IF('Boletins Nuppa Site'!G384&lt;&gt;0,'Boletins Nuppa Site'!G384,"NULL")</f>
        <v>100</v>
      </c>
      <c r="E384" s="16" t="n">
        <f aca="false">IF('Boletins Nuppa Site'!H384&lt;&gt;0,'Boletins Nuppa Site'!H384,"NULL")</f>
        <v>75</v>
      </c>
      <c r="F384" s="16" t="n">
        <f aca="false">IF('Boletins Nuppa Site'!I384&lt;&gt;0,'Boletins Nuppa Site'!I384,"NULL")</f>
        <v>120</v>
      </c>
      <c r="G384" s="16" t="n">
        <f aca="false">IF('Boletins Nuppa Site'!J384&lt;&gt;0,'Boletins Nuppa Site'!J384,"NULL")</f>
        <v>95</v>
      </c>
      <c r="H384" s="16" t="n">
        <f aca="false">IF('Boletins Nuppa Site'!K384&lt;&gt;0,'Boletins Nuppa Site'!K384,"NULL")</f>
        <v>100</v>
      </c>
      <c r="J384" s="1" t="str">
        <f aca="false">"INSERT INTO COTACAO (blt_id, pap_id, cot_prc_comum, cot_prc_min, cot_prc_max, cot_prc_med, cot_prc_mediana) VALUES ("&amp;B384&amp;", "&amp;C384&amp;", "&amp;D384&amp;", "&amp;E384&amp;", "&amp;F384&amp;", "&amp;G384&amp;", "&amp;H384&amp;");"</f>
        <v>INSERT INTO COTACAO (blt_id, pap_id, cot_prc_comum, cot_prc_min, cot_prc_max, cot_prc_med, cot_prc_mediana) VALUES (10, 31, 100, 75, 120, 95, 100);</v>
      </c>
    </row>
    <row r="385" customFormat="false" ht="14.25" hidden="false" customHeight="false" outlineLevel="0" collapsed="false">
      <c r="A385" s="1" t="n">
        <v>384</v>
      </c>
      <c r="B385" s="1" t="n">
        <v>10</v>
      </c>
      <c r="C385" s="1" t="n">
        <v>32</v>
      </c>
      <c r="D385" s="16" t="n">
        <f aca="false">IF('Boletins Nuppa Site'!G385&lt;&gt;0,'Boletins Nuppa Site'!G385,"NULL")</f>
        <v>60</v>
      </c>
      <c r="E385" s="16" t="n">
        <f aca="false">IF('Boletins Nuppa Site'!H385&lt;&gt;0,'Boletins Nuppa Site'!H385,"NULL")</f>
        <v>40</v>
      </c>
      <c r="F385" s="16" t="n">
        <f aca="false">IF('Boletins Nuppa Site'!I385&lt;&gt;0,'Boletins Nuppa Site'!I385,"NULL")</f>
        <v>80</v>
      </c>
      <c r="G385" s="16" t="n">
        <f aca="false">IF('Boletins Nuppa Site'!J385&lt;&gt;0,'Boletins Nuppa Site'!J385,"NULL")</f>
        <v>60</v>
      </c>
      <c r="H385" s="16" t="n">
        <f aca="false">IF('Boletins Nuppa Site'!K385&lt;&gt;0,'Boletins Nuppa Site'!K385,"NULL")</f>
        <v>60</v>
      </c>
      <c r="J385" s="1" t="str">
        <f aca="false">"INSERT INTO COTACAO (blt_id, pap_id, cot_prc_comum, cot_prc_min, cot_prc_max, cot_prc_med, cot_prc_mediana) VALUES ("&amp;B385&amp;", "&amp;C385&amp;", "&amp;D385&amp;", "&amp;E385&amp;", "&amp;F385&amp;", "&amp;G385&amp;", "&amp;H385&amp;");"</f>
        <v>INSERT INTO COTACAO (blt_id, pap_id, cot_prc_comum, cot_prc_min, cot_prc_max, cot_prc_med, cot_prc_mediana) VALUES (10, 32, 60, 40, 80, 60, 60);</v>
      </c>
    </row>
    <row r="386" customFormat="false" ht="14.25" hidden="false" customHeight="false" outlineLevel="0" collapsed="false">
      <c r="A386" s="1" t="n">
        <v>385</v>
      </c>
      <c r="B386" s="1" t="n">
        <v>10</v>
      </c>
      <c r="C386" s="1" t="n">
        <v>33</v>
      </c>
      <c r="D386" s="16" t="n">
        <f aca="false">IF('Boletins Nuppa Site'!G386&lt;&gt;0,'Boletins Nuppa Site'!G386,"NULL")</f>
        <v>60</v>
      </c>
      <c r="E386" s="16" t="n">
        <f aca="false">IF('Boletins Nuppa Site'!H386&lt;&gt;0,'Boletins Nuppa Site'!H386,"NULL")</f>
        <v>60</v>
      </c>
      <c r="F386" s="16" t="n">
        <f aca="false">IF('Boletins Nuppa Site'!I386&lt;&gt;0,'Boletins Nuppa Site'!I386,"NULL")</f>
        <v>130</v>
      </c>
      <c r="G386" s="16" t="n">
        <f aca="false">IF('Boletins Nuppa Site'!J386&lt;&gt;0,'Boletins Nuppa Site'!J386,"NULL")</f>
        <v>77</v>
      </c>
      <c r="H386" s="16" t="n">
        <f aca="false">IF('Boletins Nuppa Site'!K386&lt;&gt;0,'Boletins Nuppa Site'!K386,"NULL")</f>
        <v>65</v>
      </c>
      <c r="J386" s="1" t="str">
        <f aca="false">"INSERT INTO COTACAO (blt_id, pap_id, cot_prc_comum, cot_prc_min, cot_prc_max, cot_prc_med, cot_prc_mediana) VALUES ("&amp;B386&amp;", "&amp;C386&amp;", "&amp;D386&amp;", "&amp;E386&amp;", "&amp;F386&amp;", "&amp;G386&amp;", "&amp;H386&amp;");"</f>
        <v>INSERT INTO COTACAO (blt_id, pap_id, cot_prc_comum, cot_prc_min, cot_prc_max, cot_prc_med, cot_prc_mediana) VALUES (10, 33, 60, 60, 130, 77, 65);</v>
      </c>
    </row>
    <row r="387" customFormat="false" ht="14.25" hidden="false" customHeight="false" outlineLevel="0" collapsed="false">
      <c r="A387" s="1" t="n">
        <v>386</v>
      </c>
      <c r="B387" s="1" t="n">
        <v>10</v>
      </c>
      <c r="C387" s="1" t="n">
        <v>34</v>
      </c>
      <c r="D387" s="1" t="str">
        <f aca="false">IF('Boletins Nuppa Site'!G387&lt;&gt;0,'Boletins Nuppa Site'!G387,"NULL")</f>
        <v>NULL</v>
      </c>
      <c r="E387" s="16" t="n">
        <f aca="false">IF('Boletins Nuppa Site'!H387&lt;&gt;0,'Boletins Nuppa Site'!H387,"NULL")</f>
        <v>65</v>
      </c>
      <c r="F387" s="16" t="n">
        <f aca="false">IF('Boletins Nuppa Site'!I387&lt;&gt;0,'Boletins Nuppa Site'!I387,"NULL")</f>
        <v>140</v>
      </c>
      <c r="G387" s="16" t="n">
        <f aca="false">IF('Boletins Nuppa Site'!J387&lt;&gt;0,'Boletins Nuppa Site'!J387,"NULL")</f>
        <v>107</v>
      </c>
      <c r="H387" s="16" t="n">
        <f aca="false">IF('Boletins Nuppa Site'!K387&lt;&gt;0,'Boletins Nuppa Site'!K387,"NULL")</f>
        <v>110</v>
      </c>
      <c r="J387" s="1" t="str">
        <f aca="false">"INSERT INTO COTACAO (blt_id, pap_id, cot_prc_comum, cot_prc_min, cot_prc_max, cot_prc_med, cot_prc_mediana) VALUES ("&amp;B387&amp;", "&amp;C387&amp;", "&amp;D387&amp;", "&amp;E387&amp;", "&amp;F387&amp;", "&amp;G387&amp;", "&amp;H387&amp;");"</f>
        <v>INSERT INTO COTACAO (blt_id, pap_id, cot_prc_comum, cot_prc_min, cot_prc_max, cot_prc_med, cot_prc_mediana) VALUES (10, 34, NULL, 65, 140, 107, 110);</v>
      </c>
    </row>
    <row r="388" customFormat="false" ht="14.25" hidden="false" customHeight="false" outlineLevel="0" collapsed="false">
      <c r="A388" s="1" t="n">
        <v>387</v>
      </c>
      <c r="B388" s="1" t="n">
        <v>10</v>
      </c>
      <c r="C388" s="1" t="n">
        <v>35</v>
      </c>
      <c r="D388" s="16" t="n">
        <f aca="false">IF('Boletins Nuppa Site'!G388&lt;&gt;0,'Boletins Nuppa Site'!G388,"NULL")</f>
        <v>120</v>
      </c>
      <c r="E388" s="16" t="n">
        <f aca="false">IF('Boletins Nuppa Site'!H388&lt;&gt;0,'Boletins Nuppa Site'!H388,"NULL")</f>
        <v>100</v>
      </c>
      <c r="F388" s="16" t="n">
        <f aca="false">IF('Boletins Nuppa Site'!I388&lt;&gt;0,'Boletins Nuppa Site'!I388,"NULL")</f>
        <v>120</v>
      </c>
      <c r="G388" s="16" t="n">
        <f aca="false">IF('Boletins Nuppa Site'!J388&lt;&gt;0,'Boletins Nuppa Site'!J388,"NULL")</f>
        <v>115</v>
      </c>
      <c r="H388" s="16" t="n">
        <f aca="false">IF('Boletins Nuppa Site'!K388&lt;&gt;0,'Boletins Nuppa Site'!K388,"NULL")</f>
        <v>120</v>
      </c>
      <c r="J388" s="1" t="str">
        <f aca="false">"INSERT INTO COTACAO (blt_id, pap_id, cot_prc_comum, cot_prc_min, cot_prc_max, cot_prc_med, cot_prc_mediana) VALUES ("&amp;B388&amp;", "&amp;C388&amp;", "&amp;D388&amp;", "&amp;E388&amp;", "&amp;F388&amp;", "&amp;G388&amp;", "&amp;H388&amp;");"</f>
        <v>INSERT INTO COTACAO (blt_id, pap_id, cot_prc_comum, cot_prc_min, cot_prc_max, cot_prc_med, cot_prc_mediana) VALUES (10, 35, 120, 100, 120, 115, 120);</v>
      </c>
    </row>
    <row r="389" customFormat="false" ht="14.25" hidden="false" customHeight="false" outlineLevel="0" collapsed="false">
      <c r="A389" s="1" t="n">
        <v>388</v>
      </c>
      <c r="B389" s="1" t="n">
        <v>10</v>
      </c>
      <c r="C389" s="1" t="n">
        <v>36</v>
      </c>
      <c r="D389" s="1" t="str">
        <f aca="false">IF('Boletins Nuppa Site'!G389&lt;&gt;0,'Boletins Nuppa Site'!G389,"NULL")</f>
        <v>NULL</v>
      </c>
      <c r="E389" s="16" t="n">
        <f aca="false">IF('Boletins Nuppa Site'!H389&lt;&gt;0,'Boletins Nuppa Site'!H389,"NULL")</f>
        <v>80</v>
      </c>
      <c r="F389" s="16" t="n">
        <f aca="false">IF('Boletins Nuppa Site'!I389&lt;&gt;0,'Boletins Nuppa Site'!I389,"NULL")</f>
        <v>80</v>
      </c>
      <c r="G389" s="16" t="n">
        <f aca="false">IF('Boletins Nuppa Site'!J389&lt;&gt;0,'Boletins Nuppa Site'!J389,"NULL")</f>
        <v>80</v>
      </c>
      <c r="H389" s="16" t="n">
        <f aca="false">IF('Boletins Nuppa Site'!K389&lt;&gt;0,'Boletins Nuppa Site'!K389,"NULL")</f>
        <v>80</v>
      </c>
      <c r="J389" s="1" t="str">
        <f aca="false">"INSERT INTO COTACAO (blt_id, pap_id, cot_prc_comum, cot_prc_min, cot_prc_max, cot_prc_med, cot_prc_mediana) VALUES ("&amp;B389&amp;", "&amp;C389&amp;", "&amp;D389&amp;", "&amp;E389&amp;", "&amp;F389&amp;", "&amp;G389&amp;", "&amp;H389&amp;");"</f>
        <v>INSERT INTO COTACAO (blt_id, pap_id, cot_prc_comum, cot_prc_min, cot_prc_max, cot_prc_med, cot_prc_mediana) VALUES (10, 36, NULL, 80, 80, 80, 80);</v>
      </c>
    </row>
    <row r="390" customFormat="false" ht="14.25" hidden="false" customHeight="false" outlineLevel="0" collapsed="false">
      <c r="A390" s="1" t="n">
        <v>389</v>
      </c>
      <c r="B390" s="1" t="n">
        <v>10</v>
      </c>
      <c r="C390" s="1" t="n">
        <v>37</v>
      </c>
      <c r="D390" s="1" t="str">
        <f aca="false">IF('Boletins Nuppa Site'!G390&lt;&gt;0,'Boletins Nuppa Site'!G390,"NULL")</f>
        <v>NULL</v>
      </c>
      <c r="E390" s="16" t="n">
        <f aca="false">IF('Boletins Nuppa Site'!H390&lt;&gt;0,'Boletins Nuppa Site'!H390,"NULL")</f>
        <v>60</v>
      </c>
      <c r="F390" s="16" t="n">
        <f aca="false">IF('Boletins Nuppa Site'!I390&lt;&gt;0,'Boletins Nuppa Site'!I390,"NULL")</f>
        <v>60</v>
      </c>
      <c r="G390" s="16" t="n">
        <f aca="false">IF('Boletins Nuppa Site'!J390&lt;&gt;0,'Boletins Nuppa Site'!J390,"NULL")</f>
        <v>60</v>
      </c>
      <c r="H390" s="16" t="n">
        <f aca="false">IF('Boletins Nuppa Site'!K390&lt;&gt;0,'Boletins Nuppa Site'!K390,"NULL")</f>
        <v>60</v>
      </c>
      <c r="J390" s="1" t="str">
        <f aca="false">"INSERT INTO COTACAO (blt_id, pap_id, cot_prc_comum, cot_prc_min, cot_prc_max, cot_prc_med, cot_prc_mediana) VALUES ("&amp;B390&amp;", "&amp;C390&amp;", "&amp;D390&amp;", "&amp;E390&amp;", "&amp;F390&amp;", "&amp;G390&amp;", "&amp;H390&amp;");"</f>
        <v>INSERT INTO COTACAO (blt_id, pap_id, cot_prc_comum, cot_prc_min, cot_prc_max, cot_prc_med, cot_prc_mediana) VALUES (10, 37, NULL, 60, 60, 60, 60);</v>
      </c>
    </row>
    <row r="391" customFormat="false" ht="14.25" hidden="false" customHeight="false" outlineLevel="0" collapsed="false">
      <c r="A391" s="1" t="n">
        <v>390</v>
      </c>
      <c r="B391" s="1" t="n">
        <v>10</v>
      </c>
      <c r="C391" s="1" t="n">
        <v>38</v>
      </c>
      <c r="D391" s="1" t="str">
        <f aca="false">IF('Boletins Nuppa Site'!G391&lt;&gt;0,'Boletins Nuppa Site'!G391,"NULL")</f>
        <v>NULL</v>
      </c>
      <c r="E391" s="16" t="n">
        <f aca="false">IF('Boletins Nuppa Site'!H391&lt;&gt;0,'Boletins Nuppa Site'!H391,"NULL")</f>
        <v>45</v>
      </c>
      <c r="F391" s="16" t="n">
        <f aca="false">IF('Boletins Nuppa Site'!I391&lt;&gt;0,'Boletins Nuppa Site'!I391,"NULL")</f>
        <v>60</v>
      </c>
      <c r="G391" s="1" t="str">
        <f aca="false">IF('Boletins Nuppa Site'!J391&lt;&gt;0,'Boletins Nuppa Site'!J391,"NULL")</f>
        <v>52.5</v>
      </c>
      <c r="H391" s="1" t="str">
        <f aca="false">IF('Boletins Nuppa Site'!K391&lt;&gt;0,'Boletins Nuppa Site'!K391,"NULL")</f>
        <v>52.5</v>
      </c>
      <c r="J391" s="1" t="str">
        <f aca="false">"INSERT INTO COTACAO (blt_id, pap_id, cot_prc_comum, cot_prc_min, cot_prc_max, cot_prc_med, cot_prc_mediana) VALUES ("&amp;B391&amp;", "&amp;C391&amp;", "&amp;D391&amp;", "&amp;E391&amp;", "&amp;F391&amp;", "&amp;G391&amp;", "&amp;H391&amp;");"</f>
        <v>INSERT INTO COTACAO (blt_id, pap_id, cot_prc_comum, cot_prc_min, cot_prc_max, cot_prc_med, cot_prc_mediana) VALUES (10, 38, NULL, 45, 60, 52.5, 52.5);</v>
      </c>
    </row>
    <row r="392" customFormat="false" ht="14.25" hidden="false" customHeight="false" outlineLevel="0" collapsed="false">
      <c r="A392" s="1" t="n">
        <v>391</v>
      </c>
      <c r="B392" s="1" t="n">
        <v>10</v>
      </c>
      <c r="C392" s="1" t="n">
        <v>39</v>
      </c>
      <c r="D392" s="1" t="str">
        <f aca="false">IF('Boletins Nuppa Site'!G392&lt;&gt;0,'Boletins Nuppa Site'!G392,"NULL")</f>
        <v>NULL</v>
      </c>
      <c r="E392" s="16" t="n">
        <f aca="false">IF('Boletins Nuppa Site'!H392&lt;&gt;0,'Boletins Nuppa Site'!H392,"NULL")</f>
        <v>48</v>
      </c>
      <c r="F392" s="16" t="n">
        <f aca="false">IF('Boletins Nuppa Site'!I392&lt;&gt;0,'Boletins Nuppa Site'!I392,"NULL")</f>
        <v>48</v>
      </c>
      <c r="G392" s="16" t="n">
        <f aca="false">IF('Boletins Nuppa Site'!J392&lt;&gt;0,'Boletins Nuppa Site'!J392,"NULL")</f>
        <v>48</v>
      </c>
      <c r="H392" s="16" t="n">
        <f aca="false">IF('Boletins Nuppa Site'!K392&lt;&gt;0,'Boletins Nuppa Site'!K392,"NULL")</f>
        <v>48</v>
      </c>
      <c r="J392" s="1" t="str">
        <f aca="false">"INSERT INTO COTACAO (blt_id, pap_id, cot_prc_comum, cot_prc_min, cot_prc_max, cot_prc_med, cot_prc_mediana) VALUES ("&amp;B392&amp;", "&amp;C392&amp;", "&amp;D392&amp;", "&amp;E392&amp;", "&amp;F392&amp;", "&amp;G392&amp;", "&amp;H392&amp;");"</f>
        <v>INSERT INTO COTACAO (blt_id, pap_id, cot_prc_comum, cot_prc_min, cot_prc_max, cot_prc_med, cot_prc_mediana) VALUES (10, 39, NULL, 48, 48, 48, 48);</v>
      </c>
    </row>
    <row r="393" customFormat="false" ht="14.25" hidden="false" customHeight="false" outlineLevel="0" collapsed="false">
      <c r="A393" s="1" t="n">
        <v>392</v>
      </c>
      <c r="B393" s="1" t="n">
        <v>10</v>
      </c>
      <c r="C393" s="1" t="n">
        <v>40</v>
      </c>
      <c r="D393" s="16" t="n">
        <f aca="false">IF('Boletins Nuppa Site'!G393&lt;&gt;0,'Boletins Nuppa Site'!G393,"NULL")</f>
        <v>90</v>
      </c>
      <c r="E393" s="16" t="n">
        <f aca="false">IF('Boletins Nuppa Site'!H393&lt;&gt;0,'Boletins Nuppa Site'!H393,"NULL")</f>
        <v>90</v>
      </c>
      <c r="F393" s="16" t="n">
        <f aca="false">IF('Boletins Nuppa Site'!I393&lt;&gt;0,'Boletins Nuppa Site'!I393,"NULL")</f>
        <v>90</v>
      </c>
      <c r="G393" s="16" t="n">
        <f aca="false">IF('Boletins Nuppa Site'!J393&lt;&gt;0,'Boletins Nuppa Site'!J393,"NULL")</f>
        <v>90</v>
      </c>
      <c r="H393" s="16" t="n">
        <f aca="false">IF('Boletins Nuppa Site'!K393&lt;&gt;0,'Boletins Nuppa Site'!K393,"NULL")</f>
        <v>90</v>
      </c>
      <c r="J393" s="1" t="str">
        <f aca="false">"INSERT INTO COTACAO (blt_id, pap_id, cot_prc_comum, cot_prc_min, cot_prc_max, cot_prc_med, cot_prc_mediana) VALUES ("&amp;B393&amp;", "&amp;C393&amp;", "&amp;D393&amp;", "&amp;E393&amp;", "&amp;F393&amp;", "&amp;G393&amp;", "&amp;H393&amp;");"</f>
        <v>INSERT INTO COTACAO (blt_id, pap_id, cot_prc_comum, cot_prc_min, cot_prc_max, cot_prc_med, cot_prc_mediana) VALUES (10, 40, 90, 90, 90, 90, 90);</v>
      </c>
    </row>
    <row r="394" customFormat="false" ht="14.25" hidden="false" customHeight="false" outlineLevel="0" collapsed="false">
      <c r="A394" s="1" t="n">
        <v>393</v>
      </c>
      <c r="B394" s="1" t="n">
        <v>11</v>
      </c>
      <c r="C394" s="1" t="n">
        <v>1</v>
      </c>
      <c r="D394" s="1" t="str">
        <f aca="false">IF('Boletins Nuppa Site'!G394&lt;&gt;0,'Boletins Nuppa Site'!G394,"NULL")</f>
        <v>NULL</v>
      </c>
      <c r="E394" s="16" t="n">
        <f aca="false">IF('Boletins Nuppa Site'!H394&lt;&gt;0,'Boletins Nuppa Site'!H394,"NULL")</f>
        <v>48</v>
      </c>
      <c r="F394" s="16" t="n">
        <f aca="false">IF('Boletins Nuppa Site'!I394&lt;&gt;0,'Boletins Nuppa Site'!I394,"NULL")</f>
        <v>60</v>
      </c>
      <c r="G394" s="16" t="n">
        <f aca="false">IF('Boletins Nuppa Site'!J394&lt;&gt;0,'Boletins Nuppa Site'!J394,"NULL")</f>
        <v>54</v>
      </c>
      <c r="H394" s="16" t="n">
        <f aca="false">IF('Boletins Nuppa Site'!K394&lt;&gt;0,'Boletins Nuppa Site'!K394,"NULL")</f>
        <v>54</v>
      </c>
      <c r="J394" s="1" t="str">
        <f aca="false">"INSERT INTO COTACAO (blt_id, pap_id, cot_prc_comum, cot_prc_min, cot_prc_max, cot_prc_med, cot_prc_mediana) VALUES ("&amp;B394&amp;", "&amp;C394&amp;", "&amp;D394&amp;", "&amp;E394&amp;", "&amp;F394&amp;", "&amp;G394&amp;", "&amp;H394&amp;");"</f>
        <v>INSERT INTO COTACAO (blt_id, pap_id, cot_prc_comum, cot_prc_min, cot_prc_max, cot_prc_med, cot_prc_mediana) VALUES (11, 1, NULL, 48, 60, 54, 54);</v>
      </c>
    </row>
    <row r="395" customFormat="false" ht="14.25" hidden="false" customHeight="false" outlineLevel="0" collapsed="false">
      <c r="A395" s="1" t="n">
        <v>394</v>
      </c>
      <c r="B395" s="1" t="n">
        <v>11</v>
      </c>
      <c r="C395" s="1" t="n">
        <v>2</v>
      </c>
      <c r="D395" s="16" t="n">
        <f aca="false">IF('Boletins Nuppa Site'!G395&lt;&gt;0,'Boletins Nuppa Site'!G395,"NULL")</f>
        <v>72</v>
      </c>
      <c r="E395" s="16" t="n">
        <f aca="false">IF('Boletins Nuppa Site'!H395&lt;&gt;0,'Boletins Nuppa Site'!H395,"NULL")</f>
        <v>72</v>
      </c>
      <c r="F395" s="16" t="n">
        <f aca="false">IF('Boletins Nuppa Site'!I395&lt;&gt;0,'Boletins Nuppa Site'!I395,"NULL")</f>
        <v>84</v>
      </c>
      <c r="G395" s="16" t="n">
        <f aca="false">IF('Boletins Nuppa Site'!J395&lt;&gt;0,'Boletins Nuppa Site'!J395,"NULL")</f>
        <v>76</v>
      </c>
      <c r="H395" s="16" t="n">
        <f aca="false">IF('Boletins Nuppa Site'!K395&lt;&gt;0,'Boletins Nuppa Site'!K395,"NULL")</f>
        <v>72</v>
      </c>
      <c r="J395" s="1" t="str">
        <f aca="false">"INSERT INTO COTACAO (blt_id, pap_id, cot_prc_comum, cot_prc_min, cot_prc_max, cot_prc_med, cot_prc_mediana) VALUES ("&amp;B395&amp;", "&amp;C395&amp;", "&amp;D395&amp;", "&amp;E395&amp;", "&amp;F395&amp;", "&amp;G395&amp;", "&amp;H395&amp;");"</f>
        <v>INSERT INTO COTACAO (blt_id, pap_id, cot_prc_comum, cot_prc_min, cot_prc_max, cot_prc_med, cot_prc_mediana) VALUES (11, 2, 72, 72, 84, 76, 72);</v>
      </c>
    </row>
    <row r="396" customFormat="false" ht="14.25" hidden="false" customHeight="false" outlineLevel="0" collapsed="false">
      <c r="A396" s="1" t="n">
        <v>395</v>
      </c>
      <c r="B396" s="1" t="n">
        <v>11</v>
      </c>
      <c r="C396" s="1" t="n">
        <v>3</v>
      </c>
      <c r="D396" s="16" t="n">
        <f aca="false">IF('Boletins Nuppa Site'!G396&lt;&gt;0,'Boletins Nuppa Site'!G396,"NULL")</f>
        <v>48</v>
      </c>
      <c r="E396" s="16" t="n">
        <f aca="false">IF('Boletins Nuppa Site'!H396&lt;&gt;0,'Boletins Nuppa Site'!H396,"NULL")</f>
        <v>48</v>
      </c>
      <c r="F396" s="16" t="n">
        <f aca="false">IF('Boletins Nuppa Site'!I396&lt;&gt;0,'Boletins Nuppa Site'!I396,"NULL")</f>
        <v>60</v>
      </c>
      <c r="G396" s="16" t="n">
        <f aca="false">IF('Boletins Nuppa Site'!J396&lt;&gt;0,'Boletins Nuppa Site'!J396,"NULL")</f>
        <v>52</v>
      </c>
      <c r="H396" s="16" t="n">
        <f aca="false">IF('Boletins Nuppa Site'!K396&lt;&gt;0,'Boletins Nuppa Site'!K396,"NULL")</f>
        <v>48</v>
      </c>
      <c r="J396" s="1" t="str">
        <f aca="false">"INSERT INTO COTACAO (blt_id, pap_id, cot_prc_comum, cot_prc_min, cot_prc_max, cot_prc_med, cot_prc_mediana) VALUES ("&amp;B396&amp;", "&amp;C396&amp;", "&amp;D396&amp;", "&amp;E396&amp;", "&amp;F396&amp;", "&amp;G396&amp;", "&amp;H396&amp;");"</f>
        <v>INSERT INTO COTACAO (blt_id, pap_id, cot_prc_comum, cot_prc_min, cot_prc_max, cot_prc_med, cot_prc_mediana) VALUES (11, 3, 48, 48, 60, 52, 48);</v>
      </c>
    </row>
    <row r="397" customFormat="false" ht="14.25" hidden="false" customHeight="false" outlineLevel="0" collapsed="false">
      <c r="A397" s="1" t="n">
        <v>396</v>
      </c>
      <c r="B397" s="1" t="n">
        <v>11</v>
      </c>
      <c r="C397" s="1" t="n">
        <v>4</v>
      </c>
      <c r="D397" s="1" t="str">
        <f aca="false">IF('Boletins Nuppa Site'!G397&lt;&gt;0,'Boletins Nuppa Site'!G397,"NULL")</f>
        <v>NULL</v>
      </c>
      <c r="E397" s="16" t="n">
        <f aca="false">IF('Boletins Nuppa Site'!H397&lt;&gt;0,'Boletins Nuppa Site'!H397,"NULL")</f>
        <v>35</v>
      </c>
      <c r="F397" s="16" t="n">
        <f aca="false">IF('Boletins Nuppa Site'!I397&lt;&gt;0,'Boletins Nuppa Site'!I397,"NULL")</f>
        <v>50</v>
      </c>
      <c r="G397" s="1" t="str">
        <f aca="false">IF('Boletins Nuppa Site'!J397&lt;&gt;0,'Boletins Nuppa Site'!J397,"NULL")</f>
        <v>42.33</v>
      </c>
      <c r="H397" s="16" t="n">
        <f aca="false">IF('Boletins Nuppa Site'!K397&lt;&gt;0,'Boletins Nuppa Site'!K397,"NULL")</f>
        <v>42</v>
      </c>
      <c r="J397" s="1" t="str">
        <f aca="false">"INSERT INTO COTACAO (blt_id, pap_id, cot_prc_comum, cot_prc_min, cot_prc_max, cot_prc_med, cot_prc_mediana) VALUES ("&amp;B397&amp;", "&amp;C397&amp;", "&amp;D397&amp;", "&amp;E397&amp;", "&amp;F397&amp;", "&amp;G397&amp;", "&amp;H397&amp;");"</f>
        <v>INSERT INTO COTACAO (blt_id, pap_id, cot_prc_comum, cot_prc_min, cot_prc_max, cot_prc_med, cot_prc_mediana) VALUES (11, 4, NULL, 35, 50, 42.33, 42);</v>
      </c>
    </row>
    <row r="398" customFormat="false" ht="14.25" hidden="false" customHeight="false" outlineLevel="0" collapsed="false">
      <c r="A398" s="1" t="n">
        <v>397</v>
      </c>
      <c r="B398" s="1" t="n">
        <v>11</v>
      </c>
      <c r="C398" s="1" t="n">
        <v>5</v>
      </c>
      <c r="D398" s="1" t="str">
        <f aca="false">IF('Boletins Nuppa Site'!G398&lt;&gt;0,'Boletins Nuppa Site'!G398,"NULL")</f>
        <v>NULL</v>
      </c>
      <c r="E398" s="16" t="n">
        <f aca="false">IF('Boletins Nuppa Site'!H398&lt;&gt;0,'Boletins Nuppa Site'!H398,"NULL")</f>
        <v>35</v>
      </c>
      <c r="F398" s="16" t="n">
        <f aca="false">IF('Boletins Nuppa Site'!I398&lt;&gt;0,'Boletins Nuppa Site'!I398,"NULL")</f>
        <v>50</v>
      </c>
      <c r="G398" s="1" t="str">
        <f aca="false">IF('Boletins Nuppa Site'!J398&lt;&gt;0,'Boletins Nuppa Site'!J398,"NULL")</f>
        <v>42.33</v>
      </c>
      <c r="H398" s="16" t="n">
        <f aca="false">IF('Boletins Nuppa Site'!K398&lt;&gt;0,'Boletins Nuppa Site'!K398,"NULL")</f>
        <v>42</v>
      </c>
      <c r="J398" s="1" t="str">
        <f aca="false">"INSERT INTO COTACAO (blt_id, pap_id, cot_prc_comum, cot_prc_min, cot_prc_max, cot_prc_med, cot_prc_mediana) VALUES ("&amp;B398&amp;", "&amp;C398&amp;", "&amp;D398&amp;", "&amp;E398&amp;", "&amp;F398&amp;", "&amp;G398&amp;", "&amp;H398&amp;");"</f>
        <v>INSERT INTO COTACAO (blt_id, pap_id, cot_prc_comum, cot_prc_min, cot_prc_max, cot_prc_med, cot_prc_mediana) VALUES (11, 5, NULL, 35, 50, 42.33, 42);</v>
      </c>
    </row>
    <row r="399" customFormat="false" ht="14.25" hidden="false" customHeight="false" outlineLevel="0" collapsed="false">
      <c r="A399" s="1" t="n">
        <v>398</v>
      </c>
      <c r="B399" s="1" t="n">
        <v>11</v>
      </c>
      <c r="C399" s="1" t="n">
        <v>6</v>
      </c>
      <c r="D399" s="16" t="n">
        <f aca="false">IF('Boletins Nuppa Site'!G399&lt;&gt;0,'Boletins Nuppa Site'!G399,"NULL")</f>
        <v>72</v>
      </c>
      <c r="E399" s="16" t="n">
        <f aca="false">IF('Boletins Nuppa Site'!H399&lt;&gt;0,'Boletins Nuppa Site'!H399,"NULL")</f>
        <v>60</v>
      </c>
      <c r="F399" s="16" t="n">
        <f aca="false">IF('Boletins Nuppa Site'!I399&lt;&gt;0,'Boletins Nuppa Site'!I399,"NULL")</f>
        <v>72</v>
      </c>
      <c r="G399" s="16" t="n">
        <f aca="false">IF('Boletins Nuppa Site'!J399&lt;&gt;0,'Boletins Nuppa Site'!J399,"NULL")</f>
        <v>68</v>
      </c>
      <c r="H399" s="16" t="n">
        <f aca="false">IF('Boletins Nuppa Site'!K399&lt;&gt;0,'Boletins Nuppa Site'!K399,"NULL")</f>
        <v>72</v>
      </c>
      <c r="J399" s="1" t="str">
        <f aca="false">"INSERT INTO COTACAO (blt_id, pap_id, cot_prc_comum, cot_prc_min, cot_prc_max, cot_prc_med, cot_prc_mediana) VALUES ("&amp;B399&amp;", "&amp;C399&amp;", "&amp;D399&amp;", "&amp;E399&amp;", "&amp;F399&amp;", "&amp;G399&amp;", "&amp;H399&amp;");"</f>
        <v>INSERT INTO COTACAO (blt_id, pap_id, cot_prc_comum, cot_prc_min, cot_prc_max, cot_prc_med, cot_prc_mediana) VALUES (11, 6, 72, 60, 72, 68, 72);</v>
      </c>
    </row>
    <row r="400" customFormat="false" ht="14.25" hidden="false" customHeight="false" outlineLevel="0" collapsed="false">
      <c r="A400" s="1" t="n">
        <v>399</v>
      </c>
      <c r="B400" s="1" t="n">
        <v>11</v>
      </c>
      <c r="C400" s="1" t="n">
        <v>7</v>
      </c>
      <c r="D400" s="1" t="str">
        <f aca="false">IF('Boletins Nuppa Site'!G400&lt;&gt;0,'Boletins Nuppa Site'!G400,"NULL")</f>
        <v>NULL</v>
      </c>
      <c r="E400" s="16" t="n">
        <f aca="false">IF('Boletins Nuppa Site'!H400&lt;&gt;0,'Boletins Nuppa Site'!H400,"NULL")</f>
        <v>72</v>
      </c>
      <c r="F400" s="16" t="n">
        <f aca="false">IF('Boletins Nuppa Site'!I400&lt;&gt;0,'Boletins Nuppa Site'!I400,"NULL")</f>
        <v>96</v>
      </c>
      <c r="G400" s="16" t="n">
        <f aca="false">IF('Boletins Nuppa Site'!J400&lt;&gt;0,'Boletins Nuppa Site'!J400,"NULL")</f>
        <v>86</v>
      </c>
      <c r="H400" s="16" t="n">
        <f aca="false">IF('Boletins Nuppa Site'!K400&lt;&gt;0,'Boletins Nuppa Site'!K400,"NULL")</f>
        <v>90</v>
      </c>
      <c r="J400" s="1" t="str">
        <f aca="false">"INSERT INTO COTACAO (blt_id, pap_id, cot_prc_comum, cot_prc_min, cot_prc_max, cot_prc_med, cot_prc_mediana) VALUES ("&amp;B400&amp;", "&amp;C400&amp;", "&amp;D400&amp;", "&amp;E400&amp;", "&amp;F400&amp;", "&amp;G400&amp;", "&amp;H400&amp;");"</f>
        <v>INSERT INTO COTACAO (blt_id, pap_id, cot_prc_comum, cot_prc_min, cot_prc_max, cot_prc_med, cot_prc_mediana) VALUES (11, 7, NULL, 72, 96, 86, 90);</v>
      </c>
    </row>
    <row r="401" customFormat="false" ht="14.25" hidden="false" customHeight="false" outlineLevel="0" collapsed="false">
      <c r="A401" s="1" t="n">
        <v>400</v>
      </c>
      <c r="B401" s="1" t="n">
        <v>11</v>
      </c>
      <c r="C401" s="1" t="n">
        <v>8</v>
      </c>
      <c r="D401" s="1" t="str">
        <f aca="false">IF('Boletins Nuppa Site'!G401&lt;&gt;0,'Boletins Nuppa Site'!G401,"NULL")</f>
        <v>NULL</v>
      </c>
      <c r="E401" s="16" t="n">
        <f aca="false">IF('Boletins Nuppa Site'!H401&lt;&gt;0,'Boletins Nuppa Site'!H401,"NULL")</f>
        <v>120</v>
      </c>
      <c r="F401" s="16" t="n">
        <f aca="false">IF('Boletins Nuppa Site'!I401&lt;&gt;0,'Boletins Nuppa Site'!I401,"NULL")</f>
        <v>120</v>
      </c>
      <c r="G401" s="16" t="n">
        <f aca="false">IF('Boletins Nuppa Site'!J401&lt;&gt;0,'Boletins Nuppa Site'!J401,"NULL")</f>
        <v>120</v>
      </c>
      <c r="H401" s="16" t="n">
        <f aca="false">IF('Boletins Nuppa Site'!K401&lt;&gt;0,'Boletins Nuppa Site'!K401,"NULL")</f>
        <v>120</v>
      </c>
      <c r="J401" s="1" t="str">
        <f aca="false">"INSERT INTO COTACAO (blt_id, pap_id, cot_prc_comum, cot_prc_min, cot_prc_max, cot_prc_med, cot_prc_mediana) VALUES ("&amp;B401&amp;", "&amp;C401&amp;", "&amp;D401&amp;", "&amp;E401&amp;", "&amp;F401&amp;", "&amp;G401&amp;", "&amp;H401&amp;");"</f>
        <v>INSERT INTO COTACAO (blt_id, pap_id, cot_prc_comum, cot_prc_min, cot_prc_max, cot_prc_med, cot_prc_mediana) VALUES (11, 8, NULL, 120, 120, 120, 120);</v>
      </c>
    </row>
    <row r="402" customFormat="false" ht="14.25" hidden="false" customHeight="false" outlineLevel="0" collapsed="false">
      <c r="A402" s="1" t="n">
        <v>401</v>
      </c>
      <c r="B402" s="1" t="n">
        <v>11</v>
      </c>
      <c r="C402" s="1" t="n">
        <v>9</v>
      </c>
      <c r="D402" s="16" t="n">
        <f aca="false">IF('Boletins Nuppa Site'!G402&lt;&gt;0,'Boletins Nuppa Site'!G402,"NULL")</f>
        <v>30</v>
      </c>
      <c r="E402" s="16" t="n">
        <f aca="false">IF('Boletins Nuppa Site'!H402&lt;&gt;0,'Boletins Nuppa Site'!H402,"NULL")</f>
        <v>30</v>
      </c>
      <c r="F402" s="16" t="n">
        <f aca="false">IF('Boletins Nuppa Site'!I402&lt;&gt;0,'Boletins Nuppa Site'!I402,"NULL")</f>
        <v>36</v>
      </c>
      <c r="G402" s="16" t="n">
        <f aca="false">IF('Boletins Nuppa Site'!J402&lt;&gt;0,'Boletins Nuppa Site'!J402,"NULL")</f>
        <v>32</v>
      </c>
      <c r="H402" s="16" t="n">
        <f aca="false">IF('Boletins Nuppa Site'!K402&lt;&gt;0,'Boletins Nuppa Site'!K402,"NULL")</f>
        <v>30</v>
      </c>
      <c r="J402" s="1" t="str">
        <f aca="false">"INSERT INTO COTACAO (blt_id, pap_id, cot_prc_comum, cot_prc_min, cot_prc_max, cot_prc_med, cot_prc_mediana) VALUES ("&amp;B402&amp;", "&amp;C402&amp;", "&amp;D402&amp;", "&amp;E402&amp;", "&amp;F402&amp;", "&amp;G402&amp;", "&amp;H402&amp;");"</f>
        <v>INSERT INTO COTACAO (blt_id, pap_id, cot_prc_comum, cot_prc_min, cot_prc_max, cot_prc_med, cot_prc_mediana) VALUES (11, 9, 30, 30, 36, 32, 30);</v>
      </c>
    </row>
    <row r="403" customFormat="false" ht="14.25" hidden="false" customHeight="false" outlineLevel="0" collapsed="false">
      <c r="A403" s="1" t="n">
        <v>402</v>
      </c>
      <c r="B403" s="1" t="n">
        <v>11</v>
      </c>
      <c r="C403" s="1" t="n">
        <v>10</v>
      </c>
      <c r="D403" s="16" t="n">
        <f aca="false">IF('Boletins Nuppa Site'!G403&lt;&gt;0,'Boletins Nuppa Site'!G403,"NULL")</f>
        <v>120</v>
      </c>
      <c r="E403" s="16" t="n">
        <f aca="false">IF('Boletins Nuppa Site'!H403&lt;&gt;0,'Boletins Nuppa Site'!H403,"NULL")</f>
        <v>120</v>
      </c>
      <c r="F403" s="16" t="n">
        <f aca="false">IF('Boletins Nuppa Site'!I403&lt;&gt;0,'Boletins Nuppa Site'!I403,"NULL")</f>
        <v>120</v>
      </c>
      <c r="G403" s="16" t="n">
        <f aca="false">IF('Boletins Nuppa Site'!J403&lt;&gt;0,'Boletins Nuppa Site'!J403,"NULL")</f>
        <v>120</v>
      </c>
      <c r="H403" s="16" t="n">
        <f aca="false">IF('Boletins Nuppa Site'!K403&lt;&gt;0,'Boletins Nuppa Site'!K403,"NULL")</f>
        <v>120</v>
      </c>
      <c r="J403" s="1" t="str">
        <f aca="false">"INSERT INTO COTACAO (blt_id, pap_id, cot_prc_comum, cot_prc_min, cot_prc_max, cot_prc_med, cot_prc_mediana) VALUES ("&amp;B403&amp;", "&amp;C403&amp;", "&amp;D403&amp;", "&amp;E403&amp;", "&amp;F403&amp;", "&amp;G403&amp;", "&amp;H403&amp;");"</f>
        <v>INSERT INTO COTACAO (blt_id, pap_id, cot_prc_comum, cot_prc_min, cot_prc_max, cot_prc_med, cot_prc_mediana) VALUES (11, 10, 120, 120, 120, 120, 120);</v>
      </c>
    </row>
    <row r="404" customFormat="false" ht="14.25" hidden="false" customHeight="false" outlineLevel="0" collapsed="false">
      <c r="A404" s="1" t="n">
        <v>403</v>
      </c>
      <c r="B404" s="1" t="n">
        <v>11</v>
      </c>
      <c r="C404" s="1" t="n">
        <v>11</v>
      </c>
      <c r="D404" s="1" t="str">
        <f aca="false">IF('Boletins Nuppa Site'!G404&lt;&gt;0,'Boletins Nuppa Site'!G404,"NULL")</f>
        <v>NULL</v>
      </c>
      <c r="E404" s="16" t="n">
        <f aca="false">IF('Boletins Nuppa Site'!H404&lt;&gt;0,'Boletins Nuppa Site'!H404,"NULL")</f>
        <v>30</v>
      </c>
      <c r="F404" s="16" t="n">
        <f aca="false">IF('Boletins Nuppa Site'!I404&lt;&gt;0,'Boletins Nuppa Site'!I404,"NULL")</f>
        <v>42</v>
      </c>
      <c r="G404" s="16" t="n">
        <f aca="false">IF('Boletins Nuppa Site'!J404&lt;&gt;0,'Boletins Nuppa Site'!J404,"NULL")</f>
        <v>36</v>
      </c>
      <c r="H404" s="16" t="n">
        <f aca="false">IF('Boletins Nuppa Site'!K404&lt;&gt;0,'Boletins Nuppa Site'!K404,"NULL")</f>
        <v>36</v>
      </c>
      <c r="J404" s="1" t="str">
        <f aca="false">"INSERT INTO COTACAO (blt_id, pap_id, cot_prc_comum, cot_prc_min, cot_prc_max, cot_prc_med, cot_prc_mediana) VALUES ("&amp;B404&amp;", "&amp;C404&amp;", "&amp;D404&amp;", "&amp;E404&amp;", "&amp;F404&amp;", "&amp;G404&amp;", "&amp;H404&amp;");"</f>
        <v>INSERT INTO COTACAO (blt_id, pap_id, cot_prc_comum, cot_prc_min, cot_prc_max, cot_prc_med, cot_prc_mediana) VALUES (11, 11, NULL, 30, 42, 36, 36);</v>
      </c>
    </row>
    <row r="405" customFormat="false" ht="14.25" hidden="false" customHeight="false" outlineLevel="0" collapsed="false">
      <c r="A405" s="1" t="n">
        <v>404</v>
      </c>
      <c r="B405" s="1" t="n">
        <v>11</v>
      </c>
      <c r="C405" s="1" t="n">
        <v>12</v>
      </c>
      <c r="D405" s="1" t="str">
        <f aca="false">IF('Boletins Nuppa Site'!G405&lt;&gt;0,'Boletins Nuppa Site'!G405,"NULL")</f>
        <v>NULL</v>
      </c>
      <c r="E405" s="16" t="n">
        <f aca="false">IF('Boletins Nuppa Site'!H405&lt;&gt;0,'Boletins Nuppa Site'!H405,"NULL")</f>
        <v>78</v>
      </c>
      <c r="F405" s="16" t="n">
        <f aca="false">IF('Boletins Nuppa Site'!I405&lt;&gt;0,'Boletins Nuppa Site'!I405,"NULL")</f>
        <v>96</v>
      </c>
      <c r="G405" s="16" t="n">
        <f aca="false">IF('Boletins Nuppa Site'!J405&lt;&gt;0,'Boletins Nuppa Site'!J405,"NULL")</f>
        <v>86</v>
      </c>
      <c r="H405" s="16" t="n">
        <f aca="false">IF('Boletins Nuppa Site'!K405&lt;&gt;0,'Boletins Nuppa Site'!K405,"NULL")</f>
        <v>84</v>
      </c>
      <c r="J405" s="1" t="str">
        <f aca="false">"INSERT INTO COTACAO (blt_id, pap_id, cot_prc_comum, cot_prc_min, cot_prc_max, cot_prc_med, cot_prc_mediana) VALUES ("&amp;B405&amp;", "&amp;C405&amp;", "&amp;D405&amp;", "&amp;E405&amp;", "&amp;F405&amp;", "&amp;G405&amp;", "&amp;H405&amp;");"</f>
        <v>INSERT INTO COTACAO (blt_id, pap_id, cot_prc_comum, cot_prc_min, cot_prc_max, cot_prc_med, cot_prc_mediana) VALUES (11, 12, NULL, 78, 96, 86, 84);</v>
      </c>
    </row>
    <row r="406" customFormat="false" ht="14.25" hidden="false" customHeight="false" outlineLevel="0" collapsed="false">
      <c r="A406" s="1" t="n">
        <v>405</v>
      </c>
      <c r="B406" s="1" t="n">
        <v>11</v>
      </c>
      <c r="C406" s="1" t="n">
        <v>13</v>
      </c>
      <c r="D406" s="1" t="str">
        <f aca="false">IF('Boletins Nuppa Site'!G406&lt;&gt;0,'Boletins Nuppa Site'!G406,"NULL")</f>
        <v>NULL</v>
      </c>
      <c r="E406" s="16" t="n">
        <f aca="false">IF('Boletins Nuppa Site'!H406&lt;&gt;0,'Boletins Nuppa Site'!H406,"NULL")</f>
        <v>60</v>
      </c>
      <c r="F406" s="16" t="n">
        <f aca="false">IF('Boletins Nuppa Site'!I406&lt;&gt;0,'Boletins Nuppa Site'!I406,"NULL")</f>
        <v>78</v>
      </c>
      <c r="G406" s="16" t="n">
        <f aca="false">IF('Boletins Nuppa Site'!J406&lt;&gt;0,'Boletins Nuppa Site'!J406,"NULL")</f>
        <v>70</v>
      </c>
      <c r="H406" s="16" t="n">
        <f aca="false">IF('Boletins Nuppa Site'!K406&lt;&gt;0,'Boletins Nuppa Site'!K406,"NULL")</f>
        <v>72</v>
      </c>
      <c r="J406" s="1" t="str">
        <f aca="false">"INSERT INTO COTACAO (blt_id, pap_id, cot_prc_comum, cot_prc_min, cot_prc_max, cot_prc_med, cot_prc_mediana) VALUES ("&amp;B406&amp;", "&amp;C406&amp;", "&amp;D406&amp;", "&amp;E406&amp;", "&amp;F406&amp;", "&amp;G406&amp;", "&amp;H406&amp;");"</f>
        <v>INSERT INTO COTACAO (blt_id, pap_id, cot_prc_comum, cot_prc_min, cot_prc_max, cot_prc_med, cot_prc_mediana) VALUES (11, 13, NULL, 60, 78, 70, 72);</v>
      </c>
    </row>
    <row r="407" customFormat="false" ht="14.25" hidden="false" customHeight="false" outlineLevel="0" collapsed="false">
      <c r="A407" s="1" t="n">
        <v>406</v>
      </c>
      <c r="B407" s="1" t="n">
        <v>11</v>
      </c>
      <c r="C407" s="1" t="n">
        <v>14</v>
      </c>
      <c r="D407" s="1" t="str">
        <f aca="false">IF('Boletins Nuppa Site'!G407&lt;&gt;0,'Boletins Nuppa Site'!G407,"NULL")</f>
        <v>NULL</v>
      </c>
      <c r="E407" s="16" t="n">
        <f aca="false">IF('Boletins Nuppa Site'!H407&lt;&gt;0,'Boletins Nuppa Site'!H407,"NULL")</f>
        <v>60</v>
      </c>
      <c r="F407" s="16" t="n">
        <f aca="false">IF('Boletins Nuppa Site'!I407&lt;&gt;0,'Boletins Nuppa Site'!I407,"NULL")</f>
        <v>120</v>
      </c>
      <c r="G407" s="1" t="str">
        <f aca="false">IF('Boletins Nuppa Site'!J407&lt;&gt;0,'Boletins Nuppa Site'!J407,"NULL")</f>
        <v>81.8</v>
      </c>
      <c r="H407" s="16" t="n">
        <f aca="false">IF('Boletins Nuppa Site'!K407&lt;&gt;0,'Boletins Nuppa Site'!K407,"NULL")</f>
        <v>75</v>
      </c>
      <c r="J407" s="1" t="str">
        <f aca="false">"INSERT INTO COTACAO (blt_id, pap_id, cot_prc_comum, cot_prc_min, cot_prc_max, cot_prc_med, cot_prc_mediana) VALUES ("&amp;B407&amp;", "&amp;C407&amp;", "&amp;D407&amp;", "&amp;E407&amp;", "&amp;F407&amp;", "&amp;G407&amp;", "&amp;H407&amp;");"</f>
        <v>INSERT INTO COTACAO (blt_id, pap_id, cot_prc_comum, cot_prc_min, cot_prc_max, cot_prc_med, cot_prc_mediana) VALUES (11, 14, NULL, 60, 120, 81.8, 75);</v>
      </c>
    </row>
    <row r="408" customFormat="false" ht="14.25" hidden="false" customHeight="false" outlineLevel="0" collapsed="false">
      <c r="A408" s="1" t="n">
        <v>407</v>
      </c>
      <c r="B408" s="1" t="n">
        <v>11</v>
      </c>
      <c r="C408" s="1" t="n">
        <v>15</v>
      </c>
      <c r="D408" s="16" t="n">
        <f aca="false">IF('Boletins Nuppa Site'!G408&lt;&gt;0,'Boletins Nuppa Site'!G408,"NULL")</f>
        <v>60</v>
      </c>
      <c r="E408" s="16" t="n">
        <f aca="false">IF('Boletins Nuppa Site'!H408&lt;&gt;0,'Boletins Nuppa Site'!H408,"NULL")</f>
        <v>50</v>
      </c>
      <c r="F408" s="16" t="n">
        <f aca="false">IF('Boletins Nuppa Site'!I408&lt;&gt;0,'Boletins Nuppa Site'!I408,"NULL")</f>
        <v>84</v>
      </c>
      <c r="G408" s="1" t="str">
        <f aca="false">IF('Boletins Nuppa Site'!J408&lt;&gt;0,'Boletins Nuppa Site'!J408,"NULL")</f>
        <v>62.33</v>
      </c>
      <c r="H408" s="16" t="n">
        <f aca="false">IF('Boletins Nuppa Site'!K408&lt;&gt;0,'Boletins Nuppa Site'!K408,"NULL")</f>
        <v>60</v>
      </c>
      <c r="J408" s="1" t="str">
        <f aca="false">"INSERT INTO COTACAO (blt_id, pap_id, cot_prc_comum, cot_prc_min, cot_prc_max, cot_prc_med, cot_prc_mediana) VALUES ("&amp;B408&amp;", "&amp;C408&amp;", "&amp;D408&amp;", "&amp;E408&amp;", "&amp;F408&amp;", "&amp;G408&amp;", "&amp;H408&amp;");"</f>
        <v>INSERT INTO COTACAO (blt_id, pap_id, cot_prc_comum, cot_prc_min, cot_prc_max, cot_prc_med, cot_prc_mediana) VALUES (11, 15, 60, 50, 84, 62.33, 60);</v>
      </c>
    </row>
    <row r="409" customFormat="false" ht="14.25" hidden="false" customHeight="false" outlineLevel="0" collapsed="false">
      <c r="A409" s="1" t="n">
        <v>408</v>
      </c>
      <c r="B409" s="1" t="n">
        <v>11</v>
      </c>
      <c r="C409" s="1" t="n">
        <v>16</v>
      </c>
      <c r="D409" s="16" t="n">
        <f aca="false">IF('Boletins Nuppa Site'!G409&lt;&gt;0,'Boletins Nuppa Site'!G409,"NULL")</f>
        <v>54</v>
      </c>
      <c r="E409" s="16" t="n">
        <f aca="false">IF('Boletins Nuppa Site'!H409&lt;&gt;0,'Boletins Nuppa Site'!H409,"NULL")</f>
        <v>48</v>
      </c>
      <c r="F409" s="16" t="n">
        <f aca="false">IF('Boletins Nuppa Site'!I409&lt;&gt;0,'Boletins Nuppa Site'!I409,"NULL")</f>
        <v>54</v>
      </c>
      <c r="G409" s="16" t="n">
        <f aca="false">IF('Boletins Nuppa Site'!J409&lt;&gt;0,'Boletins Nuppa Site'!J409,"NULL")</f>
        <v>52</v>
      </c>
      <c r="H409" s="16" t="n">
        <f aca="false">IF('Boletins Nuppa Site'!K409&lt;&gt;0,'Boletins Nuppa Site'!K409,"NULL")</f>
        <v>54</v>
      </c>
      <c r="J409" s="1" t="str">
        <f aca="false">"INSERT INTO COTACAO (blt_id, pap_id, cot_prc_comum, cot_prc_min, cot_prc_max, cot_prc_med, cot_prc_mediana) VALUES ("&amp;B409&amp;", "&amp;C409&amp;", "&amp;D409&amp;", "&amp;E409&amp;", "&amp;F409&amp;", "&amp;G409&amp;", "&amp;H409&amp;");"</f>
        <v>INSERT INTO COTACAO (blt_id, pap_id, cot_prc_comum, cot_prc_min, cot_prc_max, cot_prc_med, cot_prc_mediana) VALUES (11, 16, 54, 48, 54, 52, 54);</v>
      </c>
    </row>
    <row r="410" customFormat="false" ht="14.25" hidden="false" customHeight="false" outlineLevel="0" collapsed="false">
      <c r="A410" s="1" t="n">
        <v>409</v>
      </c>
      <c r="B410" s="1" t="n">
        <v>11</v>
      </c>
      <c r="C410" s="1" t="n">
        <v>17</v>
      </c>
      <c r="D410" s="1" t="str">
        <f aca="false">IF('Boletins Nuppa Site'!G410&lt;&gt;0,'Boletins Nuppa Site'!G410,"NULL")</f>
        <v>NULL</v>
      </c>
      <c r="E410" s="1" t="str">
        <f aca="false">IF('Boletins Nuppa Site'!H410&lt;&gt;0,'Boletins Nuppa Site'!H410,"NULL")</f>
        <v>4.5</v>
      </c>
      <c r="F410" s="16" t="n">
        <f aca="false">IF('Boletins Nuppa Site'!I410&lt;&gt;0,'Boletins Nuppa Site'!I410,"NULL")</f>
        <v>5</v>
      </c>
      <c r="G410" s="1" t="str">
        <f aca="false">IF('Boletins Nuppa Site'!J410&lt;&gt;0,'Boletins Nuppa Site'!J410,"NULL")</f>
        <v>4.75</v>
      </c>
      <c r="H410" s="1" t="str">
        <f aca="false">IF('Boletins Nuppa Site'!K410&lt;&gt;0,'Boletins Nuppa Site'!K410,"NULL")</f>
        <v>4.75</v>
      </c>
      <c r="J410" s="1" t="str">
        <f aca="false">"INSERT INTO COTACAO (blt_id, pap_id, cot_prc_comum, cot_prc_min, cot_prc_max, cot_prc_med, cot_prc_mediana) VALUES ("&amp;B410&amp;", "&amp;C410&amp;", "&amp;D410&amp;", "&amp;E410&amp;", "&amp;F410&amp;", "&amp;G410&amp;", "&amp;H410&amp;");"</f>
        <v>INSERT INTO COTACAO (blt_id, pap_id, cot_prc_comum, cot_prc_min, cot_prc_max, cot_prc_med, cot_prc_mediana) VALUES (11, 17, NULL, 4.5, 5, 4.75, 4.75);</v>
      </c>
    </row>
    <row r="411" customFormat="false" ht="14.25" hidden="false" customHeight="false" outlineLevel="0" collapsed="false">
      <c r="A411" s="1" t="n">
        <v>410</v>
      </c>
      <c r="B411" s="1" t="n">
        <v>11</v>
      </c>
      <c r="C411" s="1" t="n">
        <v>18</v>
      </c>
      <c r="D411" s="1" t="str">
        <f aca="false">IF('Boletins Nuppa Site'!G411&lt;&gt;0,'Boletins Nuppa Site'!G411,"NULL")</f>
        <v>NULL</v>
      </c>
      <c r="E411" s="16" t="n">
        <f aca="false">IF('Boletins Nuppa Site'!H411&lt;&gt;0,'Boletins Nuppa Site'!H411,"NULL")</f>
        <v>25</v>
      </c>
      <c r="F411" s="16" t="n">
        <f aca="false">IF('Boletins Nuppa Site'!I411&lt;&gt;0,'Boletins Nuppa Site'!I411,"NULL")</f>
        <v>40</v>
      </c>
      <c r="G411" s="1" t="str">
        <f aca="false">IF('Boletins Nuppa Site'!J411&lt;&gt;0,'Boletins Nuppa Site'!J411,"NULL")</f>
        <v>32.5</v>
      </c>
      <c r="H411" s="1" t="str">
        <f aca="false">IF('Boletins Nuppa Site'!K411&lt;&gt;0,'Boletins Nuppa Site'!K411,"NULL")</f>
        <v>32.5</v>
      </c>
      <c r="J411" s="1" t="str">
        <f aca="false">"INSERT INTO COTACAO (blt_id, pap_id, cot_prc_comum, cot_prc_min, cot_prc_max, cot_prc_med, cot_prc_mediana) VALUES ("&amp;B411&amp;", "&amp;C411&amp;", "&amp;D411&amp;", "&amp;E411&amp;", "&amp;F411&amp;", "&amp;G411&amp;", "&amp;H411&amp;");"</f>
        <v>INSERT INTO COTACAO (blt_id, pap_id, cot_prc_comum, cot_prc_min, cot_prc_max, cot_prc_med, cot_prc_mediana) VALUES (11, 18, NULL, 25, 40, 32.5, 32.5);</v>
      </c>
    </row>
    <row r="412" customFormat="false" ht="14.25" hidden="false" customHeight="false" outlineLevel="0" collapsed="false">
      <c r="A412" s="1" t="n">
        <v>411</v>
      </c>
      <c r="B412" s="1" t="n">
        <v>11</v>
      </c>
      <c r="C412" s="1" t="n">
        <v>19</v>
      </c>
      <c r="D412" s="1" t="str">
        <f aca="false">IF('Boletins Nuppa Site'!G412&lt;&gt;0,'Boletins Nuppa Site'!G412,"NULL")</f>
        <v>NULL</v>
      </c>
      <c r="E412" s="16" t="n">
        <f aca="false">IF('Boletins Nuppa Site'!H412&lt;&gt;0,'Boletins Nuppa Site'!H412,"NULL")</f>
        <v>40</v>
      </c>
      <c r="F412" s="16" t="n">
        <f aca="false">IF('Boletins Nuppa Site'!I412&lt;&gt;0,'Boletins Nuppa Site'!I412,"NULL")</f>
        <v>45</v>
      </c>
      <c r="G412" s="1" t="str">
        <f aca="false">IF('Boletins Nuppa Site'!J412&lt;&gt;0,'Boletins Nuppa Site'!J412,"NULL")</f>
        <v>42.5</v>
      </c>
      <c r="H412" s="1" t="str">
        <f aca="false">IF('Boletins Nuppa Site'!K412&lt;&gt;0,'Boletins Nuppa Site'!K412,"NULL")</f>
        <v>42.5</v>
      </c>
      <c r="J412" s="1" t="str">
        <f aca="false">"INSERT INTO COTACAO (blt_id, pap_id, cot_prc_comum, cot_prc_min, cot_prc_max, cot_prc_med, cot_prc_mediana) VALUES ("&amp;B412&amp;", "&amp;C412&amp;", "&amp;D412&amp;", "&amp;E412&amp;", "&amp;F412&amp;", "&amp;G412&amp;", "&amp;H412&amp;");"</f>
        <v>INSERT INTO COTACAO (blt_id, pap_id, cot_prc_comum, cot_prc_min, cot_prc_max, cot_prc_med, cot_prc_mediana) VALUES (11, 19, NULL, 40, 45, 42.5, 42.5);</v>
      </c>
    </row>
    <row r="413" customFormat="false" ht="14.25" hidden="false" customHeight="false" outlineLevel="0" collapsed="false">
      <c r="A413" s="1" t="n">
        <v>412</v>
      </c>
      <c r="B413" s="1" t="n">
        <v>11</v>
      </c>
      <c r="C413" s="1" t="n">
        <v>20</v>
      </c>
      <c r="D413" s="16" t="n">
        <f aca="false">IF('Boletins Nuppa Site'!G413&lt;&gt;0,'Boletins Nuppa Site'!G413,"NULL")</f>
        <v>120</v>
      </c>
      <c r="E413" s="16" t="n">
        <f aca="false">IF('Boletins Nuppa Site'!H413&lt;&gt;0,'Boletins Nuppa Site'!H413,"NULL")</f>
        <v>110</v>
      </c>
      <c r="F413" s="16" t="n">
        <f aca="false">IF('Boletins Nuppa Site'!I413&lt;&gt;0,'Boletins Nuppa Site'!I413,"NULL")</f>
        <v>120</v>
      </c>
      <c r="G413" s="1" t="str">
        <f aca="false">IF('Boletins Nuppa Site'!J413&lt;&gt;0,'Boletins Nuppa Site'!J413,"NULL")</f>
        <v>115.83</v>
      </c>
      <c r="H413" s="1" t="str">
        <f aca="false">IF('Boletins Nuppa Site'!K413&lt;&gt;0,'Boletins Nuppa Site'!K413,"NULL")</f>
        <v>117.5</v>
      </c>
      <c r="J413" s="1" t="str">
        <f aca="false">"INSERT INTO COTACAO (blt_id, pap_id, cot_prc_comum, cot_prc_min, cot_prc_max, cot_prc_med, cot_prc_mediana) VALUES ("&amp;B413&amp;", "&amp;C413&amp;", "&amp;D413&amp;", "&amp;E413&amp;", "&amp;F413&amp;", "&amp;G413&amp;", "&amp;H413&amp;");"</f>
        <v>INSERT INTO COTACAO (blt_id, pap_id, cot_prc_comum, cot_prc_min, cot_prc_max, cot_prc_med, cot_prc_mediana) VALUES (11, 20, 120, 110, 120, 115.83, 117.5);</v>
      </c>
    </row>
    <row r="414" customFormat="false" ht="14.25" hidden="false" customHeight="false" outlineLevel="0" collapsed="false">
      <c r="A414" s="1" t="n">
        <v>413</v>
      </c>
      <c r="B414" s="1" t="n">
        <v>11</v>
      </c>
      <c r="C414" s="1" t="n">
        <v>21</v>
      </c>
      <c r="D414" s="16" t="n">
        <f aca="false">IF('Boletins Nuppa Site'!G414&lt;&gt;0,'Boletins Nuppa Site'!G414,"NULL")</f>
        <v>90</v>
      </c>
      <c r="E414" s="16" t="n">
        <f aca="false">IF('Boletins Nuppa Site'!H414&lt;&gt;0,'Boletins Nuppa Site'!H414,"NULL")</f>
        <v>70</v>
      </c>
      <c r="F414" s="16" t="n">
        <f aca="false">IF('Boletins Nuppa Site'!I414&lt;&gt;0,'Boletins Nuppa Site'!I414,"NULL")</f>
        <v>100</v>
      </c>
      <c r="G414" s="1" t="str">
        <f aca="false">IF('Boletins Nuppa Site'!J414&lt;&gt;0,'Boletins Nuppa Site'!J414,"NULL")</f>
        <v>86.88</v>
      </c>
      <c r="H414" s="16" t="n">
        <f aca="false">IF('Boletins Nuppa Site'!K414&lt;&gt;0,'Boletins Nuppa Site'!K414,"NULL")</f>
        <v>90</v>
      </c>
      <c r="J414" s="1" t="str">
        <f aca="false">"INSERT INTO COTACAO (blt_id, pap_id, cot_prc_comum, cot_prc_min, cot_prc_max, cot_prc_med, cot_prc_mediana) VALUES ("&amp;B414&amp;", "&amp;C414&amp;", "&amp;D414&amp;", "&amp;E414&amp;", "&amp;F414&amp;", "&amp;G414&amp;", "&amp;H414&amp;");"</f>
        <v>INSERT INTO COTACAO (blt_id, pap_id, cot_prc_comum, cot_prc_min, cot_prc_max, cot_prc_med, cot_prc_mediana) VALUES (11, 21, 90, 70, 100, 86.88, 90);</v>
      </c>
    </row>
    <row r="415" customFormat="false" ht="14.25" hidden="false" customHeight="false" outlineLevel="0" collapsed="false">
      <c r="A415" s="1" t="n">
        <v>414</v>
      </c>
      <c r="B415" s="1" t="n">
        <v>11</v>
      </c>
      <c r="C415" s="1" t="n">
        <v>22</v>
      </c>
      <c r="D415" s="16" t="n">
        <f aca="false">IF('Boletins Nuppa Site'!G415&lt;&gt;0,'Boletins Nuppa Site'!G415,"NULL")</f>
        <v>50</v>
      </c>
      <c r="E415" s="16" t="n">
        <f aca="false">IF('Boletins Nuppa Site'!H415&lt;&gt;0,'Boletins Nuppa Site'!H415,"NULL")</f>
        <v>50</v>
      </c>
      <c r="F415" s="16" t="n">
        <f aca="false">IF('Boletins Nuppa Site'!I415&lt;&gt;0,'Boletins Nuppa Site'!I415,"NULL")</f>
        <v>80</v>
      </c>
      <c r="G415" s="1" t="str">
        <f aca="false">IF('Boletins Nuppa Site'!J415&lt;&gt;0,'Boletins Nuppa Site'!J415,"NULL")</f>
        <v>68.57</v>
      </c>
      <c r="H415" s="16" t="n">
        <f aca="false">IF('Boletins Nuppa Site'!K415&lt;&gt;0,'Boletins Nuppa Site'!K415,"NULL")</f>
        <v>75</v>
      </c>
      <c r="J415" s="1" t="str">
        <f aca="false">"INSERT INTO COTACAO (blt_id, pap_id, cot_prc_comum, cot_prc_min, cot_prc_max, cot_prc_med, cot_prc_mediana) VALUES ("&amp;B415&amp;", "&amp;C415&amp;", "&amp;D415&amp;", "&amp;E415&amp;", "&amp;F415&amp;", "&amp;G415&amp;", "&amp;H415&amp;");"</f>
        <v>INSERT INTO COTACAO (blt_id, pap_id, cot_prc_comum, cot_prc_min, cot_prc_max, cot_prc_med, cot_prc_mediana) VALUES (11, 22, 50, 50, 80, 68.57, 75);</v>
      </c>
    </row>
    <row r="416" customFormat="false" ht="14.25" hidden="false" customHeight="false" outlineLevel="0" collapsed="false">
      <c r="A416" s="1" t="n">
        <v>415</v>
      </c>
      <c r="B416" s="1" t="n">
        <v>11</v>
      </c>
      <c r="C416" s="1" t="n">
        <v>23</v>
      </c>
      <c r="D416" s="16" t="n">
        <f aca="false">IF('Boletins Nuppa Site'!G416&lt;&gt;0,'Boletins Nuppa Site'!G416,"NULL")</f>
        <v>50</v>
      </c>
      <c r="E416" s="16" t="n">
        <f aca="false">IF('Boletins Nuppa Site'!H416&lt;&gt;0,'Boletins Nuppa Site'!H416,"NULL")</f>
        <v>35</v>
      </c>
      <c r="F416" s="16" t="n">
        <f aca="false">IF('Boletins Nuppa Site'!I416&lt;&gt;0,'Boletins Nuppa Site'!I416,"NULL")</f>
        <v>60</v>
      </c>
      <c r="G416" s="16" t="n">
        <f aca="false">IF('Boletins Nuppa Site'!J416&lt;&gt;0,'Boletins Nuppa Site'!J416,"NULL")</f>
        <v>45</v>
      </c>
      <c r="H416" s="16" t="n">
        <f aca="false">IF('Boletins Nuppa Site'!K416&lt;&gt;0,'Boletins Nuppa Site'!K416,"NULL")</f>
        <v>45</v>
      </c>
      <c r="J416" s="1" t="str">
        <f aca="false">"INSERT INTO COTACAO (blt_id, pap_id, cot_prc_comum, cot_prc_min, cot_prc_max, cot_prc_med, cot_prc_mediana) VALUES ("&amp;B416&amp;", "&amp;C416&amp;", "&amp;D416&amp;", "&amp;E416&amp;", "&amp;F416&amp;", "&amp;G416&amp;", "&amp;H416&amp;");"</f>
        <v>INSERT INTO COTACAO (blt_id, pap_id, cot_prc_comum, cot_prc_min, cot_prc_max, cot_prc_med, cot_prc_mediana) VALUES (11, 23, 50, 35, 60, 45, 45);</v>
      </c>
    </row>
    <row r="417" customFormat="false" ht="14.25" hidden="false" customHeight="false" outlineLevel="0" collapsed="false">
      <c r="A417" s="1" t="n">
        <v>416</v>
      </c>
      <c r="B417" s="1" t="n">
        <v>11</v>
      </c>
      <c r="C417" s="1" t="n">
        <v>24</v>
      </c>
      <c r="D417" s="1" t="str">
        <f aca="false">IF('Boletins Nuppa Site'!G417&lt;&gt;0,'Boletins Nuppa Site'!G417,"NULL")</f>
        <v>NULL</v>
      </c>
      <c r="E417" s="16" t="n">
        <f aca="false">IF('Boletins Nuppa Site'!H417&lt;&gt;0,'Boletins Nuppa Site'!H417,"NULL")</f>
        <v>65</v>
      </c>
      <c r="F417" s="16" t="n">
        <f aca="false">IF('Boletins Nuppa Site'!I417&lt;&gt;0,'Boletins Nuppa Site'!I417,"NULL")</f>
        <v>120</v>
      </c>
      <c r="G417" s="16" t="n">
        <f aca="false">IF('Boletins Nuppa Site'!J417&lt;&gt;0,'Boletins Nuppa Site'!J417,"NULL")</f>
        <v>95</v>
      </c>
      <c r="H417" s="16" t="n">
        <f aca="false">IF('Boletins Nuppa Site'!K417&lt;&gt;0,'Boletins Nuppa Site'!K417,"NULL")</f>
        <v>100</v>
      </c>
      <c r="J417" s="1" t="str">
        <f aca="false">"INSERT INTO COTACAO (blt_id, pap_id, cot_prc_comum, cot_prc_min, cot_prc_max, cot_prc_med, cot_prc_mediana) VALUES ("&amp;B417&amp;", "&amp;C417&amp;", "&amp;D417&amp;", "&amp;E417&amp;", "&amp;F417&amp;", "&amp;G417&amp;", "&amp;H417&amp;");"</f>
        <v>INSERT INTO COTACAO (blt_id, pap_id, cot_prc_comum, cot_prc_min, cot_prc_max, cot_prc_med, cot_prc_mediana) VALUES (11, 24, NULL, 65, 120, 95, 100);</v>
      </c>
    </row>
    <row r="418" customFormat="false" ht="14.25" hidden="false" customHeight="false" outlineLevel="0" collapsed="false">
      <c r="A418" s="1" t="n">
        <v>417</v>
      </c>
      <c r="B418" s="1" t="n">
        <v>11</v>
      </c>
      <c r="C418" s="1" t="n">
        <v>25</v>
      </c>
      <c r="D418" s="16" t="n">
        <f aca="false">IF('Boletins Nuppa Site'!G418&lt;&gt;0,'Boletins Nuppa Site'!G418,"NULL")</f>
        <v>100</v>
      </c>
      <c r="E418" s="16" t="n">
        <f aca="false">IF('Boletins Nuppa Site'!H418&lt;&gt;0,'Boletins Nuppa Site'!H418,"NULL")</f>
        <v>80</v>
      </c>
      <c r="F418" s="16" t="n">
        <f aca="false">IF('Boletins Nuppa Site'!I418&lt;&gt;0,'Boletins Nuppa Site'!I418,"NULL")</f>
        <v>130</v>
      </c>
      <c r="G418" s="16" t="n">
        <f aca="false">IF('Boletins Nuppa Site'!J418&lt;&gt;0,'Boletins Nuppa Site'!J418,"NULL")</f>
        <v>110</v>
      </c>
      <c r="H418" s="16" t="n">
        <f aca="false">IF('Boletins Nuppa Site'!K418&lt;&gt;0,'Boletins Nuppa Site'!K418,"NULL")</f>
        <v>110</v>
      </c>
      <c r="J418" s="1" t="str">
        <f aca="false">"INSERT INTO COTACAO (blt_id, pap_id, cot_prc_comum, cot_prc_min, cot_prc_max, cot_prc_med, cot_prc_mediana) VALUES ("&amp;B418&amp;", "&amp;C418&amp;", "&amp;D418&amp;", "&amp;E418&amp;", "&amp;F418&amp;", "&amp;G418&amp;", "&amp;H418&amp;");"</f>
        <v>INSERT INTO COTACAO (blt_id, pap_id, cot_prc_comum, cot_prc_min, cot_prc_max, cot_prc_med, cot_prc_mediana) VALUES (11, 25, 100, 80, 130, 110, 110);</v>
      </c>
    </row>
    <row r="419" customFormat="false" ht="14.25" hidden="false" customHeight="false" outlineLevel="0" collapsed="false">
      <c r="A419" s="1" t="n">
        <v>418</v>
      </c>
      <c r="B419" s="1" t="n">
        <v>11</v>
      </c>
      <c r="C419" s="1" t="n">
        <v>26</v>
      </c>
      <c r="D419" s="16" t="n">
        <f aca="false">IF('Boletins Nuppa Site'!G419&lt;&gt;0,'Boletins Nuppa Site'!G419,"NULL")</f>
        <v>80</v>
      </c>
      <c r="E419" s="16" t="n">
        <f aca="false">IF('Boletins Nuppa Site'!H419&lt;&gt;0,'Boletins Nuppa Site'!H419,"NULL")</f>
        <v>80</v>
      </c>
      <c r="F419" s="16" t="n">
        <f aca="false">IF('Boletins Nuppa Site'!I419&lt;&gt;0,'Boletins Nuppa Site'!I419,"NULL")</f>
        <v>150</v>
      </c>
      <c r="G419" s="1" t="str">
        <f aca="false">IF('Boletins Nuppa Site'!J419&lt;&gt;0,'Boletins Nuppa Site'!J419,"NULL")</f>
        <v>117.86</v>
      </c>
      <c r="H419" s="16" t="n">
        <f aca="false">IF('Boletins Nuppa Site'!K419&lt;&gt;0,'Boletins Nuppa Site'!K419,"NULL")</f>
        <v>120</v>
      </c>
      <c r="J419" s="1" t="str">
        <f aca="false">"INSERT INTO COTACAO (blt_id, pap_id, cot_prc_comum, cot_prc_min, cot_prc_max, cot_prc_med, cot_prc_mediana) VALUES ("&amp;B419&amp;", "&amp;C419&amp;", "&amp;D419&amp;", "&amp;E419&amp;", "&amp;F419&amp;", "&amp;G419&amp;", "&amp;H419&amp;");"</f>
        <v>INSERT INTO COTACAO (blt_id, pap_id, cot_prc_comum, cot_prc_min, cot_prc_max, cot_prc_med, cot_prc_mediana) VALUES (11, 26, 80, 80, 150, 117.86, 120);</v>
      </c>
    </row>
    <row r="420" customFormat="false" ht="14.25" hidden="false" customHeight="false" outlineLevel="0" collapsed="false">
      <c r="A420" s="1" t="n">
        <v>419</v>
      </c>
      <c r="B420" s="1" t="n">
        <v>11</v>
      </c>
      <c r="C420" s="1" t="n">
        <v>27</v>
      </c>
      <c r="D420" s="16" t="n">
        <f aca="false">IF('Boletins Nuppa Site'!G420&lt;&gt;0,'Boletins Nuppa Site'!G420,"NULL")</f>
        <v>60</v>
      </c>
      <c r="E420" s="16" t="n">
        <f aca="false">IF('Boletins Nuppa Site'!H420&lt;&gt;0,'Boletins Nuppa Site'!H420,"NULL")</f>
        <v>50</v>
      </c>
      <c r="F420" s="16" t="n">
        <f aca="false">IF('Boletins Nuppa Site'!I420&lt;&gt;0,'Boletins Nuppa Site'!I420,"NULL")</f>
        <v>70</v>
      </c>
      <c r="G420" s="16" t="n">
        <f aca="false">IF('Boletins Nuppa Site'!J420&lt;&gt;0,'Boletins Nuppa Site'!J420,"NULL")</f>
        <v>60</v>
      </c>
      <c r="H420" s="16" t="n">
        <f aca="false">IF('Boletins Nuppa Site'!K420&lt;&gt;0,'Boletins Nuppa Site'!K420,"NULL")</f>
        <v>60</v>
      </c>
      <c r="J420" s="1" t="str">
        <f aca="false">"INSERT INTO COTACAO (blt_id, pap_id, cot_prc_comum, cot_prc_min, cot_prc_max, cot_prc_med, cot_prc_mediana) VALUES ("&amp;B420&amp;", "&amp;C420&amp;", "&amp;D420&amp;", "&amp;E420&amp;", "&amp;F420&amp;", "&amp;G420&amp;", "&amp;H420&amp;");"</f>
        <v>INSERT INTO COTACAO (blt_id, pap_id, cot_prc_comum, cot_prc_min, cot_prc_max, cot_prc_med, cot_prc_mediana) VALUES (11, 27, 60, 50, 70, 60, 60);</v>
      </c>
    </row>
    <row r="421" customFormat="false" ht="14.25" hidden="false" customHeight="false" outlineLevel="0" collapsed="false">
      <c r="A421" s="1" t="n">
        <v>420</v>
      </c>
      <c r="B421" s="1" t="n">
        <v>11</v>
      </c>
      <c r="C421" s="1" t="n">
        <v>28</v>
      </c>
      <c r="D421" s="16" t="n">
        <f aca="false">IF('Boletins Nuppa Site'!G421&lt;&gt;0,'Boletins Nuppa Site'!G421,"NULL")</f>
        <v>100</v>
      </c>
      <c r="E421" s="16" t="n">
        <f aca="false">IF('Boletins Nuppa Site'!H421&lt;&gt;0,'Boletins Nuppa Site'!H421,"NULL")</f>
        <v>80</v>
      </c>
      <c r="F421" s="16" t="n">
        <f aca="false">IF('Boletins Nuppa Site'!I421&lt;&gt;0,'Boletins Nuppa Site'!I421,"NULL")</f>
        <v>100</v>
      </c>
      <c r="G421" s="16" t="n">
        <f aca="false">IF('Boletins Nuppa Site'!J421&lt;&gt;0,'Boletins Nuppa Site'!J421,"NULL")</f>
        <v>94</v>
      </c>
      <c r="H421" s="16" t="n">
        <f aca="false">IF('Boletins Nuppa Site'!K421&lt;&gt;0,'Boletins Nuppa Site'!K421,"NULL")</f>
        <v>100</v>
      </c>
      <c r="J421" s="1" t="str">
        <f aca="false">"INSERT INTO COTACAO (blt_id, pap_id, cot_prc_comum, cot_prc_min, cot_prc_max, cot_prc_med, cot_prc_mediana) VALUES ("&amp;B421&amp;", "&amp;C421&amp;", "&amp;D421&amp;", "&amp;E421&amp;", "&amp;F421&amp;", "&amp;G421&amp;", "&amp;H421&amp;");"</f>
        <v>INSERT INTO COTACAO (blt_id, pap_id, cot_prc_comum, cot_prc_min, cot_prc_max, cot_prc_med, cot_prc_mediana) VALUES (11, 28, 100, 80, 100, 94, 100);</v>
      </c>
    </row>
    <row r="422" customFormat="false" ht="14.25" hidden="false" customHeight="false" outlineLevel="0" collapsed="false">
      <c r="A422" s="1" t="n">
        <v>421</v>
      </c>
      <c r="B422" s="1" t="n">
        <v>11</v>
      </c>
      <c r="C422" s="1" t="n">
        <v>29</v>
      </c>
      <c r="D422" s="1" t="str">
        <f aca="false">IF('Boletins Nuppa Site'!G422&lt;&gt;0,'Boletins Nuppa Site'!G422,"NULL")</f>
        <v>NULL</v>
      </c>
      <c r="E422" s="16" t="n">
        <f aca="false">IF('Boletins Nuppa Site'!H422&lt;&gt;0,'Boletins Nuppa Site'!H422,"NULL")</f>
        <v>60</v>
      </c>
      <c r="F422" s="16" t="n">
        <f aca="false">IF('Boletins Nuppa Site'!I422&lt;&gt;0,'Boletins Nuppa Site'!I422,"NULL")</f>
        <v>75</v>
      </c>
      <c r="G422" s="1" t="str">
        <f aca="false">IF('Boletins Nuppa Site'!J422&lt;&gt;0,'Boletins Nuppa Site'!J422,"NULL")</f>
        <v>67.5</v>
      </c>
      <c r="H422" s="1" t="str">
        <f aca="false">IF('Boletins Nuppa Site'!K422&lt;&gt;0,'Boletins Nuppa Site'!K422,"NULL")</f>
        <v>67.5</v>
      </c>
      <c r="J422" s="1" t="str">
        <f aca="false">"INSERT INTO COTACAO (blt_id, pap_id, cot_prc_comum, cot_prc_min, cot_prc_max, cot_prc_med, cot_prc_mediana) VALUES ("&amp;B422&amp;", "&amp;C422&amp;", "&amp;D422&amp;", "&amp;E422&amp;", "&amp;F422&amp;", "&amp;G422&amp;", "&amp;H422&amp;");"</f>
        <v>INSERT INTO COTACAO (blt_id, pap_id, cot_prc_comum, cot_prc_min, cot_prc_max, cot_prc_med, cot_prc_mediana) VALUES (11, 29, NULL, 60, 75, 67.5, 67.5);</v>
      </c>
    </row>
    <row r="423" customFormat="false" ht="14.25" hidden="false" customHeight="false" outlineLevel="0" collapsed="false">
      <c r="A423" s="1" t="n">
        <v>422</v>
      </c>
      <c r="B423" s="1" t="n">
        <v>11</v>
      </c>
      <c r="C423" s="1" t="n">
        <v>30</v>
      </c>
      <c r="D423" s="16" t="n">
        <f aca="false">IF('Boletins Nuppa Site'!G423&lt;&gt;0,'Boletins Nuppa Site'!G423,"NULL")</f>
        <v>80</v>
      </c>
      <c r="E423" s="16" t="n">
        <f aca="false">IF('Boletins Nuppa Site'!H423&lt;&gt;0,'Boletins Nuppa Site'!H423,"NULL")</f>
        <v>60</v>
      </c>
      <c r="F423" s="16" t="n">
        <f aca="false">IF('Boletins Nuppa Site'!I423&lt;&gt;0,'Boletins Nuppa Site'!I423,"NULL")</f>
        <v>100</v>
      </c>
      <c r="G423" s="1" t="str">
        <f aca="false">IF('Boletins Nuppa Site'!J423&lt;&gt;0,'Boletins Nuppa Site'!J423,"NULL")</f>
        <v>81.25</v>
      </c>
      <c r="H423" s="16" t="n">
        <f aca="false">IF('Boletins Nuppa Site'!K423&lt;&gt;0,'Boletins Nuppa Site'!K423,"NULL")</f>
        <v>80</v>
      </c>
      <c r="J423" s="1" t="str">
        <f aca="false">"INSERT INTO COTACAO (blt_id, pap_id, cot_prc_comum, cot_prc_min, cot_prc_max, cot_prc_med, cot_prc_mediana) VALUES ("&amp;B423&amp;", "&amp;C423&amp;", "&amp;D423&amp;", "&amp;E423&amp;", "&amp;F423&amp;", "&amp;G423&amp;", "&amp;H423&amp;");"</f>
        <v>INSERT INTO COTACAO (blt_id, pap_id, cot_prc_comum, cot_prc_min, cot_prc_max, cot_prc_med, cot_prc_mediana) VALUES (11, 30, 80, 60, 100, 81.25, 80);</v>
      </c>
    </row>
    <row r="424" customFormat="false" ht="14.25" hidden="false" customHeight="false" outlineLevel="0" collapsed="false">
      <c r="A424" s="1" t="n">
        <v>423</v>
      </c>
      <c r="B424" s="1" t="n">
        <v>11</v>
      </c>
      <c r="C424" s="1" t="n">
        <v>31</v>
      </c>
      <c r="D424" s="16" t="n">
        <f aca="false">IF('Boletins Nuppa Site'!G424&lt;&gt;0,'Boletins Nuppa Site'!G424,"NULL")</f>
        <v>120</v>
      </c>
      <c r="E424" s="16" t="n">
        <f aca="false">IF('Boletins Nuppa Site'!H424&lt;&gt;0,'Boletins Nuppa Site'!H424,"NULL")</f>
        <v>80</v>
      </c>
      <c r="F424" s="16" t="n">
        <f aca="false">IF('Boletins Nuppa Site'!I424&lt;&gt;0,'Boletins Nuppa Site'!I424,"NULL")</f>
        <v>140</v>
      </c>
      <c r="G424" s="16" t="n">
        <f aca="false">IF('Boletins Nuppa Site'!J424&lt;&gt;0,'Boletins Nuppa Site'!J424,"NULL")</f>
        <v>115</v>
      </c>
      <c r="H424" s="16" t="n">
        <f aca="false">IF('Boletins Nuppa Site'!K424&lt;&gt;0,'Boletins Nuppa Site'!K424,"NULL")</f>
        <v>120</v>
      </c>
      <c r="J424" s="1" t="str">
        <f aca="false">"INSERT INTO COTACAO (blt_id, pap_id, cot_prc_comum, cot_prc_min, cot_prc_max, cot_prc_med, cot_prc_mediana) VALUES ("&amp;B424&amp;", "&amp;C424&amp;", "&amp;D424&amp;", "&amp;E424&amp;", "&amp;F424&amp;", "&amp;G424&amp;", "&amp;H424&amp;");"</f>
        <v>INSERT INTO COTACAO (blt_id, pap_id, cot_prc_comum, cot_prc_min, cot_prc_max, cot_prc_med, cot_prc_mediana) VALUES (11, 31, 120, 80, 140, 115, 120);</v>
      </c>
    </row>
    <row r="425" customFormat="false" ht="14.25" hidden="false" customHeight="false" outlineLevel="0" collapsed="false">
      <c r="A425" s="1" t="n">
        <v>424</v>
      </c>
      <c r="B425" s="1" t="n">
        <v>11</v>
      </c>
      <c r="C425" s="1" t="n">
        <v>32</v>
      </c>
      <c r="D425" s="16" t="n">
        <f aca="false">IF('Boletins Nuppa Site'!G425&lt;&gt;0,'Boletins Nuppa Site'!G425,"NULL")</f>
        <v>80</v>
      </c>
      <c r="E425" s="16" t="n">
        <f aca="false">IF('Boletins Nuppa Site'!H425&lt;&gt;0,'Boletins Nuppa Site'!H425,"NULL")</f>
        <v>60</v>
      </c>
      <c r="F425" s="16" t="n">
        <f aca="false">IF('Boletins Nuppa Site'!I425&lt;&gt;0,'Boletins Nuppa Site'!I425,"NULL")</f>
        <v>100</v>
      </c>
      <c r="G425" s="1" t="str">
        <f aca="false">IF('Boletins Nuppa Site'!J425&lt;&gt;0,'Boletins Nuppa Site'!J425,"NULL")</f>
        <v>82.14</v>
      </c>
      <c r="H425" s="16" t="n">
        <f aca="false">IF('Boletins Nuppa Site'!K425&lt;&gt;0,'Boletins Nuppa Site'!K425,"NULL")</f>
        <v>80</v>
      </c>
      <c r="J425" s="1" t="str">
        <f aca="false">"INSERT INTO COTACAO (blt_id, pap_id, cot_prc_comum, cot_prc_min, cot_prc_max, cot_prc_med, cot_prc_mediana) VALUES ("&amp;B425&amp;", "&amp;C425&amp;", "&amp;D425&amp;", "&amp;E425&amp;", "&amp;F425&amp;", "&amp;G425&amp;", "&amp;H425&amp;");"</f>
        <v>INSERT INTO COTACAO (blt_id, pap_id, cot_prc_comum, cot_prc_min, cot_prc_max, cot_prc_med, cot_prc_mediana) VALUES (11, 32, 80, 60, 100, 82.14, 80);</v>
      </c>
    </row>
    <row r="426" customFormat="false" ht="14.25" hidden="false" customHeight="false" outlineLevel="0" collapsed="false">
      <c r="A426" s="1" t="n">
        <v>425</v>
      </c>
      <c r="B426" s="1" t="n">
        <v>11</v>
      </c>
      <c r="C426" s="1" t="n">
        <v>33</v>
      </c>
      <c r="D426" s="16" t="n">
        <f aca="false">IF('Boletins Nuppa Site'!G426&lt;&gt;0,'Boletins Nuppa Site'!G426,"NULL")</f>
        <v>150</v>
      </c>
      <c r="E426" s="16" t="n">
        <f aca="false">IF('Boletins Nuppa Site'!H426&lt;&gt;0,'Boletins Nuppa Site'!H426,"NULL")</f>
        <v>100</v>
      </c>
      <c r="F426" s="16" t="n">
        <f aca="false">IF('Boletins Nuppa Site'!I426&lt;&gt;0,'Boletins Nuppa Site'!I426,"NULL")</f>
        <v>150</v>
      </c>
      <c r="G426" s="16" t="n">
        <f aca="false">IF('Boletins Nuppa Site'!J426&lt;&gt;0,'Boletins Nuppa Site'!J426,"NULL")</f>
        <v>130</v>
      </c>
      <c r="H426" s="16" t="n">
        <f aca="false">IF('Boletins Nuppa Site'!K426&lt;&gt;0,'Boletins Nuppa Site'!K426,"NULL")</f>
        <v>130</v>
      </c>
      <c r="J426" s="1" t="str">
        <f aca="false">"INSERT INTO COTACAO (blt_id, pap_id, cot_prc_comum, cot_prc_min, cot_prc_max, cot_prc_med, cot_prc_mediana) VALUES ("&amp;B426&amp;", "&amp;C426&amp;", "&amp;D426&amp;", "&amp;E426&amp;", "&amp;F426&amp;", "&amp;G426&amp;", "&amp;H426&amp;");"</f>
        <v>INSERT INTO COTACAO (blt_id, pap_id, cot_prc_comum, cot_prc_min, cot_prc_max, cot_prc_med, cot_prc_mediana) VALUES (11, 33, 150, 100, 150, 130, 130);</v>
      </c>
    </row>
    <row r="427" customFormat="false" ht="14.25" hidden="false" customHeight="false" outlineLevel="0" collapsed="false">
      <c r="A427" s="1" t="n">
        <v>426</v>
      </c>
      <c r="B427" s="1" t="n">
        <v>11</v>
      </c>
      <c r="C427" s="1" t="n">
        <v>34</v>
      </c>
      <c r="D427" s="16" t="n">
        <f aca="false">IF('Boletins Nuppa Site'!G427&lt;&gt;0,'Boletins Nuppa Site'!G427,"NULL")</f>
        <v>220</v>
      </c>
      <c r="E427" s="16" t="n">
        <f aca="false">IF('Boletins Nuppa Site'!H427&lt;&gt;0,'Boletins Nuppa Site'!H427,"NULL")</f>
        <v>150</v>
      </c>
      <c r="F427" s="16" t="n">
        <f aca="false">IF('Boletins Nuppa Site'!I427&lt;&gt;0,'Boletins Nuppa Site'!I427,"NULL")</f>
        <v>250</v>
      </c>
      <c r="G427" s="1" t="str">
        <f aca="false">IF('Boletins Nuppa Site'!J427&lt;&gt;0,'Boletins Nuppa Site'!J427,"NULL")</f>
        <v>221.67</v>
      </c>
      <c r="H427" s="16" t="n">
        <f aca="false">IF('Boletins Nuppa Site'!K427&lt;&gt;0,'Boletins Nuppa Site'!K427,"NULL")</f>
        <v>230</v>
      </c>
      <c r="J427" s="1" t="str">
        <f aca="false">"INSERT INTO COTACAO (blt_id, pap_id, cot_prc_comum, cot_prc_min, cot_prc_max, cot_prc_med, cot_prc_mediana) VALUES ("&amp;B427&amp;", "&amp;C427&amp;", "&amp;D427&amp;", "&amp;E427&amp;", "&amp;F427&amp;", "&amp;G427&amp;", "&amp;H427&amp;");"</f>
        <v>INSERT INTO COTACAO (blt_id, pap_id, cot_prc_comum, cot_prc_min, cot_prc_max, cot_prc_med, cot_prc_mediana) VALUES (11, 34, 220, 150, 250, 221.67, 230);</v>
      </c>
    </row>
    <row r="428" customFormat="false" ht="14.25" hidden="false" customHeight="false" outlineLevel="0" collapsed="false">
      <c r="A428" s="1" t="n">
        <v>427</v>
      </c>
      <c r="B428" s="1" t="n">
        <v>11</v>
      </c>
      <c r="C428" s="1" t="n">
        <v>35</v>
      </c>
      <c r="D428" s="16" t="n">
        <f aca="false">IF('Boletins Nuppa Site'!G428&lt;&gt;0,'Boletins Nuppa Site'!G428,"NULL")</f>
        <v>140</v>
      </c>
      <c r="E428" s="16" t="n">
        <f aca="false">IF('Boletins Nuppa Site'!H428&lt;&gt;0,'Boletins Nuppa Site'!H428,"NULL")</f>
        <v>120</v>
      </c>
      <c r="F428" s="16" t="n">
        <f aca="false">IF('Boletins Nuppa Site'!I428&lt;&gt;0,'Boletins Nuppa Site'!I428,"NULL")</f>
        <v>200</v>
      </c>
      <c r="G428" s="1" t="str">
        <f aca="false">IF('Boletins Nuppa Site'!J428&lt;&gt;0,'Boletins Nuppa Site'!J428,"NULL")</f>
        <v>144.29</v>
      </c>
      <c r="H428" s="16" t="n">
        <f aca="false">IF('Boletins Nuppa Site'!K428&lt;&gt;0,'Boletins Nuppa Site'!K428,"NULL")</f>
        <v>140</v>
      </c>
      <c r="J428" s="1" t="str">
        <f aca="false">"INSERT INTO COTACAO (blt_id, pap_id, cot_prc_comum, cot_prc_min, cot_prc_max, cot_prc_med, cot_prc_mediana) VALUES ("&amp;B428&amp;", "&amp;C428&amp;", "&amp;D428&amp;", "&amp;E428&amp;", "&amp;F428&amp;", "&amp;G428&amp;", "&amp;H428&amp;");"</f>
        <v>INSERT INTO COTACAO (blt_id, pap_id, cot_prc_comum, cot_prc_min, cot_prc_max, cot_prc_med, cot_prc_mediana) VALUES (11, 35, 140, 120, 200, 144.29, 140);</v>
      </c>
    </row>
    <row r="429" customFormat="false" ht="14.25" hidden="false" customHeight="false" outlineLevel="0" collapsed="false">
      <c r="A429" s="1" t="n">
        <v>428</v>
      </c>
      <c r="B429" s="1" t="n">
        <v>11</v>
      </c>
      <c r="C429" s="1" t="n">
        <v>36</v>
      </c>
      <c r="D429" s="16" t="n">
        <f aca="false">IF('Boletins Nuppa Site'!G429&lt;&gt;0,'Boletins Nuppa Site'!G429,"NULL")</f>
        <v>100</v>
      </c>
      <c r="E429" s="16" t="n">
        <f aca="false">IF('Boletins Nuppa Site'!H429&lt;&gt;0,'Boletins Nuppa Site'!H429,"NULL")</f>
        <v>100</v>
      </c>
      <c r="F429" s="16" t="n">
        <f aca="false">IF('Boletins Nuppa Site'!I429&lt;&gt;0,'Boletins Nuppa Site'!I429,"NULL")</f>
        <v>100</v>
      </c>
      <c r="G429" s="16" t="n">
        <f aca="false">IF('Boletins Nuppa Site'!J429&lt;&gt;0,'Boletins Nuppa Site'!J429,"NULL")</f>
        <v>100</v>
      </c>
      <c r="H429" s="16" t="n">
        <f aca="false">IF('Boletins Nuppa Site'!K429&lt;&gt;0,'Boletins Nuppa Site'!K429,"NULL")</f>
        <v>100</v>
      </c>
      <c r="J429" s="1" t="str">
        <f aca="false">"INSERT INTO COTACAO (blt_id, pap_id, cot_prc_comum, cot_prc_min, cot_prc_max, cot_prc_med, cot_prc_mediana) VALUES ("&amp;B429&amp;", "&amp;C429&amp;", "&amp;D429&amp;", "&amp;E429&amp;", "&amp;F429&amp;", "&amp;G429&amp;", "&amp;H429&amp;");"</f>
        <v>INSERT INTO COTACAO (blt_id, pap_id, cot_prc_comum, cot_prc_min, cot_prc_max, cot_prc_med, cot_prc_mediana) VALUES (11, 36, 100, 100, 100, 100, 100);</v>
      </c>
    </row>
    <row r="430" customFormat="false" ht="14.25" hidden="false" customHeight="false" outlineLevel="0" collapsed="false">
      <c r="A430" s="1" t="n">
        <v>429</v>
      </c>
      <c r="B430" s="1" t="n">
        <v>11</v>
      </c>
      <c r="C430" s="1" t="n">
        <v>37</v>
      </c>
      <c r="D430" s="16" t="n">
        <f aca="false">IF('Boletins Nuppa Site'!G430&lt;&gt;0,'Boletins Nuppa Site'!G430,"NULL")</f>
        <v>80</v>
      </c>
      <c r="E430" s="16" t="n">
        <f aca="false">IF('Boletins Nuppa Site'!H430&lt;&gt;0,'Boletins Nuppa Site'!H430,"NULL")</f>
        <v>80</v>
      </c>
      <c r="F430" s="16" t="n">
        <f aca="false">IF('Boletins Nuppa Site'!I430&lt;&gt;0,'Boletins Nuppa Site'!I430,"NULL")</f>
        <v>80</v>
      </c>
      <c r="G430" s="16" t="n">
        <f aca="false">IF('Boletins Nuppa Site'!J430&lt;&gt;0,'Boletins Nuppa Site'!J430,"NULL")</f>
        <v>80</v>
      </c>
      <c r="H430" s="16" t="n">
        <f aca="false">IF('Boletins Nuppa Site'!K430&lt;&gt;0,'Boletins Nuppa Site'!K430,"NULL")</f>
        <v>80</v>
      </c>
      <c r="J430" s="1" t="str">
        <f aca="false">"INSERT INTO COTACAO (blt_id, pap_id, cot_prc_comum, cot_prc_min, cot_prc_max, cot_prc_med, cot_prc_mediana) VALUES ("&amp;B430&amp;", "&amp;C430&amp;", "&amp;D430&amp;", "&amp;E430&amp;", "&amp;F430&amp;", "&amp;G430&amp;", "&amp;H430&amp;");"</f>
        <v>INSERT INTO COTACAO (blt_id, pap_id, cot_prc_comum, cot_prc_min, cot_prc_max, cot_prc_med, cot_prc_mediana) VALUES (11, 37, 80, 80, 80, 80, 80);</v>
      </c>
    </row>
    <row r="431" customFormat="false" ht="14.25" hidden="false" customHeight="false" outlineLevel="0" collapsed="false">
      <c r="A431" s="1" t="n">
        <v>430</v>
      </c>
      <c r="B431" s="1" t="n">
        <v>11</v>
      </c>
      <c r="C431" s="1" t="n">
        <v>38</v>
      </c>
      <c r="D431" s="16" t="n">
        <f aca="false">IF('Boletins Nuppa Site'!G431&lt;&gt;0,'Boletins Nuppa Site'!G431,"NULL")</f>
        <v>45</v>
      </c>
      <c r="E431" s="16" t="n">
        <f aca="false">IF('Boletins Nuppa Site'!H431&lt;&gt;0,'Boletins Nuppa Site'!H431,"NULL")</f>
        <v>45</v>
      </c>
      <c r="F431" s="16" t="n">
        <f aca="false">IF('Boletins Nuppa Site'!I431&lt;&gt;0,'Boletins Nuppa Site'!I431,"NULL")</f>
        <v>45</v>
      </c>
      <c r="G431" s="16" t="n">
        <f aca="false">IF('Boletins Nuppa Site'!J431&lt;&gt;0,'Boletins Nuppa Site'!J431,"NULL")</f>
        <v>45</v>
      </c>
      <c r="H431" s="16" t="n">
        <f aca="false">IF('Boletins Nuppa Site'!K431&lt;&gt;0,'Boletins Nuppa Site'!K431,"NULL")</f>
        <v>45</v>
      </c>
      <c r="J431" s="1" t="str">
        <f aca="false">"INSERT INTO COTACAO (blt_id, pap_id, cot_prc_comum, cot_prc_min, cot_prc_max, cot_prc_med, cot_prc_mediana) VALUES ("&amp;B431&amp;", "&amp;C431&amp;", "&amp;D431&amp;", "&amp;E431&amp;", "&amp;F431&amp;", "&amp;G431&amp;", "&amp;H431&amp;");"</f>
        <v>INSERT INTO COTACAO (blt_id, pap_id, cot_prc_comum, cot_prc_min, cot_prc_max, cot_prc_med, cot_prc_mediana) VALUES (11, 38, 45, 45, 45, 45, 45);</v>
      </c>
    </row>
    <row r="432" customFormat="false" ht="14.25" hidden="false" customHeight="false" outlineLevel="0" collapsed="false">
      <c r="A432" s="1" t="n">
        <v>431</v>
      </c>
      <c r="B432" s="1" t="n">
        <v>11</v>
      </c>
      <c r="C432" s="1" t="n">
        <v>39</v>
      </c>
      <c r="D432" s="16" t="n">
        <f aca="false">IF('Boletins Nuppa Site'!G432&lt;&gt;0,'Boletins Nuppa Site'!G432,"NULL")</f>
        <v>45</v>
      </c>
      <c r="E432" s="16" t="n">
        <f aca="false">IF('Boletins Nuppa Site'!H432&lt;&gt;0,'Boletins Nuppa Site'!H432,"NULL")</f>
        <v>45</v>
      </c>
      <c r="F432" s="16" t="n">
        <f aca="false">IF('Boletins Nuppa Site'!I432&lt;&gt;0,'Boletins Nuppa Site'!I432,"NULL")</f>
        <v>45</v>
      </c>
      <c r="G432" s="16" t="n">
        <f aca="false">IF('Boletins Nuppa Site'!J432&lt;&gt;0,'Boletins Nuppa Site'!J432,"NULL")</f>
        <v>45</v>
      </c>
      <c r="H432" s="16" t="n">
        <f aca="false">IF('Boletins Nuppa Site'!K432&lt;&gt;0,'Boletins Nuppa Site'!K432,"NULL")</f>
        <v>45</v>
      </c>
      <c r="J432" s="1" t="str">
        <f aca="false">"INSERT INTO COTACAO (blt_id, pap_id, cot_prc_comum, cot_prc_min, cot_prc_max, cot_prc_med, cot_prc_mediana) VALUES ("&amp;B432&amp;", "&amp;C432&amp;", "&amp;D432&amp;", "&amp;E432&amp;", "&amp;F432&amp;", "&amp;G432&amp;", "&amp;H432&amp;");"</f>
        <v>INSERT INTO COTACAO (blt_id, pap_id, cot_prc_comum, cot_prc_min, cot_prc_max, cot_prc_med, cot_prc_mediana) VALUES (11, 39, 45, 45, 45, 45, 45);</v>
      </c>
    </row>
    <row r="433" customFormat="false" ht="14.25" hidden="false" customHeight="false" outlineLevel="0" collapsed="false">
      <c r="A433" s="1" t="n">
        <v>432</v>
      </c>
      <c r="B433" s="1" t="n">
        <v>11</v>
      </c>
      <c r="C433" s="1" t="n">
        <v>40</v>
      </c>
      <c r="D433" s="16" t="n">
        <f aca="false">IF('Boletins Nuppa Site'!G433&lt;&gt;0,'Boletins Nuppa Site'!G433,"NULL")</f>
        <v>85</v>
      </c>
      <c r="E433" s="16" t="n">
        <f aca="false">IF('Boletins Nuppa Site'!H433&lt;&gt;0,'Boletins Nuppa Site'!H433,"NULL")</f>
        <v>85</v>
      </c>
      <c r="F433" s="16" t="n">
        <f aca="false">IF('Boletins Nuppa Site'!I433&lt;&gt;0,'Boletins Nuppa Site'!I433,"NULL")</f>
        <v>85</v>
      </c>
      <c r="G433" s="16" t="n">
        <f aca="false">IF('Boletins Nuppa Site'!J433&lt;&gt;0,'Boletins Nuppa Site'!J433,"NULL")</f>
        <v>85</v>
      </c>
      <c r="H433" s="16" t="n">
        <f aca="false">IF('Boletins Nuppa Site'!K433&lt;&gt;0,'Boletins Nuppa Site'!K433,"NULL")</f>
        <v>85</v>
      </c>
      <c r="J433" s="1" t="str">
        <f aca="false">"INSERT INTO COTACAO (blt_id, pap_id, cot_prc_comum, cot_prc_min, cot_prc_max, cot_prc_med, cot_prc_mediana) VALUES ("&amp;B433&amp;", "&amp;C433&amp;", "&amp;D433&amp;", "&amp;E433&amp;", "&amp;F433&amp;", "&amp;G433&amp;", "&amp;H433&amp;");"</f>
        <v>INSERT INTO COTACAO (blt_id, pap_id, cot_prc_comum, cot_prc_min, cot_prc_max, cot_prc_med, cot_prc_mediana) VALUES (11, 40, 85, 85, 85, 85, 85);</v>
      </c>
    </row>
    <row r="434" customFormat="false" ht="14.25" hidden="false" customHeight="false" outlineLevel="0" collapsed="false">
      <c r="A434" s="1" t="n">
        <v>433</v>
      </c>
      <c r="B434" s="1" t="n">
        <v>12</v>
      </c>
      <c r="C434" s="1" t="n">
        <v>1</v>
      </c>
      <c r="D434" s="16" t="n">
        <f aca="false">IF('Boletins Nuppa Site'!G434&lt;&gt;0,'Boletins Nuppa Site'!G434,"NULL")</f>
        <v>60</v>
      </c>
      <c r="E434" s="16" t="n">
        <f aca="false">IF('Boletins Nuppa Site'!H434&lt;&gt;0,'Boletins Nuppa Site'!H434,"NULL")</f>
        <v>60</v>
      </c>
      <c r="F434" s="16" t="n">
        <f aca="false">IF('Boletins Nuppa Site'!I434&lt;&gt;0,'Boletins Nuppa Site'!I434,"NULL")</f>
        <v>78</v>
      </c>
      <c r="G434" s="16" t="n">
        <f aca="false">IF('Boletins Nuppa Site'!J434&lt;&gt;0,'Boletins Nuppa Site'!J434,"NULL")</f>
        <v>66</v>
      </c>
      <c r="H434" s="16" t="n">
        <f aca="false">IF('Boletins Nuppa Site'!K434&lt;&gt;0,'Boletins Nuppa Site'!K434,"NULL")</f>
        <v>60</v>
      </c>
      <c r="J434" s="1" t="str">
        <f aca="false">"INSERT INTO COTACAO (blt_id, pap_id, cot_prc_comum, cot_prc_min, cot_prc_max, cot_prc_med, cot_prc_mediana) VALUES ("&amp;B434&amp;", "&amp;C434&amp;", "&amp;D434&amp;", "&amp;E434&amp;", "&amp;F434&amp;", "&amp;G434&amp;", "&amp;H434&amp;");"</f>
        <v>INSERT INTO COTACAO (blt_id, pap_id, cot_prc_comum, cot_prc_min, cot_prc_max, cot_prc_med, cot_prc_mediana) VALUES (12, 1, 60, 60, 78, 66, 60);</v>
      </c>
    </row>
    <row r="435" customFormat="false" ht="14.25" hidden="false" customHeight="false" outlineLevel="0" collapsed="false">
      <c r="A435" s="1" t="n">
        <v>434</v>
      </c>
      <c r="B435" s="1" t="n">
        <v>12</v>
      </c>
      <c r="C435" s="1" t="n">
        <v>2</v>
      </c>
      <c r="D435" s="1" t="str">
        <f aca="false">IF('Boletins Nuppa Site'!G435&lt;&gt;0,'Boletins Nuppa Site'!G435,"NULL")</f>
        <v>NULL</v>
      </c>
      <c r="E435" s="16" t="n">
        <f aca="false">IF('Boletins Nuppa Site'!H435&lt;&gt;0,'Boletins Nuppa Site'!H435,"NULL")</f>
        <v>44</v>
      </c>
      <c r="F435" s="16" t="n">
        <f aca="false">IF('Boletins Nuppa Site'!I435&lt;&gt;0,'Boletins Nuppa Site'!I435,"NULL")</f>
        <v>78</v>
      </c>
      <c r="G435" s="1" t="str">
        <f aca="false">IF('Boletins Nuppa Site'!J435&lt;&gt;0,'Boletins Nuppa Site'!J435,"NULL")</f>
        <v>64.67</v>
      </c>
      <c r="H435" s="16" t="n">
        <f aca="false">IF('Boletins Nuppa Site'!K435&lt;&gt;0,'Boletins Nuppa Site'!K435,"NULL")</f>
        <v>72</v>
      </c>
      <c r="J435" s="1" t="str">
        <f aca="false">"INSERT INTO COTACAO (blt_id, pap_id, cot_prc_comum, cot_prc_min, cot_prc_max, cot_prc_med, cot_prc_mediana) VALUES ("&amp;B435&amp;", "&amp;C435&amp;", "&amp;D435&amp;", "&amp;E435&amp;", "&amp;F435&amp;", "&amp;G435&amp;", "&amp;H435&amp;");"</f>
        <v>INSERT INTO COTACAO (blt_id, pap_id, cot_prc_comum, cot_prc_min, cot_prc_max, cot_prc_med, cot_prc_mediana) VALUES (12, 2, NULL, 44, 78, 64.67, 72);</v>
      </c>
    </row>
    <row r="436" customFormat="false" ht="14.25" hidden="false" customHeight="false" outlineLevel="0" collapsed="false">
      <c r="A436" s="1" t="n">
        <v>435</v>
      </c>
      <c r="B436" s="1" t="n">
        <v>12</v>
      </c>
      <c r="C436" s="1" t="n">
        <v>3</v>
      </c>
      <c r="D436" s="1" t="str">
        <f aca="false">IF('Boletins Nuppa Site'!G436&lt;&gt;0,'Boletins Nuppa Site'!G436,"NULL")</f>
        <v>NULL</v>
      </c>
      <c r="E436" s="16" t="n">
        <f aca="false">IF('Boletins Nuppa Site'!H436&lt;&gt;0,'Boletins Nuppa Site'!H436,"NULL")</f>
        <v>42</v>
      </c>
      <c r="F436" s="16" t="n">
        <f aca="false">IF('Boletins Nuppa Site'!I436&lt;&gt;0,'Boletins Nuppa Site'!I436,"NULL")</f>
        <v>60</v>
      </c>
      <c r="G436" s="16" t="n">
        <f aca="false">IF('Boletins Nuppa Site'!J436&lt;&gt;0,'Boletins Nuppa Site'!J436,"NULL")</f>
        <v>50</v>
      </c>
      <c r="H436" s="16" t="n">
        <f aca="false">IF('Boletins Nuppa Site'!K436&lt;&gt;0,'Boletins Nuppa Site'!K436,"NULL")</f>
        <v>48</v>
      </c>
      <c r="J436" s="1" t="str">
        <f aca="false">"INSERT INTO COTACAO (blt_id, pap_id, cot_prc_comum, cot_prc_min, cot_prc_max, cot_prc_med, cot_prc_mediana) VALUES ("&amp;B436&amp;", "&amp;C436&amp;", "&amp;D436&amp;", "&amp;E436&amp;", "&amp;F436&amp;", "&amp;G436&amp;", "&amp;H436&amp;");"</f>
        <v>INSERT INTO COTACAO (blt_id, pap_id, cot_prc_comum, cot_prc_min, cot_prc_max, cot_prc_med, cot_prc_mediana) VALUES (12, 3, NULL, 42, 60, 50, 48);</v>
      </c>
    </row>
    <row r="437" customFormat="false" ht="14.25" hidden="false" customHeight="false" outlineLevel="0" collapsed="false">
      <c r="A437" s="1" t="n">
        <v>436</v>
      </c>
      <c r="B437" s="1" t="n">
        <v>12</v>
      </c>
      <c r="C437" s="1" t="n">
        <v>4</v>
      </c>
      <c r="D437" s="1" t="str">
        <f aca="false">IF('Boletins Nuppa Site'!G437&lt;&gt;0,'Boletins Nuppa Site'!G437,"NULL")</f>
        <v>NULL</v>
      </c>
      <c r="E437" s="16" t="n">
        <f aca="false">IF('Boletins Nuppa Site'!H437&lt;&gt;0,'Boletins Nuppa Site'!H437,"NULL")</f>
        <v>30</v>
      </c>
      <c r="F437" s="16" t="n">
        <f aca="false">IF('Boletins Nuppa Site'!I437&lt;&gt;0,'Boletins Nuppa Site'!I437,"NULL")</f>
        <v>42</v>
      </c>
      <c r="G437" s="1" t="str">
        <f aca="false">IF('Boletins Nuppa Site'!J437&lt;&gt;0,'Boletins Nuppa Site'!J437,"NULL")</f>
        <v>35.67</v>
      </c>
      <c r="H437" s="16" t="n">
        <f aca="false">IF('Boletins Nuppa Site'!K437&lt;&gt;0,'Boletins Nuppa Site'!K437,"NULL")</f>
        <v>35</v>
      </c>
      <c r="J437" s="1" t="str">
        <f aca="false">"INSERT INTO COTACAO (blt_id, pap_id, cot_prc_comum, cot_prc_min, cot_prc_max, cot_prc_med, cot_prc_mediana) VALUES ("&amp;B437&amp;", "&amp;C437&amp;", "&amp;D437&amp;", "&amp;E437&amp;", "&amp;F437&amp;", "&amp;G437&amp;", "&amp;H437&amp;");"</f>
        <v>INSERT INTO COTACAO (blt_id, pap_id, cot_prc_comum, cot_prc_min, cot_prc_max, cot_prc_med, cot_prc_mediana) VALUES (12, 4, NULL, 30, 42, 35.67, 35);</v>
      </c>
    </row>
    <row r="438" customFormat="false" ht="14.25" hidden="false" customHeight="false" outlineLevel="0" collapsed="false">
      <c r="A438" s="1" t="n">
        <v>437</v>
      </c>
      <c r="B438" s="1" t="n">
        <v>12</v>
      </c>
      <c r="C438" s="1" t="n">
        <v>5</v>
      </c>
      <c r="D438" s="1" t="str">
        <f aca="false">IF('Boletins Nuppa Site'!G438&lt;&gt;0,'Boletins Nuppa Site'!G438,"NULL")</f>
        <v>NULL</v>
      </c>
      <c r="E438" s="16" t="n">
        <f aca="false">IF('Boletins Nuppa Site'!H438&lt;&gt;0,'Boletins Nuppa Site'!H438,"NULL")</f>
        <v>30</v>
      </c>
      <c r="F438" s="16" t="n">
        <f aca="false">IF('Boletins Nuppa Site'!I438&lt;&gt;0,'Boletins Nuppa Site'!I438,"NULL")</f>
        <v>42</v>
      </c>
      <c r="G438" s="1" t="str">
        <f aca="false">IF('Boletins Nuppa Site'!J438&lt;&gt;0,'Boletins Nuppa Site'!J438,"NULL")</f>
        <v>35.67</v>
      </c>
      <c r="H438" s="16" t="n">
        <f aca="false">IF('Boletins Nuppa Site'!K438&lt;&gt;0,'Boletins Nuppa Site'!K438,"NULL")</f>
        <v>35</v>
      </c>
      <c r="J438" s="1" t="str">
        <f aca="false">"INSERT INTO COTACAO (blt_id, pap_id, cot_prc_comum, cot_prc_min, cot_prc_max, cot_prc_med, cot_prc_mediana) VALUES ("&amp;B438&amp;", "&amp;C438&amp;", "&amp;D438&amp;", "&amp;E438&amp;", "&amp;F438&amp;", "&amp;G438&amp;", "&amp;H438&amp;");"</f>
        <v>INSERT INTO COTACAO (blt_id, pap_id, cot_prc_comum, cot_prc_min, cot_prc_max, cot_prc_med, cot_prc_mediana) VALUES (12, 5, NULL, 30, 42, 35.67, 35);</v>
      </c>
    </row>
    <row r="439" customFormat="false" ht="14.25" hidden="false" customHeight="false" outlineLevel="0" collapsed="false">
      <c r="A439" s="1" t="n">
        <v>438</v>
      </c>
      <c r="B439" s="1" t="n">
        <v>12</v>
      </c>
      <c r="C439" s="1" t="n">
        <v>6</v>
      </c>
      <c r="D439" s="1" t="str">
        <f aca="false">IF('Boletins Nuppa Site'!G439&lt;&gt;0,'Boletins Nuppa Site'!G439,"NULL")</f>
        <v>NULL</v>
      </c>
      <c r="E439" s="16" t="n">
        <f aca="false">IF('Boletins Nuppa Site'!H439&lt;&gt;0,'Boletins Nuppa Site'!H439,"NULL")</f>
        <v>48</v>
      </c>
      <c r="F439" s="16" t="n">
        <f aca="false">IF('Boletins Nuppa Site'!I439&lt;&gt;0,'Boletins Nuppa Site'!I439,"NULL")</f>
        <v>96</v>
      </c>
      <c r="G439" s="16" t="n">
        <f aca="false">IF('Boletins Nuppa Site'!J439&lt;&gt;0,'Boletins Nuppa Site'!J439,"NULL")</f>
        <v>69</v>
      </c>
      <c r="H439" s="16" t="n">
        <f aca="false">IF('Boletins Nuppa Site'!K439&lt;&gt;0,'Boletins Nuppa Site'!K439,"NULL")</f>
        <v>66</v>
      </c>
      <c r="J439" s="1" t="str">
        <f aca="false">"INSERT INTO COTACAO (blt_id, pap_id, cot_prc_comum, cot_prc_min, cot_prc_max, cot_prc_med, cot_prc_mediana) VALUES ("&amp;B439&amp;", "&amp;C439&amp;", "&amp;D439&amp;", "&amp;E439&amp;", "&amp;F439&amp;", "&amp;G439&amp;", "&amp;H439&amp;");"</f>
        <v>INSERT INTO COTACAO (blt_id, pap_id, cot_prc_comum, cot_prc_min, cot_prc_max, cot_prc_med, cot_prc_mediana) VALUES (12, 6, NULL, 48, 96, 69, 66);</v>
      </c>
    </row>
    <row r="440" customFormat="false" ht="14.25" hidden="false" customHeight="false" outlineLevel="0" collapsed="false">
      <c r="A440" s="1" t="n">
        <v>439</v>
      </c>
      <c r="B440" s="1" t="n">
        <v>12</v>
      </c>
      <c r="C440" s="1" t="n">
        <v>7</v>
      </c>
      <c r="D440" s="1" t="str">
        <f aca="false">IF('Boletins Nuppa Site'!G440&lt;&gt;0,'Boletins Nuppa Site'!G440,"NULL")</f>
        <v>NULL</v>
      </c>
      <c r="E440" s="16" t="n">
        <f aca="false">IF('Boletins Nuppa Site'!H440&lt;&gt;0,'Boletins Nuppa Site'!H440,"NULL")</f>
        <v>96</v>
      </c>
      <c r="F440" s="16" t="n">
        <f aca="false">IF('Boletins Nuppa Site'!I440&lt;&gt;0,'Boletins Nuppa Site'!I440,"NULL")</f>
        <v>108</v>
      </c>
      <c r="G440" s="1" t="str">
        <f aca="false">IF('Boletins Nuppa Site'!J440&lt;&gt;0,'Boletins Nuppa Site'!J440,"NULL")</f>
        <v>101.33</v>
      </c>
      <c r="H440" s="16" t="n">
        <f aca="false">IF('Boletins Nuppa Site'!K440&lt;&gt;0,'Boletins Nuppa Site'!K440,"NULL")</f>
        <v>100</v>
      </c>
      <c r="J440" s="1" t="str">
        <f aca="false">"INSERT INTO COTACAO (blt_id, pap_id, cot_prc_comum, cot_prc_min, cot_prc_max, cot_prc_med, cot_prc_mediana) VALUES ("&amp;B440&amp;", "&amp;C440&amp;", "&amp;D440&amp;", "&amp;E440&amp;", "&amp;F440&amp;", "&amp;G440&amp;", "&amp;H440&amp;");"</f>
        <v>INSERT INTO COTACAO (blt_id, pap_id, cot_prc_comum, cot_prc_min, cot_prc_max, cot_prc_med, cot_prc_mediana) VALUES (12, 7, NULL, 96, 108, 101.33, 100);</v>
      </c>
    </row>
    <row r="441" customFormat="false" ht="14.25" hidden="false" customHeight="false" outlineLevel="0" collapsed="false">
      <c r="A441" s="1" t="n">
        <v>440</v>
      </c>
      <c r="B441" s="1" t="n">
        <v>12</v>
      </c>
      <c r="C441" s="1" t="n">
        <v>8</v>
      </c>
      <c r="D441" s="1" t="str">
        <f aca="false">IF('Boletins Nuppa Site'!G441&lt;&gt;0,'Boletins Nuppa Site'!G441,"NULL")</f>
        <v>NULL</v>
      </c>
      <c r="E441" s="16" t="n">
        <f aca="false">IF('Boletins Nuppa Site'!H441&lt;&gt;0,'Boletins Nuppa Site'!H441,"NULL")</f>
        <v>84</v>
      </c>
      <c r="F441" s="16" t="n">
        <f aca="false">IF('Boletins Nuppa Site'!I441&lt;&gt;0,'Boletins Nuppa Site'!I441,"NULL")</f>
        <v>100</v>
      </c>
      <c r="G441" s="1" t="str">
        <f aca="false">IF('Boletins Nuppa Site'!J441&lt;&gt;0,'Boletins Nuppa Site'!J441,"NULL")</f>
        <v>93.33</v>
      </c>
      <c r="H441" s="16" t="n">
        <f aca="false">IF('Boletins Nuppa Site'!K441&lt;&gt;0,'Boletins Nuppa Site'!K441,"NULL")</f>
        <v>96</v>
      </c>
      <c r="J441" s="1" t="str">
        <f aca="false">"INSERT INTO COTACAO (blt_id, pap_id, cot_prc_comum, cot_prc_min, cot_prc_max, cot_prc_med, cot_prc_mediana) VALUES ("&amp;B441&amp;", "&amp;C441&amp;", "&amp;D441&amp;", "&amp;E441&amp;", "&amp;F441&amp;", "&amp;G441&amp;", "&amp;H441&amp;");"</f>
        <v>INSERT INTO COTACAO (blt_id, pap_id, cot_prc_comum, cot_prc_min, cot_prc_max, cot_prc_med, cot_prc_mediana) VALUES (12, 8, NULL, 84, 100, 93.33, 96);</v>
      </c>
    </row>
    <row r="442" customFormat="false" ht="14.25" hidden="false" customHeight="false" outlineLevel="0" collapsed="false">
      <c r="A442" s="1" t="n">
        <v>441</v>
      </c>
      <c r="B442" s="1" t="n">
        <v>12</v>
      </c>
      <c r="C442" s="1" t="n">
        <v>9</v>
      </c>
      <c r="D442" s="16" t="n">
        <f aca="false">IF('Boletins Nuppa Site'!G442&lt;&gt;0,'Boletins Nuppa Site'!G442,"NULL")</f>
        <v>30</v>
      </c>
      <c r="E442" s="16" t="n">
        <f aca="false">IF('Boletins Nuppa Site'!H442&lt;&gt;0,'Boletins Nuppa Site'!H442,"NULL")</f>
        <v>30</v>
      </c>
      <c r="F442" s="16" t="n">
        <f aca="false">IF('Boletins Nuppa Site'!I442&lt;&gt;0,'Boletins Nuppa Site'!I442,"NULL")</f>
        <v>96</v>
      </c>
      <c r="G442" s="16" t="n">
        <f aca="false">IF('Boletins Nuppa Site'!J442&lt;&gt;0,'Boletins Nuppa Site'!J442,"NULL")</f>
        <v>48</v>
      </c>
      <c r="H442" s="16" t="n">
        <f aca="false">IF('Boletins Nuppa Site'!K442&lt;&gt;0,'Boletins Nuppa Site'!K442,"NULL")</f>
        <v>33</v>
      </c>
      <c r="J442" s="1" t="str">
        <f aca="false">"INSERT INTO COTACAO (blt_id, pap_id, cot_prc_comum, cot_prc_min, cot_prc_max, cot_prc_med, cot_prc_mediana) VALUES ("&amp;B442&amp;", "&amp;C442&amp;", "&amp;D442&amp;", "&amp;E442&amp;", "&amp;F442&amp;", "&amp;G442&amp;", "&amp;H442&amp;");"</f>
        <v>INSERT INTO COTACAO (blt_id, pap_id, cot_prc_comum, cot_prc_min, cot_prc_max, cot_prc_med, cot_prc_mediana) VALUES (12, 9, 30, 30, 96, 48, 33);</v>
      </c>
    </row>
    <row r="443" customFormat="false" ht="14.25" hidden="false" customHeight="false" outlineLevel="0" collapsed="false">
      <c r="A443" s="1" t="n">
        <v>442</v>
      </c>
      <c r="B443" s="1" t="n">
        <v>12</v>
      </c>
      <c r="C443" s="1" t="n">
        <v>10</v>
      </c>
      <c r="D443" s="1" t="str">
        <f aca="false">IF('Boletins Nuppa Site'!G443&lt;&gt;0,'Boletins Nuppa Site'!G443,"NULL")</f>
        <v>NULL</v>
      </c>
      <c r="E443" s="16" t="n">
        <f aca="false">IF('Boletins Nuppa Site'!H443&lt;&gt;0,'Boletins Nuppa Site'!H443,"NULL")</f>
        <v>108</v>
      </c>
      <c r="F443" s="16" t="n">
        <f aca="false">IF('Boletins Nuppa Site'!I443&lt;&gt;0,'Boletins Nuppa Site'!I443,"NULL")</f>
        <v>120</v>
      </c>
      <c r="G443" s="16" t="n">
        <f aca="false">IF('Boletins Nuppa Site'!J443&lt;&gt;0,'Boletins Nuppa Site'!J443,"NULL")</f>
        <v>114</v>
      </c>
      <c r="H443" s="16" t="n">
        <f aca="false">IF('Boletins Nuppa Site'!K443&lt;&gt;0,'Boletins Nuppa Site'!K443,"NULL")</f>
        <v>114</v>
      </c>
      <c r="J443" s="1" t="str">
        <f aca="false">"INSERT INTO COTACAO (blt_id, pap_id, cot_prc_comum, cot_prc_min, cot_prc_max, cot_prc_med, cot_prc_mediana) VALUES ("&amp;B443&amp;", "&amp;C443&amp;", "&amp;D443&amp;", "&amp;E443&amp;", "&amp;F443&amp;", "&amp;G443&amp;", "&amp;H443&amp;");"</f>
        <v>INSERT INTO COTACAO (blt_id, pap_id, cot_prc_comum, cot_prc_min, cot_prc_max, cot_prc_med, cot_prc_mediana) VALUES (12, 10, NULL, 108, 120, 114, 114);</v>
      </c>
    </row>
    <row r="444" customFormat="false" ht="14.25" hidden="false" customHeight="false" outlineLevel="0" collapsed="false">
      <c r="A444" s="1" t="n">
        <v>443</v>
      </c>
      <c r="B444" s="1" t="n">
        <v>12</v>
      </c>
      <c r="C444" s="1" t="n">
        <v>11</v>
      </c>
      <c r="D444" s="1" t="str">
        <f aca="false">IF('Boletins Nuppa Site'!G444&lt;&gt;0,'Boletins Nuppa Site'!G444,"NULL")</f>
        <v>NULL</v>
      </c>
      <c r="E444" s="16" t="n">
        <f aca="false">IF('Boletins Nuppa Site'!H444&lt;&gt;0,'Boletins Nuppa Site'!H444,"NULL")</f>
        <v>30</v>
      </c>
      <c r="F444" s="16" t="n">
        <f aca="false">IF('Boletins Nuppa Site'!I444&lt;&gt;0,'Boletins Nuppa Site'!I444,"NULL")</f>
        <v>42</v>
      </c>
      <c r="G444" s="16" t="n">
        <f aca="false">IF('Boletins Nuppa Site'!J444&lt;&gt;0,'Boletins Nuppa Site'!J444,"NULL")</f>
        <v>36</v>
      </c>
      <c r="H444" s="16" t="n">
        <f aca="false">IF('Boletins Nuppa Site'!K444&lt;&gt;0,'Boletins Nuppa Site'!K444,"NULL")</f>
        <v>36</v>
      </c>
      <c r="J444" s="1" t="str">
        <f aca="false">"INSERT INTO COTACAO (blt_id, pap_id, cot_prc_comum, cot_prc_min, cot_prc_max, cot_prc_med, cot_prc_mediana) VALUES ("&amp;B444&amp;", "&amp;C444&amp;", "&amp;D444&amp;", "&amp;E444&amp;", "&amp;F444&amp;", "&amp;G444&amp;", "&amp;H444&amp;");"</f>
        <v>INSERT INTO COTACAO (blt_id, pap_id, cot_prc_comum, cot_prc_min, cot_prc_max, cot_prc_med, cot_prc_mediana) VALUES (12, 11, NULL, 30, 42, 36, 36);</v>
      </c>
    </row>
    <row r="445" customFormat="false" ht="14.25" hidden="false" customHeight="false" outlineLevel="0" collapsed="false">
      <c r="A445" s="1" t="n">
        <v>444</v>
      </c>
      <c r="B445" s="1" t="n">
        <v>12</v>
      </c>
      <c r="C445" s="1" t="n">
        <v>12</v>
      </c>
      <c r="D445" s="1" t="str">
        <f aca="false">IF('Boletins Nuppa Site'!G445&lt;&gt;0,'Boletins Nuppa Site'!G445,"NULL")</f>
        <v>NULL</v>
      </c>
      <c r="E445" s="16" t="n">
        <f aca="false">IF('Boletins Nuppa Site'!H445&lt;&gt;0,'Boletins Nuppa Site'!H445,"NULL")</f>
        <v>72</v>
      </c>
      <c r="F445" s="16" t="n">
        <f aca="false">IF('Boletins Nuppa Site'!I445&lt;&gt;0,'Boletins Nuppa Site'!I445,"NULL")</f>
        <v>84</v>
      </c>
      <c r="G445" s="16" t="n">
        <f aca="false">IF('Boletins Nuppa Site'!J445&lt;&gt;0,'Boletins Nuppa Site'!J445,"NULL")</f>
        <v>78</v>
      </c>
      <c r="H445" s="16" t="n">
        <f aca="false">IF('Boletins Nuppa Site'!K445&lt;&gt;0,'Boletins Nuppa Site'!K445,"NULL")</f>
        <v>78</v>
      </c>
      <c r="J445" s="1" t="str">
        <f aca="false">"INSERT INTO COTACAO (blt_id, pap_id, cot_prc_comum, cot_prc_min, cot_prc_max, cot_prc_med, cot_prc_mediana) VALUES ("&amp;B445&amp;", "&amp;C445&amp;", "&amp;D445&amp;", "&amp;E445&amp;", "&amp;F445&amp;", "&amp;G445&amp;", "&amp;H445&amp;");"</f>
        <v>INSERT INTO COTACAO (blt_id, pap_id, cot_prc_comum, cot_prc_min, cot_prc_max, cot_prc_med, cot_prc_mediana) VALUES (12, 12, NULL, 72, 84, 78, 78);</v>
      </c>
    </row>
    <row r="446" customFormat="false" ht="14.25" hidden="false" customHeight="false" outlineLevel="0" collapsed="false">
      <c r="A446" s="1" t="n">
        <v>445</v>
      </c>
      <c r="B446" s="1" t="n">
        <v>12</v>
      </c>
      <c r="C446" s="1" t="n">
        <v>13</v>
      </c>
      <c r="D446" s="1" t="str">
        <f aca="false">IF('Boletins Nuppa Site'!G446&lt;&gt;0,'Boletins Nuppa Site'!G446,"NULL")</f>
        <v>NULL</v>
      </c>
      <c r="E446" s="16" t="n">
        <f aca="false">IF('Boletins Nuppa Site'!H446&lt;&gt;0,'Boletins Nuppa Site'!H446,"NULL")</f>
        <v>32</v>
      </c>
      <c r="F446" s="16" t="n">
        <f aca="false">IF('Boletins Nuppa Site'!I446&lt;&gt;0,'Boletins Nuppa Site'!I446,"NULL")</f>
        <v>84</v>
      </c>
      <c r="G446" s="1" t="str">
        <f aca="false">IF('Boletins Nuppa Site'!J446&lt;&gt;0,'Boletins Nuppa Site'!J446,"NULL")</f>
        <v>62.67</v>
      </c>
      <c r="H446" s="16" t="n">
        <f aca="false">IF('Boletins Nuppa Site'!K446&lt;&gt;0,'Boletins Nuppa Site'!K446,"NULL")</f>
        <v>72</v>
      </c>
      <c r="J446" s="1" t="str">
        <f aca="false">"INSERT INTO COTACAO (blt_id, pap_id, cot_prc_comum, cot_prc_min, cot_prc_max, cot_prc_med, cot_prc_mediana) VALUES ("&amp;B446&amp;", "&amp;C446&amp;", "&amp;D446&amp;", "&amp;E446&amp;", "&amp;F446&amp;", "&amp;G446&amp;", "&amp;H446&amp;");"</f>
        <v>INSERT INTO COTACAO (blt_id, pap_id, cot_prc_comum, cot_prc_min, cot_prc_max, cot_prc_med, cot_prc_mediana) VALUES (12, 13, NULL, 32, 84, 62.67, 72);</v>
      </c>
    </row>
    <row r="447" customFormat="false" ht="14.25" hidden="false" customHeight="false" outlineLevel="0" collapsed="false">
      <c r="A447" s="1" t="n">
        <v>446</v>
      </c>
      <c r="B447" s="1" t="n">
        <v>12</v>
      </c>
      <c r="C447" s="1" t="n">
        <v>14</v>
      </c>
      <c r="D447" s="16" t="n">
        <f aca="false">IF('Boletins Nuppa Site'!G447&lt;&gt;0,'Boletins Nuppa Site'!G447,"NULL")</f>
        <v>60</v>
      </c>
      <c r="E447" s="16" t="n">
        <f aca="false">IF('Boletins Nuppa Site'!H447&lt;&gt;0,'Boletins Nuppa Site'!H447,"NULL")</f>
        <v>60</v>
      </c>
      <c r="F447" s="16" t="n">
        <f aca="false">IF('Boletins Nuppa Site'!I447&lt;&gt;0,'Boletins Nuppa Site'!I447,"NULL")</f>
        <v>80</v>
      </c>
      <c r="G447" s="1" t="str">
        <f aca="false">IF('Boletins Nuppa Site'!J447&lt;&gt;0,'Boletins Nuppa Site'!J447,"NULL")</f>
        <v>66.67</v>
      </c>
      <c r="H447" s="16" t="n">
        <f aca="false">IF('Boletins Nuppa Site'!K447&lt;&gt;0,'Boletins Nuppa Site'!K447,"NULL")</f>
        <v>60</v>
      </c>
      <c r="J447" s="1" t="str">
        <f aca="false">"INSERT INTO COTACAO (blt_id, pap_id, cot_prc_comum, cot_prc_min, cot_prc_max, cot_prc_med, cot_prc_mediana) VALUES ("&amp;B447&amp;", "&amp;C447&amp;", "&amp;D447&amp;", "&amp;E447&amp;", "&amp;F447&amp;", "&amp;G447&amp;", "&amp;H447&amp;");"</f>
        <v>INSERT INTO COTACAO (blt_id, pap_id, cot_prc_comum, cot_prc_min, cot_prc_max, cot_prc_med, cot_prc_mediana) VALUES (12, 14, 60, 60, 80, 66.67, 60);</v>
      </c>
    </row>
    <row r="448" customFormat="false" ht="14.25" hidden="false" customHeight="false" outlineLevel="0" collapsed="false">
      <c r="A448" s="1" t="n">
        <v>447</v>
      </c>
      <c r="B448" s="1" t="n">
        <v>12</v>
      </c>
      <c r="C448" s="1" t="n">
        <v>15</v>
      </c>
      <c r="D448" s="1" t="str">
        <f aca="false">IF('Boletins Nuppa Site'!G448&lt;&gt;0,'Boletins Nuppa Site'!G448,"NULL")</f>
        <v>NULL</v>
      </c>
      <c r="E448" s="16" t="n">
        <f aca="false">IF('Boletins Nuppa Site'!H448&lt;&gt;0,'Boletins Nuppa Site'!H448,"NULL")</f>
        <v>50</v>
      </c>
      <c r="F448" s="16" t="n">
        <f aca="false">IF('Boletins Nuppa Site'!I448&lt;&gt;0,'Boletins Nuppa Site'!I448,"NULL")</f>
        <v>75</v>
      </c>
      <c r="G448" s="1" t="str">
        <f aca="false">IF('Boletins Nuppa Site'!J448&lt;&gt;0,'Boletins Nuppa Site'!J448,"NULL")</f>
        <v>59.67</v>
      </c>
      <c r="H448" s="16" t="n">
        <f aca="false">IF('Boletins Nuppa Site'!K448&lt;&gt;0,'Boletins Nuppa Site'!K448,"NULL")</f>
        <v>54</v>
      </c>
      <c r="J448" s="1" t="str">
        <f aca="false">"INSERT INTO COTACAO (blt_id, pap_id, cot_prc_comum, cot_prc_min, cot_prc_max, cot_prc_med, cot_prc_mediana) VALUES ("&amp;B448&amp;", "&amp;C448&amp;", "&amp;D448&amp;", "&amp;E448&amp;", "&amp;F448&amp;", "&amp;G448&amp;", "&amp;H448&amp;");"</f>
        <v>INSERT INTO COTACAO (blt_id, pap_id, cot_prc_comum, cot_prc_min, cot_prc_max, cot_prc_med, cot_prc_mediana) VALUES (12, 15, NULL, 50, 75, 59.67, 54);</v>
      </c>
    </row>
    <row r="449" customFormat="false" ht="14.25" hidden="false" customHeight="false" outlineLevel="0" collapsed="false">
      <c r="A449" s="1" t="n">
        <v>448</v>
      </c>
      <c r="B449" s="1" t="n">
        <v>12</v>
      </c>
      <c r="C449" s="1" t="n">
        <v>16</v>
      </c>
      <c r="D449" s="1" t="str">
        <f aca="false">IF('Boletins Nuppa Site'!G449&lt;&gt;0,'Boletins Nuppa Site'!G449,"NULL")</f>
        <v>NULL</v>
      </c>
      <c r="E449" s="16" t="n">
        <f aca="false">IF('Boletins Nuppa Site'!H449&lt;&gt;0,'Boletins Nuppa Site'!H449,"NULL")</f>
        <v>42</v>
      </c>
      <c r="F449" s="16" t="n">
        <f aca="false">IF('Boletins Nuppa Site'!I449&lt;&gt;0,'Boletins Nuppa Site'!I449,"NULL")</f>
        <v>54</v>
      </c>
      <c r="G449" s="16" t="n">
        <f aca="false">IF('Boletins Nuppa Site'!J449&lt;&gt;0,'Boletins Nuppa Site'!J449,"NULL")</f>
        <v>48</v>
      </c>
      <c r="H449" s="16" t="n">
        <f aca="false">IF('Boletins Nuppa Site'!K449&lt;&gt;0,'Boletins Nuppa Site'!K449,"NULL")</f>
        <v>48</v>
      </c>
      <c r="J449" s="1" t="str">
        <f aca="false">"INSERT INTO COTACAO (blt_id, pap_id, cot_prc_comum, cot_prc_min, cot_prc_max, cot_prc_med, cot_prc_mediana) VALUES ("&amp;B449&amp;", "&amp;C449&amp;", "&amp;D449&amp;", "&amp;E449&amp;", "&amp;F449&amp;", "&amp;G449&amp;", "&amp;H449&amp;");"</f>
        <v>INSERT INTO COTACAO (blt_id, pap_id, cot_prc_comum, cot_prc_min, cot_prc_max, cot_prc_med, cot_prc_mediana) VALUES (12, 16, NULL, 42, 54, 48, 48);</v>
      </c>
    </row>
    <row r="450" customFormat="false" ht="14.25" hidden="false" customHeight="false" outlineLevel="0" collapsed="false">
      <c r="A450" s="1" t="n">
        <v>449</v>
      </c>
      <c r="B450" s="1" t="n">
        <v>12</v>
      </c>
      <c r="C450" s="1" t="n">
        <v>17</v>
      </c>
      <c r="D450" s="16" t="n">
        <f aca="false">IF('Boletins Nuppa Site'!G450&lt;&gt;0,'Boletins Nuppa Site'!G450,"NULL")</f>
        <v>5</v>
      </c>
      <c r="E450" s="1" t="str">
        <f aca="false">IF('Boletins Nuppa Site'!H450&lt;&gt;0,'Boletins Nuppa Site'!H450,"NULL")</f>
        <v>4.5</v>
      </c>
      <c r="F450" s="16" t="n">
        <f aca="false">IF('Boletins Nuppa Site'!I450&lt;&gt;0,'Boletins Nuppa Site'!I450,"NULL")</f>
        <v>5</v>
      </c>
      <c r="G450" s="1" t="str">
        <f aca="false">IF('Boletins Nuppa Site'!J450&lt;&gt;0,'Boletins Nuppa Site'!J450,"NULL")</f>
        <v>4.83</v>
      </c>
      <c r="H450" s="16" t="n">
        <f aca="false">IF('Boletins Nuppa Site'!K450&lt;&gt;0,'Boletins Nuppa Site'!K450,"NULL")</f>
        <v>5</v>
      </c>
      <c r="J450" s="1" t="str">
        <f aca="false">"INSERT INTO COTACAO (blt_id, pap_id, cot_prc_comum, cot_prc_min, cot_prc_max, cot_prc_med, cot_prc_mediana) VALUES ("&amp;B450&amp;", "&amp;C450&amp;", "&amp;D450&amp;", "&amp;E450&amp;", "&amp;F450&amp;", "&amp;G450&amp;", "&amp;H450&amp;");"</f>
        <v>INSERT INTO COTACAO (blt_id, pap_id, cot_prc_comum, cot_prc_min, cot_prc_max, cot_prc_med, cot_prc_mediana) VALUES (12, 17, 5, 4.5, 5, 4.83, 5);</v>
      </c>
    </row>
    <row r="451" customFormat="false" ht="14.25" hidden="false" customHeight="false" outlineLevel="0" collapsed="false">
      <c r="A451" s="1" t="n">
        <v>450</v>
      </c>
      <c r="B451" s="1" t="n">
        <v>12</v>
      </c>
      <c r="C451" s="1" t="n">
        <v>18</v>
      </c>
      <c r="D451" s="1" t="str">
        <f aca="false">IF('Boletins Nuppa Site'!G451&lt;&gt;0,'Boletins Nuppa Site'!G451,"NULL")</f>
        <v>NULL</v>
      </c>
      <c r="E451" s="16" t="n">
        <f aca="false">IF('Boletins Nuppa Site'!H451&lt;&gt;0,'Boletins Nuppa Site'!H451,"NULL")</f>
        <v>20</v>
      </c>
      <c r="F451" s="16" t="n">
        <f aca="false">IF('Boletins Nuppa Site'!I451&lt;&gt;0,'Boletins Nuppa Site'!I451,"NULL")</f>
        <v>30</v>
      </c>
      <c r="G451" s="16" t="n">
        <f aca="false">IF('Boletins Nuppa Site'!J451&lt;&gt;0,'Boletins Nuppa Site'!J451,"NULL")</f>
        <v>25</v>
      </c>
      <c r="H451" s="16" t="n">
        <f aca="false">IF('Boletins Nuppa Site'!K451&lt;&gt;0,'Boletins Nuppa Site'!K451,"NULL")</f>
        <v>25</v>
      </c>
      <c r="J451" s="1" t="str">
        <f aca="false">"INSERT INTO COTACAO (blt_id, pap_id, cot_prc_comum, cot_prc_min, cot_prc_max, cot_prc_med, cot_prc_mediana) VALUES ("&amp;B451&amp;", "&amp;C451&amp;", "&amp;D451&amp;", "&amp;E451&amp;", "&amp;F451&amp;", "&amp;G451&amp;", "&amp;H451&amp;");"</f>
        <v>INSERT INTO COTACAO (blt_id, pap_id, cot_prc_comum, cot_prc_min, cot_prc_max, cot_prc_med, cot_prc_mediana) VALUES (12, 18, NULL, 20, 30, 25, 25);</v>
      </c>
    </row>
    <row r="452" customFormat="false" ht="14.25" hidden="false" customHeight="false" outlineLevel="0" collapsed="false">
      <c r="A452" s="1" t="n">
        <v>451</v>
      </c>
      <c r="B452" s="1" t="n">
        <v>12</v>
      </c>
      <c r="C452" s="1" t="n">
        <v>19</v>
      </c>
      <c r="D452" s="1" t="str">
        <f aca="false">IF('Boletins Nuppa Site'!G452&lt;&gt;0,'Boletins Nuppa Site'!G452,"NULL")</f>
        <v>NULL</v>
      </c>
      <c r="E452" s="16" t="n">
        <f aca="false">IF('Boletins Nuppa Site'!H452&lt;&gt;0,'Boletins Nuppa Site'!H452,"NULL")</f>
        <v>30</v>
      </c>
      <c r="F452" s="16" t="n">
        <f aca="false">IF('Boletins Nuppa Site'!I452&lt;&gt;0,'Boletins Nuppa Site'!I452,"NULL")</f>
        <v>40</v>
      </c>
      <c r="G452" s="16" t="n">
        <f aca="false">IF('Boletins Nuppa Site'!J452&lt;&gt;0,'Boletins Nuppa Site'!J452,"NULL")</f>
        <v>35</v>
      </c>
      <c r="H452" s="16" t="n">
        <f aca="false">IF('Boletins Nuppa Site'!K452&lt;&gt;0,'Boletins Nuppa Site'!K452,"NULL")</f>
        <v>35</v>
      </c>
      <c r="J452" s="1" t="str">
        <f aca="false">"INSERT INTO COTACAO (blt_id, pap_id, cot_prc_comum, cot_prc_min, cot_prc_max, cot_prc_med, cot_prc_mediana) VALUES ("&amp;B452&amp;", "&amp;C452&amp;", "&amp;D452&amp;", "&amp;E452&amp;", "&amp;F452&amp;", "&amp;G452&amp;", "&amp;H452&amp;");"</f>
        <v>INSERT INTO COTACAO (blt_id, pap_id, cot_prc_comum, cot_prc_min, cot_prc_max, cot_prc_med, cot_prc_mediana) VALUES (12, 19, NULL, 30, 40, 35, 35);</v>
      </c>
    </row>
    <row r="453" customFormat="false" ht="14.25" hidden="false" customHeight="false" outlineLevel="0" collapsed="false">
      <c r="A453" s="1" t="n">
        <v>452</v>
      </c>
      <c r="B453" s="1" t="n">
        <v>12</v>
      </c>
      <c r="C453" s="1" t="n">
        <v>20</v>
      </c>
      <c r="D453" s="16" t="n">
        <f aca="false">IF('Boletins Nuppa Site'!G453&lt;&gt;0,'Boletins Nuppa Site'!G453,"NULL")</f>
        <v>120</v>
      </c>
      <c r="E453" s="16" t="n">
        <f aca="false">IF('Boletins Nuppa Site'!H453&lt;&gt;0,'Boletins Nuppa Site'!H453,"NULL")</f>
        <v>115</v>
      </c>
      <c r="F453" s="16" t="n">
        <f aca="false">IF('Boletins Nuppa Site'!I453&lt;&gt;0,'Boletins Nuppa Site'!I453,"NULL")</f>
        <v>120</v>
      </c>
      <c r="G453" s="1" t="str">
        <f aca="false">IF('Boletins Nuppa Site'!J453&lt;&gt;0,'Boletins Nuppa Site'!J453,"NULL")</f>
        <v>118.33</v>
      </c>
      <c r="H453" s="16" t="n">
        <f aca="false">IF('Boletins Nuppa Site'!K453&lt;&gt;0,'Boletins Nuppa Site'!K453,"NULL")</f>
        <v>120</v>
      </c>
      <c r="J453" s="1" t="str">
        <f aca="false">"INSERT INTO COTACAO (blt_id, pap_id, cot_prc_comum, cot_prc_min, cot_prc_max, cot_prc_med, cot_prc_mediana) VALUES ("&amp;B453&amp;", "&amp;C453&amp;", "&amp;D453&amp;", "&amp;E453&amp;", "&amp;F453&amp;", "&amp;G453&amp;", "&amp;H453&amp;");"</f>
        <v>INSERT INTO COTACAO (blt_id, pap_id, cot_prc_comum, cot_prc_min, cot_prc_max, cot_prc_med, cot_prc_mediana) VALUES (12, 20, 120, 115, 120, 118.33, 120);</v>
      </c>
    </row>
    <row r="454" customFormat="false" ht="14.25" hidden="false" customHeight="false" outlineLevel="0" collapsed="false">
      <c r="A454" s="1" t="n">
        <v>453</v>
      </c>
      <c r="B454" s="1" t="n">
        <v>12</v>
      </c>
      <c r="C454" s="1" t="n">
        <v>21</v>
      </c>
      <c r="D454" s="1" t="str">
        <f aca="false">IF('Boletins Nuppa Site'!G454&lt;&gt;0,'Boletins Nuppa Site'!G454,"NULL")</f>
        <v>NULL</v>
      </c>
      <c r="E454" s="16" t="n">
        <f aca="false">IF('Boletins Nuppa Site'!H454&lt;&gt;0,'Boletins Nuppa Site'!H454,"NULL")</f>
        <v>80</v>
      </c>
      <c r="F454" s="16" t="n">
        <f aca="false">IF('Boletins Nuppa Site'!I454&lt;&gt;0,'Boletins Nuppa Site'!I454,"NULL")</f>
        <v>100</v>
      </c>
      <c r="G454" s="16" t="n">
        <f aca="false">IF('Boletins Nuppa Site'!J454&lt;&gt;0,'Boletins Nuppa Site'!J454,"NULL")</f>
        <v>90</v>
      </c>
      <c r="H454" s="16" t="n">
        <f aca="false">IF('Boletins Nuppa Site'!K454&lt;&gt;0,'Boletins Nuppa Site'!K454,"NULL")</f>
        <v>90</v>
      </c>
      <c r="J454" s="1" t="str">
        <f aca="false">"INSERT INTO COTACAO (blt_id, pap_id, cot_prc_comum, cot_prc_min, cot_prc_max, cot_prc_med, cot_prc_mediana) VALUES ("&amp;B454&amp;", "&amp;C454&amp;", "&amp;D454&amp;", "&amp;E454&amp;", "&amp;F454&amp;", "&amp;G454&amp;", "&amp;H454&amp;");"</f>
        <v>INSERT INTO COTACAO (blt_id, pap_id, cot_prc_comum, cot_prc_min, cot_prc_max, cot_prc_med, cot_prc_mediana) VALUES (12, 21, NULL, 80, 100, 90, 90);</v>
      </c>
    </row>
    <row r="455" customFormat="false" ht="14.25" hidden="false" customHeight="false" outlineLevel="0" collapsed="false">
      <c r="A455" s="1" t="n">
        <v>454</v>
      </c>
      <c r="B455" s="1" t="n">
        <v>12</v>
      </c>
      <c r="C455" s="1" t="n">
        <v>22</v>
      </c>
      <c r="D455" s="16" t="n">
        <f aca="false">IF('Boletins Nuppa Site'!G455&lt;&gt;0,'Boletins Nuppa Site'!G455,"NULL")</f>
        <v>75</v>
      </c>
      <c r="E455" s="16" t="n">
        <f aca="false">IF('Boletins Nuppa Site'!H455&lt;&gt;0,'Boletins Nuppa Site'!H455,"NULL")</f>
        <v>45</v>
      </c>
      <c r="F455" s="16" t="n">
        <f aca="false">IF('Boletins Nuppa Site'!I455&lt;&gt;0,'Boletins Nuppa Site'!I455,"NULL")</f>
        <v>80</v>
      </c>
      <c r="G455" s="1" t="str">
        <f aca="false">IF('Boletins Nuppa Site'!J455&lt;&gt;0,'Boletins Nuppa Site'!J455,"NULL")</f>
        <v>69.17</v>
      </c>
      <c r="H455" s="1" t="str">
        <f aca="false">IF('Boletins Nuppa Site'!K455&lt;&gt;0,'Boletins Nuppa Site'!K455,"NULL")</f>
        <v>72.5</v>
      </c>
      <c r="J455" s="1" t="str">
        <f aca="false">"INSERT INTO COTACAO (blt_id, pap_id, cot_prc_comum, cot_prc_min, cot_prc_max, cot_prc_med, cot_prc_mediana) VALUES ("&amp;B455&amp;", "&amp;C455&amp;", "&amp;D455&amp;", "&amp;E455&amp;", "&amp;F455&amp;", "&amp;G455&amp;", "&amp;H455&amp;");"</f>
        <v>INSERT INTO COTACAO (blt_id, pap_id, cot_prc_comum, cot_prc_min, cot_prc_max, cot_prc_med, cot_prc_mediana) VALUES (12, 22, 75, 45, 80, 69.17, 72.5);</v>
      </c>
    </row>
    <row r="456" customFormat="false" ht="14.25" hidden="false" customHeight="false" outlineLevel="0" collapsed="false">
      <c r="A456" s="1" t="n">
        <v>455</v>
      </c>
      <c r="B456" s="1" t="n">
        <v>12</v>
      </c>
      <c r="C456" s="1" t="n">
        <v>23</v>
      </c>
      <c r="D456" s="16" t="n">
        <f aca="false">IF('Boletins Nuppa Site'!G456&lt;&gt;0,'Boletins Nuppa Site'!G456,"NULL")</f>
        <v>50</v>
      </c>
      <c r="E456" s="16" t="n">
        <f aca="false">IF('Boletins Nuppa Site'!H456&lt;&gt;0,'Boletins Nuppa Site'!H456,"NULL")</f>
        <v>35</v>
      </c>
      <c r="F456" s="16" t="n">
        <f aca="false">IF('Boletins Nuppa Site'!I456&lt;&gt;0,'Boletins Nuppa Site'!I456,"NULL")</f>
        <v>50</v>
      </c>
      <c r="G456" s="1" t="str">
        <f aca="false">IF('Boletins Nuppa Site'!J456&lt;&gt;0,'Boletins Nuppa Site'!J456,"NULL")</f>
        <v>43.33</v>
      </c>
      <c r="H456" s="1" t="str">
        <f aca="false">IF('Boletins Nuppa Site'!K456&lt;&gt;0,'Boletins Nuppa Site'!K456,"NULL")</f>
        <v>42.5</v>
      </c>
      <c r="J456" s="1" t="str">
        <f aca="false">"INSERT INTO COTACAO (blt_id, pap_id, cot_prc_comum, cot_prc_min, cot_prc_max, cot_prc_med, cot_prc_mediana) VALUES ("&amp;B456&amp;", "&amp;C456&amp;", "&amp;D456&amp;", "&amp;E456&amp;", "&amp;F456&amp;", "&amp;G456&amp;", "&amp;H456&amp;");"</f>
        <v>INSERT INTO COTACAO (blt_id, pap_id, cot_prc_comum, cot_prc_min, cot_prc_max, cot_prc_med, cot_prc_mediana) VALUES (12, 23, 50, 35, 50, 43.33, 42.5);</v>
      </c>
    </row>
    <row r="457" customFormat="false" ht="14.25" hidden="false" customHeight="false" outlineLevel="0" collapsed="false">
      <c r="A457" s="1" t="n">
        <v>456</v>
      </c>
      <c r="B457" s="1" t="n">
        <v>12</v>
      </c>
      <c r="C457" s="1" t="n">
        <v>24</v>
      </c>
      <c r="D457" s="1" t="str">
        <f aca="false">IF('Boletins Nuppa Site'!G457&lt;&gt;0,'Boletins Nuppa Site'!G457,"NULL")</f>
        <v>NULL</v>
      </c>
      <c r="E457" s="16" t="n">
        <f aca="false">IF('Boletins Nuppa Site'!H457&lt;&gt;0,'Boletins Nuppa Site'!H457,"NULL")</f>
        <v>65</v>
      </c>
      <c r="F457" s="16" t="n">
        <f aca="false">IF('Boletins Nuppa Site'!I457&lt;&gt;0,'Boletins Nuppa Site'!I457,"NULL")</f>
        <v>65</v>
      </c>
      <c r="G457" s="16" t="n">
        <f aca="false">IF('Boletins Nuppa Site'!J457&lt;&gt;0,'Boletins Nuppa Site'!J457,"NULL")</f>
        <v>65</v>
      </c>
      <c r="H457" s="16" t="n">
        <f aca="false">IF('Boletins Nuppa Site'!K457&lt;&gt;0,'Boletins Nuppa Site'!K457,"NULL")</f>
        <v>65</v>
      </c>
      <c r="J457" s="1" t="str">
        <f aca="false">"INSERT INTO COTACAO (blt_id, pap_id, cot_prc_comum, cot_prc_min, cot_prc_max, cot_prc_med, cot_prc_mediana) VALUES ("&amp;B457&amp;", "&amp;C457&amp;", "&amp;D457&amp;", "&amp;E457&amp;", "&amp;F457&amp;", "&amp;G457&amp;", "&amp;H457&amp;");"</f>
        <v>INSERT INTO COTACAO (blt_id, pap_id, cot_prc_comum, cot_prc_min, cot_prc_max, cot_prc_med, cot_prc_mediana) VALUES (12, 24, NULL, 65, 65, 65, 65);</v>
      </c>
    </row>
    <row r="458" customFormat="false" ht="14.25" hidden="false" customHeight="false" outlineLevel="0" collapsed="false">
      <c r="A458" s="1" t="n">
        <v>457</v>
      </c>
      <c r="B458" s="1" t="n">
        <v>12</v>
      </c>
      <c r="C458" s="1" t="n">
        <v>25</v>
      </c>
      <c r="D458" s="16" t="n">
        <f aca="false">IF('Boletins Nuppa Site'!G458&lt;&gt;0,'Boletins Nuppa Site'!G458,"NULL")</f>
        <v>130</v>
      </c>
      <c r="E458" s="16" t="n">
        <f aca="false">IF('Boletins Nuppa Site'!H458&lt;&gt;0,'Boletins Nuppa Site'!H458,"NULL")</f>
        <v>100</v>
      </c>
      <c r="F458" s="16" t="n">
        <f aca="false">IF('Boletins Nuppa Site'!I458&lt;&gt;0,'Boletins Nuppa Site'!I458,"NULL")</f>
        <v>130</v>
      </c>
      <c r="G458" s="1" t="str">
        <f aca="false">IF('Boletins Nuppa Site'!J458&lt;&gt;0,'Boletins Nuppa Site'!J458,"NULL")</f>
        <v>116.67</v>
      </c>
      <c r="H458" s="16" t="n">
        <f aca="false">IF('Boletins Nuppa Site'!K458&lt;&gt;0,'Boletins Nuppa Site'!K458,"NULL")</f>
        <v>115</v>
      </c>
      <c r="J458" s="1" t="str">
        <f aca="false">"INSERT INTO COTACAO (blt_id, pap_id, cot_prc_comum, cot_prc_min, cot_prc_max, cot_prc_med, cot_prc_mediana) VALUES ("&amp;B458&amp;", "&amp;C458&amp;", "&amp;D458&amp;", "&amp;E458&amp;", "&amp;F458&amp;", "&amp;G458&amp;", "&amp;H458&amp;");"</f>
        <v>INSERT INTO COTACAO (blt_id, pap_id, cot_prc_comum, cot_prc_min, cot_prc_max, cot_prc_med, cot_prc_mediana) VALUES (12, 25, 130, 100, 130, 116.67, 115);</v>
      </c>
    </row>
    <row r="459" customFormat="false" ht="14.25" hidden="false" customHeight="false" outlineLevel="0" collapsed="false">
      <c r="A459" s="1" t="n">
        <v>458</v>
      </c>
      <c r="B459" s="1" t="n">
        <v>12</v>
      </c>
      <c r="C459" s="1" t="n">
        <v>26</v>
      </c>
      <c r="D459" s="16" t="n">
        <f aca="false">IF('Boletins Nuppa Site'!G459&lt;&gt;0,'Boletins Nuppa Site'!G459,"NULL")</f>
        <v>90</v>
      </c>
      <c r="E459" s="16" t="n">
        <f aca="false">IF('Boletins Nuppa Site'!H459&lt;&gt;0,'Boletins Nuppa Site'!H459,"NULL")</f>
        <v>90</v>
      </c>
      <c r="F459" s="16" t="n">
        <f aca="false">IF('Boletins Nuppa Site'!I459&lt;&gt;0,'Boletins Nuppa Site'!I459,"NULL")</f>
        <v>150</v>
      </c>
      <c r="G459" s="16" t="n">
        <f aca="false">IF('Boletins Nuppa Site'!J459&lt;&gt;0,'Boletins Nuppa Site'!J459,"NULL")</f>
        <v>122</v>
      </c>
      <c r="H459" s="16" t="n">
        <f aca="false">IF('Boletins Nuppa Site'!K459&lt;&gt;0,'Boletins Nuppa Site'!K459,"NULL")</f>
        <v>140</v>
      </c>
      <c r="J459" s="1" t="str">
        <f aca="false">"INSERT INTO COTACAO (blt_id, pap_id, cot_prc_comum, cot_prc_min, cot_prc_max, cot_prc_med, cot_prc_mediana) VALUES ("&amp;B459&amp;", "&amp;C459&amp;", "&amp;D459&amp;", "&amp;E459&amp;", "&amp;F459&amp;", "&amp;G459&amp;", "&amp;H459&amp;");"</f>
        <v>INSERT INTO COTACAO (blt_id, pap_id, cot_prc_comum, cot_prc_min, cot_prc_max, cot_prc_med, cot_prc_mediana) VALUES (12, 26, 90, 90, 150, 122, 140);</v>
      </c>
    </row>
    <row r="460" customFormat="false" ht="14.25" hidden="false" customHeight="false" outlineLevel="0" collapsed="false">
      <c r="A460" s="1" t="n">
        <v>459</v>
      </c>
      <c r="B460" s="1" t="n">
        <v>12</v>
      </c>
      <c r="C460" s="1" t="n">
        <v>27</v>
      </c>
      <c r="D460" s="16" t="n">
        <f aca="false">IF('Boletins Nuppa Site'!G460&lt;&gt;0,'Boletins Nuppa Site'!G460,"NULL")</f>
        <v>60</v>
      </c>
      <c r="E460" s="16" t="n">
        <f aca="false">IF('Boletins Nuppa Site'!H460&lt;&gt;0,'Boletins Nuppa Site'!H460,"NULL")</f>
        <v>50</v>
      </c>
      <c r="F460" s="16" t="n">
        <f aca="false">IF('Boletins Nuppa Site'!I460&lt;&gt;0,'Boletins Nuppa Site'!I460,"NULL")</f>
        <v>60</v>
      </c>
      <c r="G460" s="1" t="str">
        <f aca="false">IF('Boletins Nuppa Site'!J460&lt;&gt;0,'Boletins Nuppa Site'!J460,"NULL")</f>
        <v>56.33</v>
      </c>
      <c r="H460" s="16" t="n">
        <f aca="false">IF('Boletins Nuppa Site'!K460&lt;&gt;0,'Boletins Nuppa Site'!K460,"NULL")</f>
        <v>59</v>
      </c>
      <c r="J460" s="1" t="str">
        <f aca="false">"INSERT INTO COTACAO (blt_id, pap_id, cot_prc_comum, cot_prc_min, cot_prc_max, cot_prc_med, cot_prc_mediana) VALUES ("&amp;B460&amp;", "&amp;C460&amp;", "&amp;D460&amp;", "&amp;E460&amp;", "&amp;F460&amp;", "&amp;G460&amp;", "&amp;H460&amp;");"</f>
        <v>INSERT INTO COTACAO (blt_id, pap_id, cot_prc_comum, cot_prc_min, cot_prc_max, cot_prc_med, cot_prc_mediana) VALUES (12, 27, 60, 50, 60, 56.33, 59);</v>
      </c>
    </row>
    <row r="461" customFormat="false" ht="14.25" hidden="false" customHeight="false" outlineLevel="0" collapsed="false">
      <c r="A461" s="1" t="n">
        <v>460</v>
      </c>
      <c r="B461" s="1" t="n">
        <v>12</v>
      </c>
      <c r="C461" s="1" t="n">
        <v>28</v>
      </c>
      <c r="D461" s="16" t="n">
        <f aca="false">IF('Boletins Nuppa Site'!G461&lt;&gt;0,'Boletins Nuppa Site'!G461,"NULL")</f>
        <v>100</v>
      </c>
      <c r="E461" s="16" t="n">
        <f aca="false">IF('Boletins Nuppa Site'!H461&lt;&gt;0,'Boletins Nuppa Site'!H461,"NULL")</f>
        <v>100</v>
      </c>
      <c r="F461" s="16" t="n">
        <f aca="false">IF('Boletins Nuppa Site'!I461&lt;&gt;0,'Boletins Nuppa Site'!I461,"NULL")</f>
        <v>110</v>
      </c>
      <c r="G461" s="1" t="str">
        <f aca="false">IF('Boletins Nuppa Site'!J461&lt;&gt;0,'Boletins Nuppa Site'!J461,"NULL")</f>
        <v>103.33</v>
      </c>
      <c r="H461" s="16" t="n">
        <f aca="false">IF('Boletins Nuppa Site'!K461&lt;&gt;0,'Boletins Nuppa Site'!K461,"NULL")</f>
        <v>100</v>
      </c>
      <c r="J461" s="1" t="str">
        <f aca="false">"INSERT INTO COTACAO (blt_id, pap_id, cot_prc_comum, cot_prc_min, cot_prc_max, cot_prc_med, cot_prc_mediana) VALUES ("&amp;B461&amp;", "&amp;C461&amp;", "&amp;D461&amp;", "&amp;E461&amp;", "&amp;F461&amp;", "&amp;G461&amp;", "&amp;H461&amp;");"</f>
        <v>INSERT INTO COTACAO (blt_id, pap_id, cot_prc_comum, cot_prc_min, cot_prc_max, cot_prc_med, cot_prc_mediana) VALUES (12, 28, 100, 100, 110, 103.33, 100);</v>
      </c>
    </row>
    <row r="462" customFormat="false" ht="14.25" hidden="false" customHeight="false" outlineLevel="0" collapsed="false">
      <c r="A462" s="1" t="n">
        <v>461</v>
      </c>
      <c r="B462" s="1" t="n">
        <v>12</v>
      </c>
      <c r="C462" s="1" t="n">
        <v>29</v>
      </c>
      <c r="D462" s="1" t="str">
        <f aca="false">IF('Boletins Nuppa Site'!G462&lt;&gt;0,'Boletins Nuppa Site'!G462,"NULL")</f>
        <v>NULL</v>
      </c>
      <c r="E462" s="16" t="n">
        <f aca="false">IF('Boletins Nuppa Site'!H462&lt;&gt;0,'Boletins Nuppa Site'!H462,"NULL")</f>
        <v>50</v>
      </c>
      <c r="F462" s="16" t="n">
        <f aca="false">IF('Boletins Nuppa Site'!I462&lt;&gt;0,'Boletins Nuppa Site'!I462,"NULL")</f>
        <v>78</v>
      </c>
      <c r="G462" s="16" t="n">
        <f aca="false">IF('Boletins Nuppa Site'!J462&lt;&gt;0,'Boletins Nuppa Site'!J462,"NULL")</f>
        <v>64</v>
      </c>
      <c r="H462" s="16" t="n">
        <f aca="false">IF('Boletins Nuppa Site'!K462&lt;&gt;0,'Boletins Nuppa Site'!K462,"NULL")</f>
        <v>64</v>
      </c>
      <c r="J462" s="1" t="str">
        <f aca="false">"INSERT INTO COTACAO (blt_id, pap_id, cot_prc_comum, cot_prc_min, cot_prc_max, cot_prc_med, cot_prc_mediana) VALUES ("&amp;B462&amp;", "&amp;C462&amp;", "&amp;D462&amp;", "&amp;E462&amp;", "&amp;F462&amp;", "&amp;G462&amp;", "&amp;H462&amp;");"</f>
        <v>INSERT INTO COTACAO (blt_id, pap_id, cot_prc_comum, cot_prc_min, cot_prc_max, cot_prc_med, cot_prc_mediana) VALUES (12, 29, NULL, 50, 78, 64, 64);</v>
      </c>
    </row>
    <row r="463" customFormat="false" ht="14.25" hidden="false" customHeight="false" outlineLevel="0" collapsed="false">
      <c r="A463" s="1" t="n">
        <v>462</v>
      </c>
      <c r="B463" s="1" t="n">
        <v>12</v>
      </c>
      <c r="C463" s="1" t="n">
        <v>30</v>
      </c>
      <c r="D463" s="16" t="n">
        <f aca="false">IF('Boletins Nuppa Site'!G463&lt;&gt;0,'Boletins Nuppa Site'!G463,"NULL")</f>
        <v>70</v>
      </c>
      <c r="E463" s="16" t="n">
        <f aca="false">IF('Boletins Nuppa Site'!H463&lt;&gt;0,'Boletins Nuppa Site'!H463,"NULL")</f>
        <v>70</v>
      </c>
      <c r="F463" s="16" t="n">
        <f aca="false">IF('Boletins Nuppa Site'!I463&lt;&gt;0,'Boletins Nuppa Site'!I463,"NULL")</f>
        <v>85</v>
      </c>
      <c r="G463" s="16" t="n">
        <f aca="false">IF('Boletins Nuppa Site'!J463&lt;&gt;0,'Boletins Nuppa Site'!J463,"NULL")</f>
        <v>75</v>
      </c>
      <c r="H463" s="1" t="str">
        <f aca="false">IF('Boletins Nuppa Site'!K463&lt;&gt;0,'Boletins Nuppa Site'!K463,"NULL")</f>
        <v>72.5</v>
      </c>
      <c r="J463" s="1" t="str">
        <f aca="false">"INSERT INTO COTACAO (blt_id, pap_id, cot_prc_comum, cot_prc_min, cot_prc_max, cot_prc_med, cot_prc_mediana) VALUES ("&amp;B463&amp;", "&amp;C463&amp;", "&amp;D463&amp;", "&amp;E463&amp;", "&amp;F463&amp;", "&amp;G463&amp;", "&amp;H463&amp;");"</f>
        <v>INSERT INTO COTACAO (blt_id, pap_id, cot_prc_comum, cot_prc_min, cot_prc_max, cot_prc_med, cot_prc_mediana) VALUES (12, 30, 70, 70, 85, 75, 72.5);</v>
      </c>
    </row>
    <row r="464" customFormat="false" ht="14.25" hidden="false" customHeight="false" outlineLevel="0" collapsed="false">
      <c r="A464" s="1" t="n">
        <v>463</v>
      </c>
      <c r="B464" s="1" t="n">
        <v>12</v>
      </c>
      <c r="C464" s="1" t="n">
        <v>31</v>
      </c>
      <c r="D464" s="16" t="n">
        <f aca="false">IF('Boletins Nuppa Site'!G464&lt;&gt;0,'Boletins Nuppa Site'!G464,"NULL")</f>
        <v>100</v>
      </c>
      <c r="E464" s="16" t="n">
        <f aca="false">IF('Boletins Nuppa Site'!H464&lt;&gt;0,'Boletins Nuppa Site'!H464,"NULL")</f>
        <v>90</v>
      </c>
      <c r="F464" s="16" t="n">
        <f aca="false">IF('Boletins Nuppa Site'!I464&lt;&gt;0,'Boletins Nuppa Site'!I464,"NULL")</f>
        <v>110</v>
      </c>
      <c r="G464" s="1" t="str">
        <f aca="false">IF('Boletins Nuppa Site'!J464&lt;&gt;0,'Boletins Nuppa Site'!J464,"NULL")</f>
        <v>101.67</v>
      </c>
      <c r="H464" s="16" t="n">
        <f aca="false">IF('Boletins Nuppa Site'!K464&lt;&gt;0,'Boletins Nuppa Site'!K464,"NULL")</f>
        <v>100</v>
      </c>
      <c r="J464" s="1" t="str">
        <f aca="false">"INSERT INTO COTACAO (blt_id, pap_id, cot_prc_comum, cot_prc_min, cot_prc_max, cot_prc_med, cot_prc_mediana) VALUES ("&amp;B464&amp;", "&amp;C464&amp;", "&amp;D464&amp;", "&amp;E464&amp;", "&amp;F464&amp;", "&amp;G464&amp;", "&amp;H464&amp;");"</f>
        <v>INSERT INTO COTACAO (blt_id, pap_id, cot_prc_comum, cot_prc_min, cot_prc_max, cot_prc_med, cot_prc_mediana) VALUES (12, 31, 100, 90, 110, 101.67, 100);</v>
      </c>
    </row>
    <row r="465" customFormat="false" ht="14.25" hidden="false" customHeight="false" outlineLevel="0" collapsed="false">
      <c r="A465" s="1" t="n">
        <v>464</v>
      </c>
      <c r="B465" s="1" t="n">
        <v>12</v>
      </c>
      <c r="C465" s="1" t="n">
        <v>32</v>
      </c>
      <c r="D465" s="16" t="n">
        <f aca="false">IF('Boletins Nuppa Site'!G465&lt;&gt;0,'Boletins Nuppa Site'!G465,"NULL")</f>
        <v>70</v>
      </c>
      <c r="E465" s="16" t="n">
        <f aca="false">IF('Boletins Nuppa Site'!H465&lt;&gt;0,'Boletins Nuppa Site'!H465,"NULL")</f>
        <v>60</v>
      </c>
      <c r="F465" s="16" t="n">
        <f aca="false">IF('Boletins Nuppa Site'!I465&lt;&gt;0,'Boletins Nuppa Site'!I465,"NULL")</f>
        <v>90</v>
      </c>
      <c r="G465" s="16" t="n">
        <f aca="false">IF('Boletins Nuppa Site'!J465&lt;&gt;0,'Boletins Nuppa Site'!J465,"NULL")</f>
        <v>74</v>
      </c>
      <c r="H465" s="16" t="n">
        <f aca="false">IF('Boletins Nuppa Site'!K465&lt;&gt;0,'Boletins Nuppa Site'!K465,"NULL")</f>
        <v>70</v>
      </c>
      <c r="J465" s="1" t="str">
        <f aca="false">"INSERT INTO COTACAO (blt_id, pap_id, cot_prc_comum, cot_prc_min, cot_prc_max, cot_prc_med, cot_prc_mediana) VALUES ("&amp;B465&amp;", "&amp;C465&amp;", "&amp;D465&amp;", "&amp;E465&amp;", "&amp;F465&amp;", "&amp;G465&amp;", "&amp;H465&amp;");"</f>
        <v>INSERT INTO COTACAO (blt_id, pap_id, cot_prc_comum, cot_prc_min, cot_prc_max, cot_prc_med, cot_prc_mediana) VALUES (12, 32, 70, 60, 90, 74, 70);</v>
      </c>
    </row>
    <row r="466" customFormat="false" ht="14.25" hidden="false" customHeight="false" outlineLevel="0" collapsed="false">
      <c r="A466" s="1" t="n">
        <v>465</v>
      </c>
      <c r="B466" s="1" t="n">
        <v>12</v>
      </c>
      <c r="C466" s="1" t="n">
        <v>33</v>
      </c>
      <c r="D466" s="16" t="n">
        <f aca="false">IF('Boletins Nuppa Site'!G466&lt;&gt;0,'Boletins Nuppa Site'!G466,"NULL")</f>
        <v>120</v>
      </c>
      <c r="E466" s="16" t="n">
        <f aca="false">IF('Boletins Nuppa Site'!H466&lt;&gt;0,'Boletins Nuppa Site'!H466,"NULL")</f>
        <v>100</v>
      </c>
      <c r="F466" s="16" t="n">
        <f aca="false">IF('Boletins Nuppa Site'!I466&lt;&gt;0,'Boletins Nuppa Site'!I466,"NULL")</f>
        <v>130</v>
      </c>
      <c r="G466" s="1" t="str">
        <f aca="false">IF('Boletins Nuppa Site'!J466&lt;&gt;0,'Boletins Nuppa Site'!J466,"NULL")</f>
        <v>117.5</v>
      </c>
      <c r="H466" s="16" t="n">
        <f aca="false">IF('Boletins Nuppa Site'!K466&lt;&gt;0,'Boletins Nuppa Site'!K466,"NULL")</f>
        <v>120</v>
      </c>
      <c r="J466" s="1" t="str">
        <f aca="false">"INSERT INTO COTACAO (blt_id, pap_id, cot_prc_comum, cot_prc_min, cot_prc_max, cot_prc_med, cot_prc_mediana) VALUES ("&amp;B466&amp;", "&amp;C466&amp;", "&amp;D466&amp;", "&amp;E466&amp;", "&amp;F466&amp;", "&amp;G466&amp;", "&amp;H466&amp;");"</f>
        <v>INSERT INTO COTACAO (blt_id, pap_id, cot_prc_comum, cot_prc_min, cot_prc_max, cot_prc_med, cot_prc_mediana) VALUES (12, 33, 120, 100, 130, 117.5, 120);</v>
      </c>
    </row>
    <row r="467" customFormat="false" ht="14.25" hidden="false" customHeight="false" outlineLevel="0" collapsed="false">
      <c r="A467" s="1" t="n">
        <v>466</v>
      </c>
      <c r="B467" s="1" t="n">
        <v>12</v>
      </c>
      <c r="C467" s="1" t="n">
        <v>34</v>
      </c>
      <c r="D467" s="16" t="n">
        <f aca="false">IF('Boletins Nuppa Site'!G467&lt;&gt;0,'Boletins Nuppa Site'!G467,"NULL")</f>
        <v>150</v>
      </c>
      <c r="E467" s="16" t="n">
        <f aca="false">IF('Boletins Nuppa Site'!H467&lt;&gt;0,'Boletins Nuppa Site'!H467,"NULL")</f>
        <v>100</v>
      </c>
      <c r="F467" s="16" t="n">
        <f aca="false">IF('Boletins Nuppa Site'!I467&lt;&gt;0,'Boletins Nuppa Site'!I467,"NULL")</f>
        <v>190</v>
      </c>
      <c r="G467" s="16" t="n">
        <f aca="false">IF('Boletins Nuppa Site'!J467&lt;&gt;0,'Boletins Nuppa Site'!J467,"NULL")</f>
        <v>150</v>
      </c>
      <c r="H467" s="16" t="n">
        <f aca="false">IF('Boletins Nuppa Site'!K467&lt;&gt;0,'Boletins Nuppa Site'!K467,"NULL")</f>
        <v>150</v>
      </c>
      <c r="J467" s="1" t="str">
        <f aca="false">"INSERT INTO COTACAO (blt_id, pap_id, cot_prc_comum, cot_prc_min, cot_prc_max, cot_prc_med, cot_prc_mediana) VALUES ("&amp;B467&amp;", "&amp;C467&amp;", "&amp;D467&amp;", "&amp;E467&amp;", "&amp;F467&amp;", "&amp;G467&amp;", "&amp;H467&amp;");"</f>
        <v>INSERT INTO COTACAO (blt_id, pap_id, cot_prc_comum, cot_prc_min, cot_prc_max, cot_prc_med, cot_prc_mediana) VALUES (12, 34, 150, 100, 190, 150, 150);</v>
      </c>
    </row>
    <row r="468" customFormat="false" ht="14.25" hidden="false" customHeight="false" outlineLevel="0" collapsed="false">
      <c r="A468" s="1" t="n">
        <v>467</v>
      </c>
      <c r="B468" s="1" t="n">
        <v>12</v>
      </c>
      <c r="C468" s="1" t="n">
        <v>35</v>
      </c>
      <c r="D468" s="16" t="n">
        <f aca="false">IF('Boletins Nuppa Site'!G468&lt;&gt;0,'Boletins Nuppa Site'!G468,"NULL")</f>
        <v>180</v>
      </c>
      <c r="E468" s="16" t="n">
        <f aca="false">IF('Boletins Nuppa Site'!H468&lt;&gt;0,'Boletins Nuppa Site'!H468,"NULL")</f>
        <v>160</v>
      </c>
      <c r="F468" s="16" t="n">
        <f aca="false">IF('Boletins Nuppa Site'!I468&lt;&gt;0,'Boletins Nuppa Site'!I468,"NULL")</f>
        <v>180</v>
      </c>
      <c r="G468" s="1" t="str">
        <f aca="false">IF('Boletins Nuppa Site'!J468&lt;&gt;0,'Boletins Nuppa Site'!J468,"NULL")</f>
        <v>172.5</v>
      </c>
      <c r="H468" s="16" t="n">
        <f aca="false">IF('Boletins Nuppa Site'!K468&lt;&gt;0,'Boletins Nuppa Site'!K468,"NULL")</f>
        <v>175</v>
      </c>
      <c r="J468" s="1" t="str">
        <f aca="false">"INSERT INTO COTACAO (blt_id, pap_id, cot_prc_comum, cot_prc_min, cot_prc_max, cot_prc_med, cot_prc_mediana) VALUES ("&amp;B468&amp;", "&amp;C468&amp;", "&amp;D468&amp;", "&amp;E468&amp;", "&amp;F468&amp;", "&amp;G468&amp;", "&amp;H468&amp;");"</f>
        <v>INSERT INTO COTACAO (blt_id, pap_id, cot_prc_comum, cot_prc_min, cot_prc_max, cot_prc_med, cot_prc_mediana) VALUES (12, 35, 180, 160, 180, 172.5, 175);</v>
      </c>
    </row>
    <row r="469" customFormat="false" ht="14.25" hidden="false" customHeight="false" outlineLevel="0" collapsed="false">
      <c r="A469" s="1" t="n">
        <v>468</v>
      </c>
      <c r="B469" s="1" t="n">
        <v>12</v>
      </c>
      <c r="C469" s="1" t="n">
        <v>36</v>
      </c>
      <c r="D469" s="1" t="str">
        <f aca="false">IF('Boletins Nuppa Site'!G469&lt;&gt;0,'Boletins Nuppa Site'!G469,"NULL")</f>
        <v>NULL</v>
      </c>
      <c r="E469" s="16" t="n">
        <f aca="false">IF('Boletins Nuppa Site'!H469&lt;&gt;0,'Boletins Nuppa Site'!H469,"NULL")</f>
        <v>130</v>
      </c>
      <c r="F469" s="16" t="n">
        <f aca="false">IF('Boletins Nuppa Site'!I469&lt;&gt;0,'Boletins Nuppa Site'!I469,"NULL")</f>
        <v>130</v>
      </c>
      <c r="G469" s="16" t="n">
        <f aca="false">IF('Boletins Nuppa Site'!J469&lt;&gt;0,'Boletins Nuppa Site'!J469,"NULL")</f>
        <v>130</v>
      </c>
      <c r="H469" s="16" t="n">
        <f aca="false">IF('Boletins Nuppa Site'!K469&lt;&gt;0,'Boletins Nuppa Site'!K469,"NULL")</f>
        <v>130</v>
      </c>
      <c r="J469" s="1" t="str">
        <f aca="false">"INSERT INTO COTACAO (blt_id, pap_id, cot_prc_comum, cot_prc_min, cot_prc_max, cot_prc_med, cot_prc_mediana) VALUES ("&amp;B469&amp;", "&amp;C469&amp;", "&amp;D469&amp;", "&amp;E469&amp;", "&amp;F469&amp;", "&amp;G469&amp;", "&amp;H469&amp;");"</f>
        <v>INSERT INTO COTACAO (blt_id, pap_id, cot_prc_comum, cot_prc_min, cot_prc_max, cot_prc_med, cot_prc_mediana) VALUES (12, 36, NULL, 130, 130, 130, 130);</v>
      </c>
    </row>
    <row r="470" customFormat="false" ht="14.25" hidden="false" customHeight="false" outlineLevel="0" collapsed="false">
      <c r="A470" s="1" t="n">
        <v>469</v>
      </c>
      <c r="B470" s="1" t="n">
        <v>12</v>
      </c>
      <c r="C470" s="1" t="n">
        <v>37</v>
      </c>
      <c r="D470" s="1" t="str">
        <f aca="false">IF('Boletins Nuppa Site'!G470&lt;&gt;0,'Boletins Nuppa Site'!G470,"NULL")</f>
        <v>NULL</v>
      </c>
      <c r="E470" s="16" t="n">
        <f aca="false">IF('Boletins Nuppa Site'!H470&lt;&gt;0,'Boletins Nuppa Site'!H470,"NULL")</f>
        <v>60</v>
      </c>
      <c r="F470" s="16" t="n">
        <f aca="false">IF('Boletins Nuppa Site'!I470&lt;&gt;0,'Boletins Nuppa Site'!I470,"NULL")</f>
        <v>75</v>
      </c>
      <c r="G470" s="1" t="str">
        <f aca="false">IF('Boletins Nuppa Site'!J470&lt;&gt;0,'Boletins Nuppa Site'!J470,"NULL")</f>
        <v>67.5</v>
      </c>
      <c r="H470" s="1" t="str">
        <f aca="false">IF('Boletins Nuppa Site'!K470&lt;&gt;0,'Boletins Nuppa Site'!K470,"NULL")</f>
        <v>67.5</v>
      </c>
      <c r="J470" s="1" t="str">
        <f aca="false">"INSERT INTO COTACAO (blt_id, pap_id, cot_prc_comum, cot_prc_min, cot_prc_max, cot_prc_med, cot_prc_mediana) VALUES ("&amp;B470&amp;", "&amp;C470&amp;", "&amp;D470&amp;", "&amp;E470&amp;", "&amp;F470&amp;", "&amp;G470&amp;", "&amp;H470&amp;");"</f>
        <v>INSERT INTO COTACAO (blt_id, pap_id, cot_prc_comum, cot_prc_min, cot_prc_max, cot_prc_med, cot_prc_mediana) VALUES (12, 37, NULL, 60, 75, 67.5, 67.5);</v>
      </c>
    </row>
    <row r="471" customFormat="false" ht="14.25" hidden="false" customHeight="false" outlineLevel="0" collapsed="false">
      <c r="A471" s="1" t="n">
        <v>470</v>
      </c>
      <c r="B471" s="1" t="n">
        <v>12</v>
      </c>
      <c r="C471" s="1" t="n">
        <v>38</v>
      </c>
      <c r="D471" s="1" t="str">
        <f aca="false">IF('Boletins Nuppa Site'!G471&lt;&gt;0,'Boletins Nuppa Site'!G471,"NULL")</f>
        <v>NULL</v>
      </c>
      <c r="E471" s="16" t="n">
        <f aca="false">IF('Boletins Nuppa Site'!H471&lt;&gt;0,'Boletins Nuppa Site'!H471,"NULL")</f>
        <v>40</v>
      </c>
      <c r="F471" s="16" t="n">
        <f aca="false">IF('Boletins Nuppa Site'!I471&lt;&gt;0,'Boletins Nuppa Site'!I471,"NULL")</f>
        <v>45</v>
      </c>
      <c r="G471" s="1" t="str">
        <f aca="false">IF('Boletins Nuppa Site'!J471&lt;&gt;0,'Boletins Nuppa Site'!J471,"NULL")</f>
        <v>42.5</v>
      </c>
      <c r="H471" s="1" t="str">
        <f aca="false">IF('Boletins Nuppa Site'!K471&lt;&gt;0,'Boletins Nuppa Site'!K471,"NULL")</f>
        <v>42.5</v>
      </c>
      <c r="J471" s="1" t="str">
        <f aca="false">"INSERT INTO COTACAO (blt_id, pap_id, cot_prc_comum, cot_prc_min, cot_prc_max, cot_prc_med, cot_prc_mediana) VALUES ("&amp;B471&amp;", "&amp;C471&amp;", "&amp;D471&amp;", "&amp;E471&amp;", "&amp;F471&amp;", "&amp;G471&amp;", "&amp;H471&amp;");"</f>
        <v>INSERT INTO COTACAO (blt_id, pap_id, cot_prc_comum, cot_prc_min, cot_prc_max, cot_prc_med, cot_prc_mediana) VALUES (12, 38, NULL, 40, 45, 42.5, 42.5);</v>
      </c>
    </row>
    <row r="472" customFormat="false" ht="14.25" hidden="false" customHeight="false" outlineLevel="0" collapsed="false">
      <c r="A472" s="1" t="n">
        <v>471</v>
      </c>
      <c r="B472" s="1" t="n">
        <v>12</v>
      </c>
      <c r="C472" s="1" t="n">
        <v>39</v>
      </c>
      <c r="D472" s="1" t="str">
        <f aca="false">IF('Boletins Nuppa Site'!G472&lt;&gt;0,'Boletins Nuppa Site'!G472,"NULL")</f>
        <v>NULL</v>
      </c>
      <c r="E472" s="16" t="n">
        <f aca="false">IF('Boletins Nuppa Site'!H472&lt;&gt;0,'Boletins Nuppa Site'!H472,"NULL")</f>
        <v>48</v>
      </c>
      <c r="F472" s="16" t="n">
        <f aca="false">IF('Boletins Nuppa Site'!I472&lt;&gt;0,'Boletins Nuppa Site'!I472,"NULL")</f>
        <v>48</v>
      </c>
      <c r="G472" s="16" t="n">
        <f aca="false">IF('Boletins Nuppa Site'!J472&lt;&gt;0,'Boletins Nuppa Site'!J472,"NULL")</f>
        <v>48</v>
      </c>
      <c r="H472" s="16" t="n">
        <f aca="false">IF('Boletins Nuppa Site'!K472&lt;&gt;0,'Boletins Nuppa Site'!K472,"NULL")</f>
        <v>48</v>
      </c>
      <c r="J472" s="1" t="str">
        <f aca="false">"INSERT INTO COTACAO (blt_id, pap_id, cot_prc_comum, cot_prc_min, cot_prc_max, cot_prc_med, cot_prc_mediana) VALUES ("&amp;B472&amp;", "&amp;C472&amp;", "&amp;D472&amp;", "&amp;E472&amp;", "&amp;F472&amp;", "&amp;G472&amp;", "&amp;H472&amp;");"</f>
        <v>INSERT INTO COTACAO (blt_id, pap_id, cot_prc_comum, cot_prc_min, cot_prc_max, cot_prc_med, cot_prc_mediana) VALUES (12, 39, NULL, 48, 48, 48, 48);</v>
      </c>
    </row>
    <row r="473" customFormat="false" ht="14.25" hidden="false" customHeight="false" outlineLevel="0" collapsed="false">
      <c r="A473" s="1" t="n">
        <v>472</v>
      </c>
      <c r="B473" s="1" t="n">
        <v>12</v>
      </c>
      <c r="C473" s="1" t="n">
        <v>40</v>
      </c>
      <c r="D473" s="1" t="str">
        <f aca="false">IF('Boletins Nuppa Site'!G473&lt;&gt;0,'Boletins Nuppa Site'!G473,"NULL")</f>
        <v>NULL</v>
      </c>
      <c r="E473" s="16" t="n">
        <f aca="false">IF('Boletins Nuppa Site'!H473&lt;&gt;0,'Boletins Nuppa Site'!H473,"NULL")</f>
        <v>75</v>
      </c>
      <c r="F473" s="16" t="n">
        <f aca="false">IF('Boletins Nuppa Site'!I473&lt;&gt;0,'Boletins Nuppa Site'!I473,"NULL")</f>
        <v>75</v>
      </c>
      <c r="G473" s="16" t="n">
        <f aca="false">IF('Boletins Nuppa Site'!J473&lt;&gt;0,'Boletins Nuppa Site'!J473,"NULL")</f>
        <v>75</v>
      </c>
      <c r="H473" s="16" t="n">
        <f aca="false">IF('Boletins Nuppa Site'!K473&lt;&gt;0,'Boletins Nuppa Site'!K473,"NULL")</f>
        <v>75</v>
      </c>
      <c r="J473" s="1" t="str">
        <f aca="false">"INSERT INTO COTACAO (blt_id, pap_id, cot_prc_comum, cot_prc_min, cot_prc_max, cot_prc_med, cot_prc_mediana) VALUES ("&amp;B473&amp;", "&amp;C473&amp;", "&amp;D473&amp;", "&amp;E473&amp;", "&amp;F473&amp;", "&amp;G473&amp;", "&amp;H473&amp;");"</f>
        <v>INSERT INTO COTACAO (blt_id, pap_id, cot_prc_comum, cot_prc_min, cot_prc_max, cot_prc_med, cot_prc_mediana) VALUES (12, 40, NULL, 75, 75, 75, 75);</v>
      </c>
    </row>
    <row r="474" customFormat="false" ht="14.25" hidden="false" customHeight="false" outlineLevel="0" collapsed="false">
      <c r="A474" s="1" t="n">
        <v>473</v>
      </c>
      <c r="B474" s="1" t="n">
        <v>13</v>
      </c>
      <c r="C474" s="1" t="n">
        <v>1</v>
      </c>
      <c r="D474" s="16" t="n">
        <f aca="false">IF('Boletins Nuppa Site'!G474&lt;&gt;0,'Boletins Nuppa Site'!G474,"NULL")</f>
        <v>60</v>
      </c>
      <c r="E474" s="16" t="n">
        <f aca="false">IF('Boletins Nuppa Site'!H474&lt;&gt;0,'Boletins Nuppa Site'!H474,"NULL")</f>
        <v>28</v>
      </c>
      <c r="F474" s="16" t="n">
        <f aca="false">IF('Boletins Nuppa Site'!I474&lt;&gt;0,'Boletins Nuppa Site'!I474,"NULL")</f>
        <v>60</v>
      </c>
      <c r="G474" s="1" t="str">
        <f aca="false">IF('Boletins Nuppa Site'!J474&lt;&gt;0,'Boletins Nuppa Site'!J474,"NULL")</f>
        <v>49.33</v>
      </c>
      <c r="H474" s="16" t="n">
        <f aca="false">IF('Boletins Nuppa Site'!K474&lt;&gt;0,'Boletins Nuppa Site'!K474,"NULL")</f>
        <v>60</v>
      </c>
      <c r="J474" s="1" t="str">
        <f aca="false">"INSERT INTO COTACAO (blt_id, pap_id, cot_prc_comum, cot_prc_min, cot_prc_max, cot_prc_med, cot_prc_mediana) VALUES ("&amp;B474&amp;", "&amp;C474&amp;", "&amp;D474&amp;", "&amp;E474&amp;", "&amp;F474&amp;", "&amp;G474&amp;", "&amp;H474&amp;");"</f>
        <v>INSERT INTO COTACAO (blt_id, pap_id, cot_prc_comum, cot_prc_min, cot_prc_max, cot_prc_med, cot_prc_mediana) VALUES (13, 1, 60, 28, 60, 49.33, 60);</v>
      </c>
    </row>
    <row r="475" customFormat="false" ht="14.25" hidden="false" customHeight="false" outlineLevel="0" collapsed="false">
      <c r="A475" s="1" t="n">
        <v>474</v>
      </c>
      <c r="B475" s="1" t="n">
        <v>13</v>
      </c>
      <c r="C475" s="1" t="n">
        <v>2</v>
      </c>
      <c r="D475" s="1" t="str">
        <f aca="false">IF('Boletins Nuppa Site'!G475&lt;&gt;0,'Boletins Nuppa Site'!G475,"NULL")</f>
        <v>NULL</v>
      </c>
      <c r="E475" s="16" t="n">
        <f aca="false">IF('Boletins Nuppa Site'!H475&lt;&gt;0,'Boletins Nuppa Site'!H475,"NULL")</f>
        <v>72</v>
      </c>
      <c r="F475" s="16" t="n">
        <f aca="false">IF('Boletins Nuppa Site'!I475&lt;&gt;0,'Boletins Nuppa Site'!I475,"NULL")</f>
        <v>84</v>
      </c>
      <c r="G475" s="1" t="str">
        <f aca="false">IF('Boletins Nuppa Site'!J475&lt;&gt;0,'Boletins Nuppa Site'!J475,"NULL")</f>
        <v>78.67</v>
      </c>
      <c r="H475" s="16" t="n">
        <f aca="false">IF('Boletins Nuppa Site'!K475&lt;&gt;0,'Boletins Nuppa Site'!K475,"NULL")</f>
        <v>80</v>
      </c>
      <c r="J475" s="1" t="str">
        <f aca="false">"INSERT INTO COTACAO (blt_id, pap_id, cot_prc_comum, cot_prc_min, cot_prc_max, cot_prc_med, cot_prc_mediana) VALUES ("&amp;B475&amp;", "&amp;C475&amp;", "&amp;D475&amp;", "&amp;E475&amp;", "&amp;F475&amp;", "&amp;G475&amp;", "&amp;H475&amp;");"</f>
        <v>INSERT INTO COTACAO (blt_id, pap_id, cot_prc_comum, cot_prc_min, cot_prc_max, cot_prc_med, cot_prc_mediana) VALUES (13, 2, NULL, 72, 84, 78.67, 80);</v>
      </c>
    </row>
    <row r="476" customFormat="false" ht="14.25" hidden="false" customHeight="false" outlineLevel="0" collapsed="false">
      <c r="A476" s="1" t="n">
        <v>475</v>
      </c>
      <c r="B476" s="1" t="n">
        <v>13</v>
      </c>
      <c r="C476" s="1" t="n">
        <v>3</v>
      </c>
      <c r="D476" s="1" t="str">
        <f aca="false">IF('Boletins Nuppa Site'!G476&lt;&gt;0,'Boletins Nuppa Site'!G476,"NULL")</f>
        <v>NULL</v>
      </c>
      <c r="E476" s="16" t="n">
        <f aca="false">IF('Boletins Nuppa Site'!H476&lt;&gt;0,'Boletins Nuppa Site'!H476,"NULL")</f>
        <v>42</v>
      </c>
      <c r="F476" s="16" t="n">
        <f aca="false">IF('Boletins Nuppa Site'!I476&lt;&gt;0,'Boletins Nuppa Site'!I476,"NULL")</f>
        <v>60</v>
      </c>
      <c r="G476" s="16" t="n">
        <f aca="false">IF('Boletins Nuppa Site'!J476&lt;&gt;0,'Boletins Nuppa Site'!J476,"NULL")</f>
        <v>50</v>
      </c>
      <c r="H476" s="16" t="n">
        <f aca="false">IF('Boletins Nuppa Site'!K476&lt;&gt;0,'Boletins Nuppa Site'!K476,"NULL")</f>
        <v>48</v>
      </c>
      <c r="J476" s="1" t="str">
        <f aca="false">"INSERT INTO COTACAO (blt_id, pap_id, cot_prc_comum, cot_prc_min, cot_prc_max, cot_prc_med, cot_prc_mediana) VALUES ("&amp;B476&amp;", "&amp;C476&amp;", "&amp;D476&amp;", "&amp;E476&amp;", "&amp;F476&amp;", "&amp;G476&amp;", "&amp;H476&amp;");"</f>
        <v>INSERT INTO COTACAO (blt_id, pap_id, cot_prc_comum, cot_prc_min, cot_prc_max, cot_prc_med, cot_prc_mediana) VALUES (13, 3, NULL, 42, 60, 50, 48);</v>
      </c>
    </row>
    <row r="477" customFormat="false" ht="14.25" hidden="false" customHeight="false" outlineLevel="0" collapsed="false">
      <c r="A477" s="1" t="n">
        <v>476</v>
      </c>
      <c r="B477" s="1" t="n">
        <v>13</v>
      </c>
      <c r="C477" s="1" t="n">
        <v>4</v>
      </c>
      <c r="D477" s="16" t="n">
        <f aca="false">IF('Boletins Nuppa Site'!G477&lt;&gt;0,'Boletins Nuppa Site'!G477,"NULL")</f>
        <v>30</v>
      </c>
      <c r="E477" s="16" t="n">
        <f aca="false">IF('Boletins Nuppa Site'!H477&lt;&gt;0,'Boletins Nuppa Site'!H477,"NULL")</f>
        <v>30</v>
      </c>
      <c r="F477" s="16" t="n">
        <f aca="false">IF('Boletins Nuppa Site'!I477&lt;&gt;0,'Boletins Nuppa Site'!I477,"NULL")</f>
        <v>36</v>
      </c>
      <c r="G477" s="1" t="str">
        <f aca="false">IF('Boletins Nuppa Site'!J477&lt;&gt;0,'Boletins Nuppa Site'!J477,"NULL")</f>
        <v>32.75</v>
      </c>
      <c r="H477" s="1" t="str">
        <f aca="false">IF('Boletins Nuppa Site'!K477&lt;&gt;0,'Boletins Nuppa Site'!K477,"NULL")</f>
        <v>32.5</v>
      </c>
      <c r="J477" s="1" t="str">
        <f aca="false">"INSERT INTO COTACAO (blt_id, pap_id, cot_prc_comum, cot_prc_min, cot_prc_max, cot_prc_med, cot_prc_mediana) VALUES ("&amp;B477&amp;", "&amp;C477&amp;", "&amp;D477&amp;", "&amp;E477&amp;", "&amp;F477&amp;", "&amp;G477&amp;", "&amp;H477&amp;");"</f>
        <v>INSERT INTO COTACAO (blt_id, pap_id, cot_prc_comum, cot_prc_min, cot_prc_max, cot_prc_med, cot_prc_mediana) VALUES (13, 4, 30, 30, 36, 32.75, 32.5);</v>
      </c>
    </row>
    <row r="478" customFormat="false" ht="14.25" hidden="false" customHeight="false" outlineLevel="0" collapsed="false">
      <c r="A478" s="1" t="n">
        <v>477</v>
      </c>
      <c r="B478" s="1" t="n">
        <v>13</v>
      </c>
      <c r="C478" s="1" t="n">
        <v>5</v>
      </c>
      <c r="D478" s="1" t="str">
        <f aca="false">IF('Boletins Nuppa Site'!G478&lt;&gt;0,'Boletins Nuppa Site'!G478,"NULL")</f>
        <v>NULL</v>
      </c>
      <c r="E478" s="16" t="n">
        <f aca="false">IF('Boletins Nuppa Site'!H478&lt;&gt;0,'Boletins Nuppa Site'!H478,"NULL")</f>
        <v>30</v>
      </c>
      <c r="F478" s="16" t="n">
        <f aca="false">IF('Boletins Nuppa Site'!I478&lt;&gt;0,'Boletins Nuppa Site'!I478,"NULL")</f>
        <v>36</v>
      </c>
      <c r="G478" s="1" t="str">
        <f aca="false">IF('Boletins Nuppa Site'!J478&lt;&gt;0,'Boletins Nuppa Site'!J478,"NULL")</f>
        <v>33.67</v>
      </c>
      <c r="H478" s="16" t="n">
        <f aca="false">IF('Boletins Nuppa Site'!K478&lt;&gt;0,'Boletins Nuppa Site'!K478,"NULL")</f>
        <v>35</v>
      </c>
      <c r="J478" s="1" t="str">
        <f aca="false">"INSERT INTO COTACAO (blt_id, pap_id, cot_prc_comum, cot_prc_min, cot_prc_max, cot_prc_med, cot_prc_mediana) VALUES ("&amp;B478&amp;", "&amp;C478&amp;", "&amp;D478&amp;", "&amp;E478&amp;", "&amp;F478&amp;", "&amp;G478&amp;", "&amp;H478&amp;");"</f>
        <v>INSERT INTO COTACAO (blt_id, pap_id, cot_prc_comum, cot_prc_min, cot_prc_max, cot_prc_med, cot_prc_mediana) VALUES (13, 5, NULL, 30, 36, 33.67, 35);</v>
      </c>
    </row>
    <row r="479" customFormat="false" ht="14.25" hidden="false" customHeight="false" outlineLevel="0" collapsed="false">
      <c r="A479" s="1" t="n">
        <v>478</v>
      </c>
      <c r="B479" s="1" t="n">
        <v>13</v>
      </c>
      <c r="C479" s="1" t="n">
        <v>6</v>
      </c>
      <c r="D479" s="16" t="n">
        <f aca="false">IF('Boletins Nuppa Site'!G479&lt;&gt;0,'Boletins Nuppa Site'!G479,"NULL")</f>
        <v>60</v>
      </c>
      <c r="E479" s="16" t="n">
        <f aca="false">IF('Boletins Nuppa Site'!H479&lt;&gt;0,'Boletins Nuppa Site'!H479,"NULL")</f>
        <v>60</v>
      </c>
      <c r="F479" s="16" t="n">
        <f aca="false">IF('Boletins Nuppa Site'!I479&lt;&gt;0,'Boletins Nuppa Site'!I479,"NULL")</f>
        <v>60</v>
      </c>
      <c r="G479" s="16" t="n">
        <f aca="false">IF('Boletins Nuppa Site'!J479&lt;&gt;0,'Boletins Nuppa Site'!J479,"NULL")</f>
        <v>60</v>
      </c>
      <c r="H479" s="16" t="n">
        <f aca="false">IF('Boletins Nuppa Site'!K479&lt;&gt;0,'Boletins Nuppa Site'!K479,"NULL")</f>
        <v>60</v>
      </c>
      <c r="J479" s="1" t="str">
        <f aca="false">"INSERT INTO COTACAO (blt_id, pap_id, cot_prc_comum, cot_prc_min, cot_prc_max, cot_prc_med, cot_prc_mediana) VALUES ("&amp;B479&amp;", "&amp;C479&amp;", "&amp;D479&amp;", "&amp;E479&amp;", "&amp;F479&amp;", "&amp;G479&amp;", "&amp;H479&amp;");"</f>
        <v>INSERT INTO COTACAO (blt_id, pap_id, cot_prc_comum, cot_prc_min, cot_prc_max, cot_prc_med, cot_prc_mediana) VALUES (13, 6, 60, 60, 60, 60, 60);</v>
      </c>
    </row>
    <row r="480" customFormat="false" ht="14.25" hidden="false" customHeight="false" outlineLevel="0" collapsed="false">
      <c r="A480" s="1" t="n">
        <v>479</v>
      </c>
      <c r="B480" s="1" t="n">
        <v>13</v>
      </c>
      <c r="C480" s="1" t="n">
        <v>7</v>
      </c>
      <c r="D480" s="16" t="n">
        <f aca="false">IF('Boletins Nuppa Site'!G480&lt;&gt;0,'Boletins Nuppa Site'!G480,"NULL")</f>
        <v>84</v>
      </c>
      <c r="E480" s="16" t="n">
        <f aca="false">IF('Boletins Nuppa Site'!H480&lt;&gt;0,'Boletins Nuppa Site'!H480,"NULL")</f>
        <v>84</v>
      </c>
      <c r="F480" s="16" t="n">
        <f aca="false">IF('Boletins Nuppa Site'!I480&lt;&gt;0,'Boletins Nuppa Site'!I480,"NULL")</f>
        <v>96</v>
      </c>
      <c r="G480" s="16" t="n">
        <f aca="false">IF('Boletins Nuppa Site'!J480&lt;&gt;0,'Boletins Nuppa Site'!J480,"NULL")</f>
        <v>88</v>
      </c>
      <c r="H480" s="16" t="n">
        <f aca="false">IF('Boletins Nuppa Site'!K480&lt;&gt;0,'Boletins Nuppa Site'!K480,"NULL")</f>
        <v>84</v>
      </c>
      <c r="J480" s="1" t="str">
        <f aca="false">"INSERT INTO COTACAO (blt_id, pap_id, cot_prc_comum, cot_prc_min, cot_prc_max, cot_prc_med, cot_prc_mediana) VALUES ("&amp;B480&amp;", "&amp;C480&amp;", "&amp;D480&amp;", "&amp;E480&amp;", "&amp;F480&amp;", "&amp;G480&amp;", "&amp;H480&amp;");"</f>
        <v>INSERT INTO COTACAO (blt_id, pap_id, cot_prc_comum, cot_prc_min, cot_prc_max, cot_prc_med, cot_prc_mediana) VALUES (13, 7, 84, 84, 96, 88, 84);</v>
      </c>
    </row>
    <row r="481" customFormat="false" ht="14.25" hidden="false" customHeight="false" outlineLevel="0" collapsed="false">
      <c r="A481" s="1" t="n">
        <v>480</v>
      </c>
      <c r="B481" s="1" t="n">
        <v>13</v>
      </c>
      <c r="C481" s="1" t="n">
        <v>8</v>
      </c>
      <c r="D481" s="16" t="n">
        <f aca="false">IF('Boletins Nuppa Site'!G481&lt;&gt;0,'Boletins Nuppa Site'!G481,"NULL")</f>
        <v>96</v>
      </c>
      <c r="E481" s="16" t="n">
        <f aca="false">IF('Boletins Nuppa Site'!H481&lt;&gt;0,'Boletins Nuppa Site'!H481,"NULL")</f>
        <v>96</v>
      </c>
      <c r="F481" s="16" t="n">
        <f aca="false">IF('Boletins Nuppa Site'!I481&lt;&gt;0,'Boletins Nuppa Site'!I481,"NULL")</f>
        <v>96</v>
      </c>
      <c r="G481" s="16" t="n">
        <f aca="false">IF('Boletins Nuppa Site'!J481&lt;&gt;0,'Boletins Nuppa Site'!J481,"NULL")</f>
        <v>96</v>
      </c>
      <c r="H481" s="16" t="n">
        <f aca="false">IF('Boletins Nuppa Site'!K481&lt;&gt;0,'Boletins Nuppa Site'!K481,"NULL")</f>
        <v>96</v>
      </c>
      <c r="J481" s="1" t="str">
        <f aca="false">"INSERT INTO COTACAO (blt_id, pap_id, cot_prc_comum, cot_prc_min, cot_prc_max, cot_prc_med, cot_prc_mediana) VALUES ("&amp;B481&amp;", "&amp;C481&amp;", "&amp;D481&amp;", "&amp;E481&amp;", "&amp;F481&amp;", "&amp;G481&amp;", "&amp;H481&amp;");"</f>
        <v>INSERT INTO COTACAO (blt_id, pap_id, cot_prc_comum, cot_prc_min, cot_prc_max, cot_prc_med, cot_prc_mediana) VALUES (13, 8, 96, 96, 96, 96, 96);</v>
      </c>
    </row>
    <row r="482" customFormat="false" ht="14.25" hidden="false" customHeight="false" outlineLevel="0" collapsed="false">
      <c r="A482" s="1" t="n">
        <v>481</v>
      </c>
      <c r="B482" s="1" t="n">
        <v>13</v>
      </c>
      <c r="C482" s="1" t="n">
        <v>9</v>
      </c>
      <c r="D482" s="16" t="n">
        <f aca="false">IF('Boletins Nuppa Site'!G482&lt;&gt;0,'Boletins Nuppa Site'!G482,"NULL")</f>
        <v>30</v>
      </c>
      <c r="E482" s="16" t="n">
        <f aca="false">IF('Boletins Nuppa Site'!H482&lt;&gt;0,'Boletins Nuppa Site'!H482,"NULL")</f>
        <v>30</v>
      </c>
      <c r="F482" s="16" t="n">
        <f aca="false">IF('Boletins Nuppa Site'!I482&lt;&gt;0,'Boletins Nuppa Site'!I482,"NULL")</f>
        <v>36</v>
      </c>
      <c r="G482" s="1" t="str">
        <f aca="false">IF('Boletins Nuppa Site'!J482&lt;&gt;0,'Boletins Nuppa Site'!J482,"NULL")</f>
        <v>31.5</v>
      </c>
      <c r="H482" s="16" t="n">
        <f aca="false">IF('Boletins Nuppa Site'!K482&lt;&gt;0,'Boletins Nuppa Site'!K482,"NULL")</f>
        <v>30</v>
      </c>
      <c r="J482" s="1" t="str">
        <f aca="false">"INSERT INTO COTACAO (blt_id, pap_id, cot_prc_comum, cot_prc_min, cot_prc_max, cot_prc_med, cot_prc_mediana) VALUES ("&amp;B482&amp;", "&amp;C482&amp;", "&amp;D482&amp;", "&amp;E482&amp;", "&amp;F482&amp;", "&amp;G482&amp;", "&amp;H482&amp;");"</f>
        <v>INSERT INTO COTACAO (blt_id, pap_id, cot_prc_comum, cot_prc_min, cot_prc_max, cot_prc_med, cot_prc_mediana) VALUES (13, 9, 30, 30, 36, 31.5, 30);</v>
      </c>
    </row>
    <row r="483" customFormat="false" ht="14.25" hidden="false" customHeight="false" outlineLevel="0" collapsed="false">
      <c r="A483" s="1" t="n">
        <v>482</v>
      </c>
      <c r="B483" s="1" t="n">
        <v>13</v>
      </c>
      <c r="C483" s="1" t="n">
        <v>10</v>
      </c>
      <c r="D483" s="1" t="str">
        <f aca="false">IF('Boletins Nuppa Site'!G483&lt;&gt;0,'Boletins Nuppa Site'!G483,"NULL")</f>
        <v>NULL</v>
      </c>
      <c r="E483" s="16" t="n">
        <f aca="false">IF('Boletins Nuppa Site'!H483&lt;&gt;0,'Boletins Nuppa Site'!H483,"NULL")</f>
        <v>90</v>
      </c>
      <c r="F483" s="16" t="n">
        <f aca="false">IF('Boletins Nuppa Site'!I483&lt;&gt;0,'Boletins Nuppa Site'!I483,"NULL")</f>
        <v>108</v>
      </c>
      <c r="G483" s="16" t="n">
        <f aca="false">IF('Boletins Nuppa Site'!J483&lt;&gt;0,'Boletins Nuppa Site'!J483,"NULL")</f>
        <v>98</v>
      </c>
      <c r="H483" s="16" t="n">
        <f aca="false">IF('Boletins Nuppa Site'!K483&lt;&gt;0,'Boletins Nuppa Site'!K483,"NULL")</f>
        <v>96</v>
      </c>
      <c r="J483" s="1" t="str">
        <f aca="false">"INSERT INTO COTACAO (blt_id, pap_id, cot_prc_comum, cot_prc_min, cot_prc_max, cot_prc_med, cot_prc_mediana) VALUES ("&amp;B483&amp;", "&amp;C483&amp;", "&amp;D483&amp;", "&amp;E483&amp;", "&amp;F483&amp;", "&amp;G483&amp;", "&amp;H483&amp;");"</f>
        <v>INSERT INTO COTACAO (blt_id, pap_id, cot_prc_comum, cot_prc_min, cot_prc_max, cot_prc_med, cot_prc_mediana) VALUES (13, 10, NULL, 90, 108, 98, 96);</v>
      </c>
    </row>
    <row r="484" customFormat="false" ht="14.25" hidden="false" customHeight="false" outlineLevel="0" collapsed="false">
      <c r="A484" s="1" t="n">
        <v>483</v>
      </c>
      <c r="B484" s="1" t="n">
        <v>13</v>
      </c>
      <c r="C484" s="1" t="n">
        <v>11</v>
      </c>
      <c r="D484" s="1" t="str">
        <f aca="false">IF('Boletins Nuppa Site'!G484&lt;&gt;0,'Boletins Nuppa Site'!G484,"NULL")</f>
        <v>NULL</v>
      </c>
      <c r="E484" s="16" t="n">
        <f aca="false">IF('Boletins Nuppa Site'!H484&lt;&gt;0,'Boletins Nuppa Site'!H484,"NULL")</f>
        <v>30</v>
      </c>
      <c r="F484" s="16" t="n">
        <f aca="false">IF('Boletins Nuppa Site'!I484&lt;&gt;0,'Boletins Nuppa Site'!I484,"NULL")</f>
        <v>36</v>
      </c>
      <c r="G484" s="1" t="str">
        <f aca="false">IF('Boletins Nuppa Site'!J484&lt;&gt;0,'Boletins Nuppa Site'!J484,"NULL")</f>
        <v>33.67</v>
      </c>
      <c r="H484" s="16" t="n">
        <f aca="false">IF('Boletins Nuppa Site'!K484&lt;&gt;0,'Boletins Nuppa Site'!K484,"NULL")</f>
        <v>35</v>
      </c>
      <c r="J484" s="1" t="str">
        <f aca="false">"INSERT INTO COTACAO (blt_id, pap_id, cot_prc_comum, cot_prc_min, cot_prc_max, cot_prc_med, cot_prc_mediana) VALUES ("&amp;B484&amp;", "&amp;C484&amp;", "&amp;D484&amp;", "&amp;E484&amp;", "&amp;F484&amp;", "&amp;G484&amp;", "&amp;H484&amp;");"</f>
        <v>INSERT INTO COTACAO (blt_id, pap_id, cot_prc_comum, cot_prc_min, cot_prc_max, cot_prc_med, cot_prc_mediana) VALUES (13, 11, NULL, 30, 36, 33.67, 35);</v>
      </c>
    </row>
    <row r="485" customFormat="false" ht="14.25" hidden="false" customHeight="false" outlineLevel="0" collapsed="false">
      <c r="A485" s="1" t="n">
        <v>484</v>
      </c>
      <c r="B485" s="1" t="n">
        <v>13</v>
      </c>
      <c r="C485" s="1" t="n">
        <v>12</v>
      </c>
      <c r="D485" s="16" t="n">
        <f aca="false">IF('Boletins Nuppa Site'!G485&lt;&gt;0,'Boletins Nuppa Site'!G485,"NULL")</f>
        <v>84</v>
      </c>
      <c r="E485" s="16" t="n">
        <f aca="false">IF('Boletins Nuppa Site'!H485&lt;&gt;0,'Boletins Nuppa Site'!H485,"NULL")</f>
        <v>84</v>
      </c>
      <c r="F485" s="16" t="n">
        <f aca="false">IF('Boletins Nuppa Site'!I485&lt;&gt;0,'Boletins Nuppa Site'!I485,"NULL")</f>
        <v>84</v>
      </c>
      <c r="G485" s="16" t="n">
        <f aca="false">IF('Boletins Nuppa Site'!J485&lt;&gt;0,'Boletins Nuppa Site'!J485,"NULL")</f>
        <v>84</v>
      </c>
      <c r="H485" s="16" t="n">
        <f aca="false">IF('Boletins Nuppa Site'!K485&lt;&gt;0,'Boletins Nuppa Site'!K485,"NULL")</f>
        <v>84</v>
      </c>
      <c r="J485" s="1" t="str">
        <f aca="false">"INSERT INTO COTACAO (blt_id, pap_id, cot_prc_comum, cot_prc_min, cot_prc_max, cot_prc_med, cot_prc_mediana) VALUES ("&amp;B485&amp;", "&amp;C485&amp;", "&amp;D485&amp;", "&amp;E485&amp;", "&amp;F485&amp;", "&amp;G485&amp;", "&amp;H485&amp;");"</f>
        <v>INSERT INTO COTACAO (blt_id, pap_id, cot_prc_comum, cot_prc_min, cot_prc_max, cot_prc_med, cot_prc_mediana) VALUES (13, 12, 84, 84, 84, 84, 84);</v>
      </c>
    </row>
    <row r="486" customFormat="false" ht="14.25" hidden="false" customHeight="false" outlineLevel="0" collapsed="false">
      <c r="A486" s="1" t="n">
        <v>485</v>
      </c>
      <c r="B486" s="1" t="n">
        <v>13</v>
      </c>
      <c r="C486" s="1" t="n">
        <v>13</v>
      </c>
      <c r="D486" s="1" t="str">
        <f aca="false">IF('Boletins Nuppa Site'!G486&lt;&gt;0,'Boletins Nuppa Site'!G486,"NULL")</f>
        <v>NULL</v>
      </c>
      <c r="E486" s="16" t="n">
        <f aca="false">IF('Boletins Nuppa Site'!H486&lt;&gt;0,'Boletins Nuppa Site'!H486,"NULL")</f>
        <v>60</v>
      </c>
      <c r="F486" s="16" t="n">
        <f aca="false">IF('Boletins Nuppa Site'!I486&lt;&gt;0,'Boletins Nuppa Site'!I486,"NULL")</f>
        <v>72</v>
      </c>
      <c r="G486" s="1" t="str">
        <f aca="false">IF('Boletins Nuppa Site'!J486&lt;&gt;0,'Boletins Nuppa Site'!J486,"NULL")</f>
        <v>64.67</v>
      </c>
      <c r="H486" s="16" t="n">
        <f aca="false">IF('Boletins Nuppa Site'!K486&lt;&gt;0,'Boletins Nuppa Site'!K486,"NULL")</f>
        <v>62</v>
      </c>
      <c r="J486" s="1" t="str">
        <f aca="false">"INSERT INTO COTACAO (blt_id, pap_id, cot_prc_comum, cot_prc_min, cot_prc_max, cot_prc_med, cot_prc_mediana) VALUES ("&amp;B486&amp;", "&amp;C486&amp;", "&amp;D486&amp;", "&amp;E486&amp;", "&amp;F486&amp;", "&amp;G486&amp;", "&amp;H486&amp;");"</f>
        <v>INSERT INTO COTACAO (blt_id, pap_id, cot_prc_comum, cot_prc_min, cot_prc_max, cot_prc_med, cot_prc_mediana) VALUES (13, 13, NULL, 60, 72, 64.67, 62);</v>
      </c>
    </row>
    <row r="487" customFormat="false" ht="14.25" hidden="false" customHeight="false" outlineLevel="0" collapsed="false">
      <c r="A487" s="1" t="n">
        <v>486</v>
      </c>
      <c r="B487" s="1" t="n">
        <v>13</v>
      </c>
      <c r="C487" s="1" t="n">
        <v>14</v>
      </c>
      <c r="D487" s="1" t="str">
        <f aca="false">IF('Boletins Nuppa Site'!G487&lt;&gt;0,'Boletins Nuppa Site'!G487,"NULL")</f>
        <v>NULL</v>
      </c>
      <c r="E487" s="16" t="n">
        <f aca="false">IF('Boletins Nuppa Site'!H487&lt;&gt;0,'Boletins Nuppa Site'!H487,"NULL")</f>
        <v>60</v>
      </c>
      <c r="F487" s="16" t="n">
        <f aca="false">IF('Boletins Nuppa Site'!I487&lt;&gt;0,'Boletins Nuppa Site'!I487,"NULL")</f>
        <v>100</v>
      </c>
      <c r="G487" s="1" t="str">
        <f aca="false">IF('Boletins Nuppa Site'!J487&lt;&gt;0,'Boletins Nuppa Site'!J487,"NULL")</f>
        <v>76.67</v>
      </c>
      <c r="H487" s="16" t="n">
        <f aca="false">IF('Boletins Nuppa Site'!K487&lt;&gt;0,'Boletins Nuppa Site'!K487,"NULL")</f>
        <v>70</v>
      </c>
      <c r="J487" s="1" t="str">
        <f aca="false">"INSERT INTO COTACAO (blt_id, pap_id, cot_prc_comum, cot_prc_min, cot_prc_max, cot_prc_med, cot_prc_mediana) VALUES ("&amp;B487&amp;", "&amp;C487&amp;", "&amp;D487&amp;", "&amp;E487&amp;", "&amp;F487&amp;", "&amp;G487&amp;", "&amp;H487&amp;");"</f>
        <v>INSERT INTO COTACAO (blt_id, pap_id, cot_prc_comum, cot_prc_min, cot_prc_max, cot_prc_med, cot_prc_mediana) VALUES (13, 14, NULL, 60, 100, 76.67, 70);</v>
      </c>
    </row>
    <row r="488" customFormat="false" ht="14.25" hidden="false" customHeight="false" outlineLevel="0" collapsed="false">
      <c r="A488" s="1" t="n">
        <v>487</v>
      </c>
      <c r="B488" s="1" t="n">
        <v>13</v>
      </c>
      <c r="C488" s="1" t="n">
        <v>15</v>
      </c>
      <c r="D488" s="1" t="str">
        <f aca="false">IF('Boletins Nuppa Site'!G488&lt;&gt;0,'Boletins Nuppa Site'!G488,"NULL")</f>
        <v>NULL</v>
      </c>
      <c r="E488" s="16" t="n">
        <f aca="false">IF('Boletins Nuppa Site'!H488&lt;&gt;0,'Boletins Nuppa Site'!H488,"NULL")</f>
        <v>48</v>
      </c>
      <c r="F488" s="16" t="n">
        <f aca="false">IF('Boletins Nuppa Site'!I488&lt;&gt;0,'Boletins Nuppa Site'!I488,"NULL")</f>
        <v>60</v>
      </c>
      <c r="G488" s="1" t="str">
        <f aca="false">IF('Boletins Nuppa Site'!J488&lt;&gt;0,'Boletins Nuppa Site'!J488,"NULL")</f>
        <v>54.33</v>
      </c>
      <c r="H488" s="16" t="n">
        <f aca="false">IF('Boletins Nuppa Site'!K488&lt;&gt;0,'Boletins Nuppa Site'!K488,"NULL")</f>
        <v>55</v>
      </c>
      <c r="J488" s="1" t="str">
        <f aca="false">"INSERT INTO COTACAO (blt_id, pap_id, cot_prc_comum, cot_prc_min, cot_prc_max, cot_prc_med, cot_prc_mediana) VALUES ("&amp;B488&amp;", "&amp;C488&amp;", "&amp;D488&amp;", "&amp;E488&amp;", "&amp;F488&amp;", "&amp;G488&amp;", "&amp;H488&amp;");"</f>
        <v>INSERT INTO COTACAO (blt_id, pap_id, cot_prc_comum, cot_prc_min, cot_prc_max, cot_prc_med, cot_prc_mediana) VALUES (13, 15, NULL, 48, 60, 54.33, 55);</v>
      </c>
    </row>
    <row r="489" customFormat="false" ht="14.25" hidden="false" customHeight="false" outlineLevel="0" collapsed="false">
      <c r="A489" s="1" t="n">
        <v>488</v>
      </c>
      <c r="B489" s="1" t="n">
        <v>13</v>
      </c>
      <c r="C489" s="1" t="n">
        <v>16</v>
      </c>
      <c r="D489" s="1" t="str">
        <f aca="false">IF('Boletins Nuppa Site'!G489&lt;&gt;0,'Boletins Nuppa Site'!G489,"NULL")</f>
        <v>NULL</v>
      </c>
      <c r="E489" s="16" t="n">
        <f aca="false">IF('Boletins Nuppa Site'!H489&lt;&gt;0,'Boletins Nuppa Site'!H489,"NULL")</f>
        <v>42</v>
      </c>
      <c r="F489" s="16" t="n">
        <f aca="false">IF('Boletins Nuppa Site'!I489&lt;&gt;0,'Boletins Nuppa Site'!I489,"NULL")</f>
        <v>54</v>
      </c>
      <c r="G489" s="16" t="n">
        <f aca="false">IF('Boletins Nuppa Site'!J489&lt;&gt;0,'Boletins Nuppa Site'!J489,"NULL")</f>
        <v>48</v>
      </c>
      <c r="H489" s="16" t="n">
        <f aca="false">IF('Boletins Nuppa Site'!K489&lt;&gt;0,'Boletins Nuppa Site'!K489,"NULL")</f>
        <v>48</v>
      </c>
      <c r="J489" s="1" t="str">
        <f aca="false">"INSERT INTO COTACAO (blt_id, pap_id, cot_prc_comum, cot_prc_min, cot_prc_max, cot_prc_med, cot_prc_mediana) VALUES ("&amp;B489&amp;", "&amp;C489&amp;", "&amp;D489&amp;", "&amp;E489&amp;", "&amp;F489&amp;", "&amp;G489&amp;", "&amp;H489&amp;");"</f>
        <v>INSERT INTO COTACAO (blt_id, pap_id, cot_prc_comum, cot_prc_min, cot_prc_max, cot_prc_med, cot_prc_mediana) VALUES (13, 16, NULL, 42, 54, 48, 48);</v>
      </c>
    </row>
    <row r="490" customFormat="false" ht="14.25" hidden="false" customHeight="false" outlineLevel="0" collapsed="false">
      <c r="A490" s="1" t="n">
        <v>489</v>
      </c>
      <c r="B490" s="1" t="n">
        <v>13</v>
      </c>
      <c r="C490" s="1" t="n">
        <v>17</v>
      </c>
      <c r="D490" s="16" t="n">
        <f aca="false">IF('Boletins Nuppa Site'!G490&lt;&gt;0,'Boletins Nuppa Site'!G490,"NULL")</f>
        <v>6</v>
      </c>
      <c r="E490" s="1" t="str">
        <f aca="false">IF('Boletins Nuppa Site'!H490&lt;&gt;0,'Boletins Nuppa Site'!H490,"NULL")</f>
        <v>4.5</v>
      </c>
      <c r="F490" s="16" t="n">
        <f aca="false">IF('Boletins Nuppa Site'!I490&lt;&gt;0,'Boletins Nuppa Site'!I490,"NULL")</f>
        <v>6</v>
      </c>
      <c r="G490" s="1" t="str">
        <f aca="false">IF('Boletins Nuppa Site'!J490&lt;&gt;0,'Boletins Nuppa Site'!J490,"NULL")</f>
        <v>5.38</v>
      </c>
      <c r="H490" s="1" t="str">
        <f aca="false">IF('Boletins Nuppa Site'!K490&lt;&gt;0,'Boletins Nuppa Site'!K490,"NULL")</f>
        <v>5.5</v>
      </c>
      <c r="J490" s="1" t="str">
        <f aca="false">"INSERT INTO COTACAO (blt_id, pap_id, cot_prc_comum, cot_prc_min, cot_prc_max, cot_prc_med, cot_prc_mediana) VALUES ("&amp;B490&amp;", "&amp;C490&amp;", "&amp;D490&amp;", "&amp;E490&amp;", "&amp;F490&amp;", "&amp;G490&amp;", "&amp;H490&amp;");"</f>
        <v>INSERT INTO COTACAO (blt_id, pap_id, cot_prc_comum, cot_prc_min, cot_prc_max, cot_prc_med, cot_prc_mediana) VALUES (13, 17, 6, 4.5, 6, 5.38, 5.5);</v>
      </c>
    </row>
    <row r="491" customFormat="false" ht="14.25" hidden="false" customHeight="false" outlineLevel="0" collapsed="false">
      <c r="A491" s="1" t="n">
        <v>490</v>
      </c>
      <c r="B491" s="1" t="n">
        <v>13</v>
      </c>
      <c r="C491" s="1" t="n">
        <v>18</v>
      </c>
      <c r="D491" s="16" t="n">
        <f aca="false">IF('Boletins Nuppa Site'!G491&lt;&gt;0,'Boletins Nuppa Site'!G491,"NULL")</f>
        <v>30</v>
      </c>
      <c r="E491" s="16" t="n">
        <f aca="false">IF('Boletins Nuppa Site'!H491&lt;&gt;0,'Boletins Nuppa Site'!H491,"NULL")</f>
        <v>20</v>
      </c>
      <c r="F491" s="16" t="n">
        <f aca="false">IF('Boletins Nuppa Site'!I491&lt;&gt;0,'Boletins Nuppa Site'!I491,"NULL")</f>
        <v>30</v>
      </c>
      <c r="G491" s="16" t="n">
        <f aca="false">IF('Boletins Nuppa Site'!J491&lt;&gt;0,'Boletins Nuppa Site'!J491,"NULL")</f>
        <v>27</v>
      </c>
      <c r="H491" s="16" t="n">
        <f aca="false">IF('Boletins Nuppa Site'!K491&lt;&gt;0,'Boletins Nuppa Site'!K491,"NULL")</f>
        <v>29</v>
      </c>
      <c r="J491" s="1" t="str">
        <f aca="false">"INSERT INTO COTACAO (blt_id, pap_id, cot_prc_comum, cot_prc_min, cot_prc_max, cot_prc_med, cot_prc_mediana) VALUES ("&amp;B491&amp;", "&amp;C491&amp;", "&amp;D491&amp;", "&amp;E491&amp;", "&amp;F491&amp;", "&amp;G491&amp;", "&amp;H491&amp;");"</f>
        <v>INSERT INTO COTACAO (blt_id, pap_id, cot_prc_comum, cot_prc_min, cot_prc_max, cot_prc_med, cot_prc_mediana) VALUES (13, 18, 30, 20, 30, 27, 29);</v>
      </c>
    </row>
    <row r="492" customFormat="false" ht="14.25" hidden="false" customHeight="false" outlineLevel="0" collapsed="false">
      <c r="A492" s="1" t="n">
        <v>491</v>
      </c>
      <c r="B492" s="1" t="n">
        <v>13</v>
      </c>
      <c r="C492" s="1" t="n">
        <v>19</v>
      </c>
      <c r="D492" s="16" t="n">
        <f aca="false">IF('Boletins Nuppa Site'!G492&lt;&gt;0,'Boletins Nuppa Site'!G492,"NULL")</f>
        <v>30</v>
      </c>
      <c r="E492" s="16" t="n">
        <f aca="false">IF('Boletins Nuppa Site'!H492&lt;&gt;0,'Boletins Nuppa Site'!H492,"NULL")</f>
        <v>30</v>
      </c>
      <c r="F492" s="16" t="n">
        <f aca="false">IF('Boletins Nuppa Site'!I492&lt;&gt;0,'Boletins Nuppa Site'!I492,"NULL")</f>
        <v>40</v>
      </c>
      <c r="G492" s="1" t="str">
        <f aca="false">IF('Boletins Nuppa Site'!J492&lt;&gt;0,'Boletins Nuppa Site'!J492,"NULL")</f>
        <v>33.75</v>
      </c>
      <c r="H492" s="1" t="str">
        <f aca="false">IF('Boletins Nuppa Site'!K492&lt;&gt;0,'Boletins Nuppa Site'!K492,"NULL")</f>
        <v>32.5</v>
      </c>
      <c r="J492" s="1" t="str">
        <f aca="false">"INSERT INTO COTACAO (blt_id, pap_id, cot_prc_comum, cot_prc_min, cot_prc_max, cot_prc_med, cot_prc_mediana) VALUES ("&amp;B492&amp;", "&amp;C492&amp;", "&amp;D492&amp;", "&amp;E492&amp;", "&amp;F492&amp;", "&amp;G492&amp;", "&amp;H492&amp;");"</f>
        <v>INSERT INTO COTACAO (blt_id, pap_id, cot_prc_comum, cot_prc_min, cot_prc_max, cot_prc_med, cot_prc_mediana) VALUES (13, 19, 30, 30, 40, 33.75, 32.5);</v>
      </c>
    </row>
    <row r="493" customFormat="false" ht="14.25" hidden="false" customHeight="false" outlineLevel="0" collapsed="false">
      <c r="A493" s="1" t="n">
        <v>492</v>
      </c>
      <c r="B493" s="1" t="n">
        <v>13</v>
      </c>
      <c r="C493" s="1" t="n">
        <v>20</v>
      </c>
      <c r="D493" s="16" t="n">
        <f aca="false">IF('Boletins Nuppa Site'!G493&lt;&gt;0,'Boletins Nuppa Site'!G493,"NULL")</f>
        <v>110</v>
      </c>
      <c r="E493" s="16" t="n">
        <f aca="false">IF('Boletins Nuppa Site'!H493&lt;&gt;0,'Boletins Nuppa Site'!H493,"NULL")</f>
        <v>110</v>
      </c>
      <c r="F493" s="16" t="n">
        <f aca="false">IF('Boletins Nuppa Site'!I493&lt;&gt;0,'Boletins Nuppa Site'!I493,"NULL")</f>
        <v>120</v>
      </c>
      <c r="G493" s="1" t="str">
        <f aca="false">IF('Boletins Nuppa Site'!J493&lt;&gt;0,'Boletins Nuppa Site'!J493,"NULL")</f>
        <v>113.33</v>
      </c>
      <c r="H493" s="16" t="n">
        <f aca="false">IF('Boletins Nuppa Site'!K493&lt;&gt;0,'Boletins Nuppa Site'!K493,"NULL")</f>
        <v>110</v>
      </c>
      <c r="J493" s="1" t="str">
        <f aca="false">"INSERT INTO COTACAO (blt_id, pap_id, cot_prc_comum, cot_prc_min, cot_prc_max, cot_prc_med, cot_prc_mediana) VALUES ("&amp;B493&amp;", "&amp;C493&amp;", "&amp;D493&amp;", "&amp;E493&amp;", "&amp;F493&amp;", "&amp;G493&amp;", "&amp;H493&amp;");"</f>
        <v>INSERT INTO COTACAO (blt_id, pap_id, cot_prc_comum, cot_prc_min, cot_prc_max, cot_prc_med, cot_prc_mediana) VALUES (13, 20, 110, 110, 120, 113.33, 110);</v>
      </c>
    </row>
    <row r="494" customFormat="false" ht="14.25" hidden="false" customHeight="false" outlineLevel="0" collapsed="false">
      <c r="A494" s="1" t="n">
        <v>493</v>
      </c>
      <c r="B494" s="1" t="n">
        <v>13</v>
      </c>
      <c r="C494" s="1" t="n">
        <v>21</v>
      </c>
      <c r="D494" s="1" t="str">
        <f aca="false">IF('Boletins Nuppa Site'!G494&lt;&gt;0,'Boletins Nuppa Site'!G494,"NULL")</f>
        <v>NULL</v>
      </c>
      <c r="E494" s="16" t="n">
        <f aca="false">IF('Boletins Nuppa Site'!H494&lt;&gt;0,'Boletins Nuppa Site'!H494,"NULL")</f>
        <v>60</v>
      </c>
      <c r="F494" s="16" t="n">
        <f aca="false">IF('Boletins Nuppa Site'!I494&lt;&gt;0,'Boletins Nuppa Site'!I494,"NULL")</f>
        <v>80</v>
      </c>
      <c r="G494" s="1" t="str">
        <f aca="false">IF('Boletins Nuppa Site'!J494&lt;&gt;0,'Boletins Nuppa Site'!J494,"NULL")</f>
        <v>68.75</v>
      </c>
      <c r="H494" s="1" t="str">
        <f aca="false">IF('Boletins Nuppa Site'!K494&lt;&gt;0,'Boletins Nuppa Site'!K494,"NULL")</f>
        <v>67.5</v>
      </c>
      <c r="J494" s="1" t="str">
        <f aca="false">"INSERT INTO COTACAO (blt_id, pap_id, cot_prc_comum, cot_prc_min, cot_prc_max, cot_prc_med, cot_prc_mediana) VALUES ("&amp;B494&amp;", "&amp;C494&amp;", "&amp;D494&amp;", "&amp;E494&amp;", "&amp;F494&amp;", "&amp;G494&amp;", "&amp;H494&amp;");"</f>
        <v>INSERT INTO COTACAO (blt_id, pap_id, cot_prc_comum, cot_prc_min, cot_prc_max, cot_prc_med, cot_prc_mediana) VALUES (13, 21, NULL, 60, 80, 68.75, 67.5);</v>
      </c>
    </row>
    <row r="495" customFormat="false" ht="14.25" hidden="false" customHeight="false" outlineLevel="0" collapsed="false">
      <c r="A495" s="1" t="n">
        <v>494</v>
      </c>
      <c r="B495" s="1" t="n">
        <v>13</v>
      </c>
      <c r="C495" s="1" t="n">
        <v>22</v>
      </c>
      <c r="D495" s="16" t="n">
        <f aca="false">IF('Boletins Nuppa Site'!G495&lt;&gt;0,'Boletins Nuppa Site'!G495,"NULL")</f>
        <v>75</v>
      </c>
      <c r="E495" s="16" t="n">
        <f aca="false">IF('Boletins Nuppa Site'!H495&lt;&gt;0,'Boletins Nuppa Site'!H495,"NULL")</f>
        <v>50</v>
      </c>
      <c r="F495" s="16" t="n">
        <f aca="false">IF('Boletins Nuppa Site'!I495&lt;&gt;0,'Boletins Nuppa Site'!I495,"NULL")</f>
        <v>75</v>
      </c>
      <c r="G495" s="16" t="n">
        <f aca="false">IF('Boletins Nuppa Site'!J495&lt;&gt;0,'Boletins Nuppa Site'!J495,"NULL")</f>
        <v>69</v>
      </c>
      <c r="H495" s="16" t="n">
        <f aca="false">IF('Boletins Nuppa Site'!K495&lt;&gt;0,'Boletins Nuppa Site'!K495,"NULL")</f>
        <v>75</v>
      </c>
      <c r="J495" s="1" t="str">
        <f aca="false">"INSERT INTO COTACAO (blt_id, pap_id, cot_prc_comum, cot_prc_min, cot_prc_max, cot_prc_med, cot_prc_mediana) VALUES ("&amp;B495&amp;", "&amp;C495&amp;", "&amp;D495&amp;", "&amp;E495&amp;", "&amp;F495&amp;", "&amp;G495&amp;", "&amp;H495&amp;");"</f>
        <v>INSERT INTO COTACAO (blt_id, pap_id, cot_prc_comum, cot_prc_min, cot_prc_max, cot_prc_med, cot_prc_mediana) VALUES (13, 22, 75, 50, 75, 69, 75);</v>
      </c>
    </row>
    <row r="496" customFormat="false" ht="14.25" hidden="false" customHeight="false" outlineLevel="0" collapsed="false">
      <c r="A496" s="1" t="n">
        <v>495</v>
      </c>
      <c r="B496" s="1" t="n">
        <v>13</v>
      </c>
      <c r="C496" s="1" t="n">
        <v>23</v>
      </c>
      <c r="D496" s="16" t="n">
        <f aca="false">IF('Boletins Nuppa Site'!G496&lt;&gt;0,'Boletins Nuppa Site'!G496,"NULL")</f>
        <v>45</v>
      </c>
      <c r="E496" s="16" t="n">
        <f aca="false">IF('Boletins Nuppa Site'!H496&lt;&gt;0,'Boletins Nuppa Site'!H496,"NULL")</f>
        <v>30</v>
      </c>
      <c r="F496" s="16" t="n">
        <f aca="false">IF('Boletins Nuppa Site'!I496&lt;&gt;0,'Boletins Nuppa Site'!I496,"NULL")</f>
        <v>50</v>
      </c>
      <c r="G496" s="16" t="n">
        <f aca="false">IF('Boletins Nuppa Site'!J496&lt;&gt;0,'Boletins Nuppa Site'!J496,"NULL")</f>
        <v>44</v>
      </c>
      <c r="H496" s="16" t="n">
        <f aca="false">IF('Boletins Nuppa Site'!K496&lt;&gt;0,'Boletins Nuppa Site'!K496,"NULL")</f>
        <v>45</v>
      </c>
      <c r="J496" s="1" t="str">
        <f aca="false">"INSERT INTO COTACAO (blt_id, pap_id, cot_prc_comum, cot_prc_min, cot_prc_max, cot_prc_med, cot_prc_mediana) VALUES ("&amp;B496&amp;", "&amp;C496&amp;", "&amp;D496&amp;", "&amp;E496&amp;", "&amp;F496&amp;", "&amp;G496&amp;", "&amp;H496&amp;");"</f>
        <v>INSERT INTO COTACAO (blt_id, pap_id, cot_prc_comum, cot_prc_min, cot_prc_max, cot_prc_med, cot_prc_mediana) VALUES (13, 23, 45, 30, 50, 44, 45);</v>
      </c>
    </row>
    <row r="497" customFormat="false" ht="14.25" hidden="false" customHeight="false" outlineLevel="0" collapsed="false">
      <c r="A497" s="1" t="n">
        <v>496</v>
      </c>
      <c r="B497" s="1" t="n">
        <v>13</v>
      </c>
      <c r="C497" s="1" t="n">
        <v>24</v>
      </c>
      <c r="D497" s="1" t="str">
        <f aca="false">IF('Boletins Nuppa Site'!G497&lt;&gt;0,'Boletins Nuppa Site'!G497,"NULL")</f>
        <v>NULL</v>
      </c>
      <c r="E497" s="16" t="n">
        <f aca="false">IF('Boletins Nuppa Site'!H497&lt;&gt;0,'Boletins Nuppa Site'!H497,"NULL")</f>
        <v>110</v>
      </c>
      <c r="F497" s="16" t="n">
        <f aca="false">IF('Boletins Nuppa Site'!I497&lt;&gt;0,'Boletins Nuppa Site'!I497,"NULL")</f>
        <v>110</v>
      </c>
      <c r="G497" s="16" t="n">
        <f aca="false">IF('Boletins Nuppa Site'!J497&lt;&gt;0,'Boletins Nuppa Site'!J497,"NULL")</f>
        <v>110</v>
      </c>
      <c r="H497" s="16" t="n">
        <f aca="false">IF('Boletins Nuppa Site'!K497&lt;&gt;0,'Boletins Nuppa Site'!K497,"NULL")</f>
        <v>110</v>
      </c>
      <c r="J497" s="1" t="str">
        <f aca="false">"INSERT INTO COTACAO (blt_id, pap_id, cot_prc_comum, cot_prc_min, cot_prc_max, cot_prc_med, cot_prc_mediana) VALUES ("&amp;B497&amp;", "&amp;C497&amp;", "&amp;D497&amp;", "&amp;E497&amp;", "&amp;F497&amp;", "&amp;G497&amp;", "&amp;H497&amp;");"</f>
        <v>INSERT INTO COTACAO (blt_id, pap_id, cot_prc_comum, cot_prc_min, cot_prc_max, cot_prc_med, cot_prc_mediana) VALUES (13, 24, NULL, 110, 110, 110, 110);</v>
      </c>
    </row>
    <row r="498" customFormat="false" ht="14.25" hidden="false" customHeight="false" outlineLevel="0" collapsed="false">
      <c r="A498" s="1" t="n">
        <v>497</v>
      </c>
      <c r="B498" s="1" t="n">
        <v>13</v>
      </c>
      <c r="C498" s="1" t="n">
        <v>25</v>
      </c>
      <c r="D498" s="16" t="n">
        <f aca="false">IF('Boletins Nuppa Site'!G498&lt;&gt;0,'Boletins Nuppa Site'!G498,"NULL")</f>
        <v>130</v>
      </c>
      <c r="E498" s="16" t="n">
        <f aca="false">IF('Boletins Nuppa Site'!H498&lt;&gt;0,'Boletins Nuppa Site'!H498,"NULL")</f>
        <v>80</v>
      </c>
      <c r="F498" s="16" t="n">
        <f aca="false">IF('Boletins Nuppa Site'!I498&lt;&gt;0,'Boletins Nuppa Site'!I498,"NULL")</f>
        <v>150</v>
      </c>
      <c r="G498" s="1" t="str">
        <f aca="false">IF('Boletins Nuppa Site'!J498&lt;&gt;0,'Boletins Nuppa Site'!J498,"NULL")</f>
        <v>122.5</v>
      </c>
      <c r="H498" s="16" t="n">
        <f aca="false">IF('Boletins Nuppa Site'!K498&lt;&gt;0,'Boletins Nuppa Site'!K498,"NULL")</f>
        <v>130</v>
      </c>
      <c r="J498" s="1" t="str">
        <f aca="false">"INSERT INTO COTACAO (blt_id, pap_id, cot_prc_comum, cot_prc_min, cot_prc_max, cot_prc_med, cot_prc_mediana) VALUES ("&amp;B498&amp;", "&amp;C498&amp;", "&amp;D498&amp;", "&amp;E498&amp;", "&amp;F498&amp;", "&amp;G498&amp;", "&amp;H498&amp;");"</f>
        <v>INSERT INTO COTACAO (blt_id, pap_id, cot_prc_comum, cot_prc_min, cot_prc_max, cot_prc_med, cot_prc_mediana) VALUES (13, 25, 130, 80, 150, 122.5, 130);</v>
      </c>
    </row>
    <row r="499" customFormat="false" ht="14.25" hidden="false" customHeight="false" outlineLevel="0" collapsed="false">
      <c r="A499" s="1" t="n">
        <v>498</v>
      </c>
      <c r="B499" s="1" t="n">
        <v>13</v>
      </c>
      <c r="C499" s="1" t="n">
        <v>26</v>
      </c>
      <c r="D499" s="16" t="n">
        <f aca="false">IF('Boletins Nuppa Site'!G499&lt;&gt;0,'Boletins Nuppa Site'!G499,"NULL")</f>
        <v>140</v>
      </c>
      <c r="E499" s="16" t="n">
        <f aca="false">IF('Boletins Nuppa Site'!H499&lt;&gt;0,'Boletins Nuppa Site'!H499,"NULL")</f>
        <v>80</v>
      </c>
      <c r="F499" s="16" t="n">
        <f aca="false">IF('Boletins Nuppa Site'!I499&lt;&gt;0,'Boletins Nuppa Site'!I499,"NULL")</f>
        <v>170</v>
      </c>
      <c r="G499" s="16" t="n">
        <f aca="false">IF('Boletins Nuppa Site'!J499&lt;&gt;0,'Boletins Nuppa Site'!J499,"NULL")</f>
        <v>138</v>
      </c>
      <c r="H499" s="16" t="n">
        <f aca="false">IF('Boletins Nuppa Site'!K499&lt;&gt;0,'Boletins Nuppa Site'!K499,"NULL")</f>
        <v>140</v>
      </c>
      <c r="J499" s="1" t="str">
        <f aca="false">"INSERT INTO COTACAO (blt_id, pap_id, cot_prc_comum, cot_prc_min, cot_prc_max, cot_prc_med, cot_prc_mediana) VALUES ("&amp;B499&amp;", "&amp;C499&amp;", "&amp;D499&amp;", "&amp;E499&amp;", "&amp;F499&amp;", "&amp;G499&amp;", "&amp;H499&amp;");"</f>
        <v>INSERT INTO COTACAO (blt_id, pap_id, cot_prc_comum, cot_prc_min, cot_prc_max, cot_prc_med, cot_prc_mediana) VALUES (13, 26, 140, 80, 170, 138, 140);</v>
      </c>
    </row>
    <row r="500" customFormat="false" ht="14.25" hidden="false" customHeight="false" outlineLevel="0" collapsed="false">
      <c r="A500" s="1" t="n">
        <v>499</v>
      </c>
      <c r="B500" s="1" t="n">
        <v>13</v>
      </c>
      <c r="C500" s="1" t="n">
        <v>27</v>
      </c>
      <c r="D500" s="16" t="n">
        <f aca="false">IF('Boletins Nuppa Site'!G500&lt;&gt;0,'Boletins Nuppa Site'!G500,"NULL")</f>
        <v>60</v>
      </c>
      <c r="E500" s="16" t="n">
        <f aca="false">IF('Boletins Nuppa Site'!H500&lt;&gt;0,'Boletins Nuppa Site'!H500,"NULL")</f>
        <v>50</v>
      </c>
      <c r="F500" s="16" t="n">
        <f aca="false">IF('Boletins Nuppa Site'!I500&lt;&gt;0,'Boletins Nuppa Site'!I500,"NULL")</f>
        <v>70</v>
      </c>
      <c r="G500" s="16" t="n">
        <f aca="false">IF('Boletins Nuppa Site'!J500&lt;&gt;0,'Boletins Nuppa Site'!J500,"NULL")</f>
        <v>59</v>
      </c>
      <c r="H500" s="16" t="n">
        <f aca="false">IF('Boletins Nuppa Site'!K500&lt;&gt;0,'Boletins Nuppa Site'!K500,"NULL")</f>
        <v>60</v>
      </c>
      <c r="J500" s="1" t="str">
        <f aca="false">"INSERT INTO COTACAO (blt_id, pap_id, cot_prc_comum, cot_prc_min, cot_prc_max, cot_prc_med, cot_prc_mediana) VALUES ("&amp;B500&amp;", "&amp;C500&amp;", "&amp;D500&amp;", "&amp;E500&amp;", "&amp;F500&amp;", "&amp;G500&amp;", "&amp;H500&amp;");"</f>
        <v>INSERT INTO COTACAO (blt_id, pap_id, cot_prc_comum, cot_prc_min, cot_prc_max, cot_prc_med, cot_prc_mediana) VALUES (13, 27, 60, 50, 70, 59, 60);</v>
      </c>
    </row>
    <row r="501" customFormat="false" ht="14.25" hidden="false" customHeight="false" outlineLevel="0" collapsed="false">
      <c r="A501" s="1" t="n">
        <v>500</v>
      </c>
      <c r="B501" s="1" t="n">
        <v>13</v>
      </c>
      <c r="C501" s="1" t="n">
        <v>28</v>
      </c>
      <c r="D501" s="1" t="str">
        <f aca="false">IF('Boletins Nuppa Site'!G501&lt;&gt;0,'Boletins Nuppa Site'!G501,"NULL")</f>
        <v>NULL</v>
      </c>
      <c r="E501" s="16" t="n">
        <f aca="false">IF('Boletins Nuppa Site'!H501&lt;&gt;0,'Boletins Nuppa Site'!H501,"NULL")</f>
        <v>80</v>
      </c>
      <c r="F501" s="16" t="n">
        <f aca="false">IF('Boletins Nuppa Site'!I501&lt;&gt;0,'Boletins Nuppa Site'!I501,"NULL")</f>
        <v>120</v>
      </c>
      <c r="G501" s="1" t="str">
        <f aca="false">IF('Boletins Nuppa Site'!J501&lt;&gt;0,'Boletins Nuppa Site'!J501,"NULL")</f>
        <v>96.67</v>
      </c>
      <c r="H501" s="16" t="n">
        <f aca="false">IF('Boletins Nuppa Site'!K501&lt;&gt;0,'Boletins Nuppa Site'!K501,"NULL")</f>
        <v>90</v>
      </c>
      <c r="J501" s="1" t="str">
        <f aca="false">"INSERT INTO COTACAO (blt_id, pap_id, cot_prc_comum, cot_prc_min, cot_prc_max, cot_prc_med, cot_prc_mediana) VALUES ("&amp;B501&amp;", "&amp;C501&amp;", "&amp;D501&amp;", "&amp;E501&amp;", "&amp;F501&amp;", "&amp;G501&amp;", "&amp;H501&amp;");"</f>
        <v>INSERT INTO COTACAO (blt_id, pap_id, cot_prc_comum, cot_prc_min, cot_prc_max, cot_prc_med, cot_prc_mediana) VALUES (13, 28, NULL, 80, 120, 96.67, 90);</v>
      </c>
    </row>
    <row r="502" customFormat="false" ht="14.25" hidden="false" customHeight="false" outlineLevel="0" collapsed="false">
      <c r="A502" s="1" t="n">
        <v>501</v>
      </c>
      <c r="B502" s="1" t="n">
        <v>13</v>
      </c>
      <c r="C502" s="1" t="n">
        <v>29</v>
      </c>
      <c r="D502" s="1" t="str">
        <f aca="false">IF('Boletins Nuppa Site'!G502&lt;&gt;0,'Boletins Nuppa Site'!G502,"NULL")</f>
        <v>NULL</v>
      </c>
      <c r="E502" s="1" t="str">
        <f aca="false">IF('Boletins Nuppa Site'!H502&lt;&gt;0,'Boletins Nuppa Site'!H502,"NULL")</f>
        <v>NULL</v>
      </c>
      <c r="F502" s="1" t="str">
        <f aca="false">IF('Boletins Nuppa Site'!I502&lt;&gt;0,'Boletins Nuppa Site'!I502,"NULL")</f>
        <v>NULL</v>
      </c>
      <c r="G502" s="1" t="str">
        <f aca="false">IF('Boletins Nuppa Site'!J502&lt;&gt;0,'Boletins Nuppa Site'!J502,"NULL")</f>
        <v>NULL</v>
      </c>
      <c r="H502" s="1" t="str">
        <f aca="false">IF('Boletins Nuppa Site'!K502&lt;&gt;0,'Boletins Nuppa Site'!K502,"NULL")</f>
        <v>NULL</v>
      </c>
      <c r="J502" s="1" t="str">
        <f aca="false">"INSERT INTO COTACAO (blt_id, pap_id, cot_prc_comum, cot_prc_min, cot_prc_max, cot_prc_med, cot_prc_mediana) VALUES ("&amp;B502&amp;", "&amp;C502&amp;", "&amp;D502&amp;", "&amp;E502&amp;", "&amp;F502&amp;", "&amp;G502&amp;", "&amp;H502&amp;");"</f>
        <v>INSERT INTO COTACAO (blt_id, pap_id, cot_prc_comum, cot_prc_min, cot_prc_max, cot_prc_med, cot_prc_mediana) VALUES (13, 29, NULL, NULL, NULL, NULL, NULL);</v>
      </c>
    </row>
    <row r="503" customFormat="false" ht="14.25" hidden="false" customHeight="false" outlineLevel="0" collapsed="false">
      <c r="A503" s="1" t="n">
        <v>502</v>
      </c>
      <c r="B503" s="1" t="n">
        <v>13</v>
      </c>
      <c r="C503" s="1" t="n">
        <v>30</v>
      </c>
      <c r="D503" s="16" t="n">
        <f aca="false">IF('Boletins Nuppa Site'!G503&lt;&gt;0,'Boletins Nuppa Site'!G503,"NULL")</f>
        <v>70</v>
      </c>
      <c r="E503" s="16" t="n">
        <f aca="false">IF('Boletins Nuppa Site'!H503&lt;&gt;0,'Boletins Nuppa Site'!H503,"NULL")</f>
        <v>60</v>
      </c>
      <c r="F503" s="16" t="n">
        <f aca="false">IF('Boletins Nuppa Site'!I503&lt;&gt;0,'Boletins Nuppa Site'!I503,"NULL")</f>
        <v>80</v>
      </c>
      <c r="G503" s="16" t="n">
        <f aca="false">IF('Boletins Nuppa Site'!J503&lt;&gt;0,'Boletins Nuppa Site'!J503,"NULL")</f>
        <v>70</v>
      </c>
      <c r="H503" s="16" t="n">
        <f aca="false">IF('Boletins Nuppa Site'!K503&lt;&gt;0,'Boletins Nuppa Site'!K503,"NULL")</f>
        <v>70</v>
      </c>
      <c r="J503" s="1" t="str">
        <f aca="false">"INSERT INTO COTACAO (blt_id, pap_id, cot_prc_comum, cot_prc_min, cot_prc_max, cot_prc_med, cot_prc_mediana) VALUES ("&amp;B503&amp;", "&amp;C503&amp;", "&amp;D503&amp;", "&amp;E503&amp;", "&amp;F503&amp;", "&amp;G503&amp;", "&amp;H503&amp;");"</f>
        <v>INSERT INTO COTACAO (blt_id, pap_id, cot_prc_comum, cot_prc_min, cot_prc_max, cot_prc_med, cot_prc_mediana) VALUES (13, 30, 70, 60, 80, 70, 70);</v>
      </c>
    </row>
    <row r="504" customFormat="false" ht="14.25" hidden="false" customHeight="false" outlineLevel="0" collapsed="false">
      <c r="A504" s="1" t="n">
        <v>503</v>
      </c>
      <c r="B504" s="1" t="n">
        <v>13</v>
      </c>
      <c r="C504" s="1" t="n">
        <v>31</v>
      </c>
      <c r="D504" s="16" t="n">
        <f aca="false">IF('Boletins Nuppa Site'!G504&lt;&gt;0,'Boletins Nuppa Site'!G504,"NULL")</f>
        <v>90</v>
      </c>
      <c r="E504" s="16" t="n">
        <f aca="false">IF('Boletins Nuppa Site'!H504&lt;&gt;0,'Boletins Nuppa Site'!H504,"NULL")</f>
        <v>80</v>
      </c>
      <c r="F504" s="16" t="n">
        <f aca="false">IF('Boletins Nuppa Site'!I504&lt;&gt;0,'Boletins Nuppa Site'!I504,"NULL")</f>
        <v>100</v>
      </c>
      <c r="G504" s="16" t="n">
        <f aca="false">IF('Boletins Nuppa Site'!J504&lt;&gt;0,'Boletins Nuppa Site'!J504,"NULL")</f>
        <v>89</v>
      </c>
      <c r="H504" s="16" t="n">
        <f aca="false">IF('Boletins Nuppa Site'!K504&lt;&gt;0,'Boletins Nuppa Site'!K504,"NULL")</f>
        <v>90</v>
      </c>
      <c r="J504" s="1" t="str">
        <f aca="false">"INSERT INTO COTACAO (blt_id, pap_id, cot_prc_comum, cot_prc_min, cot_prc_max, cot_prc_med, cot_prc_mediana) VALUES ("&amp;B504&amp;", "&amp;C504&amp;", "&amp;D504&amp;", "&amp;E504&amp;", "&amp;F504&amp;", "&amp;G504&amp;", "&amp;H504&amp;");"</f>
        <v>INSERT INTO COTACAO (blt_id, pap_id, cot_prc_comum, cot_prc_min, cot_prc_max, cot_prc_med, cot_prc_mediana) VALUES (13, 31, 90, 80, 100, 89, 90);</v>
      </c>
    </row>
    <row r="505" customFormat="false" ht="14.25" hidden="false" customHeight="false" outlineLevel="0" collapsed="false">
      <c r="A505" s="1" t="n">
        <v>504</v>
      </c>
      <c r="B505" s="1" t="n">
        <v>13</v>
      </c>
      <c r="C505" s="1" t="n">
        <v>32</v>
      </c>
      <c r="D505" s="16" t="n">
        <f aca="false">IF('Boletins Nuppa Site'!G505&lt;&gt;0,'Boletins Nuppa Site'!G505,"NULL")</f>
        <v>70</v>
      </c>
      <c r="E505" s="16" t="n">
        <f aca="false">IF('Boletins Nuppa Site'!H505&lt;&gt;0,'Boletins Nuppa Site'!H505,"NULL")</f>
        <v>45</v>
      </c>
      <c r="F505" s="16" t="n">
        <f aca="false">IF('Boletins Nuppa Site'!I505&lt;&gt;0,'Boletins Nuppa Site'!I505,"NULL")</f>
        <v>100</v>
      </c>
      <c r="G505" s="1" t="str">
        <f aca="false">IF('Boletins Nuppa Site'!J505&lt;&gt;0,'Boletins Nuppa Site'!J505,"NULL")</f>
        <v>68.6</v>
      </c>
      <c r="H505" s="16" t="n">
        <f aca="false">IF('Boletins Nuppa Site'!K505&lt;&gt;0,'Boletins Nuppa Site'!K505,"NULL")</f>
        <v>70</v>
      </c>
      <c r="J505" s="1" t="str">
        <f aca="false">"INSERT INTO COTACAO (blt_id, pap_id, cot_prc_comum, cot_prc_min, cot_prc_max, cot_prc_med, cot_prc_mediana) VALUES ("&amp;B505&amp;", "&amp;C505&amp;", "&amp;D505&amp;", "&amp;E505&amp;", "&amp;F505&amp;", "&amp;G505&amp;", "&amp;H505&amp;");"</f>
        <v>INSERT INTO COTACAO (blt_id, pap_id, cot_prc_comum, cot_prc_min, cot_prc_max, cot_prc_med, cot_prc_mediana) VALUES (13, 32, 70, 45, 100, 68.6, 70);</v>
      </c>
    </row>
    <row r="506" customFormat="false" ht="14.25" hidden="false" customHeight="false" outlineLevel="0" collapsed="false">
      <c r="A506" s="1" t="n">
        <v>505</v>
      </c>
      <c r="B506" s="1" t="n">
        <v>13</v>
      </c>
      <c r="C506" s="1" t="n">
        <v>33</v>
      </c>
      <c r="D506" s="16" t="n">
        <f aca="false">IF('Boletins Nuppa Site'!G506&lt;&gt;0,'Boletins Nuppa Site'!G506,"NULL")</f>
        <v>120</v>
      </c>
      <c r="E506" s="16" t="n">
        <f aca="false">IF('Boletins Nuppa Site'!H506&lt;&gt;0,'Boletins Nuppa Site'!H506,"NULL")</f>
        <v>100</v>
      </c>
      <c r="F506" s="16" t="n">
        <f aca="false">IF('Boletins Nuppa Site'!I506&lt;&gt;0,'Boletins Nuppa Site'!I506,"NULL")</f>
        <v>120</v>
      </c>
      <c r="G506" s="16" t="n">
        <f aca="false">IF('Boletins Nuppa Site'!J506&lt;&gt;0,'Boletins Nuppa Site'!J506,"NULL")</f>
        <v>112</v>
      </c>
      <c r="H506" s="16" t="n">
        <f aca="false">IF('Boletins Nuppa Site'!K506&lt;&gt;0,'Boletins Nuppa Site'!K506,"NULL")</f>
        <v>120</v>
      </c>
      <c r="J506" s="1" t="str">
        <f aca="false">"INSERT INTO COTACAO (blt_id, pap_id, cot_prc_comum, cot_prc_min, cot_prc_max, cot_prc_med, cot_prc_mediana) VALUES ("&amp;B506&amp;", "&amp;C506&amp;", "&amp;D506&amp;", "&amp;E506&amp;", "&amp;F506&amp;", "&amp;G506&amp;", "&amp;H506&amp;");"</f>
        <v>INSERT INTO COTACAO (blt_id, pap_id, cot_prc_comum, cot_prc_min, cot_prc_max, cot_prc_med, cot_prc_mediana) VALUES (13, 33, 120, 100, 120, 112, 120);</v>
      </c>
    </row>
    <row r="507" customFormat="false" ht="14.25" hidden="false" customHeight="false" outlineLevel="0" collapsed="false">
      <c r="A507" s="1" t="n">
        <v>506</v>
      </c>
      <c r="B507" s="1" t="n">
        <v>13</v>
      </c>
      <c r="C507" s="1" t="n">
        <v>34</v>
      </c>
      <c r="D507" s="1" t="str">
        <f aca="false">IF('Boletins Nuppa Site'!G507&lt;&gt;0,'Boletins Nuppa Site'!G507,"NULL")</f>
        <v>NULL</v>
      </c>
      <c r="E507" s="16" t="n">
        <f aca="false">IF('Boletins Nuppa Site'!H507&lt;&gt;0,'Boletins Nuppa Site'!H507,"NULL")</f>
        <v>65</v>
      </c>
      <c r="F507" s="16" t="n">
        <f aca="false">IF('Boletins Nuppa Site'!I507&lt;&gt;0,'Boletins Nuppa Site'!I507,"NULL")</f>
        <v>130</v>
      </c>
      <c r="G507" s="1" t="str">
        <f aca="false">IF('Boletins Nuppa Site'!J507&lt;&gt;0,'Boletins Nuppa Site'!J507,"NULL")</f>
        <v>91.25</v>
      </c>
      <c r="H507" s="16" t="n">
        <f aca="false">IF('Boletins Nuppa Site'!K507&lt;&gt;0,'Boletins Nuppa Site'!K507,"NULL")</f>
        <v>85</v>
      </c>
      <c r="J507" s="1" t="str">
        <f aca="false">"INSERT INTO COTACAO (blt_id, pap_id, cot_prc_comum, cot_prc_min, cot_prc_max, cot_prc_med, cot_prc_mediana) VALUES ("&amp;B507&amp;", "&amp;C507&amp;", "&amp;D507&amp;", "&amp;E507&amp;", "&amp;F507&amp;", "&amp;G507&amp;", "&amp;H507&amp;");"</f>
        <v>INSERT INTO COTACAO (blt_id, pap_id, cot_prc_comum, cot_prc_min, cot_prc_max, cot_prc_med, cot_prc_mediana) VALUES (13, 34, NULL, 65, 130, 91.25, 85);</v>
      </c>
    </row>
    <row r="508" customFormat="false" ht="14.25" hidden="false" customHeight="false" outlineLevel="0" collapsed="false">
      <c r="A508" s="1" t="n">
        <v>507</v>
      </c>
      <c r="B508" s="1" t="n">
        <v>13</v>
      </c>
      <c r="C508" s="1" t="n">
        <v>35</v>
      </c>
      <c r="D508" s="16" t="n">
        <f aca="false">IF('Boletins Nuppa Site'!G508&lt;&gt;0,'Boletins Nuppa Site'!G508,"NULL")</f>
        <v>130</v>
      </c>
      <c r="E508" s="16" t="n">
        <f aca="false">IF('Boletins Nuppa Site'!H508&lt;&gt;0,'Boletins Nuppa Site'!H508,"NULL")</f>
        <v>130</v>
      </c>
      <c r="F508" s="16" t="n">
        <f aca="false">IF('Boletins Nuppa Site'!I508&lt;&gt;0,'Boletins Nuppa Site'!I508,"NULL")</f>
        <v>150</v>
      </c>
      <c r="G508" s="1" t="str">
        <f aca="false">IF('Boletins Nuppa Site'!J508&lt;&gt;0,'Boletins Nuppa Site'!J508,"NULL")</f>
        <v>136.67</v>
      </c>
      <c r="H508" s="16" t="n">
        <f aca="false">IF('Boletins Nuppa Site'!K508&lt;&gt;0,'Boletins Nuppa Site'!K508,"NULL")</f>
        <v>130</v>
      </c>
      <c r="J508" s="1" t="str">
        <f aca="false">"INSERT INTO COTACAO (blt_id, pap_id, cot_prc_comum, cot_prc_min, cot_prc_max, cot_prc_med, cot_prc_mediana) VALUES ("&amp;B508&amp;", "&amp;C508&amp;", "&amp;D508&amp;", "&amp;E508&amp;", "&amp;F508&amp;", "&amp;G508&amp;", "&amp;H508&amp;");"</f>
        <v>INSERT INTO COTACAO (blt_id, pap_id, cot_prc_comum, cot_prc_min, cot_prc_max, cot_prc_med, cot_prc_mediana) VALUES (13, 35, 130, 130, 150, 136.67, 130);</v>
      </c>
    </row>
    <row r="509" customFormat="false" ht="14.25" hidden="false" customHeight="false" outlineLevel="0" collapsed="false">
      <c r="A509" s="1" t="n">
        <v>508</v>
      </c>
      <c r="B509" s="1" t="n">
        <v>13</v>
      </c>
      <c r="C509" s="1" t="n">
        <v>36</v>
      </c>
      <c r="D509" s="1" t="str">
        <f aca="false">IF('Boletins Nuppa Site'!G509&lt;&gt;0,'Boletins Nuppa Site'!G509,"NULL")</f>
        <v>NULL</v>
      </c>
      <c r="E509" s="16" t="n">
        <f aca="false">IF('Boletins Nuppa Site'!H509&lt;&gt;0,'Boletins Nuppa Site'!H509,"NULL")</f>
        <v>65</v>
      </c>
      <c r="F509" s="16" t="n">
        <f aca="false">IF('Boletins Nuppa Site'!I509&lt;&gt;0,'Boletins Nuppa Site'!I509,"NULL")</f>
        <v>65</v>
      </c>
      <c r="G509" s="16" t="n">
        <f aca="false">IF('Boletins Nuppa Site'!J509&lt;&gt;0,'Boletins Nuppa Site'!J509,"NULL")</f>
        <v>65</v>
      </c>
      <c r="H509" s="16" t="n">
        <f aca="false">IF('Boletins Nuppa Site'!K509&lt;&gt;0,'Boletins Nuppa Site'!K509,"NULL")</f>
        <v>65</v>
      </c>
      <c r="J509" s="1" t="str">
        <f aca="false">"INSERT INTO COTACAO (blt_id, pap_id, cot_prc_comum, cot_prc_min, cot_prc_max, cot_prc_med, cot_prc_mediana) VALUES ("&amp;B509&amp;", "&amp;C509&amp;", "&amp;D509&amp;", "&amp;E509&amp;", "&amp;F509&amp;", "&amp;G509&amp;", "&amp;H509&amp;");"</f>
        <v>INSERT INTO COTACAO (blt_id, pap_id, cot_prc_comum, cot_prc_min, cot_prc_max, cot_prc_med, cot_prc_mediana) VALUES (13, 36, NULL, 65, 65, 65, 65);</v>
      </c>
    </row>
    <row r="510" customFormat="false" ht="14.25" hidden="false" customHeight="false" outlineLevel="0" collapsed="false">
      <c r="A510" s="1" t="n">
        <v>509</v>
      </c>
      <c r="B510" s="1" t="n">
        <v>13</v>
      </c>
      <c r="C510" s="1" t="n">
        <v>37</v>
      </c>
      <c r="D510" s="1" t="str">
        <f aca="false">IF('Boletins Nuppa Site'!G510&lt;&gt;0,'Boletins Nuppa Site'!G510,"NULL")</f>
        <v>NULL</v>
      </c>
      <c r="E510" s="16" t="n">
        <f aca="false">IF('Boletins Nuppa Site'!H510&lt;&gt;0,'Boletins Nuppa Site'!H510,"NULL")</f>
        <v>75</v>
      </c>
      <c r="F510" s="16" t="n">
        <f aca="false">IF('Boletins Nuppa Site'!I510&lt;&gt;0,'Boletins Nuppa Site'!I510,"NULL")</f>
        <v>124</v>
      </c>
      <c r="G510" s="1" t="str">
        <f aca="false">IF('Boletins Nuppa Site'!J510&lt;&gt;0,'Boletins Nuppa Site'!J510,"NULL")</f>
        <v>99.5</v>
      </c>
      <c r="H510" s="1" t="str">
        <f aca="false">IF('Boletins Nuppa Site'!K510&lt;&gt;0,'Boletins Nuppa Site'!K510,"NULL")</f>
        <v>99.5</v>
      </c>
      <c r="J510" s="1" t="str">
        <f aca="false">"INSERT INTO COTACAO (blt_id, pap_id, cot_prc_comum, cot_prc_min, cot_prc_max, cot_prc_med, cot_prc_mediana) VALUES ("&amp;B510&amp;", "&amp;C510&amp;", "&amp;D510&amp;", "&amp;E510&amp;", "&amp;F510&amp;", "&amp;G510&amp;", "&amp;H510&amp;");"</f>
        <v>INSERT INTO COTACAO (blt_id, pap_id, cot_prc_comum, cot_prc_min, cot_prc_max, cot_prc_med, cot_prc_mediana) VALUES (13, 37, NULL, 75, 124, 99.5, 99.5);</v>
      </c>
    </row>
    <row r="511" customFormat="false" ht="14.25" hidden="false" customHeight="false" outlineLevel="0" collapsed="false">
      <c r="A511" s="1" t="n">
        <v>510</v>
      </c>
      <c r="B511" s="1" t="n">
        <v>13</v>
      </c>
      <c r="C511" s="1" t="n">
        <v>38</v>
      </c>
      <c r="D511" s="1" t="str">
        <f aca="false">IF('Boletins Nuppa Site'!G511&lt;&gt;0,'Boletins Nuppa Site'!G511,"NULL")</f>
        <v>NULL</v>
      </c>
      <c r="E511" s="16" t="n">
        <f aca="false">IF('Boletins Nuppa Site'!H511&lt;&gt;0,'Boletins Nuppa Site'!H511,"NULL")</f>
        <v>45</v>
      </c>
      <c r="F511" s="16" t="n">
        <f aca="false">IF('Boletins Nuppa Site'!I511&lt;&gt;0,'Boletins Nuppa Site'!I511,"NULL")</f>
        <v>70</v>
      </c>
      <c r="G511" s="1" t="str">
        <f aca="false">IF('Boletins Nuppa Site'!J511&lt;&gt;0,'Boletins Nuppa Site'!J511,"NULL")</f>
        <v>57.5</v>
      </c>
      <c r="H511" s="1" t="str">
        <f aca="false">IF('Boletins Nuppa Site'!K511&lt;&gt;0,'Boletins Nuppa Site'!K511,"NULL")</f>
        <v>57.5</v>
      </c>
      <c r="J511" s="1" t="str">
        <f aca="false">"INSERT INTO COTACAO (blt_id, pap_id, cot_prc_comum, cot_prc_min, cot_prc_max, cot_prc_med, cot_prc_mediana) VALUES ("&amp;B511&amp;", "&amp;C511&amp;", "&amp;D511&amp;", "&amp;E511&amp;", "&amp;F511&amp;", "&amp;G511&amp;", "&amp;H511&amp;");"</f>
        <v>INSERT INTO COTACAO (blt_id, pap_id, cot_prc_comum, cot_prc_min, cot_prc_max, cot_prc_med, cot_prc_mediana) VALUES (13, 38, NULL, 45, 70, 57.5, 57.5);</v>
      </c>
    </row>
    <row r="512" customFormat="false" ht="14.25" hidden="false" customHeight="false" outlineLevel="0" collapsed="false">
      <c r="A512" s="1" t="n">
        <v>511</v>
      </c>
      <c r="B512" s="1" t="n">
        <v>13</v>
      </c>
      <c r="C512" s="1" t="n">
        <v>39</v>
      </c>
      <c r="D512" s="1" t="str">
        <f aca="false">IF('Boletins Nuppa Site'!G512&lt;&gt;0,'Boletins Nuppa Site'!G512,"NULL")</f>
        <v>NULL</v>
      </c>
      <c r="E512" s="16" t="n">
        <f aca="false">IF('Boletins Nuppa Site'!H512&lt;&gt;0,'Boletins Nuppa Site'!H512,"NULL")</f>
        <v>50</v>
      </c>
      <c r="F512" s="16" t="n">
        <f aca="false">IF('Boletins Nuppa Site'!I512&lt;&gt;0,'Boletins Nuppa Site'!I512,"NULL")</f>
        <v>50</v>
      </c>
      <c r="G512" s="16" t="n">
        <f aca="false">IF('Boletins Nuppa Site'!J512&lt;&gt;0,'Boletins Nuppa Site'!J512,"NULL")</f>
        <v>50</v>
      </c>
      <c r="H512" s="16" t="n">
        <f aca="false">IF('Boletins Nuppa Site'!K512&lt;&gt;0,'Boletins Nuppa Site'!K512,"NULL")</f>
        <v>50</v>
      </c>
      <c r="J512" s="1" t="str">
        <f aca="false">"INSERT INTO COTACAO (blt_id, pap_id, cot_prc_comum, cot_prc_min, cot_prc_max, cot_prc_med, cot_prc_mediana) VALUES ("&amp;B512&amp;", "&amp;C512&amp;", "&amp;D512&amp;", "&amp;E512&amp;", "&amp;F512&amp;", "&amp;G512&amp;", "&amp;H512&amp;");"</f>
        <v>INSERT INTO COTACAO (blt_id, pap_id, cot_prc_comum, cot_prc_min, cot_prc_max, cot_prc_med, cot_prc_mediana) VALUES (13, 39, NULL, 50, 50, 50, 50);</v>
      </c>
    </row>
    <row r="513" customFormat="false" ht="14.25" hidden="false" customHeight="false" outlineLevel="0" collapsed="false">
      <c r="A513" s="1" t="n">
        <v>512</v>
      </c>
      <c r="B513" s="1" t="n">
        <v>13</v>
      </c>
      <c r="C513" s="1" t="n">
        <v>40</v>
      </c>
      <c r="D513" s="1" t="str">
        <f aca="false">IF('Boletins Nuppa Site'!G513&lt;&gt;0,'Boletins Nuppa Site'!G513,"NULL")</f>
        <v>NULL</v>
      </c>
      <c r="E513" s="16" t="n">
        <f aca="false">IF('Boletins Nuppa Site'!H513&lt;&gt;0,'Boletins Nuppa Site'!H513,"NULL")</f>
        <v>75</v>
      </c>
      <c r="F513" s="16" t="n">
        <f aca="false">IF('Boletins Nuppa Site'!I513&lt;&gt;0,'Boletins Nuppa Site'!I513,"NULL")</f>
        <v>88</v>
      </c>
      <c r="G513" s="1" t="str">
        <f aca="false">IF('Boletins Nuppa Site'!J513&lt;&gt;0,'Boletins Nuppa Site'!J513,"NULL")</f>
        <v>81.5</v>
      </c>
      <c r="H513" s="1" t="str">
        <f aca="false">IF('Boletins Nuppa Site'!K513&lt;&gt;0,'Boletins Nuppa Site'!K513,"NULL")</f>
        <v>81.5</v>
      </c>
      <c r="J513" s="1" t="str">
        <f aca="false">"INSERT INTO COTACAO (blt_id, pap_id, cot_prc_comum, cot_prc_min, cot_prc_max, cot_prc_med, cot_prc_mediana) VALUES ("&amp;B513&amp;", "&amp;C513&amp;", "&amp;D513&amp;", "&amp;E513&amp;", "&amp;F513&amp;", "&amp;G513&amp;", "&amp;H513&amp;");"</f>
        <v>INSERT INTO COTACAO (blt_id, pap_id, cot_prc_comum, cot_prc_min, cot_prc_max, cot_prc_med, cot_prc_mediana) VALUES (13, 40, NULL, 75, 88, 81.5, 81.5);</v>
      </c>
    </row>
    <row r="514" customFormat="false" ht="14.25" hidden="false" customHeight="false" outlineLevel="0" collapsed="false">
      <c r="A514" s="1" t="n">
        <v>513</v>
      </c>
      <c r="B514" s="1" t="n">
        <v>14</v>
      </c>
      <c r="C514" s="1" t="n">
        <v>1</v>
      </c>
      <c r="D514" s="1" t="str">
        <f aca="false">IF('Boletins Nuppa Site'!G514&lt;&gt;0,'Boletins Nuppa Site'!G514,"NULL")</f>
        <v>NULL</v>
      </c>
      <c r="E514" s="16" t="n">
        <f aca="false">IF('Boletins Nuppa Site'!H514&lt;&gt;0,'Boletins Nuppa Site'!H514,"NULL")</f>
        <v>48</v>
      </c>
      <c r="F514" s="16" t="n">
        <f aca="false">IF('Boletins Nuppa Site'!I514&lt;&gt;0,'Boletins Nuppa Site'!I514,"NULL")</f>
        <v>72</v>
      </c>
      <c r="G514" s="16" t="n">
        <f aca="false">IF('Boletins Nuppa Site'!J514&lt;&gt;0,'Boletins Nuppa Site'!J514,"NULL")</f>
        <v>60</v>
      </c>
      <c r="H514" s="16" t="n">
        <f aca="false">IF('Boletins Nuppa Site'!K514&lt;&gt;0,'Boletins Nuppa Site'!K514,"NULL")</f>
        <v>60</v>
      </c>
      <c r="J514" s="1" t="str">
        <f aca="false">"INSERT INTO COTACAO (blt_id, pap_id, cot_prc_comum, cot_prc_min, cot_prc_max, cot_prc_med, cot_prc_mediana) VALUES ("&amp;B514&amp;", "&amp;C514&amp;", "&amp;D514&amp;", "&amp;E514&amp;", "&amp;F514&amp;", "&amp;G514&amp;", "&amp;H514&amp;");"</f>
        <v>INSERT INTO COTACAO (blt_id, pap_id, cot_prc_comum, cot_prc_min, cot_prc_max, cot_prc_med, cot_prc_mediana) VALUES (14, 1, NULL, 48, 72, 60, 60);</v>
      </c>
    </row>
    <row r="515" customFormat="false" ht="14.25" hidden="false" customHeight="false" outlineLevel="0" collapsed="false">
      <c r="A515" s="1" t="n">
        <v>514</v>
      </c>
      <c r="B515" s="1" t="n">
        <v>14</v>
      </c>
      <c r="C515" s="1" t="n">
        <v>2</v>
      </c>
      <c r="D515" s="16" t="n">
        <f aca="false">IF('Boletins Nuppa Site'!G515&lt;&gt;0,'Boletins Nuppa Site'!G515,"NULL")</f>
        <v>84</v>
      </c>
      <c r="E515" s="16" t="n">
        <f aca="false">IF('Boletins Nuppa Site'!H515&lt;&gt;0,'Boletins Nuppa Site'!H515,"NULL")</f>
        <v>72</v>
      </c>
      <c r="F515" s="16" t="n">
        <f aca="false">IF('Boletins Nuppa Site'!I515&lt;&gt;0,'Boletins Nuppa Site'!I515,"NULL")</f>
        <v>84</v>
      </c>
      <c r="G515" s="16" t="n">
        <f aca="false">IF('Boletins Nuppa Site'!J515&lt;&gt;0,'Boletins Nuppa Site'!J515,"NULL")</f>
        <v>80</v>
      </c>
      <c r="H515" s="16" t="n">
        <f aca="false">IF('Boletins Nuppa Site'!K515&lt;&gt;0,'Boletins Nuppa Site'!K515,"NULL")</f>
        <v>84</v>
      </c>
      <c r="J515" s="1" t="str">
        <f aca="false">"INSERT INTO COTACAO (blt_id, pap_id, cot_prc_comum, cot_prc_min, cot_prc_max, cot_prc_med, cot_prc_mediana) VALUES ("&amp;B515&amp;", "&amp;C515&amp;", "&amp;D515&amp;", "&amp;E515&amp;", "&amp;F515&amp;", "&amp;G515&amp;", "&amp;H515&amp;");"</f>
        <v>INSERT INTO COTACAO (blt_id, pap_id, cot_prc_comum, cot_prc_min, cot_prc_max, cot_prc_med, cot_prc_mediana) VALUES (14, 2, 84, 72, 84, 80, 84);</v>
      </c>
    </row>
    <row r="516" customFormat="false" ht="14.25" hidden="false" customHeight="false" outlineLevel="0" collapsed="false">
      <c r="A516" s="1" t="n">
        <v>515</v>
      </c>
      <c r="B516" s="1" t="n">
        <v>14</v>
      </c>
      <c r="C516" s="1" t="n">
        <v>3</v>
      </c>
      <c r="D516" s="1" t="str">
        <f aca="false">IF('Boletins Nuppa Site'!G516&lt;&gt;0,'Boletins Nuppa Site'!G516,"NULL")</f>
        <v>NULL</v>
      </c>
      <c r="E516" s="16" t="n">
        <f aca="false">IF('Boletins Nuppa Site'!H516&lt;&gt;0,'Boletins Nuppa Site'!H516,"NULL")</f>
        <v>42</v>
      </c>
      <c r="F516" s="16" t="n">
        <f aca="false">IF('Boletins Nuppa Site'!I516&lt;&gt;0,'Boletins Nuppa Site'!I516,"NULL")</f>
        <v>60</v>
      </c>
      <c r="G516" s="16" t="n">
        <f aca="false">IF('Boletins Nuppa Site'!J516&lt;&gt;0,'Boletins Nuppa Site'!J516,"NULL")</f>
        <v>50</v>
      </c>
      <c r="H516" s="16" t="n">
        <f aca="false">IF('Boletins Nuppa Site'!K516&lt;&gt;0,'Boletins Nuppa Site'!K516,"NULL")</f>
        <v>48</v>
      </c>
      <c r="J516" s="1" t="str">
        <f aca="false">"INSERT INTO COTACAO (blt_id, pap_id, cot_prc_comum, cot_prc_min, cot_prc_max, cot_prc_med, cot_prc_mediana) VALUES ("&amp;B516&amp;", "&amp;C516&amp;", "&amp;D516&amp;", "&amp;E516&amp;", "&amp;F516&amp;", "&amp;G516&amp;", "&amp;H516&amp;");"</f>
        <v>INSERT INTO COTACAO (blt_id, pap_id, cot_prc_comum, cot_prc_min, cot_prc_max, cot_prc_med, cot_prc_mediana) VALUES (14, 3, NULL, 42, 60, 50, 48);</v>
      </c>
    </row>
    <row r="517" customFormat="false" ht="14.25" hidden="false" customHeight="false" outlineLevel="0" collapsed="false">
      <c r="A517" s="1" t="n">
        <v>516</v>
      </c>
      <c r="B517" s="1" t="n">
        <v>14</v>
      </c>
      <c r="C517" s="1" t="n">
        <v>4</v>
      </c>
      <c r="D517" s="16" t="n">
        <f aca="false">IF('Boletins Nuppa Site'!G517&lt;&gt;0,'Boletins Nuppa Site'!G517,"NULL")</f>
        <v>36</v>
      </c>
      <c r="E517" s="16" t="n">
        <f aca="false">IF('Boletins Nuppa Site'!H517&lt;&gt;0,'Boletins Nuppa Site'!H517,"NULL")</f>
        <v>30</v>
      </c>
      <c r="F517" s="16" t="n">
        <f aca="false">IF('Boletins Nuppa Site'!I517&lt;&gt;0,'Boletins Nuppa Site'!I517,"NULL")</f>
        <v>36</v>
      </c>
      <c r="G517" s="16" t="n">
        <f aca="false">IF('Boletins Nuppa Site'!J517&lt;&gt;0,'Boletins Nuppa Site'!J517,"NULL")</f>
        <v>34</v>
      </c>
      <c r="H517" s="16" t="n">
        <f aca="false">IF('Boletins Nuppa Site'!K517&lt;&gt;0,'Boletins Nuppa Site'!K517,"NULL")</f>
        <v>36</v>
      </c>
      <c r="J517" s="1" t="str">
        <f aca="false">"INSERT INTO COTACAO (blt_id, pap_id, cot_prc_comum, cot_prc_min, cot_prc_max, cot_prc_med, cot_prc_mediana) VALUES ("&amp;B517&amp;", "&amp;C517&amp;", "&amp;D517&amp;", "&amp;E517&amp;", "&amp;F517&amp;", "&amp;G517&amp;", "&amp;H517&amp;");"</f>
        <v>INSERT INTO COTACAO (blt_id, pap_id, cot_prc_comum, cot_prc_min, cot_prc_max, cot_prc_med, cot_prc_mediana) VALUES (14, 4, 36, 30, 36, 34, 36);</v>
      </c>
    </row>
    <row r="518" customFormat="false" ht="14.25" hidden="false" customHeight="false" outlineLevel="0" collapsed="false">
      <c r="A518" s="1" t="n">
        <v>517</v>
      </c>
      <c r="B518" s="1" t="n">
        <v>14</v>
      </c>
      <c r="C518" s="1" t="n">
        <v>5</v>
      </c>
      <c r="D518" s="16" t="n">
        <f aca="false">IF('Boletins Nuppa Site'!G518&lt;&gt;0,'Boletins Nuppa Site'!G518,"NULL")</f>
        <v>36</v>
      </c>
      <c r="E518" s="16" t="n">
        <f aca="false">IF('Boletins Nuppa Site'!H518&lt;&gt;0,'Boletins Nuppa Site'!H518,"NULL")</f>
        <v>30</v>
      </c>
      <c r="F518" s="16" t="n">
        <f aca="false">IF('Boletins Nuppa Site'!I518&lt;&gt;0,'Boletins Nuppa Site'!I518,"NULL")</f>
        <v>36</v>
      </c>
      <c r="G518" s="16" t="n">
        <f aca="false">IF('Boletins Nuppa Site'!J518&lt;&gt;0,'Boletins Nuppa Site'!J518,"NULL")</f>
        <v>34</v>
      </c>
      <c r="H518" s="16" t="n">
        <f aca="false">IF('Boletins Nuppa Site'!K518&lt;&gt;0,'Boletins Nuppa Site'!K518,"NULL")</f>
        <v>36</v>
      </c>
      <c r="J518" s="1" t="str">
        <f aca="false">"INSERT INTO COTACAO (blt_id, pap_id, cot_prc_comum, cot_prc_min, cot_prc_max, cot_prc_med, cot_prc_mediana) VALUES ("&amp;B518&amp;", "&amp;C518&amp;", "&amp;D518&amp;", "&amp;E518&amp;", "&amp;F518&amp;", "&amp;G518&amp;", "&amp;H518&amp;");"</f>
        <v>INSERT INTO COTACAO (blt_id, pap_id, cot_prc_comum, cot_prc_min, cot_prc_max, cot_prc_med, cot_prc_mediana) VALUES (14, 5, 36, 30, 36, 34, 36);</v>
      </c>
    </row>
    <row r="519" customFormat="false" ht="14.25" hidden="false" customHeight="false" outlineLevel="0" collapsed="false">
      <c r="A519" s="1" t="n">
        <v>518</v>
      </c>
      <c r="B519" s="1" t="n">
        <v>14</v>
      </c>
      <c r="C519" s="1" t="n">
        <v>6</v>
      </c>
      <c r="D519" s="16" t="n">
        <f aca="false">IF('Boletins Nuppa Site'!G519&lt;&gt;0,'Boletins Nuppa Site'!G519,"NULL")</f>
        <v>72</v>
      </c>
      <c r="E519" s="16" t="n">
        <f aca="false">IF('Boletins Nuppa Site'!H519&lt;&gt;0,'Boletins Nuppa Site'!H519,"NULL")</f>
        <v>48</v>
      </c>
      <c r="F519" s="16" t="n">
        <f aca="false">IF('Boletins Nuppa Site'!I519&lt;&gt;0,'Boletins Nuppa Site'!I519,"NULL")</f>
        <v>72</v>
      </c>
      <c r="G519" s="16" t="n">
        <f aca="false">IF('Boletins Nuppa Site'!J519&lt;&gt;0,'Boletins Nuppa Site'!J519,"NULL")</f>
        <v>64</v>
      </c>
      <c r="H519" s="16" t="n">
        <f aca="false">IF('Boletins Nuppa Site'!K519&lt;&gt;0,'Boletins Nuppa Site'!K519,"NULL")</f>
        <v>72</v>
      </c>
      <c r="J519" s="1" t="str">
        <f aca="false">"INSERT INTO COTACAO (blt_id, pap_id, cot_prc_comum, cot_prc_min, cot_prc_max, cot_prc_med, cot_prc_mediana) VALUES ("&amp;B519&amp;", "&amp;C519&amp;", "&amp;D519&amp;", "&amp;E519&amp;", "&amp;F519&amp;", "&amp;G519&amp;", "&amp;H519&amp;");"</f>
        <v>INSERT INTO COTACAO (blt_id, pap_id, cot_prc_comum, cot_prc_min, cot_prc_max, cot_prc_med, cot_prc_mediana) VALUES (14, 6, 72, 48, 72, 64, 72);</v>
      </c>
    </row>
    <row r="520" customFormat="false" ht="14.25" hidden="false" customHeight="false" outlineLevel="0" collapsed="false">
      <c r="A520" s="1" t="n">
        <v>519</v>
      </c>
      <c r="B520" s="1" t="n">
        <v>14</v>
      </c>
      <c r="C520" s="1" t="n">
        <v>7</v>
      </c>
      <c r="D520" s="1" t="str">
        <f aca="false">IF('Boletins Nuppa Site'!G520&lt;&gt;0,'Boletins Nuppa Site'!G520,"NULL")</f>
        <v>NULL</v>
      </c>
      <c r="E520" s="16" t="n">
        <f aca="false">IF('Boletins Nuppa Site'!H520&lt;&gt;0,'Boletins Nuppa Site'!H520,"NULL")</f>
        <v>72</v>
      </c>
      <c r="F520" s="16" t="n">
        <f aca="false">IF('Boletins Nuppa Site'!I520&lt;&gt;0,'Boletins Nuppa Site'!I520,"NULL")</f>
        <v>96</v>
      </c>
      <c r="G520" s="16" t="n">
        <f aca="false">IF('Boletins Nuppa Site'!J520&lt;&gt;0,'Boletins Nuppa Site'!J520,"NULL")</f>
        <v>82</v>
      </c>
      <c r="H520" s="16" t="n">
        <f aca="false">IF('Boletins Nuppa Site'!K520&lt;&gt;0,'Boletins Nuppa Site'!K520,"NULL")</f>
        <v>78</v>
      </c>
      <c r="J520" s="1" t="str">
        <f aca="false">"INSERT INTO COTACAO (blt_id, pap_id, cot_prc_comum, cot_prc_min, cot_prc_max, cot_prc_med, cot_prc_mediana) VALUES ("&amp;B520&amp;", "&amp;C520&amp;", "&amp;D520&amp;", "&amp;E520&amp;", "&amp;F520&amp;", "&amp;G520&amp;", "&amp;H520&amp;");"</f>
        <v>INSERT INTO COTACAO (blt_id, pap_id, cot_prc_comum, cot_prc_min, cot_prc_max, cot_prc_med, cot_prc_mediana) VALUES (14, 7, NULL, 72, 96, 82, 78);</v>
      </c>
    </row>
    <row r="521" customFormat="false" ht="14.25" hidden="false" customHeight="false" outlineLevel="0" collapsed="false">
      <c r="A521" s="1" t="n">
        <v>520</v>
      </c>
      <c r="B521" s="1" t="n">
        <v>14</v>
      </c>
      <c r="C521" s="1" t="n">
        <v>8</v>
      </c>
      <c r="D521" s="16" t="n">
        <f aca="false">IF('Boletins Nuppa Site'!G521&lt;&gt;0,'Boletins Nuppa Site'!G521,"NULL")</f>
        <v>96</v>
      </c>
      <c r="E521" s="16" t="n">
        <f aca="false">IF('Boletins Nuppa Site'!H521&lt;&gt;0,'Boletins Nuppa Site'!H521,"NULL")</f>
        <v>96</v>
      </c>
      <c r="F521" s="16" t="n">
        <f aca="false">IF('Boletins Nuppa Site'!I521&lt;&gt;0,'Boletins Nuppa Site'!I521,"NULL")</f>
        <v>96</v>
      </c>
      <c r="G521" s="16" t="n">
        <f aca="false">IF('Boletins Nuppa Site'!J521&lt;&gt;0,'Boletins Nuppa Site'!J521,"NULL")</f>
        <v>96</v>
      </c>
      <c r="H521" s="16" t="n">
        <f aca="false">IF('Boletins Nuppa Site'!K521&lt;&gt;0,'Boletins Nuppa Site'!K521,"NULL")</f>
        <v>96</v>
      </c>
      <c r="J521" s="1" t="str">
        <f aca="false">"INSERT INTO COTACAO (blt_id, pap_id, cot_prc_comum, cot_prc_min, cot_prc_max, cot_prc_med, cot_prc_mediana) VALUES ("&amp;B521&amp;", "&amp;C521&amp;", "&amp;D521&amp;", "&amp;E521&amp;", "&amp;F521&amp;", "&amp;G521&amp;", "&amp;H521&amp;");"</f>
        <v>INSERT INTO COTACAO (blt_id, pap_id, cot_prc_comum, cot_prc_min, cot_prc_max, cot_prc_med, cot_prc_mediana) VALUES (14, 8, 96, 96, 96, 96, 96);</v>
      </c>
    </row>
    <row r="522" customFormat="false" ht="14.25" hidden="false" customHeight="false" outlineLevel="0" collapsed="false">
      <c r="A522" s="1" t="n">
        <v>521</v>
      </c>
      <c r="B522" s="1" t="n">
        <v>14</v>
      </c>
      <c r="C522" s="1" t="n">
        <v>9</v>
      </c>
      <c r="D522" s="1" t="str">
        <f aca="false">IF('Boletins Nuppa Site'!G522&lt;&gt;0,'Boletins Nuppa Site'!G522,"NULL")</f>
        <v>NULL</v>
      </c>
      <c r="E522" s="16" t="n">
        <f aca="false">IF('Boletins Nuppa Site'!H522&lt;&gt;0,'Boletins Nuppa Site'!H522,"NULL")</f>
        <v>24</v>
      </c>
      <c r="F522" s="16" t="n">
        <f aca="false">IF('Boletins Nuppa Site'!I522&lt;&gt;0,'Boletins Nuppa Site'!I522,"NULL")</f>
        <v>36</v>
      </c>
      <c r="G522" s="16" t="n">
        <f aca="false">IF('Boletins Nuppa Site'!J522&lt;&gt;0,'Boletins Nuppa Site'!J522,"NULL")</f>
        <v>30</v>
      </c>
      <c r="H522" s="16" t="n">
        <f aca="false">IF('Boletins Nuppa Site'!K522&lt;&gt;0,'Boletins Nuppa Site'!K522,"NULL")</f>
        <v>30</v>
      </c>
      <c r="J522" s="1" t="str">
        <f aca="false">"INSERT INTO COTACAO (blt_id, pap_id, cot_prc_comum, cot_prc_min, cot_prc_max, cot_prc_med, cot_prc_mediana) VALUES ("&amp;B522&amp;", "&amp;C522&amp;", "&amp;D522&amp;", "&amp;E522&amp;", "&amp;F522&amp;", "&amp;G522&amp;", "&amp;H522&amp;");"</f>
        <v>INSERT INTO COTACAO (blt_id, pap_id, cot_prc_comum, cot_prc_min, cot_prc_max, cot_prc_med, cot_prc_mediana) VALUES (14, 9, NULL, 24, 36, 30, 30);</v>
      </c>
    </row>
    <row r="523" customFormat="false" ht="14.25" hidden="false" customHeight="false" outlineLevel="0" collapsed="false">
      <c r="A523" s="1" t="n">
        <v>522</v>
      </c>
      <c r="B523" s="1" t="n">
        <v>14</v>
      </c>
      <c r="C523" s="1" t="n">
        <v>10</v>
      </c>
      <c r="D523" s="16" t="n">
        <f aca="false">IF('Boletins Nuppa Site'!G523&lt;&gt;0,'Boletins Nuppa Site'!G523,"NULL")</f>
        <v>96</v>
      </c>
      <c r="E523" s="16" t="n">
        <f aca="false">IF('Boletins Nuppa Site'!H523&lt;&gt;0,'Boletins Nuppa Site'!H523,"NULL")</f>
        <v>96</v>
      </c>
      <c r="F523" s="16" t="n">
        <f aca="false">IF('Boletins Nuppa Site'!I523&lt;&gt;0,'Boletins Nuppa Site'!I523,"NULL")</f>
        <v>108</v>
      </c>
      <c r="G523" s="16" t="n">
        <f aca="false">IF('Boletins Nuppa Site'!J523&lt;&gt;0,'Boletins Nuppa Site'!J523,"NULL")</f>
        <v>100</v>
      </c>
      <c r="H523" s="16" t="n">
        <f aca="false">IF('Boletins Nuppa Site'!K523&lt;&gt;0,'Boletins Nuppa Site'!K523,"NULL")</f>
        <v>96</v>
      </c>
      <c r="J523" s="1" t="str">
        <f aca="false">"INSERT INTO COTACAO (blt_id, pap_id, cot_prc_comum, cot_prc_min, cot_prc_max, cot_prc_med, cot_prc_mediana) VALUES ("&amp;B523&amp;", "&amp;C523&amp;", "&amp;D523&amp;", "&amp;E523&amp;", "&amp;F523&amp;", "&amp;G523&amp;", "&amp;H523&amp;");"</f>
        <v>INSERT INTO COTACAO (blt_id, pap_id, cot_prc_comum, cot_prc_min, cot_prc_max, cot_prc_med, cot_prc_mediana) VALUES (14, 10, 96, 96, 108, 100, 96);</v>
      </c>
    </row>
    <row r="524" customFormat="false" ht="14.25" hidden="false" customHeight="false" outlineLevel="0" collapsed="false">
      <c r="A524" s="1" t="n">
        <v>523</v>
      </c>
      <c r="B524" s="1" t="n">
        <v>14</v>
      </c>
      <c r="C524" s="1" t="n">
        <v>11</v>
      </c>
      <c r="D524" s="16" t="n">
        <f aca="false">IF('Boletins Nuppa Site'!G524&lt;&gt;0,'Boletins Nuppa Site'!G524,"NULL")</f>
        <v>36</v>
      </c>
      <c r="E524" s="16" t="n">
        <f aca="false">IF('Boletins Nuppa Site'!H524&lt;&gt;0,'Boletins Nuppa Site'!H524,"NULL")</f>
        <v>24</v>
      </c>
      <c r="F524" s="16" t="n">
        <f aca="false">IF('Boletins Nuppa Site'!I524&lt;&gt;0,'Boletins Nuppa Site'!I524,"NULL")</f>
        <v>36</v>
      </c>
      <c r="G524" s="16" t="n">
        <f aca="false">IF('Boletins Nuppa Site'!J524&lt;&gt;0,'Boletins Nuppa Site'!J524,"NULL")</f>
        <v>32</v>
      </c>
      <c r="H524" s="16" t="n">
        <f aca="false">IF('Boletins Nuppa Site'!K524&lt;&gt;0,'Boletins Nuppa Site'!K524,"NULL")</f>
        <v>36</v>
      </c>
      <c r="J524" s="1" t="str">
        <f aca="false">"INSERT INTO COTACAO (blt_id, pap_id, cot_prc_comum, cot_prc_min, cot_prc_max, cot_prc_med, cot_prc_mediana) VALUES ("&amp;B524&amp;", "&amp;C524&amp;", "&amp;D524&amp;", "&amp;E524&amp;", "&amp;F524&amp;", "&amp;G524&amp;", "&amp;H524&amp;");"</f>
        <v>INSERT INTO COTACAO (blt_id, pap_id, cot_prc_comum, cot_prc_min, cot_prc_max, cot_prc_med, cot_prc_mediana) VALUES (14, 11, 36, 24, 36, 32, 36);</v>
      </c>
    </row>
    <row r="525" customFormat="false" ht="14.25" hidden="false" customHeight="false" outlineLevel="0" collapsed="false">
      <c r="A525" s="1" t="n">
        <v>524</v>
      </c>
      <c r="B525" s="1" t="n">
        <v>14</v>
      </c>
      <c r="C525" s="1" t="n">
        <v>12</v>
      </c>
      <c r="D525" s="16" t="n">
        <f aca="false">IF('Boletins Nuppa Site'!G525&lt;&gt;0,'Boletins Nuppa Site'!G525,"NULL")</f>
        <v>84</v>
      </c>
      <c r="E525" s="16" t="n">
        <f aca="false">IF('Boletins Nuppa Site'!H525&lt;&gt;0,'Boletins Nuppa Site'!H525,"NULL")</f>
        <v>84</v>
      </c>
      <c r="F525" s="16" t="n">
        <f aca="false">IF('Boletins Nuppa Site'!I525&lt;&gt;0,'Boletins Nuppa Site'!I525,"NULL")</f>
        <v>84</v>
      </c>
      <c r="G525" s="16" t="n">
        <f aca="false">IF('Boletins Nuppa Site'!J525&lt;&gt;0,'Boletins Nuppa Site'!J525,"NULL")</f>
        <v>84</v>
      </c>
      <c r="H525" s="16" t="n">
        <f aca="false">IF('Boletins Nuppa Site'!K525&lt;&gt;0,'Boletins Nuppa Site'!K525,"NULL")</f>
        <v>84</v>
      </c>
      <c r="J525" s="1" t="str">
        <f aca="false">"INSERT INTO COTACAO (blt_id, pap_id, cot_prc_comum, cot_prc_min, cot_prc_max, cot_prc_med, cot_prc_mediana) VALUES ("&amp;B525&amp;", "&amp;C525&amp;", "&amp;D525&amp;", "&amp;E525&amp;", "&amp;F525&amp;", "&amp;G525&amp;", "&amp;H525&amp;");"</f>
        <v>INSERT INTO COTACAO (blt_id, pap_id, cot_prc_comum, cot_prc_min, cot_prc_max, cot_prc_med, cot_prc_mediana) VALUES (14, 12, 84, 84, 84, 84, 84);</v>
      </c>
    </row>
    <row r="526" customFormat="false" ht="14.25" hidden="false" customHeight="false" outlineLevel="0" collapsed="false">
      <c r="A526" s="1" t="n">
        <v>525</v>
      </c>
      <c r="B526" s="1" t="n">
        <v>14</v>
      </c>
      <c r="C526" s="1" t="n">
        <v>13</v>
      </c>
      <c r="D526" s="16" t="n">
        <f aca="false">IF('Boletins Nuppa Site'!G526&lt;&gt;0,'Boletins Nuppa Site'!G526,"NULL")</f>
        <v>72</v>
      </c>
      <c r="E526" s="16" t="n">
        <f aca="false">IF('Boletins Nuppa Site'!H526&lt;&gt;0,'Boletins Nuppa Site'!H526,"NULL")</f>
        <v>72</v>
      </c>
      <c r="F526" s="16" t="n">
        <f aca="false">IF('Boletins Nuppa Site'!I526&lt;&gt;0,'Boletins Nuppa Site'!I526,"NULL")</f>
        <v>84</v>
      </c>
      <c r="G526" s="16" t="n">
        <f aca="false">IF('Boletins Nuppa Site'!J526&lt;&gt;0,'Boletins Nuppa Site'!J526,"NULL")</f>
        <v>76</v>
      </c>
      <c r="H526" s="16" t="n">
        <f aca="false">IF('Boletins Nuppa Site'!K526&lt;&gt;0,'Boletins Nuppa Site'!K526,"NULL")</f>
        <v>72</v>
      </c>
      <c r="J526" s="1" t="str">
        <f aca="false">"INSERT INTO COTACAO (blt_id, pap_id, cot_prc_comum, cot_prc_min, cot_prc_max, cot_prc_med, cot_prc_mediana) VALUES ("&amp;B526&amp;", "&amp;C526&amp;", "&amp;D526&amp;", "&amp;E526&amp;", "&amp;F526&amp;", "&amp;G526&amp;", "&amp;H526&amp;");"</f>
        <v>INSERT INTO COTACAO (blt_id, pap_id, cot_prc_comum, cot_prc_min, cot_prc_max, cot_prc_med, cot_prc_mediana) VALUES (14, 13, 72, 72, 84, 76, 72);</v>
      </c>
    </row>
    <row r="527" customFormat="false" ht="14.25" hidden="false" customHeight="false" outlineLevel="0" collapsed="false">
      <c r="A527" s="1" t="n">
        <v>526</v>
      </c>
      <c r="B527" s="1" t="n">
        <v>14</v>
      </c>
      <c r="C527" s="1" t="n">
        <v>14</v>
      </c>
      <c r="D527" s="16" t="n">
        <f aca="false">IF('Boletins Nuppa Site'!G527&lt;&gt;0,'Boletins Nuppa Site'!G527,"NULL")</f>
        <v>60</v>
      </c>
      <c r="E527" s="16" t="n">
        <f aca="false">IF('Boletins Nuppa Site'!H527&lt;&gt;0,'Boletins Nuppa Site'!H527,"NULL")</f>
        <v>60</v>
      </c>
      <c r="F527" s="16" t="n">
        <f aca="false">IF('Boletins Nuppa Site'!I527&lt;&gt;0,'Boletins Nuppa Site'!I527,"NULL")</f>
        <v>96</v>
      </c>
      <c r="G527" s="16" t="n">
        <f aca="false">IF('Boletins Nuppa Site'!J527&lt;&gt;0,'Boletins Nuppa Site'!J527,"NULL")</f>
        <v>72</v>
      </c>
      <c r="H527" s="16" t="n">
        <f aca="false">IF('Boletins Nuppa Site'!K527&lt;&gt;0,'Boletins Nuppa Site'!K527,"NULL")</f>
        <v>60</v>
      </c>
      <c r="J527" s="1" t="str">
        <f aca="false">"INSERT INTO COTACAO (blt_id, pap_id, cot_prc_comum, cot_prc_min, cot_prc_max, cot_prc_med, cot_prc_mediana) VALUES ("&amp;B527&amp;", "&amp;C527&amp;", "&amp;D527&amp;", "&amp;E527&amp;", "&amp;F527&amp;", "&amp;G527&amp;", "&amp;H527&amp;");"</f>
        <v>INSERT INTO COTACAO (blt_id, pap_id, cot_prc_comum, cot_prc_min, cot_prc_max, cot_prc_med, cot_prc_mediana) VALUES (14, 14, 60, 60, 96, 72, 60);</v>
      </c>
    </row>
    <row r="528" customFormat="false" ht="14.25" hidden="false" customHeight="false" outlineLevel="0" collapsed="false">
      <c r="A528" s="1" t="n">
        <v>527</v>
      </c>
      <c r="B528" s="1" t="n">
        <v>14</v>
      </c>
      <c r="C528" s="1" t="n">
        <v>15</v>
      </c>
      <c r="D528" s="1" t="str">
        <f aca="false">IF('Boletins Nuppa Site'!G528&lt;&gt;0,'Boletins Nuppa Site'!G528,"NULL")</f>
        <v>NULL</v>
      </c>
      <c r="E528" s="16" t="n">
        <f aca="false">IF('Boletins Nuppa Site'!H528&lt;&gt;0,'Boletins Nuppa Site'!H528,"NULL")</f>
        <v>48</v>
      </c>
      <c r="F528" s="16" t="n">
        <f aca="false">IF('Boletins Nuppa Site'!I528&lt;&gt;0,'Boletins Nuppa Site'!I528,"NULL")</f>
        <v>70</v>
      </c>
      <c r="G528" s="1" t="str">
        <f aca="false">IF('Boletins Nuppa Site'!J528&lt;&gt;0,'Boletins Nuppa Site'!J528,"NULL")</f>
        <v>59.33</v>
      </c>
      <c r="H528" s="16" t="n">
        <f aca="false">IF('Boletins Nuppa Site'!K528&lt;&gt;0,'Boletins Nuppa Site'!K528,"NULL")</f>
        <v>60</v>
      </c>
      <c r="J528" s="1" t="str">
        <f aca="false">"INSERT INTO COTACAO (blt_id, pap_id, cot_prc_comum, cot_prc_min, cot_prc_max, cot_prc_med, cot_prc_mediana) VALUES ("&amp;B528&amp;", "&amp;C528&amp;", "&amp;D528&amp;", "&amp;E528&amp;", "&amp;F528&amp;", "&amp;G528&amp;", "&amp;H528&amp;");"</f>
        <v>INSERT INTO COTACAO (blt_id, pap_id, cot_prc_comum, cot_prc_min, cot_prc_max, cot_prc_med, cot_prc_mediana) VALUES (14, 15, NULL, 48, 70, 59.33, 60);</v>
      </c>
    </row>
    <row r="529" customFormat="false" ht="14.25" hidden="false" customHeight="false" outlineLevel="0" collapsed="false">
      <c r="A529" s="1" t="n">
        <v>528</v>
      </c>
      <c r="B529" s="1" t="n">
        <v>14</v>
      </c>
      <c r="C529" s="1" t="n">
        <v>16</v>
      </c>
      <c r="D529" s="16" t="n">
        <f aca="false">IF('Boletins Nuppa Site'!G529&lt;&gt;0,'Boletins Nuppa Site'!G529,"NULL")</f>
        <v>54</v>
      </c>
      <c r="E529" s="16" t="n">
        <f aca="false">IF('Boletins Nuppa Site'!H529&lt;&gt;0,'Boletins Nuppa Site'!H529,"NULL")</f>
        <v>48</v>
      </c>
      <c r="F529" s="16" t="n">
        <f aca="false">IF('Boletins Nuppa Site'!I529&lt;&gt;0,'Boletins Nuppa Site'!I529,"NULL")</f>
        <v>54</v>
      </c>
      <c r="G529" s="16" t="n">
        <f aca="false">IF('Boletins Nuppa Site'!J529&lt;&gt;0,'Boletins Nuppa Site'!J529,"NULL")</f>
        <v>52</v>
      </c>
      <c r="H529" s="16" t="n">
        <f aca="false">IF('Boletins Nuppa Site'!K529&lt;&gt;0,'Boletins Nuppa Site'!K529,"NULL")</f>
        <v>54</v>
      </c>
      <c r="J529" s="1" t="str">
        <f aca="false">"INSERT INTO COTACAO (blt_id, pap_id, cot_prc_comum, cot_prc_min, cot_prc_max, cot_prc_med, cot_prc_mediana) VALUES ("&amp;B529&amp;", "&amp;C529&amp;", "&amp;D529&amp;", "&amp;E529&amp;", "&amp;F529&amp;", "&amp;G529&amp;", "&amp;H529&amp;");"</f>
        <v>INSERT INTO COTACAO (blt_id, pap_id, cot_prc_comum, cot_prc_min, cot_prc_max, cot_prc_med, cot_prc_mediana) VALUES (14, 16, 54, 48, 54, 52, 54);</v>
      </c>
    </row>
    <row r="530" customFormat="false" ht="14.25" hidden="false" customHeight="false" outlineLevel="0" collapsed="false">
      <c r="A530" s="1" t="n">
        <v>529</v>
      </c>
      <c r="B530" s="1" t="n">
        <v>14</v>
      </c>
      <c r="C530" s="1" t="n">
        <v>17</v>
      </c>
      <c r="D530" s="16" t="n">
        <f aca="false">IF('Boletins Nuppa Site'!G530&lt;&gt;0,'Boletins Nuppa Site'!G530,"NULL")</f>
        <v>5</v>
      </c>
      <c r="E530" s="16" t="n">
        <f aca="false">IF('Boletins Nuppa Site'!H530&lt;&gt;0,'Boletins Nuppa Site'!H530,"NULL")</f>
        <v>5</v>
      </c>
      <c r="F530" s="16" t="n">
        <f aca="false">IF('Boletins Nuppa Site'!I530&lt;&gt;0,'Boletins Nuppa Site'!I530,"NULL")</f>
        <v>5</v>
      </c>
      <c r="G530" s="16" t="n">
        <f aca="false">IF('Boletins Nuppa Site'!J530&lt;&gt;0,'Boletins Nuppa Site'!J530,"NULL")</f>
        <v>5</v>
      </c>
      <c r="H530" s="16" t="n">
        <f aca="false">IF('Boletins Nuppa Site'!K530&lt;&gt;0,'Boletins Nuppa Site'!K530,"NULL")</f>
        <v>5</v>
      </c>
      <c r="J530" s="1" t="str">
        <f aca="false">"INSERT INTO COTACAO (blt_id, pap_id, cot_prc_comum, cot_prc_min, cot_prc_max, cot_prc_med, cot_prc_mediana) VALUES ("&amp;B530&amp;", "&amp;C530&amp;", "&amp;D530&amp;", "&amp;E530&amp;", "&amp;F530&amp;", "&amp;G530&amp;", "&amp;H530&amp;");"</f>
        <v>INSERT INTO COTACAO (blt_id, pap_id, cot_prc_comum, cot_prc_min, cot_prc_max, cot_prc_med, cot_prc_mediana) VALUES (14, 17, 5, 5, 5, 5, 5);</v>
      </c>
    </row>
    <row r="531" customFormat="false" ht="14.25" hidden="false" customHeight="false" outlineLevel="0" collapsed="false">
      <c r="A531" s="1" t="n">
        <v>530</v>
      </c>
      <c r="B531" s="1" t="n">
        <v>14</v>
      </c>
      <c r="C531" s="1" t="n">
        <v>18</v>
      </c>
      <c r="D531" s="1" t="str">
        <f aca="false">IF('Boletins Nuppa Site'!G531&lt;&gt;0,'Boletins Nuppa Site'!G531,"NULL")</f>
        <v>NULL</v>
      </c>
      <c r="E531" s="16" t="n">
        <f aca="false">IF('Boletins Nuppa Site'!H531&lt;&gt;0,'Boletins Nuppa Site'!H531,"NULL")</f>
        <v>25</v>
      </c>
      <c r="F531" s="16" t="n">
        <f aca="false">IF('Boletins Nuppa Site'!I531&lt;&gt;0,'Boletins Nuppa Site'!I531,"NULL")</f>
        <v>30</v>
      </c>
      <c r="G531" s="1" t="str">
        <f aca="false">IF('Boletins Nuppa Site'!J531&lt;&gt;0,'Boletins Nuppa Site'!J531,"NULL")</f>
        <v>27.67</v>
      </c>
      <c r="H531" s="16" t="n">
        <f aca="false">IF('Boletins Nuppa Site'!K531&lt;&gt;0,'Boletins Nuppa Site'!K531,"NULL")</f>
        <v>28</v>
      </c>
      <c r="J531" s="1" t="str">
        <f aca="false">"INSERT INTO COTACAO (blt_id, pap_id, cot_prc_comum, cot_prc_min, cot_prc_max, cot_prc_med, cot_prc_mediana) VALUES ("&amp;B531&amp;", "&amp;C531&amp;", "&amp;D531&amp;", "&amp;E531&amp;", "&amp;F531&amp;", "&amp;G531&amp;", "&amp;H531&amp;");"</f>
        <v>INSERT INTO COTACAO (blt_id, pap_id, cot_prc_comum, cot_prc_min, cot_prc_max, cot_prc_med, cot_prc_mediana) VALUES (14, 18, NULL, 25, 30, 27.67, 28);</v>
      </c>
    </row>
    <row r="532" customFormat="false" ht="14.25" hidden="false" customHeight="false" outlineLevel="0" collapsed="false">
      <c r="A532" s="1" t="n">
        <v>531</v>
      </c>
      <c r="B532" s="1" t="n">
        <v>14</v>
      </c>
      <c r="C532" s="1" t="n">
        <v>19</v>
      </c>
      <c r="D532" s="16" t="n">
        <f aca="false">IF('Boletins Nuppa Site'!G532&lt;&gt;0,'Boletins Nuppa Site'!G532,"NULL")</f>
        <v>35</v>
      </c>
      <c r="E532" s="16" t="n">
        <f aca="false">IF('Boletins Nuppa Site'!H532&lt;&gt;0,'Boletins Nuppa Site'!H532,"NULL")</f>
        <v>30</v>
      </c>
      <c r="F532" s="16" t="n">
        <f aca="false">IF('Boletins Nuppa Site'!I532&lt;&gt;0,'Boletins Nuppa Site'!I532,"NULL")</f>
        <v>35</v>
      </c>
      <c r="G532" s="1" t="str">
        <f aca="false">IF('Boletins Nuppa Site'!J532&lt;&gt;0,'Boletins Nuppa Site'!J532,"NULL")</f>
        <v>33.33</v>
      </c>
      <c r="H532" s="16" t="n">
        <f aca="false">IF('Boletins Nuppa Site'!K532&lt;&gt;0,'Boletins Nuppa Site'!K532,"NULL")</f>
        <v>35</v>
      </c>
      <c r="J532" s="1" t="str">
        <f aca="false">"INSERT INTO COTACAO (blt_id, pap_id, cot_prc_comum, cot_prc_min, cot_prc_max, cot_prc_med, cot_prc_mediana) VALUES ("&amp;B532&amp;", "&amp;C532&amp;", "&amp;D532&amp;", "&amp;E532&amp;", "&amp;F532&amp;", "&amp;G532&amp;", "&amp;H532&amp;");"</f>
        <v>INSERT INTO COTACAO (blt_id, pap_id, cot_prc_comum, cot_prc_min, cot_prc_max, cot_prc_med, cot_prc_mediana) VALUES (14, 19, 35, 30, 35, 33.33, 35);</v>
      </c>
    </row>
    <row r="533" customFormat="false" ht="14.25" hidden="false" customHeight="false" outlineLevel="0" collapsed="false">
      <c r="A533" s="1" t="n">
        <v>532</v>
      </c>
      <c r="B533" s="1" t="n">
        <v>14</v>
      </c>
      <c r="C533" s="1" t="n">
        <v>20</v>
      </c>
      <c r="D533" s="16" t="n">
        <f aca="false">IF('Boletins Nuppa Site'!G533&lt;&gt;0,'Boletins Nuppa Site'!G533,"NULL")</f>
        <v>110</v>
      </c>
      <c r="E533" s="16" t="n">
        <f aca="false">IF('Boletins Nuppa Site'!H533&lt;&gt;0,'Boletins Nuppa Site'!H533,"NULL")</f>
        <v>80</v>
      </c>
      <c r="F533" s="16" t="n">
        <f aca="false">IF('Boletins Nuppa Site'!I533&lt;&gt;0,'Boletins Nuppa Site'!I533,"NULL")</f>
        <v>110</v>
      </c>
      <c r="G533" s="16" t="n">
        <f aca="false">IF('Boletins Nuppa Site'!J533&lt;&gt;0,'Boletins Nuppa Site'!J533,"NULL")</f>
        <v>98</v>
      </c>
      <c r="H533" s="16" t="n">
        <f aca="false">IF('Boletins Nuppa Site'!K533&lt;&gt;0,'Boletins Nuppa Site'!K533,"NULL")</f>
        <v>100</v>
      </c>
      <c r="J533" s="1" t="str">
        <f aca="false">"INSERT INTO COTACAO (blt_id, pap_id, cot_prc_comum, cot_prc_min, cot_prc_max, cot_prc_med, cot_prc_mediana) VALUES ("&amp;B533&amp;", "&amp;C533&amp;", "&amp;D533&amp;", "&amp;E533&amp;", "&amp;F533&amp;", "&amp;G533&amp;", "&amp;H533&amp;");"</f>
        <v>INSERT INTO COTACAO (blt_id, pap_id, cot_prc_comum, cot_prc_min, cot_prc_max, cot_prc_med, cot_prc_mediana) VALUES (14, 20, 110, 80, 110, 98, 100);</v>
      </c>
    </row>
    <row r="534" customFormat="false" ht="14.25" hidden="false" customHeight="false" outlineLevel="0" collapsed="false">
      <c r="A534" s="1" t="n">
        <v>533</v>
      </c>
      <c r="B534" s="1" t="n">
        <v>14</v>
      </c>
      <c r="C534" s="1" t="n">
        <v>21</v>
      </c>
      <c r="D534" s="16" t="n">
        <f aca="false">IF('Boletins Nuppa Site'!G534&lt;&gt;0,'Boletins Nuppa Site'!G534,"NULL")</f>
        <v>80</v>
      </c>
      <c r="E534" s="16" t="n">
        <f aca="false">IF('Boletins Nuppa Site'!H534&lt;&gt;0,'Boletins Nuppa Site'!H534,"NULL")</f>
        <v>70</v>
      </c>
      <c r="F534" s="16" t="n">
        <f aca="false">IF('Boletins Nuppa Site'!I534&lt;&gt;0,'Boletins Nuppa Site'!I534,"NULL")</f>
        <v>90</v>
      </c>
      <c r="G534" s="1" t="str">
        <f aca="false">IF('Boletins Nuppa Site'!J534&lt;&gt;0,'Boletins Nuppa Site'!J534,"NULL")</f>
        <v>78.75</v>
      </c>
      <c r="H534" s="16" t="n">
        <f aca="false">IF('Boletins Nuppa Site'!K534&lt;&gt;0,'Boletins Nuppa Site'!K534,"NULL")</f>
        <v>80</v>
      </c>
      <c r="J534" s="1" t="str">
        <f aca="false">"INSERT INTO COTACAO (blt_id, pap_id, cot_prc_comum, cot_prc_min, cot_prc_max, cot_prc_med, cot_prc_mediana) VALUES ("&amp;B534&amp;", "&amp;C534&amp;", "&amp;D534&amp;", "&amp;E534&amp;", "&amp;F534&amp;", "&amp;G534&amp;", "&amp;H534&amp;");"</f>
        <v>INSERT INTO COTACAO (blt_id, pap_id, cot_prc_comum, cot_prc_min, cot_prc_max, cot_prc_med, cot_prc_mediana) VALUES (14, 21, 80, 70, 90, 78.75, 80);</v>
      </c>
    </row>
    <row r="535" customFormat="false" ht="14.25" hidden="false" customHeight="false" outlineLevel="0" collapsed="false">
      <c r="A535" s="1" t="n">
        <v>534</v>
      </c>
      <c r="B535" s="1" t="n">
        <v>14</v>
      </c>
      <c r="C535" s="1" t="n">
        <v>22</v>
      </c>
      <c r="D535" s="16" t="n">
        <f aca="false">IF('Boletins Nuppa Site'!G535&lt;&gt;0,'Boletins Nuppa Site'!G535,"NULL")</f>
        <v>70</v>
      </c>
      <c r="E535" s="16" t="n">
        <f aca="false">IF('Boletins Nuppa Site'!H535&lt;&gt;0,'Boletins Nuppa Site'!H535,"NULL")</f>
        <v>40</v>
      </c>
      <c r="F535" s="16" t="n">
        <f aca="false">IF('Boletins Nuppa Site'!I535&lt;&gt;0,'Boletins Nuppa Site'!I535,"NULL")</f>
        <v>75</v>
      </c>
      <c r="G535" s="1" t="str">
        <f aca="false">IF('Boletins Nuppa Site'!J535&lt;&gt;0,'Boletins Nuppa Site'!J535,"NULL")</f>
        <v>62.78</v>
      </c>
      <c r="H535" s="16" t="n">
        <f aca="false">IF('Boletins Nuppa Site'!K535&lt;&gt;0,'Boletins Nuppa Site'!K535,"NULL")</f>
        <v>70</v>
      </c>
      <c r="J535" s="1" t="str">
        <f aca="false">"INSERT INTO COTACAO (blt_id, pap_id, cot_prc_comum, cot_prc_min, cot_prc_max, cot_prc_med, cot_prc_mediana) VALUES ("&amp;B535&amp;", "&amp;C535&amp;", "&amp;D535&amp;", "&amp;E535&amp;", "&amp;F535&amp;", "&amp;G535&amp;", "&amp;H535&amp;");"</f>
        <v>INSERT INTO COTACAO (blt_id, pap_id, cot_prc_comum, cot_prc_min, cot_prc_max, cot_prc_med, cot_prc_mediana) VALUES (14, 22, 70, 40, 75, 62.78, 70);</v>
      </c>
    </row>
    <row r="536" customFormat="false" ht="14.25" hidden="false" customHeight="false" outlineLevel="0" collapsed="false">
      <c r="A536" s="1" t="n">
        <v>535</v>
      </c>
      <c r="B536" s="1" t="n">
        <v>14</v>
      </c>
      <c r="C536" s="1" t="n">
        <v>23</v>
      </c>
      <c r="D536" s="16" t="n">
        <f aca="false">IF('Boletins Nuppa Site'!G536&lt;&gt;0,'Boletins Nuppa Site'!G536,"NULL")</f>
        <v>50</v>
      </c>
      <c r="E536" s="16" t="n">
        <f aca="false">IF('Boletins Nuppa Site'!H536&lt;&gt;0,'Boletins Nuppa Site'!H536,"NULL")</f>
        <v>35</v>
      </c>
      <c r="F536" s="16" t="n">
        <f aca="false">IF('Boletins Nuppa Site'!I536&lt;&gt;0,'Boletins Nuppa Site'!I536,"NULL")</f>
        <v>55</v>
      </c>
      <c r="G536" s="1" t="str">
        <f aca="false">IF('Boletins Nuppa Site'!J536&lt;&gt;0,'Boletins Nuppa Site'!J536,"NULL")</f>
        <v>44.38</v>
      </c>
      <c r="H536" s="16" t="n">
        <f aca="false">IF('Boletins Nuppa Site'!K536&lt;&gt;0,'Boletins Nuppa Site'!K536,"NULL")</f>
        <v>45</v>
      </c>
      <c r="J536" s="1" t="str">
        <f aca="false">"INSERT INTO COTACAO (blt_id, pap_id, cot_prc_comum, cot_prc_min, cot_prc_max, cot_prc_med, cot_prc_mediana) VALUES ("&amp;B536&amp;", "&amp;C536&amp;", "&amp;D536&amp;", "&amp;E536&amp;", "&amp;F536&amp;", "&amp;G536&amp;", "&amp;H536&amp;");"</f>
        <v>INSERT INTO COTACAO (blt_id, pap_id, cot_prc_comum, cot_prc_min, cot_prc_max, cot_prc_med, cot_prc_mediana) VALUES (14, 23, 50, 35, 55, 44.38, 45);</v>
      </c>
    </row>
    <row r="537" customFormat="false" ht="14.25" hidden="false" customHeight="false" outlineLevel="0" collapsed="false">
      <c r="A537" s="1" t="n">
        <v>536</v>
      </c>
      <c r="B537" s="1" t="n">
        <v>14</v>
      </c>
      <c r="C537" s="1" t="n">
        <v>24</v>
      </c>
      <c r="D537" s="1" t="str">
        <f aca="false">IF('Boletins Nuppa Site'!G537&lt;&gt;0,'Boletins Nuppa Site'!G537,"NULL")</f>
        <v>NULL</v>
      </c>
      <c r="E537" s="16" t="n">
        <f aca="false">IF('Boletins Nuppa Site'!H537&lt;&gt;0,'Boletins Nuppa Site'!H537,"NULL")</f>
        <v>90</v>
      </c>
      <c r="F537" s="16" t="n">
        <f aca="false">IF('Boletins Nuppa Site'!I537&lt;&gt;0,'Boletins Nuppa Site'!I537,"NULL")</f>
        <v>115</v>
      </c>
      <c r="G537" s="16" t="n">
        <f aca="false">IF('Boletins Nuppa Site'!J537&lt;&gt;0,'Boletins Nuppa Site'!J537,"NULL")</f>
        <v>105</v>
      </c>
      <c r="H537" s="16" t="n">
        <f aca="false">IF('Boletins Nuppa Site'!K537&lt;&gt;0,'Boletins Nuppa Site'!K537,"NULL")</f>
        <v>110</v>
      </c>
      <c r="J537" s="1" t="str">
        <f aca="false">"INSERT INTO COTACAO (blt_id, pap_id, cot_prc_comum, cot_prc_min, cot_prc_max, cot_prc_med, cot_prc_mediana) VALUES ("&amp;B537&amp;", "&amp;C537&amp;", "&amp;D537&amp;", "&amp;E537&amp;", "&amp;F537&amp;", "&amp;G537&amp;", "&amp;H537&amp;");"</f>
        <v>INSERT INTO COTACAO (blt_id, pap_id, cot_prc_comum, cot_prc_min, cot_prc_max, cot_prc_med, cot_prc_mediana) VALUES (14, 24, NULL, 90, 115, 105, 110);</v>
      </c>
    </row>
    <row r="538" customFormat="false" ht="14.25" hidden="false" customHeight="false" outlineLevel="0" collapsed="false">
      <c r="A538" s="1" t="n">
        <v>537</v>
      </c>
      <c r="B538" s="1" t="n">
        <v>14</v>
      </c>
      <c r="C538" s="1" t="n">
        <v>25</v>
      </c>
      <c r="D538" s="16" t="n">
        <f aca="false">IF('Boletins Nuppa Site'!G538&lt;&gt;0,'Boletins Nuppa Site'!G538,"NULL")</f>
        <v>150</v>
      </c>
      <c r="E538" s="16" t="n">
        <f aca="false">IF('Boletins Nuppa Site'!H538&lt;&gt;0,'Boletins Nuppa Site'!H538,"NULL")</f>
        <v>100</v>
      </c>
      <c r="F538" s="16" t="n">
        <f aca="false">IF('Boletins Nuppa Site'!I538&lt;&gt;0,'Boletins Nuppa Site'!I538,"NULL")</f>
        <v>150</v>
      </c>
      <c r="G538" s="1" t="str">
        <f aca="false">IF('Boletins Nuppa Site'!J538&lt;&gt;0,'Boletins Nuppa Site'!J538,"NULL")</f>
        <v>125.71</v>
      </c>
      <c r="H538" s="16" t="n">
        <f aca="false">IF('Boletins Nuppa Site'!K538&lt;&gt;0,'Boletins Nuppa Site'!K538,"NULL")</f>
        <v>130</v>
      </c>
      <c r="J538" s="1" t="str">
        <f aca="false">"INSERT INTO COTACAO (blt_id, pap_id, cot_prc_comum, cot_prc_min, cot_prc_max, cot_prc_med, cot_prc_mediana) VALUES ("&amp;B538&amp;", "&amp;C538&amp;", "&amp;D538&amp;", "&amp;E538&amp;", "&amp;F538&amp;", "&amp;G538&amp;", "&amp;H538&amp;");"</f>
        <v>INSERT INTO COTACAO (blt_id, pap_id, cot_prc_comum, cot_prc_min, cot_prc_max, cot_prc_med, cot_prc_mediana) VALUES (14, 25, 150, 100, 150, 125.71, 130);</v>
      </c>
    </row>
    <row r="539" customFormat="false" ht="14.25" hidden="false" customHeight="false" outlineLevel="0" collapsed="false">
      <c r="A539" s="1" t="n">
        <v>538</v>
      </c>
      <c r="B539" s="1" t="n">
        <v>14</v>
      </c>
      <c r="C539" s="1" t="n">
        <v>26</v>
      </c>
      <c r="D539" s="16" t="n">
        <f aca="false">IF('Boletins Nuppa Site'!G539&lt;&gt;0,'Boletins Nuppa Site'!G539,"NULL")</f>
        <v>140</v>
      </c>
      <c r="E539" s="16" t="n">
        <f aca="false">IF('Boletins Nuppa Site'!H539&lt;&gt;0,'Boletins Nuppa Site'!H539,"NULL")</f>
        <v>80</v>
      </c>
      <c r="F539" s="16" t="n">
        <f aca="false">IF('Boletins Nuppa Site'!I539&lt;&gt;0,'Boletins Nuppa Site'!I539,"NULL")</f>
        <v>170</v>
      </c>
      <c r="G539" s="16" t="n">
        <f aca="false">IF('Boletins Nuppa Site'!J539&lt;&gt;0,'Boletins Nuppa Site'!J539,"NULL")</f>
        <v>130</v>
      </c>
      <c r="H539" s="16" t="n">
        <f aca="false">IF('Boletins Nuppa Site'!K539&lt;&gt;0,'Boletins Nuppa Site'!K539,"NULL")</f>
        <v>130</v>
      </c>
      <c r="J539" s="1" t="str">
        <f aca="false">"INSERT INTO COTACAO (blt_id, pap_id, cot_prc_comum, cot_prc_min, cot_prc_max, cot_prc_med, cot_prc_mediana) VALUES ("&amp;B539&amp;", "&amp;C539&amp;", "&amp;D539&amp;", "&amp;E539&amp;", "&amp;F539&amp;", "&amp;G539&amp;", "&amp;H539&amp;");"</f>
        <v>INSERT INTO COTACAO (blt_id, pap_id, cot_prc_comum, cot_prc_min, cot_prc_max, cot_prc_med, cot_prc_mediana) VALUES (14, 26, 140, 80, 170, 130, 130);</v>
      </c>
    </row>
    <row r="540" customFormat="false" ht="14.25" hidden="false" customHeight="false" outlineLevel="0" collapsed="false">
      <c r="A540" s="1" t="n">
        <v>539</v>
      </c>
      <c r="B540" s="1" t="n">
        <v>14</v>
      </c>
      <c r="C540" s="1" t="n">
        <v>27</v>
      </c>
      <c r="D540" s="16" t="n">
        <f aca="false">IF('Boletins Nuppa Site'!G540&lt;&gt;0,'Boletins Nuppa Site'!G540,"NULL")</f>
        <v>60</v>
      </c>
      <c r="E540" s="16" t="n">
        <f aca="false">IF('Boletins Nuppa Site'!H540&lt;&gt;0,'Boletins Nuppa Site'!H540,"NULL")</f>
        <v>40</v>
      </c>
      <c r="F540" s="16" t="n">
        <f aca="false">IF('Boletins Nuppa Site'!I540&lt;&gt;0,'Boletins Nuppa Site'!I540,"NULL")</f>
        <v>80</v>
      </c>
      <c r="G540" s="1" t="str">
        <f aca="false">IF('Boletins Nuppa Site'!J540&lt;&gt;0,'Boletins Nuppa Site'!J540,"NULL")</f>
        <v>61.25</v>
      </c>
      <c r="H540" s="16" t="n">
        <f aca="false">IF('Boletins Nuppa Site'!K540&lt;&gt;0,'Boletins Nuppa Site'!K540,"NULL")</f>
        <v>60</v>
      </c>
      <c r="J540" s="1" t="str">
        <f aca="false">"INSERT INTO COTACAO (blt_id, pap_id, cot_prc_comum, cot_prc_min, cot_prc_max, cot_prc_med, cot_prc_mediana) VALUES ("&amp;B540&amp;", "&amp;C540&amp;", "&amp;D540&amp;", "&amp;E540&amp;", "&amp;F540&amp;", "&amp;G540&amp;", "&amp;H540&amp;");"</f>
        <v>INSERT INTO COTACAO (blt_id, pap_id, cot_prc_comum, cot_prc_min, cot_prc_max, cot_prc_med, cot_prc_mediana) VALUES (14, 27, 60, 40, 80, 61.25, 60);</v>
      </c>
    </row>
    <row r="541" customFormat="false" ht="14.25" hidden="false" customHeight="false" outlineLevel="0" collapsed="false">
      <c r="A541" s="1" t="n">
        <v>540</v>
      </c>
      <c r="B541" s="1" t="n">
        <v>14</v>
      </c>
      <c r="C541" s="1" t="n">
        <v>28</v>
      </c>
      <c r="D541" s="16" t="n">
        <f aca="false">IF('Boletins Nuppa Site'!G541&lt;&gt;0,'Boletins Nuppa Site'!G541,"NULL")</f>
        <v>100</v>
      </c>
      <c r="E541" s="16" t="n">
        <f aca="false">IF('Boletins Nuppa Site'!H541&lt;&gt;0,'Boletins Nuppa Site'!H541,"NULL")</f>
        <v>60</v>
      </c>
      <c r="F541" s="16" t="n">
        <f aca="false">IF('Boletins Nuppa Site'!I541&lt;&gt;0,'Boletins Nuppa Site'!I541,"NULL")</f>
        <v>120</v>
      </c>
      <c r="G541" s="1" t="str">
        <f aca="false">IF('Boletins Nuppa Site'!J541&lt;&gt;0,'Boletins Nuppa Site'!J541,"NULL")</f>
        <v>98.57</v>
      </c>
      <c r="H541" s="16" t="n">
        <f aca="false">IF('Boletins Nuppa Site'!K541&lt;&gt;0,'Boletins Nuppa Site'!K541,"NULL")</f>
        <v>100</v>
      </c>
      <c r="J541" s="1" t="str">
        <f aca="false">"INSERT INTO COTACAO (blt_id, pap_id, cot_prc_comum, cot_prc_min, cot_prc_max, cot_prc_med, cot_prc_mediana) VALUES ("&amp;B541&amp;", "&amp;C541&amp;", "&amp;D541&amp;", "&amp;E541&amp;", "&amp;F541&amp;", "&amp;G541&amp;", "&amp;H541&amp;");"</f>
        <v>INSERT INTO COTACAO (blt_id, pap_id, cot_prc_comum, cot_prc_min, cot_prc_max, cot_prc_med, cot_prc_mediana) VALUES (14, 28, 100, 60, 120, 98.57, 100);</v>
      </c>
    </row>
    <row r="542" customFormat="false" ht="14.25" hidden="false" customHeight="false" outlineLevel="0" collapsed="false">
      <c r="A542" s="1" t="n">
        <v>541</v>
      </c>
      <c r="B542" s="1" t="n">
        <v>14</v>
      </c>
      <c r="C542" s="1" t="n">
        <v>29</v>
      </c>
      <c r="D542" s="1" t="str">
        <f aca="false">IF('Boletins Nuppa Site'!G542&lt;&gt;0,'Boletins Nuppa Site'!G542,"NULL")</f>
        <v>NULL</v>
      </c>
      <c r="E542" s="16" t="n">
        <f aca="false">IF('Boletins Nuppa Site'!H542&lt;&gt;0,'Boletins Nuppa Site'!H542,"NULL")</f>
        <v>50</v>
      </c>
      <c r="F542" s="16" t="n">
        <f aca="false">IF('Boletins Nuppa Site'!I542&lt;&gt;0,'Boletins Nuppa Site'!I542,"NULL")</f>
        <v>78</v>
      </c>
      <c r="G542" s="1" t="str">
        <f aca="false">IF('Boletins Nuppa Site'!J542&lt;&gt;0,'Boletins Nuppa Site'!J542,"NULL")</f>
        <v>62.67</v>
      </c>
      <c r="H542" s="16" t="n">
        <f aca="false">IF('Boletins Nuppa Site'!K542&lt;&gt;0,'Boletins Nuppa Site'!K542,"NULL")</f>
        <v>60</v>
      </c>
      <c r="J542" s="1" t="str">
        <f aca="false">"INSERT INTO COTACAO (blt_id, pap_id, cot_prc_comum, cot_prc_min, cot_prc_max, cot_prc_med, cot_prc_mediana) VALUES ("&amp;B542&amp;", "&amp;C542&amp;", "&amp;D542&amp;", "&amp;E542&amp;", "&amp;F542&amp;", "&amp;G542&amp;", "&amp;H542&amp;");"</f>
        <v>INSERT INTO COTACAO (blt_id, pap_id, cot_prc_comum, cot_prc_min, cot_prc_max, cot_prc_med, cot_prc_mediana) VALUES (14, 29, NULL, 50, 78, 62.67, 60);</v>
      </c>
    </row>
    <row r="543" customFormat="false" ht="14.25" hidden="false" customHeight="false" outlineLevel="0" collapsed="false">
      <c r="A543" s="1" t="n">
        <v>542</v>
      </c>
      <c r="B543" s="1" t="n">
        <v>14</v>
      </c>
      <c r="C543" s="1" t="n">
        <v>30</v>
      </c>
      <c r="D543" s="16" t="n">
        <f aca="false">IF('Boletins Nuppa Site'!G543&lt;&gt;0,'Boletins Nuppa Site'!G543,"NULL")</f>
        <v>70</v>
      </c>
      <c r="E543" s="16" t="n">
        <f aca="false">IF('Boletins Nuppa Site'!H543&lt;&gt;0,'Boletins Nuppa Site'!H543,"NULL")</f>
        <v>50</v>
      </c>
      <c r="F543" s="16" t="n">
        <f aca="false">IF('Boletins Nuppa Site'!I543&lt;&gt;0,'Boletins Nuppa Site'!I543,"NULL")</f>
        <v>75</v>
      </c>
      <c r="G543" s="1" t="str">
        <f aca="false">IF('Boletins Nuppa Site'!J543&lt;&gt;0,'Boletins Nuppa Site'!J543,"NULL")</f>
        <v>66.67</v>
      </c>
      <c r="H543" s="16" t="n">
        <f aca="false">IF('Boletins Nuppa Site'!K543&lt;&gt;0,'Boletins Nuppa Site'!K543,"NULL")</f>
        <v>70</v>
      </c>
      <c r="J543" s="1" t="str">
        <f aca="false">"INSERT INTO COTACAO (blt_id, pap_id, cot_prc_comum, cot_prc_min, cot_prc_max, cot_prc_med, cot_prc_mediana) VALUES ("&amp;B543&amp;", "&amp;C543&amp;", "&amp;D543&amp;", "&amp;E543&amp;", "&amp;F543&amp;", "&amp;G543&amp;", "&amp;H543&amp;");"</f>
        <v>INSERT INTO COTACAO (blt_id, pap_id, cot_prc_comum, cot_prc_min, cot_prc_max, cot_prc_med, cot_prc_mediana) VALUES (14, 30, 70, 50, 75, 66.67, 70);</v>
      </c>
    </row>
    <row r="544" customFormat="false" ht="14.25" hidden="false" customHeight="false" outlineLevel="0" collapsed="false">
      <c r="A544" s="1" t="n">
        <v>543</v>
      </c>
      <c r="B544" s="1" t="n">
        <v>14</v>
      </c>
      <c r="C544" s="1" t="n">
        <v>31</v>
      </c>
      <c r="D544" s="16" t="n">
        <f aca="false">IF('Boletins Nuppa Site'!G544&lt;&gt;0,'Boletins Nuppa Site'!G544,"NULL")</f>
        <v>100</v>
      </c>
      <c r="E544" s="16" t="n">
        <f aca="false">IF('Boletins Nuppa Site'!H544&lt;&gt;0,'Boletins Nuppa Site'!H544,"NULL")</f>
        <v>70</v>
      </c>
      <c r="F544" s="16" t="n">
        <f aca="false">IF('Boletins Nuppa Site'!I544&lt;&gt;0,'Boletins Nuppa Site'!I544,"NULL")</f>
        <v>110</v>
      </c>
      <c r="G544" s="1" t="str">
        <f aca="false">IF('Boletins Nuppa Site'!J544&lt;&gt;0,'Boletins Nuppa Site'!J544,"NULL")</f>
        <v>93.13</v>
      </c>
      <c r="H544" s="16" t="n">
        <f aca="false">IF('Boletins Nuppa Site'!K544&lt;&gt;0,'Boletins Nuppa Site'!K544,"NULL")</f>
        <v>100</v>
      </c>
      <c r="J544" s="1" t="str">
        <f aca="false">"INSERT INTO COTACAO (blt_id, pap_id, cot_prc_comum, cot_prc_min, cot_prc_max, cot_prc_med, cot_prc_mediana) VALUES ("&amp;B544&amp;", "&amp;C544&amp;", "&amp;D544&amp;", "&amp;E544&amp;", "&amp;F544&amp;", "&amp;G544&amp;", "&amp;H544&amp;");"</f>
        <v>INSERT INTO COTACAO (blt_id, pap_id, cot_prc_comum, cot_prc_min, cot_prc_max, cot_prc_med, cot_prc_mediana) VALUES (14, 31, 100, 70, 110, 93.13, 100);</v>
      </c>
    </row>
    <row r="545" customFormat="false" ht="14.25" hidden="false" customHeight="false" outlineLevel="0" collapsed="false">
      <c r="A545" s="1" t="n">
        <v>544</v>
      </c>
      <c r="B545" s="1" t="n">
        <v>14</v>
      </c>
      <c r="C545" s="1" t="n">
        <v>32</v>
      </c>
      <c r="D545" s="16" t="n">
        <f aca="false">IF('Boletins Nuppa Site'!G545&lt;&gt;0,'Boletins Nuppa Site'!G545,"NULL")</f>
        <v>70</v>
      </c>
      <c r="E545" s="16" t="n">
        <f aca="false">IF('Boletins Nuppa Site'!H545&lt;&gt;0,'Boletins Nuppa Site'!H545,"NULL")</f>
        <v>70</v>
      </c>
      <c r="F545" s="16" t="n">
        <f aca="false">IF('Boletins Nuppa Site'!I545&lt;&gt;0,'Boletins Nuppa Site'!I545,"NULL")</f>
        <v>80</v>
      </c>
      <c r="G545" s="1" t="str">
        <f aca="false">IF('Boletins Nuppa Site'!J545&lt;&gt;0,'Boletins Nuppa Site'!J545,"NULL")</f>
        <v>74.29</v>
      </c>
      <c r="H545" s="16" t="n">
        <f aca="false">IF('Boletins Nuppa Site'!K545&lt;&gt;0,'Boletins Nuppa Site'!K545,"NULL")</f>
        <v>75</v>
      </c>
      <c r="J545" s="1" t="str">
        <f aca="false">"INSERT INTO COTACAO (blt_id, pap_id, cot_prc_comum, cot_prc_min, cot_prc_max, cot_prc_med, cot_prc_mediana) VALUES ("&amp;B545&amp;", "&amp;C545&amp;", "&amp;D545&amp;", "&amp;E545&amp;", "&amp;F545&amp;", "&amp;G545&amp;", "&amp;H545&amp;");"</f>
        <v>INSERT INTO COTACAO (blt_id, pap_id, cot_prc_comum, cot_prc_min, cot_prc_max, cot_prc_med, cot_prc_mediana) VALUES (14, 32, 70, 70, 80, 74.29, 75);</v>
      </c>
    </row>
    <row r="546" customFormat="false" ht="14.25" hidden="false" customHeight="false" outlineLevel="0" collapsed="false">
      <c r="A546" s="1" t="n">
        <v>545</v>
      </c>
      <c r="B546" s="1" t="n">
        <v>14</v>
      </c>
      <c r="C546" s="1" t="n">
        <v>33</v>
      </c>
      <c r="D546" s="16" t="n">
        <f aca="false">IF('Boletins Nuppa Site'!G546&lt;&gt;0,'Boletins Nuppa Site'!G546,"NULL")</f>
        <v>120</v>
      </c>
      <c r="E546" s="16" t="n">
        <f aca="false">IF('Boletins Nuppa Site'!H546&lt;&gt;0,'Boletins Nuppa Site'!H546,"NULL")</f>
        <v>100</v>
      </c>
      <c r="F546" s="16" t="n">
        <f aca="false">IF('Boletins Nuppa Site'!I546&lt;&gt;0,'Boletins Nuppa Site'!I546,"NULL")</f>
        <v>140</v>
      </c>
      <c r="G546" s="1" t="str">
        <f aca="false">IF('Boletins Nuppa Site'!J546&lt;&gt;0,'Boletins Nuppa Site'!J546,"NULL")</f>
        <v>117.14</v>
      </c>
      <c r="H546" s="16" t="n">
        <f aca="false">IF('Boletins Nuppa Site'!K546&lt;&gt;0,'Boletins Nuppa Site'!K546,"NULL")</f>
        <v>120</v>
      </c>
      <c r="J546" s="1" t="str">
        <f aca="false">"INSERT INTO COTACAO (blt_id, pap_id, cot_prc_comum, cot_prc_min, cot_prc_max, cot_prc_med, cot_prc_mediana) VALUES ("&amp;B546&amp;", "&amp;C546&amp;", "&amp;D546&amp;", "&amp;E546&amp;", "&amp;F546&amp;", "&amp;G546&amp;", "&amp;H546&amp;");"</f>
        <v>INSERT INTO COTACAO (blt_id, pap_id, cot_prc_comum, cot_prc_min, cot_prc_max, cot_prc_med, cot_prc_mediana) VALUES (14, 33, 120, 100, 140, 117.14, 120);</v>
      </c>
    </row>
    <row r="547" customFormat="false" ht="14.25" hidden="false" customHeight="false" outlineLevel="0" collapsed="false">
      <c r="A547" s="1" t="n">
        <v>546</v>
      </c>
      <c r="B547" s="1" t="n">
        <v>14</v>
      </c>
      <c r="C547" s="1" t="n">
        <v>34</v>
      </c>
      <c r="D547" s="16" t="n">
        <f aca="false">IF('Boletins Nuppa Site'!G547&lt;&gt;0,'Boletins Nuppa Site'!G547,"NULL")</f>
        <v>90</v>
      </c>
      <c r="E547" s="16" t="n">
        <f aca="false">IF('Boletins Nuppa Site'!H547&lt;&gt;0,'Boletins Nuppa Site'!H547,"NULL")</f>
        <v>90</v>
      </c>
      <c r="F547" s="16" t="n">
        <f aca="false">IF('Boletins Nuppa Site'!I547&lt;&gt;0,'Boletins Nuppa Site'!I547,"NULL")</f>
        <v>120</v>
      </c>
      <c r="G547" s="1" t="str">
        <f aca="false">IF('Boletins Nuppa Site'!J547&lt;&gt;0,'Boletins Nuppa Site'!J547,"NULL")</f>
        <v>102.86</v>
      </c>
      <c r="H547" s="16" t="n">
        <f aca="false">IF('Boletins Nuppa Site'!K547&lt;&gt;0,'Boletins Nuppa Site'!K547,"NULL")</f>
        <v>100</v>
      </c>
      <c r="J547" s="1" t="str">
        <f aca="false">"INSERT INTO COTACAO (blt_id, pap_id, cot_prc_comum, cot_prc_min, cot_prc_max, cot_prc_med, cot_prc_mediana) VALUES ("&amp;B547&amp;", "&amp;C547&amp;", "&amp;D547&amp;", "&amp;E547&amp;", "&amp;F547&amp;", "&amp;G547&amp;", "&amp;H547&amp;");"</f>
        <v>INSERT INTO COTACAO (blt_id, pap_id, cot_prc_comum, cot_prc_min, cot_prc_max, cot_prc_med, cot_prc_mediana) VALUES (14, 34, 90, 90, 120, 102.86, 100);</v>
      </c>
    </row>
    <row r="548" customFormat="false" ht="14.25" hidden="false" customHeight="false" outlineLevel="0" collapsed="false">
      <c r="A548" s="1" t="n">
        <v>547</v>
      </c>
      <c r="B548" s="1" t="n">
        <v>14</v>
      </c>
      <c r="C548" s="1" t="n">
        <v>35</v>
      </c>
      <c r="D548" s="16" t="n">
        <f aca="false">IF('Boletins Nuppa Site'!G548&lt;&gt;0,'Boletins Nuppa Site'!G548,"NULL")</f>
        <v>80</v>
      </c>
      <c r="E548" s="16" t="n">
        <f aca="false">IF('Boletins Nuppa Site'!H548&lt;&gt;0,'Boletins Nuppa Site'!H548,"NULL")</f>
        <v>70</v>
      </c>
      <c r="F548" s="16" t="n">
        <f aca="false">IF('Boletins Nuppa Site'!I548&lt;&gt;0,'Boletins Nuppa Site'!I548,"NULL")</f>
        <v>120</v>
      </c>
      <c r="G548" s="1" t="str">
        <f aca="false">IF('Boletins Nuppa Site'!J548&lt;&gt;0,'Boletins Nuppa Site'!J548,"NULL")</f>
        <v>92.14</v>
      </c>
      <c r="H548" s="16" t="n">
        <f aca="false">IF('Boletins Nuppa Site'!K548&lt;&gt;0,'Boletins Nuppa Site'!K548,"NULL")</f>
        <v>95</v>
      </c>
      <c r="J548" s="1" t="str">
        <f aca="false">"INSERT INTO COTACAO (blt_id, pap_id, cot_prc_comum, cot_prc_min, cot_prc_max, cot_prc_med, cot_prc_mediana) VALUES ("&amp;B548&amp;", "&amp;C548&amp;", "&amp;D548&amp;", "&amp;E548&amp;", "&amp;F548&amp;", "&amp;G548&amp;", "&amp;H548&amp;");"</f>
        <v>INSERT INTO COTACAO (blt_id, pap_id, cot_prc_comum, cot_prc_min, cot_prc_max, cot_prc_med, cot_prc_mediana) VALUES (14, 35, 80, 70, 120, 92.14, 95);</v>
      </c>
    </row>
    <row r="549" customFormat="false" ht="14.25" hidden="false" customHeight="false" outlineLevel="0" collapsed="false">
      <c r="A549" s="1" t="n">
        <v>548</v>
      </c>
      <c r="B549" s="1" t="n">
        <v>14</v>
      </c>
      <c r="C549" s="1" t="n">
        <v>36</v>
      </c>
      <c r="D549" s="1" t="str">
        <f aca="false">IF('Boletins Nuppa Site'!G549&lt;&gt;0,'Boletins Nuppa Site'!G549,"NULL")</f>
        <v>NULL</v>
      </c>
      <c r="E549" s="16" t="n">
        <f aca="false">IF('Boletins Nuppa Site'!H549&lt;&gt;0,'Boletins Nuppa Site'!H549,"NULL")</f>
        <v>85</v>
      </c>
      <c r="F549" s="16" t="n">
        <f aca="false">IF('Boletins Nuppa Site'!I549&lt;&gt;0,'Boletins Nuppa Site'!I549,"NULL")</f>
        <v>85</v>
      </c>
      <c r="G549" s="16" t="n">
        <f aca="false">IF('Boletins Nuppa Site'!J549&lt;&gt;0,'Boletins Nuppa Site'!J549,"NULL")</f>
        <v>85</v>
      </c>
      <c r="H549" s="16" t="n">
        <f aca="false">IF('Boletins Nuppa Site'!K549&lt;&gt;0,'Boletins Nuppa Site'!K549,"NULL")</f>
        <v>85</v>
      </c>
      <c r="J549" s="1" t="str">
        <f aca="false">"INSERT INTO COTACAO (blt_id, pap_id, cot_prc_comum, cot_prc_min, cot_prc_max, cot_prc_med, cot_prc_mediana) VALUES ("&amp;B549&amp;", "&amp;C549&amp;", "&amp;D549&amp;", "&amp;E549&amp;", "&amp;F549&amp;", "&amp;G549&amp;", "&amp;H549&amp;");"</f>
        <v>INSERT INTO COTACAO (blt_id, pap_id, cot_prc_comum, cot_prc_min, cot_prc_max, cot_prc_med, cot_prc_mediana) VALUES (14, 36, NULL, 85, 85, 85, 85);</v>
      </c>
    </row>
    <row r="550" customFormat="false" ht="14.25" hidden="false" customHeight="false" outlineLevel="0" collapsed="false">
      <c r="A550" s="1" t="n">
        <v>549</v>
      </c>
      <c r="B550" s="1" t="n">
        <v>14</v>
      </c>
      <c r="C550" s="1" t="n">
        <v>37</v>
      </c>
      <c r="D550" s="1" t="str">
        <f aca="false">IF('Boletins Nuppa Site'!G550&lt;&gt;0,'Boletins Nuppa Site'!G550,"NULL")</f>
        <v>NULL</v>
      </c>
      <c r="E550" s="16" t="n">
        <f aca="false">IF('Boletins Nuppa Site'!H550&lt;&gt;0,'Boletins Nuppa Site'!H550,"NULL")</f>
        <v>70</v>
      </c>
      <c r="F550" s="16" t="n">
        <f aca="false">IF('Boletins Nuppa Site'!I550&lt;&gt;0,'Boletins Nuppa Site'!I550,"NULL")</f>
        <v>80</v>
      </c>
      <c r="G550" s="16" t="n">
        <f aca="false">IF('Boletins Nuppa Site'!J550&lt;&gt;0,'Boletins Nuppa Site'!J550,"NULL")</f>
        <v>75</v>
      </c>
      <c r="H550" s="16" t="n">
        <f aca="false">IF('Boletins Nuppa Site'!K550&lt;&gt;0,'Boletins Nuppa Site'!K550,"NULL")</f>
        <v>75</v>
      </c>
      <c r="J550" s="1" t="str">
        <f aca="false">"INSERT INTO COTACAO (blt_id, pap_id, cot_prc_comum, cot_prc_min, cot_prc_max, cot_prc_med, cot_prc_mediana) VALUES ("&amp;B550&amp;", "&amp;C550&amp;", "&amp;D550&amp;", "&amp;E550&amp;", "&amp;F550&amp;", "&amp;G550&amp;", "&amp;H550&amp;");"</f>
        <v>INSERT INTO COTACAO (blt_id, pap_id, cot_prc_comum, cot_prc_min, cot_prc_max, cot_prc_med, cot_prc_mediana) VALUES (14, 37, NULL, 70, 80, 75, 75);</v>
      </c>
    </row>
    <row r="551" customFormat="false" ht="14.25" hidden="false" customHeight="false" outlineLevel="0" collapsed="false">
      <c r="A551" s="1" t="n">
        <v>550</v>
      </c>
      <c r="B551" s="1" t="n">
        <v>14</v>
      </c>
      <c r="C551" s="1" t="n">
        <v>38</v>
      </c>
      <c r="D551" s="16" t="n">
        <f aca="false">IF('Boletins Nuppa Site'!G551&lt;&gt;0,'Boletins Nuppa Site'!G551,"NULL")</f>
        <v>45</v>
      </c>
      <c r="E551" s="16" t="n">
        <f aca="false">IF('Boletins Nuppa Site'!H551&lt;&gt;0,'Boletins Nuppa Site'!H551,"NULL")</f>
        <v>45</v>
      </c>
      <c r="F551" s="16" t="n">
        <f aca="false">IF('Boletins Nuppa Site'!I551&lt;&gt;0,'Boletins Nuppa Site'!I551,"NULL")</f>
        <v>45</v>
      </c>
      <c r="G551" s="16" t="n">
        <f aca="false">IF('Boletins Nuppa Site'!J551&lt;&gt;0,'Boletins Nuppa Site'!J551,"NULL")</f>
        <v>45</v>
      </c>
      <c r="H551" s="16" t="n">
        <f aca="false">IF('Boletins Nuppa Site'!K551&lt;&gt;0,'Boletins Nuppa Site'!K551,"NULL")</f>
        <v>45</v>
      </c>
      <c r="J551" s="1" t="str">
        <f aca="false">"INSERT INTO COTACAO (blt_id, pap_id, cot_prc_comum, cot_prc_min, cot_prc_max, cot_prc_med, cot_prc_mediana) VALUES ("&amp;B551&amp;", "&amp;C551&amp;", "&amp;D551&amp;", "&amp;E551&amp;", "&amp;F551&amp;", "&amp;G551&amp;", "&amp;H551&amp;");"</f>
        <v>INSERT INTO COTACAO (blt_id, pap_id, cot_prc_comum, cot_prc_min, cot_prc_max, cot_prc_med, cot_prc_mediana) VALUES (14, 38, 45, 45, 45, 45, 45);</v>
      </c>
    </row>
    <row r="552" customFormat="false" ht="14.25" hidden="false" customHeight="false" outlineLevel="0" collapsed="false">
      <c r="A552" s="1" t="n">
        <v>551</v>
      </c>
      <c r="B552" s="1" t="n">
        <v>14</v>
      </c>
      <c r="C552" s="1" t="n">
        <v>39</v>
      </c>
      <c r="D552" s="1" t="str">
        <f aca="false">IF('Boletins Nuppa Site'!G552&lt;&gt;0,'Boletins Nuppa Site'!G552,"NULL")</f>
        <v>NULL</v>
      </c>
      <c r="E552" s="16" t="n">
        <f aca="false">IF('Boletins Nuppa Site'!H552&lt;&gt;0,'Boletins Nuppa Site'!H552,"NULL")</f>
        <v>60</v>
      </c>
      <c r="F552" s="16" t="n">
        <f aca="false">IF('Boletins Nuppa Site'!I552&lt;&gt;0,'Boletins Nuppa Site'!I552,"NULL")</f>
        <v>60</v>
      </c>
      <c r="G552" s="16" t="n">
        <f aca="false">IF('Boletins Nuppa Site'!J552&lt;&gt;0,'Boletins Nuppa Site'!J552,"NULL")</f>
        <v>60</v>
      </c>
      <c r="H552" s="16" t="n">
        <f aca="false">IF('Boletins Nuppa Site'!K552&lt;&gt;0,'Boletins Nuppa Site'!K552,"NULL")</f>
        <v>60</v>
      </c>
      <c r="J552" s="1" t="str">
        <f aca="false">"INSERT INTO COTACAO (blt_id, pap_id, cot_prc_comum, cot_prc_min, cot_prc_max, cot_prc_med, cot_prc_mediana) VALUES ("&amp;B552&amp;", "&amp;C552&amp;", "&amp;D552&amp;", "&amp;E552&amp;", "&amp;F552&amp;", "&amp;G552&amp;", "&amp;H552&amp;");"</f>
        <v>INSERT INTO COTACAO (blt_id, pap_id, cot_prc_comum, cot_prc_min, cot_prc_max, cot_prc_med, cot_prc_mediana) VALUES (14, 39, NULL, 60, 60, 60, 60);</v>
      </c>
    </row>
    <row r="553" customFormat="false" ht="14.25" hidden="false" customHeight="false" outlineLevel="0" collapsed="false">
      <c r="A553" s="1" t="n">
        <v>552</v>
      </c>
      <c r="B553" s="1" t="n">
        <v>14</v>
      </c>
      <c r="C553" s="1" t="n">
        <v>40</v>
      </c>
      <c r="D553" s="1" t="str">
        <f aca="false">IF('Boletins Nuppa Site'!G553&lt;&gt;0,'Boletins Nuppa Site'!G553,"NULL")</f>
        <v>NULL</v>
      </c>
      <c r="E553" s="16" t="n">
        <f aca="false">IF('Boletins Nuppa Site'!H553&lt;&gt;0,'Boletins Nuppa Site'!H553,"NULL")</f>
        <v>60</v>
      </c>
      <c r="F553" s="16" t="n">
        <f aca="false">IF('Boletins Nuppa Site'!I553&lt;&gt;0,'Boletins Nuppa Site'!I553,"NULL")</f>
        <v>60</v>
      </c>
      <c r="G553" s="16" t="n">
        <f aca="false">IF('Boletins Nuppa Site'!J553&lt;&gt;0,'Boletins Nuppa Site'!J553,"NULL")</f>
        <v>60</v>
      </c>
      <c r="H553" s="16" t="n">
        <f aca="false">IF('Boletins Nuppa Site'!K553&lt;&gt;0,'Boletins Nuppa Site'!K553,"NULL")</f>
        <v>60</v>
      </c>
      <c r="J553" s="1" t="str">
        <f aca="false">"INSERT INTO COTACAO (blt_id, pap_id, cot_prc_comum, cot_prc_min, cot_prc_max, cot_prc_med, cot_prc_mediana) VALUES ("&amp;B553&amp;", "&amp;C553&amp;", "&amp;D553&amp;", "&amp;E553&amp;", "&amp;F553&amp;", "&amp;G553&amp;", "&amp;H553&amp;");"</f>
        <v>INSERT INTO COTACAO (blt_id, pap_id, cot_prc_comum, cot_prc_min, cot_prc_max, cot_prc_med, cot_prc_mediana) VALUES (14, 40, NULL, 60, 60, 60, 60);</v>
      </c>
    </row>
    <row r="554" customFormat="false" ht="14.25" hidden="false" customHeight="false" outlineLevel="0" collapsed="false">
      <c r="A554" s="1" t="n">
        <v>553</v>
      </c>
      <c r="B554" s="1" t="n">
        <v>15</v>
      </c>
      <c r="C554" s="1" t="n">
        <v>1</v>
      </c>
      <c r="D554" s="1" t="str">
        <f aca="false">IF('Boletins Nuppa Site'!G554&lt;&gt;0,'Boletins Nuppa Site'!G554,"NULL")</f>
        <v>NULL</v>
      </c>
      <c r="E554" s="16" t="n">
        <f aca="false">IF('Boletins Nuppa Site'!H554&lt;&gt;0,'Boletins Nuppa Site'!H554,"NULL")</f>
        <v>48</v>
      </c>
      <c r="F554" s="16" t="n">
        <f aca="false">IF('Boletins Nuppa Site'!I554&lt;&gt;0,'Boletins Nuppa Site'!I554,"NULL")</f>
        <v>78</v>
      </c>
      <c r="G554" s="16" t="n">
        <f aca="false">IF('Boletins Nuppa Site'!J554&lt;&gt;0,'Boletins Nuppa Site'!J554,"NULL")</f>
        <v>60</v>
      </c>
      <c r="H554" s="16" t="n">
        <f aca="false">IF('Boletins Nuppa Site'!K554&lt;&gt;0,'Boletins Nuppa Site'!K554,"NULL")</f>
        <v>54</v>
      </c>
      <c r="J554" s="1" t="str">
        <f aca="false">"INSERT INTO COTACAO (blt_id, pap_id, cot_prc_comum, cot_prc_min, cot_prc_max, cot_prc_med, cot_prc_mediana) VALUES ("&amp;B554&amp;", "&amp;C554&amp;", "&amp;D554&amp;", "&amp;E554&amp;", "&amp;F554&amp;", "&amp;G554&amp;", "&amp;H554&amp;");"</f>
        <v>INSERT INTO COTACAO (blt_id, pap_id, cot_prc_comum, cot_prc_min, cot_prc_max, cot_prc_med, cot_prc_mediana) VALUES (15, 1, NULL, 48, 78, 60, 54);</v>
      </c>
    </row>
    <row r="555" customFormat="false" ht="14.25" hidden="false" customHeight="false" outlineLevel="0" collapsed="false">
      <c r="A555" s="1" t="n">
        <v>554</v>
      </c>
      <c r="B555" s="1" t="n">
        <v>15</v>
      </c>
      <c r="C555" s="1" t="n">
        <v>2</v>
      </c>
      <c r="D555" s="16" t="n">
        <f aca="false">IF('Boletins Nuppa Site'!G555&lt;&gt;0,'Boletins Nuppa Site'!G555,"NULL")</f>
        <v>72</v>
      </c>
      <c r="E555" s="16" t="n">
        <f aca="false">IF('Boletins Nuppa Site'!H555&lt;&gt;0,'Boletins Nuppa Site'!H555,"NULL")</f>
        <v>72</v>
      </c>
      <c r="F555" s="16" t="n">
        <f aca="false">IF('Boletins Nuppa Site'!I555&lt;&gt;0,'Boletins Nuppa Site'!I555,"NULL")</f>
        <v>84</v>
      </c>
      <c r="G555" s="16" t="n">
        <f aca="false">IF('Boletins Nuppa Site'!J555&lt;&gt;0,'Boletins Nuppa Site'!J555,"NULL")</f>
        <v>76</v>
      </c>
      <c r="H555" s="16" t="n">
        <f aca="false">IF('Boletins Nuppa Site'!K555&lt;&gt;0,'Boletins Nuppa Site'!K555,"NULL")</f>
        <v>72</v>
      </c>
      <c r="J555" s="1" t="str">
        <f aca="false">"INSERT INTO COTACAO (blt_id, pap_id, cot_prc_comum, cot_prc_min, cot_prc_max, cot_prc_med, cot_prc_mediana) VALUES ("&amp;B555&amp;", "&amp;C555&amp;", "&amp;D555&amp;", "&amp;E555&amp;", "&amp;F555&amp;", "&amp;G555&amp;", "&amp;H555&amp;");"</f>
        <v>INSERT INTO COTACAO (blt_id, pap_id, cot_prc_comum, cot_prc_min, cot_prc_max, cot_prc_med, cot_prc_mediana) VALUES (15, 2, 72, 72, 84, 76, 72);</v>
      </c>
    </row>
    <row r="556" customFormat="false" ht="14.25" hidden="false" customHeight="false" outlineLevel="0" collapsed="false">
      <c r="A556" s="1" t="n">
        <v>555</v>
      </c>
      <c r="B556" s="1" t="n">
        <v>15</v>
      </c>
      <c r="C556" s="1" t="n">
        <v>3</v>
      </c>
      <c r="D556" s="1" t="str">
        <f aca="false">IF('Boletins Nuppa Site'!G556&lt;&gt;0,'Boletins Nuppa Site'!G556,"NULL")</f>
        <v>NULL</v>
      </c>
      <c r="E556" s="16" t="n">
        <f aca="false">IF('Boletins Nuppa Site'!H556&lt;&gt;0,'Boletins Nuppa Site'!H556,"NULL")</f>
        <v>48</v>
      </c>
      <c r="F556" s="16" t="n">
        <f aca="false">IF('Boletins Nuppa Site'!I556&lt;&gt;0,'Boletins Nuppa Site'!I556,"NULL")</f>
        <v>84</v>
      </c>
      <c r="G556" s="16" t="n">
        <f aca="false">IF('Boletins Nuppa Site'!J556&lt;&gt;0,'Boletins Nuppa Site'!J556,"NULL")</f>
        <v>68</v>
      </c>
      <c r="H556" s="16" t="n">
        <f aca="false">IF('Boletins Nuppa Site'!K556&lt;&gt;0,'Boletins Nuppa Site'!K556,"NULL")</f>
        <v>72</v>
      </c>
      <c r="J556" s="1" t="str">
        <f aca="false">"INSERT INTO COTACAO (blt_id, pap_id, cot_prc_comum, cot_prc_min, cot_prc_max, cot_prc_med, cot_prc_mediana) VALUES ("&amp;B556&amp;", "&amp;C556&amp;", "&amp;D556&amp;", "&amp;E556&amp;", "&amp;F556&amp;", "&amp;G556&amp;", "&amp;H556&amp;");"</f>
        <v>INSERT INTO COTACAO (blt_id, pap_id, cot_prc_comum, cot_prc_min, cot_prc_max, cot_prc_med, cot_prc_mediana) VALUES (15, 3, NULL, 48, 84, 68, 72);</v>
      </c>
    </row>
    <row r="557" customFormat="false" ht="14.25" hidden="false" customHeight="false" outlineLevel="0" collapsed="false">
      <c r="A557" s="1" t="n">
        <v>556</v>
      </c>
      <c r="B557" s="1" t="n">
        <v>15</v>
      </c>
      <c r="C557" s="1" t="n">
        <v>4</v>
      </c>
      <c r="D557" s="16" t="n">
        <f aca="false">IF('Boletins Nuppa Site'!G557&lt;&gt;0,'Boletins Nuppa Site'!G557,"NULL")</f>
        <v>30</v>
      </c>
      <c r="E557" s="16" t="n">
        <f aca="false">IF('Boletins Nuppa Site'!H557&lt;&gt;0,'Boletins Nuppa Site'!H557,"NULL")</f>
        <v>25</v>
      </c>
      <c r="F557" s="16" t="n">
        <f aca="false">IF('Boletins Nuppa Site'!I557&lt;&gt;0,'Boletins Nuppa Site'!I557,"NULL")</f>
        <v>30</v>
      </c>
      <c r="G557" s="1" t="str">
        <f aca="false">IF('Boletins Nuppa Site'!J557&lt;&gt;0,'Boletins Nuppa Site'!J557,"NULL")</f>
        <v>28.33</v>
      </c>
      <c r="H557" s="16" t="n">
        <f aca="false">IF('Boletins Nuppa Site'!K557&lt;&gt;0,'Boletins Nuppa Site'!K557,"NULL")</f>
        <v>30</v>
      </c>
      <c r="J557" s="1" t="str">
        <f aca="false">"INSERT INTO COTACAO (blt_id, pap_id, cot_prc_comum, cot_prc_min, cot_prc_max, cot_prc_med, cot_prc_mediana) VALUES ("&amp;B557&amp;", "&amp;C557&amp;", "&amp;D557&amp;", "&amp;E557&amp;", "&amp;F557&amp;", "&amp;G557&amp;", "&amp;H557&amp;");"</f>
        <v>INSERT INTO COTACAO (blt_id, pap_id, cot_prc_comum, cot_prc_min, cot_prc_max, cot_prc_med, cot_prc_mediana) VALUES (15, 4, 30, 25, 30, 28.33, 30);</v>
      </c>
    </row>
    <row r="558" customFormat="false" ht="14.25" hidden="false" customHeight="false" outlineLevel="0" collapsed="false">
      <c r="A558" s="1" t="n">
        <v>557</v>
      </c>
      <c r="B558" s="1" t="n">
        <v>15</v>
      </c>
      <c r="C558" s="1" t="n">
        <v>5</v>
      </c>
      <c r="D558" s="16" t="n">
        <f aca="false">IF('Boletins Nuppa Site'!G558&lt;&gt;0,'Boletins Nuppa Site'!G558,"NULL")</f>
        <v>30</v>
      </c>
      <c r="E558" s="16" t="n">
        <f aca="false">IF('Boletins Nuppa Site'!H558&lt;&gt;0,'Boletins Nuppa Site'!H558,"NULL")</f>
        <v>25</v>
      </c>
      <c r="F558" s="16" t="n">
        <f aca="false">IF('Boletins Nuppa Site'!I558&lt;&gt;0,'Boletins Nuppa Site'!I558,"NULL")</f>
        <v>30</v>
      </c>
      <c r="G558" s="1" t="str">
        <f aca="false">IF('Boletins Nuppa Site'!J558&lt;&gt;0,'Boletins Nuppa Site'!J558,"NULL")</f>
        <v>28.33</v>
      </c>
      <c r="H558" s="16" t="n">
        <f aca="false">IF('Boletins Nuppa Site'!K558&lt;&gt;0,'Boletins Nuppa Site'!K558,"NULL")</f>
        <v>30</v>
      </c>
      <c r="J558" s="1" t="str">
        <f aca="false">"INSERT INTO COTACAO (blt_id, pap_id, cot_prc_comum, cot_prc_min, cot_prc_max, cot_prc_med, cot_prc_mediana) VALUES ("&amp;B558&amp;", "&amp;C558&amp;", "&amp;D558&amp;", "&amp;E558&amp;", "&amp;F558&amp;", "&amp;G558&amp;", "&amp;H558&amp;");"</f>
        <v>INSERT INTO COTACAO (blt_id, pap_id, cot_prc_comum, cot_prc_min, cot_prc_max, cot_prc_med, cot_prc_mediana) VALUES (15, 5, 30, 25, 30, 28.33, 30);</v>
      </c>
    </row>
    <row r="559" customFormat="false" ht="14.25" hidden="false" customHeight="false" outlineLevel="0" collapsed="false">
      <c r="A559" s="1" t="n">
        <v>558</v>
      </c>
      <c r="B559" s="1" t="n">
        <v>15</v>
      </c>
      <c r="C559" s="1" t="n">
        <v>6</v>
      </c>
      <c r="D559" s="16" t="n">
        <f aca="false">IF('Boletins Nuppa Site'!G559&lt;&gt;0,'Boletins Nuppa Site'!G559,"NULL")</f>
        <v>60</v>
      </c>
      <c r="E559" s="16" t="n">
        <f aca="false">IF('Boletins Nuppa Site'!H559&lt;&gt;0,'Boletins Nuppa Site'!H559,"NULL")</f>
        <v>54</v>
      </c>
      <c r="F559" s="16" t="n">
        <f aca="false">IF('Boletins Nuppa Site'!I559&lt;&gt;0,'Boletins Nuppa Site'!I559,"NULL")</f>
        <v>60</v>
      </c>
      <c r="G559" s="16" t="n">
        <f aca="false">IF('Boletins Nuppa Site'!J559&lt;&gt;0,'Boletins Nuppa Site'!J559,"NULL")</f>
        <v>58</v>
      </c>
      <c r="H559" s="16" t="n">
        <f aca="false">IF('Boletins Nuppa Site'!K559&lt;&gt;0,'Boletins Nuppa Site'!K559,"NULL")</f>
        <v>60</v>
      </c>
      <c r="J559" s="1" t="str">
        <f aca="false">"INSERT INTO COTACAO (blt_id, pap_id, cot_prc_comum, cot_prc_min, cot_prc_max, cot_prc_med, cot_prc_mediana) VALUES ("&amp;B559&amp;", "&amp;C559&amp;", "&amp;D559&amp;", "&amp;E559&amp;", "&amp;F559&amp;", "&amp;G559&amp;", "&amp;H559&amp;");"</f>
        <v>INSERT INTO COTACAO (blt_id, pap_id, cot_prc_comum, cot_prc_min, cot_prc_max, cot_prc_med, cot_prc_mediana) VALUES (15, 6, 60, 54, 60, 58, 60);</v>
      </c>
    </row>
    <row r="560" customFormat="false" ht="14.25" hidden="false" customHeight="false" outlineLevel="0" collapsed="false">
      <c r="A560" s="1" t="n">
        <v>559</v>
      </c>
      <c r="B560" s="1" t="n">
        <v>15</v>
      </c>
      <c r="C560" s="1" t="n">
        <v>7</v>
      </c>
      <c r="D560" s="16" t="n">
        <f aca="false">IF('Boletins Nuppa Site'!G560&lt;&gt;0,'Boletins Nuppa Site'!G560,"NULL")</f>
        <v>72</v>
      </c>
      <c r="E560" s="16" t="n">
        <f aca="false">IF('Boletins Nuppa Site'!H560&lt;&gt;0,'Boletins Nuppa Site'!H560,"NULL")</f>
        <v>72</v>
      </c>
      <c r="F560" s="16" t="n">
        <f aca="false">IF('Boletins Nuppa Site'!I560&lt;&gt;0,'Boletins Nuppa Site'!I560,"NULL")</f>
        <v>84</v>
      </c>
      <c r="G560" s="16" t="n">
        <f aca="false">IF('Boletins Nuppa Site'!J560&lt;&gt;0,'Boletins Nuppa Site'!J560,"NULL")</f>
        <v>76</v>
      </c>
      <c r="H560" s="16" t="n">
        <f aca="false">IF('Boletins Nuppa Site'!K560&lt;&gt;0,'Boletins Nuppa Site'!K560,"NULL")</f>
        <v>72</v>
      </c>
      <c r="J560" s="1" t="str">
        <f aca="false">"INSERT INTO COTACAO (blt_id, pap_id, cot_prc_comum, cot_prc_min, cot_prc_max, cot_prc_med, cot_prc_mediana) VALUES ("&amp;B560&amp;", "&amp;C560&amp;", "&amp;D560&amp;", "&amp;E560&amp;", "&amp;F560&amp;", "&amp;G560&amp;", "&amp;H560&amp;");"</f>
        <v>INSERT INTO COTACAO (blt_id, pap_id, cot_prc_comum, cot_prc_min, cot_prc_max, cot_prc_med, cot_prc_mediana) VALUES (15, 7, 72, 72, 84, 76, 72);</v>
      </c>
    </row>
    <row r="561" customFormat="false" ht="14.25" hidden="false" customHeight="false" outlineLevel="0" collapsed="false">
      <c r="A561" s="1" t="n">
        <v>560</v>
      </c>
      <c r="B561" s="1" t="n">
        <v>15</v>
      </c>
      <c r="C561" s="1" t="n">
        <v>8</v>
      </c>
      <c r="D561" s="1" t="str">
        <f aca="false">IF('Boletins Nuppa Site'!G561&lt;&gt;0,'Boletins Nuppa Site'!G561,"NULL")</f>
        <v>NULL</v>
      </c>
      <c r="E561" s="16" t="n">
        <f aca="false">IF('Boletins Nuppa Site'!H561&lt;&gt;0,'Boletins Nuppa Site'!H561,"NULL")</f>
        <v>84</v>
      </c>
      <c r="F561" s="16" t="n">
        <f aca="false">IF('Boletins Nuppa Site'!I561&lt;&gt;0,'Boletins Nuppa Site'!I561,"NULL")</f>
        <v>96</v>
      </c>
      <c r="G561" s="1" t="str">
        <f aca="false">IF('Boletins Nuppa Site'!J561&lt;&gt;0,'Boletins Nuppa Site'!J561,"NULL")</f>
        <v>91.67</v>
      </c>
      <c r="H561" s="16" t="n">
        <f aca="false">IF('Boletins Nuppa Site'!K561&lt;&gt;0,'Boletins Nuppa Site'!K561,"NULL")</f>
        <v>95</v>
      </c>
      <c r="J561" s="1" t="str">
        <f aca="false">"INSERT INTO COTACAO (blt_id, pap_id, cot_prc_comum, cot_prc_min, cot_prc_max, cot_prc_med, cot_prc_mediana) VALUES ("&amp;B561&amp;", "&amp;C561&amp;", "&amp;D561&amp;", "&amp;E561&amp;", "&amp;F561&amp;", "&amp;G561&amp;", "&amp;H561&amp;");"</f>
        <v>INSERT INTO COTACAO (blt_id, pap_id, cot_prc_comum, cot_prc_min, cot_prc_max, cot_prc_med, cot_prc_mediana) VALUES (15, 8, NULL, 84, 96, 91.67, 95);</v>
      </c>
    </row>
    <row r="562" customFormat="false" ht="14.25" hidden="false" customHeight="false" outlineLevel="0" collapsed="false">
      <c r="A562" s="1" t="n">
        <v>561</v>
      </c>
      <c r="B562" s="1" t="n">
        <v>15</v>
      </c>
      <c r="C562" s="1" t="n">
        <v>9</v>
      </c>
      <c r="D562" s="16" t="n">
        <f aca="false">IF('Boletins Nuppa Site'!G562&lt;&gt;0,'Boletins Nuppa Site'!G562,"NULL")</f>
        <v>30</v>
      </c>
      <c r="E562" s="16" t="n">
        <f aca="false">IF('Boletins Nuppa Site'!H562&lt;&gt;0,'Boletins Nuppa Site'!H562,"NULL")</f>
        <v>24</v>
      </c>
      <c r="F562" s="16" t="n">
        <f aca="false">IF('Boletins Nuppa Site'!I562&lt;&gt;0,'Boletins Nuppa Site'!I562,"NULL")</f>
        <v>30</v>
      </c>
      <c r="G562" s="16" t="n">
        <f aca="false">IF('Boletins Nuppa Site'!J562&lt;&gt;0,'Boletins Nuppa Site'!J562,"NULL")</f>
        <v>28</v>
      </c>
      <c r="H562" s="16" t="n">
        <f aca="false">IF('Boletins Nuppa Site'!K562&lt;&gt;0,'Boletins Nuppa Site'!K562,"NULL")</f>
        <v>30</v>
      </c>
      <c r="J562" s="1" t="str">
        <f aca="false">"INSERT INTO COTACAO (blt_id, pap_id, cot_prc_comum, cot_prc_min, cot_prc_max, cot_prc_med, cot_prc_mediana) VALUES ("&amp;B562&amp;", "&amp;C562&amp;", "&amp;D562&amp;", "&amp;E562&amp;", "&amp;F562&amp;", "&amp;G562&amp;", "&amp;H562&amp;");"</f>
        <v>INSERT INTO COTACAO (blt_id, pap_id, cot_prc_comum, cot_prc_min, cot_prc_max, cot_prc_med, cot_prc_mediana) VALUES (15, 9, 30, 24, 30, 28, 30);</v>
      </c>
    </row>
    <row r="563" customFormat="false" ht="14.25" hidden="false" customHeight="false" outlineLevel="0" collapsed="false">
      <c r="A563" s="1" t="n">
        <v>562</v>
      </c>
      <c r="B563" s="1" t="n">
        <v>15</v>
      </c>
      <c r="C563" s="1" t="n">
        <v>10</v>
      </c>
      <c r="D563" s="1" t="str">
        <f aca="false">IF('Boletins Nuppa Site'!G563&lt;&gt;0,'Boletins Nuppa Site'!G563,"NULL")</f>
        <v>NULL</v>
      </c>
      <c r="E563" s="16" t="n">
        <f aca="false">IF('Boletins Nuppa Site'!H563&lt;&gt;0,'Boletins Nuppa Site'!H563,"NULL")</f>
        <v>95</v>
      </c>
      <c r="F563" s="16" t="n">
        <f aca="false">IF('Boletins Nuppa Site'!I563&lt;&gt;0,'Boletins Nuppa Site'!I563,"NULL")</f>
        <v>108</v>
      </c>
      <c r="G563" s="1" t="str">
        <f aca="false">IF('Boletins Nuppa Site'!J563&lt;&gt;0,'Boletins Nuppa Site'!J563,"NULL")</f>
        <v>99.67</v>
      </c>
      <c r="H563" s="16" t="n">
        <f aca="false">IF('Boletins Nuppa Site'!K563&lt;&gt;0,'Boletins Nuppa Site'!K563,"NULL")</f>
        <v>96</v>
      </c>
      <c r="J563" s="1" t="str">
        <f aca="false">"INSERT INTO COTACAO (blt_id, pap_id, cot_prc_comum, cot_prc_min, cot_prc_max, cot_prc_med, cot_prc_mediana) VALUES ("&amp;B563&amp;", "&amp;C563&amp;", "&amp;D563&amp;", "&amp;E563&amp;", "&amp;F563&amp;", "&amp;G563&amp;", "&amp;H563&amp;");"</f>
        <v>INSERT INTO COTACAO (blt_id, pap_id, cot_prc_comum, cot_prc_min, cot_prc_max, cot_prc_med, cot_prc_mediana) VALUES (15, 10, NULL, 95, 108, 99.67, 96);</v>
      </c>
    </row>
    <row r="564" customFormat="false" ht="14.25" hidden="false" customHeight="false" outlineLevel="0" collapsed="false">
      <c r="A564" s="1" t="n">
        <v>563</v>
      </c>
      <c r="B564" s="1" t="n">
        <v>15</v>
      </c>
      <c r="C564" s="1" t="n">
        <v>11</v>
      </c>
      <c r="D564" s="16" t="n">
        <f aca="false">IF('Boletins Nuppa Site'!G564&lt;&gt;0,'Boletins Nuppa Site'!G564,"NULL")</f>
        <v>30</v>
      </c>
      <c r="E564" s="16" t="n">
        <f aca="false">IF('Boletins Nuppa Site'!H564&lt;&gt;0,'Boletins Nuppa Site'!H564,"NULL")</f>
        <v>25</v>
      </c>
      <c r="F564" s="16" t="n">
        <f aca="false">IF('Boletins Nuppa Site'!I564&lt;&gt;0,'Boletins Nuppa Site'!I564,"NULL")</f>
        <v>30</v>
      </c>
      <c r="G564" s="1" t="str">
        <f aca="false">IF('Boletins Nuppa Site'!J564&lt;&gt;0,'Boletins Nuppa Site'!J564,"NULL")</f>
        <v>28.33</v>
      </c>
      <c r="H564" s="16" t="n">
        <f aca="false">IF('Boletins Nuppa Site'!K564&lt;&gt;0,'Boletins Nuppa Site'!K564,"NULL")</f>
        <v>30</v>
      </c>
      <c r="J564" s="1" t="str">
        <f aca="false">"INSERT INTO COTACAO (blt_id, pap_id, cot_prc_comum, cot_prc_min, cot_prc_max, cot_prc_med, cot_prc_mediana) VALUES ("&amp;B564&amp;", "&amp;C564&amp;", "&amp;D564&amp;", "&amp;E564&amp;", "&amp;F564&amp;", "&amp;G564&amp;", "&amp;H564&amp;");"</f>
        <v>INSERT INTO COTACAO (blt_id, pap_id, cot_prc_comum, cot_prc_min, cot_prc_max, cot_prc_med, cot_prc_mediana) VALUES (15, 11, 30, 25, 30, 28.33, 30);</v>
      </c>
    </row>
    <row r="565" customFormat="false" ht="14.25" hidden="false" customHeight="false" outlineLevel="0" collapsed="false">
      <c r="A565" s="1" t="n">
        <v>564</v>
      </c>
      <c r="B565" s="1" t="n">
        <v>15</v>
      </c>
      <c r="C565" s="1" t="n">
        <v>12</v>
      </c>
      <c r="D565" s="16" t="n">
        <f aca="false">IF('Boletins Nuppa Site'!G565&lt;&gt;0,'Boletins Nuppa Site'!G565,"NULL")</f>
        <v>84</v>
      </c>
      <c r="E565" s="16" t="n">
        <f aca="false">IF('Boletins Nuppa Site'!H565&lt;&gt;0,'Boletins Nuppa Site'!H565,"NULL")</f>
        <v>78</v>
      </c>
      <c r="F565" s="16" t="n">
        <f aca="false">IF('Boletins Nuppa Site'!I565&lt;&gt;0,'Boletins Nuppa Site'!I565,"NULL")</f>
        <v>84</v>
      </c>
      <c r="G565" s="16" t="n">
        <f aca="false">IF('Boletins Nuppa Site'!J565&lt;&gt;0,'Boletins Nuppa Site'!J565,"NULL")</f>
        <v>82</v>
      </c>
      <c r="H565" s="16" t="n">
        <f aca="false">IF('Boletins Nuppa Site'!K565&lt;&gt;0,'Boletins Nuppa Site'!K565,"NULL")</f>
        <v>84</v>
      </c>
      <c r="J565" s="1" t="str">
        <f aca="false">"INSERT INTO COTACAO (blt_id, pap_id, cot_prc_comum, cot_prc_min, cot_prc_max, cot_prc_med, cot_prc_mediana) VALUES ("&amp;B565&amp;", "&amp;C565&amp;", "&amp;D565&amp;", "&amp;E565&amp;", "&amp;F565&amp;", "&amp;G565&amp;", "&amp;H565&amp;");"</f>
        <v>INSERT INTO COTACAO (blt_id, pap_id, cot_prc_comum, cot_prc_min, cot_prc_max, cot_prc_med, cot_prc_mediana) VALUES (15, 12, 84, 78, 84, 82, 84);</v>
      </c>
    </row>
    <row r="566" customFormat="false" ht="14.25" hidden="false" customHeight="false" outlineLevel="0" collapsed="false">
      <c r="A566" s="1" t="n">
        <v>565</v>
      </c>
      <c r="B566" s="1" t="n">
        <v>15</v>
      </c>
      <c r="C566" s="1" t="n">
        <v>13</v>
      </c>
      <c r="D566" s="16" t="n">
        <f aca="false">IF('Boletins Nuppa Site'!G566&lt;&gt;0,'Boletins Nuppa Site'!G566,"NULL")</f>
        <v>60</v>
      </c>
      <c r="E566" s="16" t="n">
        <f aca="false">IF('Boletins Nuppa Site'!H566&lt;&gt;0,'Boletins Nuppa Site'!H566,"NULL")</f>
        <v>60</v>
      </c>
      <c r="F566" s="16" t="n">
        <f aca="false">IF('Boletins Nuppa Site'!I566&lt;&gt;0,'Boletins Nuppa Site'!I566,"NULL")</f>
        <v>84</v>
      </c>
      <c r="G566" s="16" t="n">
        <f aca="false">IF('Boletins Nuppa Site'!J566&lt;&gt;0,'Boletins Nuppa Site'!J566,"NULL")</f>
        <v>68</v>
      </c>
      <c r="H566" s="16" t="n">
        <f aca="false">IF('Boletins Nuppa Site'!K566&lt;&gt;0,'Boletins Nuppa Site'!K566,"NULL")</f>
        <v>60</v>
      </c>
      <c r="J566" s="1" t="str">
        <f aca="false">"INSERT INTO COTACAO (blt_id, pap_id, cot_prc_comum, cot_prc_min, cot_prc_max, cot_prc_med, cot_prc_mediana) VALUES ("&amp;B566&amp;", "&amp;C566&amp;", "&amp;D566&amp;", "&amp;E566&amp;", "&amp;F566&amp;", "&amp;G566&amp;", "&amp;H566&amp;");"</f>
        <v>INSERT INTO COTACAO (blt_id, pap_id, cot_prc_comum, cot_prc_min, cot_prc_max, cot_prc_med, cot_prc_mediana) VALUES (15, 13, 60, 60, 84, 68, 60);</v>
      </c>
    </row>
    <row r="567" customFormat="false" ht="14.25" hidden="false" customHeight="false" outlineLevel="0" collapsed="false">
      <c r="A567" s="1" t="n">
        <v>566</v>
      </c>
      <c r="B567" s="1" t="n">
        <v>15</v>
      </c>
      <c r="C567" s="1" t="n">
        <v>14</v>
      </c>
      <c r="D567" s="1" t="str">
        <f aca="false">IF('Boletins Nuppa Site'!G567&lt;&gt;0,'Boletins Nuppa Site'!G567,"NULL")</f>
        <v>NULL</v>
      </c>
      <c r="E567" s="16" t="n">
        <f aca="false">IF('Boletins Nuppa Site'!H567&lt;&gt;0,'Boletins Nuppa Site'!H567,"NULL")</f>
        <v>55</v>
      </c>
      <c r="F567" s="16" t="n">
        <f aca="false">IF('Boletins Nuppa Site'!I567&lt;&gt;0,'Boletins Nuppa Site'!I567,"NULL")</f>
        <v>84</v>
      </c>
      <c r="G567" s="1" t="str">
        <f aca="false">IF('Boletins Nuppa Site'!J567&lt;&gt;0,'Boletins Nuppa Site'!J567,"NULL")</f>
        <v>70.33</v>
      </c>
      <c r="H567" s="16" t="n">
        <f aca="false">IF('Boletins Nuppa Site'!K567&lt;&gt;0,'Boletins Nuppa Site'!K567,"NULL")</f>
        <v>72</v>
      </c>
      <c r="J567" s="1" t="str">
        <f aca="false">"INSERT INTO COTACAO (blt_id, pap_id, cot_prc_comum, cot_prc_min, cot_prc_max, cot_prc_med, cot_prc_mediana) VALUES ("&amp;B567&amp;", "&amp;C567&amp;", "&amp;D567&amp;", "&amp;E567&amp;", "&amp;F567&amp;", "&amp;G567&amp;", "&amp;H567&amp;");"</f>
        <v>INSERT INTO COTACAO (blt_id, pap_id, cot_prc_comum, cot_prc_min, cot_prc_max, cot_prc_med, cot_prc_mediana) VALUES (15, 14, NULL, 55, 84, 70.33, 72);</v>
      </c>
    </row>
    <row r="568" customFormat="false" ht="14.25" hidden="false" customHeight="false" outlineLevel="0" collapsed="false">
      <c r="A568" s="1" t="n">
        <v>567</v>
      </c>
      <c r="B568" s="1" t="n">
        <v>15</v>
      </c>
      <c r="C568" s="1" t="n">
        <v>15</v>
      </c>
      <c r="D568" s="1" t="str">
        <f aca="false">IF('Boletins Nuppa Site'!G568&lt;&gt;0,'Boletins Nuppa Site'!G568,"NULL")</f>
        <v>NULL</v>
      </c>
      <c r="E568" s="16" t="n">
        <f aca="false">IF('Boletins Nuppa Site'!H568&lt;&gt;0,'Boletins Nuppa Site'!H568,"NULL")</f>
        <v>48</v>
      </c>
      <c r="F568" s="16" t="n">
        <f aca="false">IF('Boletins Nuppa Site'!I568&lt;&gt;0,'Boletins Nuppa Site'!I568,"NULL")</f>
        <v>70</v>
      </c>
      <c r="G568" s="16" t="n">
        <f aca="false">IF('Boletins Nuppa Site'!J568&lt;&gt;0,'Boletins Nuppa Site'!J568,"NULL")</f>
        <v>56</v>
      </c>
      <c r="H568" s="16" t="n">
        <f aca="false">IF('Boletins Nuppa Site'!K568&lt;&gt;0,'Boletins Nuppa Site'!K568,"NULL")</f>
        <v>50</v>
      </c>
      <c r="J568" s="1" t="str">
        <f aca="false">"INSERT INTO COTACAO (blt_id, pap_id, cot_prc_comum, cot_prc_min, cot_prc_max, cot_prc_med, cot_prc_mediana) VALUES ("&amp;B568&amp;", "&amp;C568&amp;", "&amp;D568&amp;", "&amp;E568&amp;", "&amp;F568&amp;", "&amp;G568&amp;", "&amp;H568&amp;");"</f>
        <v>INSERT INTO COTACAO (blt_id, pap_id, cot_prc_comum, cot_prc_min, cot_prc_max, cot_prc_med, cot_prc_mediana) VALUES (15, 15, NULL, 48, 70, 56, 50);</v>
      </c>
    </row>
    <row r="569" customFormat="false" ht="14.25" hidden="false" customHeight="false" outlineLevel="0" collapsed="false">
      <c r="A569" s="1" t="n">
        <v>568</v>
      </c>
      <c r="B569" s="1" t="n">
        <v>15</v>
      </c>
      <c r="C569" s="1" t="n">
        <v>16</v>
      </c>
      <c r="D569" s="16" t="n">
        <f aca="false">IF('Boletins Nuppa Site'!G569&lt;&gt;0,'Boletins Nuppa Site'!G569,"NULL")</f>
        <v>54</v>
      </c>
      <c r="E569" s="16" t="n">
        <f aca="false">IF('Boletins Nuppa Site'!H569&lt;&gt;0,'Boletins Nuppa Site'!H569,"NULL")</f>
        <v>48</v>
      </c>
      <c r="F569" s="16" t="n">
        <f aca="false">IF('Boletins Nuppa Site'!I569&lt;&gt;0,'Boletins Nuppa Site'!I569,"NULL")</f>
        <v>54</v>
      </c>
      <c r="G569" s="16" t="n">
        <f aca="false">IF('Boletins Nuppa Site'!J569&lt;&gt;0,'Boletins Nuppa Site'!J569,"NULL")</f>
        <v>52</v>
      </c>
      <c r="H569" s="16" t="n">
        <f aca="false">IF('Boletins Nuppa Site'!K569&lt;&gt;0,'Boletins Nuppa Site'!K569,"NULL")</f>
        <v>54</v>
      </c>
      <c r="J569" s="1" t="str">
        <f aca="false">"INSERT INTO COTACAO (blt_id, pap_id, cot_prc_comum, cot_prc_min, cot_prc_max, cot_prc_med, cot_prc_mediana) VALUES ("&amp;B569&amp;", "&amp;C569&amp;", "&amp;D569&amp;", "&amp;E569&amp;", "&amp;F569&amp;", "&amp;G569&amp;", "&amp;H569&amp;");"</f>
        <v>INSERT INTO COTACAO (blt_id, pap_id, cot_prc_comum, cot_prc_min, cot_prc_max, cot_prc_med, cot_prc_mediana) VALUES (15, 16, 54, 48, 54, 52, 54);</v>
      </c>
    </row>
    <row r="570" customFormat="false" ht="14.25" hidden="false" customHeight="false" outlineLevel="0" collapsed="false">
      <c r="A570" s="1" t="n">
        <v>569</v>
      </c>
      <c r="B570" s="1" t="n">
        <v>15</v>
      </c>
      <c r="C570" s="1" t="n">
        <v>17</v>
      </c>
      <c r="D570" s="16" t="n">
        <f aca="false">IF('Boletins Nuppa Site'!G570&lt;&gt;0,'Boletins Nuppa Site'!G570,"NULL")</f>
        <v>60</v>
      </c>
      <c r="E570" s="16" t="n">
        <f aca="false">IF('Boletins Nuppa Site'!H570&lt;&gt;0,'Boletins Nuppa Site'!H570,"NULL")</f>
        <v>60</v>
      </c>
      <c r="F570" s="16" t="n">
        <f aca="false">IF('Boletins Nuppa Site'!I570&lt;&gt;0,'Boletins Nuppa Site'!I570,"NULL")</f>
        <v>72</v>
      </c>
      <c r="G570" s="16" t="n">
        <f aca="false">IF('Boletins Nuppa Site'!J570&lt;&gt;0,'Boletins Nuppa Site'!J570,"NULL")</f>
        <v>64</v>
      </c>
      <c r="H570" s="16" t="n">
        <f aca="false">IF('Boletins Nuppa Site'!K570&lt;&gt;0,'Boletins Nuppa Site'!K570,"NULL")</f>
        <v>60</v>
      </c>
      <c r="J570" s="1" t="str">
        <f aca="false">"INSERT INTO COTACAO (blt_id, pap_id, cot_prc_comum, cot_prc_min, cot_prc_max, cot_prc_med, cot_prc_mediana) VALUES ("&amp;B570&amp;", "&amp;C570&amp;", "&amp;D570&amp;", "&amp;E570&amp;", "&amp;F570&amp;", "&amp;G570&amp;", "&amp;H570&amp;");"</f>
        <v>INSERT INTO COTACAO (blt_id, pap_id, cot_prc_comum, cot_prc_min, cot_prc_max, cot_prc_med, cot_prc_mediana) VALUES (15, 17, 60, 60, 72, 64, 60);</v>
      </c>
    </row>
    <row r="571" customFormat="false" ht="14.25" hidden="false" customHeight="false" outlineLevel="0" collapsed="false">
      <c r="A571" s="1" t="n">
        <v>570</v>
      </c>
      <c r="B571" s="1" t="n">
        <v>15</v>
      </c>
      <c r="C571" s="1" t="n">
        <v>18</v>
      </c>
      <c r="D571" s="1" t="str">
        <f aca="false">IF('Boletins Nuppa Site'!G571&lt;&gt;0,'Boletins Nuppa Site'!G571,"NULL")</f>
        <v>NULL</v>
      </c>
      <c r="E571" s="16" t="n">
        <f aca="false">IF('Boletins Nuppa Site'!H571&lt;&gt;0,'Boletins Nuppa Site'!H571,"NULL")</f>
        <v>20</v>
      </c>
      <c r="F571" s="16" t="n">
        <f aca="false">IF('Boletins Nuppa Site'!I571&lt;&gt;0,'Boletins Nuppa Site'!I571,"NULL")</f>
        <v>30</v>
      </c>
      <c r="G571" s="16" t="n">
        <f aca="false">IF('Boletins Nuppa Site'!J571&lt;&gt;0,'Boletins Nuppa Site'!J571,"NULL")</f>
        <v>25</v>
      </c>
      <c r="H571" s="16" t="n">
        <f aca="false">IF('Boletins Nuppa Site'!K571&lt;&gt;0,'Boletins Nuppa Site'!K571,"NULL")</f>
        <v>25</v>
      </c>
      <c r="J571" s="1" t="str">
        <f aca="false">"INSERT INTO COTACAO (blt_id, pap_id, cot_prc_comum, cot_prc_min, cot_prc_max, cot_prc_med, cot_prc_mediana) VALUES ("&amp;B571&amp;", "&amp;C571&amp;", "&amp;D571&amp;", "&amp;E571&amp;", "&amp;F571&amp;", "&amp;G571&amp;", "&amp;H571&amp;");"</f>
        <v>INSERT INTO COTACAO (blt_id, pap_id, cot_prc_comum, cot_prc_min, cot_prc_max, cot_prc_med, cot_prc_mediana) VALUES (15, 18, NULL, 20, 30, 25, 25);</v>
      </c>
    </row>
    <row r="572" customFormat="false" ht="14.25" hidden="false" customHeight="false" outlineLevel="0" collapsed="false">
      <c r="A572" s="1" t="n">
        <v>571</v>
      </c>
      <c r="B572" s="1" t="n">
        <v>15</v>
      </c>
      <c r="C572" s="1" t="n">
        <v>19</v>
      </c>
      <c r="D572" s="16" t="n">
        <f aca="false">IF('Boletins Nuppa Site'!G572&lt;&gt;0,'Boletins Nuppa Site'!G572,"NULL")</f>
        <v>30</v>
      </c>
      <c r="E572" s="16" t="n">
        <f aca="false">IF('Boletins Nuppa Site'!H572&lt;&gt;0,'Boletins Nuppa Site'!H572,"NULL")</f>
        <v>30</v>
      </c>
      <c r="F572" s="16" t="n">
        <f aca="false">IF('Boletins Nuppa Site'!I572&lt;&gt;0,'Boletins Nuppa Site'!I572,"NULL")</f>
        <v>35</v>
      </c>
      <c r="G572" s="1" t="str">
        <f aca="false">IF('Boletins Nuppa Site'!J572&lt;&gt;0,'Boletins Nuppa Site'!J572,"NULL")</f>
        <v>31.67</v>
      </c>
      <c r="H572" s="16" t="n">
        <f aca="false">IF('Boletins Nuppa Site'!K572&lt;&gt;0,'Boletins Nuppa Site'!K572,"NULL")</f>
        <v>30</v>
      </c>
      <c r="J572" s="1" t="str">
        <f aca="false">"INSERT INTO COTACAO (blt_id, pap_id, cot_prc_comum, cot_prc_min, cot_prc_max, cot_prc_med, cot_prc_mediana) VALUES ("&amp;B572&amp;", "&amp;C572&amp;", "&amp;D572&amp;", "&amp;E572&amp;", "&amp;F572&amp;", "&amp;G572&amp;", "&amp;H572&amp;");"</f>
        <v>INSERT INTO COTACAO (blt_id, pap_id, cot_prc_comum, cot_prc_min, cot_prc_max, cot_prc_med, cot_prc_mediana) VALUES (15, 19, 30, 30, 35, 31.67, 30);</v>
      </c>
    </row>
    <row r="573" customFormat="false" ht="14.25" hidden="false" customHeight="false" outlineLevel="0" collapsed="false">
      <c r="A573" s="1" t="n">
        <v>572</v>
      </c>
      <c r="B573" s="1" t="n">
        <v>15</v>
      </c>
      <c r="C573" s="1" t="n">
        <v>20</v>
      </c>
      <c r="D573" s="1" t="str">
        <f aca="false">IF('Boletins Nuppa Site'!G573&lt;&gt;0,'Boletins Nuppa Site'!G573,"NULL")</f>
        <v>NULL</v>
      </c>
      <c r="E573" s="16" t="n">
        <f aca="false">IF('Boletins Nuppa Site'!H573&lt;&gt;0,'Boletins Nuppa Site'!H573,"NULL")</f>
        <v>90</v>
      </c>
      <c r="F573" s="16" t="n">
        <f aca="false">IF('Boletins Nuppa Site'!I573&lt;&gt;0,'Boletins Nuppa Site'!I573,"NULL")</f>
        <v>90</v>
      </c>
      <c r="G573" s="16" t="n">
        <f aca="false">IF('Boletins Nuppa Site'!J573&lt;&gt;0,'Boletins Nuppa Site'!J573,"NULL")</f>
        <v>90</v>
      </c>
      <c r="H573" s="16" t="n">
        <f aca="false">IF('Boletins Nuppa Site'!K573&lt;&gt;0,'Boletins Nuppa Site'!K573,"NULL")</f>
        <v>90</v>
      </c>
      <c r="J573" s="1" t="str">
        <f aca="false">"INSERT INTO COTACAO (blt_id, pap_id, cot_prc_comum, cot_prc_min, cot_prc_max, cot_prc_med, cot_prc_mediana) VALUES ("&amp;B573&amp;", "&amp;C573&amp;", "&amp;D573&amp;", "&amp;E573&amp;", "&amp;F573&amp;", "&amp;G573&amp;", "&amp;H573&amp;");"</f>
        <v>INSERT INTO COTACAO (blt_id, pap_id, cot_prc_comum, cot_prc_min, cot_prc_max, cot_prc_med, cot_prc_mediana) VALUES (15, 20, NULL, 90, 90, 90, 90);</v>
      </c>
    </row>
    <row r="574" customFormat="false" ht="14.25" hidden="false" customHeight="false" outlineLevel="0" collapsed="false">
      <c r="A574" s="1" t="n">
        <v>573</v>
      </c>
      <c r="B574" s="1" t="n">
        <v>15</v>
      </c>
      <c r="C574" s="1" t="n">
        <v>21</v>
      </c>
      <c r="D574" s="16" t="n">
        <f aca="false">IF('Boletins Nuppa Site'!G574&lt;&gt;0,'Boletins Nuppa Site'!G574,"NULL")</f>
        <v>70</v>
      </c>
      <c r="E574" s="16" t="n">
        <f aca="false">IF('Boletins Nuppa Site'!H574&lt;&gt;0,'Boletins Nuppa Site'!H574,"NULL")</f>
        <v>60</v>
      </c>
      <c r="F574" s="16" t="n">
        <f aca="false">IF('Boletins Nuppa Site'!I574&lt;&gt;0,'Boletins Nuppa Site'!I574,"NULL")</f>
        <v>70</v>
      </c>
      <c r="G574" s="16" t="n">
        <f aca="false">IF('Boletins Nuppa Site'!J574&lt;&gt;0,'Boletins Nuppa Site'!J574,"NULL")</f>
        <v>65</v>
      </c>
      <c r="H574" s="16" t="n">
        <f aca="false">IF('Boletins Nuppa Site'!K574&lt;&gt;0,'Boletins Nuppa Site'!K574,"NULL")</f>
        <v>65</v>
      </c>
      <c r="J574" s="1" t="str">
        <f aca="false">"INSERT INTO COTACAO (blt_id, pap_id, cot_prc_comum, cot_prc_min, cot_prc_max, cot_prc_med, cot_prc_mediana) VALUES ("&amp;B574&amp;", "&amp;C574&amp;", "&amp;D574&amp;", "&amp;E574&amp;", "&amp;F574&amp;", "&amp;G574&amp;", "&amp;H574&amp;");"</f>
        <v>INSERT INTO COTACAO (blt_id, pap_id, cot_prc_comum, cot_prc_min, cot_prc_max, cot_prc_med, cot_prc_mediana) VALUES (15, 21, 70, 60, 70, 65, 65);</v>
      </c>
    </row>
    <row r="575" customFormat="false" ht="14.25" hidden="false" customHeight="false" outlineLevel="0" collapsed="false">
      <c r="A575" s="1" t="n">
        <v>574</v>
      </c>
      <c r="B575" s="1" t="n">
        <v>15</v>
      </c>
      <c r="C575" s="1" t="n">
        <v>22</v>
      </c>
      <c r="D575" s="1" t="str">
        <f aca="false">IF('Boletins Nuppa Site'!G575&lt;&gt;0,'Boletins Nuppa Site'!G575,"NULL")</f>
        <v>NULL</v>
      </c>
      <c r="E575" s="16" t="n">
        <f aca="false">IF('Boletins Nuppa Site'!H575&lt;&gt;0,'Boletins Nuppa Site'!H575,"NULL")</f>
        <v>45</v>
      </c>
      <c r="F575" s="16" t="n">
        <f aca="false">IF('Boletins Nuppa Site'!I575&lt;&gt;0,'Boletins Nuppa Site'!I575,"NULL")</f>
        <v>70</v>
      </c>
      <c r="G575" s="16" t="n">
        <f aca="false">IF('Boletins Nuppa Site'!J575&lt;&gt;0,'Boletins Nuppa Site'!J575,"NULL")</f>
        <v>60</v>
      </c>
      <c r="H575" s="1" t="str">
        <f aca="false">IF('Boletins Nuppa Site'!K575&lt;&gt;0,'Boletins Nuppa Site'!K575,"NULL")</f>
        <v>62.5</v>
      </c>
      <c r="J575" s="1" t="str">
        <f aca="false">"INSERT INTO COTACAO (blt_id, pap_id, cot_prc_comum, cot_prc_min, cot_prc_max, cot_prc_med, cot_prc_mediana) VALUES ("&amp;B575&amp;", "&amp;C575&amp;", "&amp;D575&amp;", "&amp;E575&amp;", "&amp;F575&amp;", "&amp;G575&amp;", "&amp;H575&amp;");"</f>
        <v>INSERT INTO COTACAO (blt_id, pap_id, cot_prc_comum, cot_prc_min, cot_prc_max, cot_prc_med, cot_prc_mediana) VALUES (15, 22, NULL, 45, 70, 60, 62.5);</v>
      </c>
    </row>
    <row r="576" customFormat="false" ht="14.25" hidden="false" customHeight="false" outlineLevel="0" collapsed="false">
      <c r="A576" s="1" t="n">
        <v>575</v>
      </c>
      <c r="B576" s="1" t="n">
        <v>15</v>
      </c>
      <c r="C576" s="1" t="n">
        <v>23</v>
      </c>
      <c r="D576" s="16" t="n">
        <f aca="false">IF('Boletins Nuppa Site'!G576&lt;&gt;0,'Boletins Nuppa Site'!G576,"NULL")</f>
        <v>40</v>
      </c>
      <c r="E576" s="16" t="n">
        <f aca="false">IF('Boletins Nuppa Site'!H576&lt;&gt;0,'Boletins Nuppa Site'!H576,"NULL")</f>
        <v>40</v>
      </c>
      <c r="F576" s="16" t="n">
        <f aca="false">IF('Boletins Nuppa Site'!I576&lt;&gt;0,'Boletins Nuppa Site'!I576,"NULL")</f>
        <v>50</v>
      </c>
      <c r="G576" s="1" t="str">
        <f aca="false">IF('Boletins Nuppa Site'!J576&lt;&gt;0,'Boletins Nuppa Site'!J576,"NULL")</f>
        <v>43.75</v>
      </c>
      <c r="H576" s="1" t="str">
        <f aca="false">IF('Boletins Nuppa Site'!K576&lt;&gt;0,'Boletins Nuppa Site'!K576,"NULL")</f>
        <v>42.5</v>
      </c>
      <c r="J576" s="1" t="str">
        <f aca="false">"INSERT INTO COTACAO (blt_id, pap_id, cot_prc_comum, cot_prc_min, cot_prc_max, cot_prc_med, cot_prc_mediana) VALUES ("&amp;B576&amp;", "&amp;C576&amp;", "&amp;D576&amp;", "&amp;E576&amp;", "&amp;F576&amp;", "&amp;G576&amp;", "&amp;H576&amp;");"</f>
        <v>INSERT INTO COTACAO (blt_id, pap_id, cot_prc_comum, cot_prc_min, cot_prc_max, cot_prc_med, cot_prc_mediana) VALUES (15, 23, 40, 40, 50, 43.75, 42.5);</v>
      </c>
    </row>
    <row r="577" customFormat="false" ht="14.25" hidden="false" customHeight="false" outlineLevel="0" collapsed="false">
      <c r="A577" s="1" t="n">
        <v>576</v>
      </c>
      <c r="B577" s="1" t="n">
        <v>15</v>
      </c>
      <c r="C577" s="1" t="n">
        <v>24</v>
      </c>
      <c r="D577" s="1" t="str">
        <f aca="false">IF('Boletins Nuppa Site'!G577&lt;&gt;0,'Boletins Nuppa Site'!G577,"NULL")</f>
        <v>NULL</v>
      </c>
      <c r="E577" s="16" t="n">
        <f aca="false">IF('Boletins Nuppa Site'!H577&lt;&gt;0,'Boletins Nuppa Site'!H577,"NULL")</f>
        <v>90</v>
      </c>
      <c r="F577" s="16" t="n">
        <f aca="false">IF('Boletins Nuppa Site'!I577&lt;&gt;0,'Boletins Nuppa Site'!I577,"NULL")</f>
        <v>110</v>
      </c>
      <c r="G577" s="16" t="n">
        <f aca="false">IF('Boletins Nuppa Site'!J577&lt;&gt;0,'Boletins Nuppa Site'!J577,"NULL")</f>
        <v>100</v>
      </c>
      <c r="H577" s="16" t="n">
        <f aca="false">IF('Boletins Nuppa Site'!K577&lt;&gt;0,'Boletins Nuppa Site'!K577,"NULL")</f>
        <v>100</v>
      </c>
      <c r="J577" s="1" t="str">
        <f aca="false">"INSERT INTO COTACAO (blt_id, pap_id, cot_prc_comum, cot_prc_min, cot_prc_max, cot_prc_med, cot_prc_mediana) VALUES ("&amp;B577&amp;", "&amp;C577&amp;", "&amp;D577&amp;", "&amp;E577&amp;", "&amp;F577&amp;", "&amp;G577&amp;", "&amp;H577&amp;");"</f>
        <v>INSERT INTO COTACAO (blt_id, pap_id, cot_prc_comum, cot_prc_min, cot_prc_max, cot_prc_med, cot_prc_mediana) VALUES (15, 24, NULL, 90, 110, 100, 100);</v>
      </c>
    </row>
    <row r="578" customFormat="false" ht="14.25" hidden="false" customHeight="false" outlineLevel="0" collapsed="false">
      <c r="A578" s="1" t="n">
        <v>577</v>
      </c>
      <c r="B578" s="1" t="n">
        <v>15</v>
      </c>
      <c r="C578" s="1" t="n">
        <v>25</v>
      </c>
      <c r="D578" s="1" t="str">
        <f aca="false">IF('Boletins Nuppa Site'!G578&lt;&gt;0,'Boletins Nuppa Site'!G578,"NULL")</f>
        <v>NULL</v>
      </c>
      <c r="E578" s="16" t="n">
        <f aca="false">IF('Boletins Nuppa Site'!H578&lt;&gt;0,'Boletins Nuppa Site'!H578,"NULL")</f>
        <v>100</v>
      </c>
      <c r="F578" s="16" t="n">
        <f aca="false">IF('Boletins Nuppa Site'!I578&lt;&gt;0,'Boletins Nuppa Site'!I578,"NULL")</f>
        <v>160</v>
      </c>
      <c r="G578" s="1" t="str">
        <f aca="false">IF('Boletins Nuppa Site'!J578&lt;&gt;0,'Boletins Nuppa Site'!J578,"NULL")</f>
        <v>132.5</v>
      </c>
      <c r="H578" s="16" t="n">
        <f aca="false">IF('Boletins Nuppa Site'!K578&lt;&gt;0,'Boletins Nuppa Site'!K578,"NULL")</f>
        <v>135</v>
      </c>
      <c r="J578" s="1" t="str">
        <f aca="false">"INSERT INTO COTACAO (blt_id, pap_id, cot_prc_comum, cot_prc_min, cot_prc_max, cot_prc_med, cot_prc_mediana) VALUES ("&amp;B578&amp;", "&amp;C578&amp;", "&amp;D578&amp;", "&amp;E578&amp;", "&amp;F578&amp;", "&amp;G578&amp;", "&amp;H578&amp;");"</f>
        <v>INSERT INTO COTACAO (blt_id, pap_id, cot_prc_comum, cot_prc_min, cot_prc_max, cot_prc_med, cot_prc_mediana) VALUES (15, 25, NULL, 100, 160, 132.5, 135);</v>
      </c>
    </row>
    <row r="579" customFormat="false" ht="14.25" hidden="false" customHeight="false" outlineLevel="0" collapsed="false">
      <c r="A579" s="1" t="n">
        <v>578</v>
      </c>
      <c r="B579" s="1" t="n">
        <v>15</v>
      </c>
      <c r="C579" s="1" t="n">
        <v>26</v>
      </c>
      <c r="D579" s="16" t="n">
        <f aca="false">IF('Boletins Nuppa Site'!G579&lt;&gt;0,'Boletins Nuppa Site'!G579,"NULL")</f>
        <v>160</v>
      </c>
      <c r="E579" s="16" t="n">
        <f aca="false">IF('Boletins Nuppa Site'!H579&lt;&gt;0,'Boletins Nuppa Site'!H579,"NULL")</f>
        <v>80</v>
      </c>
      <c r="F579" s="16" t="n">
        <f aca="false">IF('Boletins Nuppa Site'!I579&lt;&gt;0,'Boletins Nuppa Site'!I579,"NULL")</f>
        <v>170</v>
      </c>
      <c r="G579" s="16" t="n">
        <f aca="false">IF('Boletins Nuppa Site'!J579&lt;&gt;0,'Boletins Nuppa Site'!J579,"NULL")</f>
        <v>142</v>
      </c>
      <c r="H579" s="16" t="n">
        <f aca="false">IF('Boletins Nuppa Site'!K579&lt;&gt;0,'Boletins Nuppa Site'!K579,"NULL")</f>
        <v>160</v>
      </c>
      <c r="J579" s="1" t="str">
        <f aca="false">"INSERT INTO COTACAO (blt_id, pap_id, cot_prc_comum, cot_prc_min, cot_prc_max, cot_prc_med, cot_prc_mediana) VALUES ("&amp;B579&amp;", "&amp;C579&amp;", "&amp;D579&amp;", "&amp;E579&amp;", "&amp;F579&amp;", "&amp;G579&amp;", "&amp;H579&amp;");"</f>
        <v>INSERT INTO COTACAO (blt_id, pap_id, cot_prc_comum, cot_prc_min, cot_prc_max, cot_prc_med, cot_prc_mediana) VALUES (15, 26, 160, 80, 170, 142, 160);</v>
      </c>
    </row>
    <row r="580" customFormat="false" ht="14.25" hidden="false" customHeight="false" outlineLevel="0" collapsed="false">
      <c r="A580" s="1" t="n">
        <v>579</v>
      </c>
      <c r="B580" s="1" t="n">
        <v>15</v>
      </c>
      <c r="C580" s="1" t="n">
        <v>27</v>
      </c>
      <c r="D580" s="16" t="n">
        <f aca="false">IF('Boletins Nuppa Site'!G580&lt;&gt;0,'Boletins Nuppa Site'!G580,"NULL")</f>
        <v>60</v>
      </c>
      <c r="E580" s="16" t="n">
        <f aca="false">IF('Boletins Nuppa Site'!H580&lt;&gt;0,'Boletins Nuppa Site'!H580,"NULL")</f>
        <v>45</v>
      </c>
      <c r="F580" s="16" t="n">
        <f aca="false">IF('Boletins Nuppa Site'!I580&lt;&gt;0,'Boletins Nuppa Site'!I580,"NULL")</f>
        <v>60</v>
      </c>
      <c r="G580" s="1" t="str">
        <f aca="false">IF('Boletins Nuppa Site'!J580&lt;&gt;0,'Boletins Nuppa Site'!J580,"NULL")</f>
        <v>56.25</v>
      </c>
      <c r="H580" s="16" t="n">
        <f aca="false">IF('Boletins Nuppa Site'!K580&lt;&gt;0,'Boletins Nuppa Site'!K580,"NULL")</f>
        <v>60</v>
      </c>
      <c r="J580" s="1" t="str">
        <f aca="false">"INSERT INTO COTACAO (blt_id, pap_id, cot_prc_comum, cot_prc_min, cot_prc_max, cot_prc_med, cot_prc_mediana) VALUES ("&amp;B580&amp;", "&amp;C580&amp;", "&amp;D580&amp;", "&amp;E580&amp;", "&amp;F580&amp;", "&amp;G580&amp;", "&amp;H580&amp;");"</f>
        <v>INSERT INTO COTACAO (blt_id, pap_id, cot_prc_comum, cot_prc_min, cot_prc_max, cot_prc_med, cot_prc_mediana) VALUES (15, 27, 60, 45, 60, 56.25, 60);</v>
      </c>
    </row>
    <row r="581" customFormat="false" ht="14.25" hidden="false" customHeight="false" outlineLevel="0" collapsed="false">
      <c r="A581" s="1" t="n">
        <v>580</v>
      </c>
      <c r="B581" s="1" t="n">
        <v>15</v>
      </c>
      <c r="C581" s="1" t="n">
        <v>28</v>
      </c>
      <c r="D581" s="1" t="str">
        <f aca="false">IF('Boletins Nuppa Site'!G581&lt;&gt;0,'Boletins Nuppa Site'!G581,"NULL")</f>
        <v>NULL</v>
      </c>
      <c r="E581" s="16" t="n">
        <f aca="false">IF('Boletins Nuppa Site'!H581&lt;&gt;0,'Boletins Nuppa Site'!H581,"NULL")</f>
        <v>120</v>
      </c>
      <c r="F581" s="16" t="n">
        <f aca="false">IF('Boletins Nuppa Site'!I581&lt;&gt;0,'Boletins Nuppa Site'!I581,"NULL")</f>
        <v>120</v>
      </c>
      <c r="G581" s="16" t="n">
        <f aca="false">IF('Boletins Nuppa Site'!J581&lt;&gt;0,'Boletins Nuppa Site'!J581,"NULL")</f>
        <v>120</v>
      </c>
      <c r="H581" s="16" t="n">
        <f aca="false">IF('Boletins Nuppa Site'!K581&lt;&gt;0,'Boletins Nuppa Site'!K581,"NULL")</f>
        <v>120</v>
      </c>
      <c r="J581" s="1" t="str">
        <f aca="false">"INSERT INTO COTACAO (blt_id, pap_id, cot_prc_comum, cot_prc_min, cot_prc_max, cot_prc_med, cot_prc_mediana) VALUES ("&amp;B581&amp;", "&amp;C581&amp;", "&amp;D581&amp;", "&amp;E581&amp;", "&amp;F581&amp;", "&amp;G581&amp;", "&amp;H581&amp;");"</f>
        <v>INSERT INTO COTACAO (blt_id, pap_id, cot_prc_comum, cot_prc_min, cot_prc_max, cot_prc_med, cot_prc_mediana) VALUES (15, 28, NULL, 120, 120, 120, 120);</v>
      </c>
    </row>
    <row r="582" customFormat="false" ht="14.25" hidden="false" customHeight="false" outlineLevel="0" collapsed="false">
      <c r="A582" s="1" t="n">
        <v>581</v>
      </c>
      <c r="B582" s="1" t="n">
        <v>15</v>
      </c>
      <c r="C582" s="1" t="n">
        <v>29</v>
      </c>
      <c r="D582" s="1" t="str">
        <f aca="false">IF('Boletins Nuppa Site'!G582&lt;&gt;0,'Boletins Nuppa Site'!G582,"NULL")</f>
        <v>NULL</v>
      </c>
      <c r="E582" s="1" t="str">
        <f aca="false">IF('Boletins Nuppa Site'!H582&lt;&gt;0,'Boletins Nuppa Site'!H582,"NULL")</f>
        <v>NULL</v>
      </c>
      <c r="F582" s="1" t="str">
        <f aca="false">IF('Boletins Nuppa Site'!I582&lt;&gt;0,'Boletins Nuppa Site'!I582,"NULL")</f>
        <v>NULL</v>
      </c>
      <c r="G582" s="1" t="str">
        <f aca="false">IF('Boletins Nuppa Site'!J582&lt;&gt;0,'Boletins Nuppa Site'!J582,"NULL")</f>
        <v>NULL</v>
      </c>
      <c r="H582" s="1" t="str">
        <f aca="false">IF('Boletins Nuppa Site'!K582&lt;&gt;0,'Boletins Nuppa Site'!K582,"NULL")</f>
        <v>NULL</v>
      </c>
      <c r="J582" s="1" t="str">
        <f aca="false">"INSERT INTO COTACAO (blt_id, pap_id, cot_prc_comum, cot_prc_min, cot_prc_max, cot_prc_med, cot_prc_mediana) VALUES ("&amp;B582&amp;", "&amp;C582&amp;", "&amp;D582&amp;", "&amp;E582&amp;", "&amp;F582&amp;", "&amp;G582&amp;", "&amp;H582&amp;");"</f>
        <v>INSERT INTO COTACAO (blt_id, pap_id, cot_prc_comum, cot_prc_min, cot_prc_max, cot_prc_med, cot_prc_mediana) VALUES (15, 29, NULL, NULL, NULL, NULL, NULL);</v>
      </c>
    </row>
    <row r="583" customFormat="false" ht="14.25" hidden="false" customHeight="false" outlineLevel="0" collapsed="false">
      <c r="A583" s="1" t="n">
        <v>582</v>
      </c>
      <c r="B583" s="1" t="n">
        <v>15</v>
      </c>
      <c r="C583" s="1" t="n">
        <v>30</v>
      </c>
      <c r="D583" s="1" t="str">
        <f aca="false">IF('Boletins Nuppa Site'!G583&lt;&gt;0,'Boletins Nuppa Site'!G583,"NULL")</f>
        <v>NULL</v>
      </c>
      <c r="E583" s="16" t="n">
        <f aca="false">IF('Boletins Nuppa Site'!H583&lt;&gt;0,'Boletins Nuppa Site'!H583,"NULL")</f>
        <v>75</v>
      </c>
      <c r="F583" s="16" t="n">
        <f aca="false">IF('Boletins Nuppa Site'!I583&lt;&gt;0,'Boletins Nuppa Site'!I583,"NULL")</f>
        <v>75</v>
      </c>
      <c r="G583" s="16" t="n">
        <f aca="false">IF('Boletins Nuppa Site'!J583&lt;&gt;0,'Boletins Nuppa Site'!J583,"NULL")</f>
        <v>75</v>
      </c>
      <c r="H583" s="16" t="n">
        <f aca="false">IF('Boletins Nuppa Site'!K583&lt;&gt;0,'Boletins Nuppa Site'!K583,"NULL")</f>
        <v>75</v>
      </c>
      <c r="J583" s="1" t="str">
        <f aca="false">"INSERT INTO COTACAO (blt_id, pap_id, cot_prc_comum, cot_prc_min, cot_prc_max, cot_prc_med, cot_prc_mediana) VALUES ("&amp;B583&amp;", "&amp;C583&amp;", "&amp;D583&amp;", "&amp;E583&amp;", "&amp;F583&amp;", "&amp;G583&amp;", "&amp;H583&amp;");"</f>
        <v>INSERT INTO COTACAO (blt_id, pap_id, cot_prc_comum, cot_prc_min, cot_prc_max, cot_prc_med, cot_prc_mediana) VALUES (15, 30, NULL, 75, 75, 75, 75);</v>
      </c>
    </row>
    <row r="584" customFormat="false" ht="14.25" hidden="false" customHeight="false" outlineLevel="0" collapsed="false">
      <c r="A584" s="1" t="n">
        <v>583</v>
      </c>
      <c r="B584" s="1" t="n">
        <v>15</v>
      </c>
      <c r="C584" s="1" t="n">
        <v>31</v>
      </c>
      <c r="D584" s="1" t="str">
        <f aca="false">IF('Boletins Nuppa Site'!G584&lt;&gt;0,'Boletins Nuppa Site'!G584,"NULL")</f>
        <v>NULL</v>
      </c>
      <c r="E584" s="16" t="n">
        <f aca="false">IF('Boletins Nuppa Site'!H584&lt;&gt;0,'Boletins Nuppa Site'!H584,"NULL")</f>
        <v>60</v>
      </c>
      <c r="F584" s="16" t="n">
        <f aca="false">IF('Boletins Nuppa Site'!I584&lt;&gt;0,'Boletins Nuppa Site'!I584,"NULL")</f>
        <v>90</v>
      </c>
      <c r="G584" s="1" t="str">
        <f aca="false">IF('Boletins Nuppa Site'!J584&lt;&gt;0,'Boletins Nuppa Site'!J584,"NULL")</f>
        <v>78.75</v>
      </c>
      <c r="H584" s="1" t="str">
        <f aca="false">IF('Boletins Nuppa Site'!K584&lt;&gt;0,'Boletins Nuppa Site'!K584,"NULL")</f>
        <v>82.5</v>
      </c>
      <c r="J584" s="1" t="str">
        <f aca="false">"INSERT INTO COTACAO (blt_id, pap_id, cot_prc_comum, cot_prc_min, cot_prc_max, cot_prc_med, cot_prc_mediana) VALUES ("&amp;B584&amp;", "&amp;C584&amp;", "&amp;D584&amp;", "&amp;E584&amp;", "&amp;F584&amp;", "&amp;G584&amp;", "&amp;H584&amp;");"</f>
        <v>INSERT INTO COTACAO (blt_id, pap_id, cot_prc_comum, cot_prc_min, cot_prc_max, cot_prc_med, cot_prc_mediana) VALUES (15, 31, NULL, 60, 90, 78.75, 82.5);</v>
      </c>
    </row>
    <row r="585" customFormat="false" ht="14.25" hidden="false" customHeight="false" outlineLevel="0" collapsed="false">
      <c r="A585" s="1" t="n">
        <v>584</v>
      </c>
      <c r="B585" s="1" t="n">
        <v>15</v>
      </c>
      <c r="C585" s="1" t="n">
        <v>32</v>
      </c>
      <c r="D585" s="1" t="str">
        <f aca="false">IF('Boletins Nuppa Site'!G585&lt;&gt;0,'Boletins Nuppa Site'!G585,"NULL")</f>
        <v>NULL</v>
      </c>
      <c r="E585" s="16" t="n">
        <f aca="false">IF('Boletins Nuppa Site'!H585&lt;&gt;0,'Boletins Nuppa Site'!H585,"NULL")</f>
        <v>55</v>
      </c>
      <c r="F585" s="16" t="n">
        <f aca="false">IF('Boletins Nuppa Site'!I585&lt;&gt;0,'Boletins Nuppa Site'!I585,"NULL")</f>
        <v>75</v>
      </c>
      <c r="G585" s="16" t="n">
        <f aca="false">IF('Boletins Nuppa Site'!J585&lt;&gt;0,'Boletins Nuppa Site'!J585,"NULL")</f>
        <v>65</v>
      </c>
      <c r="H585" s="16" t="n">
        <f aca="false">IF('Boletins Nuppa Site'!K585&lt;&gt;0,'Boletins Nuppa Site'!K585,"NULL")</f>
        <v>65</v>
      </c>
      <c r="J585" s="1" t="str">
        <f aca="false">"INSERT INTO COTACAO (blt_id, pap_id, cot_prc_comum, cot_prc_min, cot_prc_max, cot_prc_med, cot_prc_mediana) VALUES ("&amp;B585&amp;", "&amp;C585&amp;", "&amp;D585&amp;", "&amp;E585&amp;", "&amp;F585&amp;", "&amp;G585&amp;", "&amp;H585&amp;");"</f>
        <v>INSERT INTO COTACAO (blt_id, pap_id, cot_prc_comum, cot_prc_min, cot_prc_max, cot_prc_med, cot_prc_mediana) VALUES (15, 32, NULL, 55, 75, 65, 65);</v>
      </c>
    </row>
    <row r="586" customFormat="false" ht="14.25" hidden="false" customHeight="false" outlineLevel="0" collapsed="false">
      <c r="A586" s="1" t="n">
        <v>585</v>
      </c>
      <c r="B586" s="1" t="n">
        <v>15</v>
      </c>
      <c r="C586" s="1" t="n">
        <v>33</v>
      </c>
      <c r="D586" s="16" t="n">
        <f aca="false">IF('Boletins Nuppa Site'!G586&lt;&gt;0,'Boletins Nuppa Site'!G586,"NULL")</f>
        <v>120</v>
      </c>
      <c r="E586" s="16" t="n">
        <f aca="false">IF('Boletins Nuppa Site'!H586&lt;&gt;0,'Boletins Nuppa Site'!H586,"NULL")</f>
        <v>120</v>
      </c>
      <c r="F586" s="16" t="n">
        <f aca="false">IF('Boletins Nuppa Site'!I586&lt;&gt;0,'Boletins Nuppa Site'!I586,"NULL")</f>
        <v>120</v>
      </c>
      <c r="G586" s="16" t="n">
        <f aca="false">IF('Boletins Nuppa Site'!J586&lt;&gt;0,'Boletins Nuppa Site'!J586,"NULL")</f>
        <v>120</v>
      </c>
      <c r="H586" s="16" t="n">
        <f aca="false">IF('Boletins Nuppa Site'!K586&lt;&gt;0,'Boletins Nuppa Site'!K586,"NULL")</f>
        <v>120</v>
      </c>
      <c r="J586" s="1" t="str">
        <f aca="false">"INSERT INTO COTACAO (blt_id, pap_id, cot_prc_comum, cot_prc_min, cot_prc_max, cot_prc_med, cot_prc_mediana) VALUES ("&amp;B586&amp;", "&amp;C586&amp;", "&amp;D586&amp;", "&amp;E586&amp;", "&amp;F586&amp;", "&amp;G586&amp;", "&amp;H586&amp;");"</f>
        <v>INSERT INTO COTACAO (blt_id, pap_id, cot_prc_comum, cot_prc_min, cot_prc_max, cot_prc_med, cot_prc_mediana) VALUES (15, 33, 120, 120, 120, 120, 120);</v>
      </c>
    </row>
    <row r="587" customFormat="false" ht="14.25" hidden="false" customHeight="false" outlineLevel="0" collapsed="false">
      <c r="A587" s="1" t="n">
        <v>586</v>
      </c>
      <c r="B587" s="1" t="n">
        <v>15</v>
      </c>
      <c r="C587" s="1" t="n">
        <v>34</v>
      </c>
      <c r="D587" s="1" t="str">
        <f aca="false">IF('Boletins Nuppa Site'!G587&lt;&gt;0,'Boletins Nuppa Site'!G587,"NULL")</f>
        <v>NULL</v>
      </c>
      <c r="E587" s="16" t="n">
        <f aca="false">IF('Boletins Nuppa Site'!H587&lt;&gt;0,'Boletins Nuppa Site'!H587,"NULL")</f>
        <v>110</v>
      </c>
      <c r="F587" s="16" t="n">
        <f aca="false">IF('Boletins Nuppa Site'!I587&lt;&gt;0,'Boletins Nuppa Site'!I587,"NULL")</f>
        <v>160</v>
      </c>
      <c r="G587" s="16" t="n">
        <f aca="false">IF('Boletins Nuppa Site'!J587&lt;&gt;0,'Boletins Nuppa Site'!J587,"NULL")</f>
        <v>140</v>
      </c>
      <c r="H587" s="16" t="n">
        <f aca="false">IF('Boletins Nuppa Site'!K587&lt;&gt;0,'Boletins Nuppa Site'!K587,"NULL")</f>
        <v>145</v>
      </c>
      <c r="J587" s="1" t="str">
        <f aca="false">"INSERT INTO COTACAO (blt_id, pap_id, cot_prc_comum, cot_prc_min, cot_prc_max, cot_prc_med, cot_prc_mediana) VALUES ("&amp;B587&amp;", "&amp;C587&amp;", "&amp;D587&amp;", "&amp;E587&amp;", "&amp;F587&amp;", "&amp;G587&amp;", "&amp;H587&amp;");"</f>
        <v>INSERT INTO COTACAO (blt_id, pap_id, cot_prc_comum, cot_prc_min, cot_prc_max, cot_prc_med, cot_prc_mediana) VALUES (15, 34, NULL, 110, 160, 140, 145);</v>
      </c>
    </row>
    <row r="588" customFormat="false" ht="14.25" hidden="false" customHeight="false" outlineLevel="0" collapsed="false">
      <c r="A588" s="1" t="n">
        <v>587</v>
      </c>
      <c r="B588" s="1" t="n">
        <v>15</v>
      </c>
      <c r="C588" s="1" t="n">
        <v>35</v>
      </c>
      <c r="D588" s="1" t="str">
        <f aca="false">IF('Boletins Nuppa Site'!G588&lt;&gt;0,'Boletins Nuppa Site'!G588,"NULL")</f>
        <v>NULL</v>
      </c>
      <c r="E588" s="16" t="n">
        <f aca="false">IF('Boletins Nuppa Site'!H588&lt;&gt;0,'Boletins Nuppa Site'!H588,"NULL")</f>
        <v>110</v>
      </c>
      <c r="F588" s="16" t="n">
        <f aca="false">IF('Boletins Nuppa Site'!I588&lt;&gt;0,'Boletins Nuppa Site'!I588,"NULL")</f>
        <v>180</v>
      </c>
      <c r="G588" s="16" t="n">
        <f aca="false">IF('Boletins Nuppa Site'!J588&lt;&gt;0,'Boletins Nuppa Site'!J588,"NULL")</f>
        <v>145</v>
      </c>
      <c r="H588" s="16" t="n">
        <f aca="false">IF('Boletins Nuppa Site'!K588&lt;&gt;0,'Boletins Nuppa Site'!K588,"NULL")</f>
        <v>145</v>
      </c>
      <c r="J588" s="1" t="str">
        <f aca="false">"INSERT INTO COTACAO (blt_id, pap_id, cot_prc_comum, cot_prc_min, cot_prc_max, cot_prc_med, cot_prc_mediana) VALUES ("&amp;B588&amp;", "&amp;C588&amp;", "&amp;D588&amp;", "&amp;E588&amp;", "&amp;F588&amp;", "&amp;G588&amp;", "&amp;H588&amp;");"</f>
        <v>INSERT INTO COTACAO (blt_id, pap_id, cot_prc_comum, cot_prc_min, cot_prc_max, cot_prc_med, cot_prc_mediana) VALUES (15, 35, NULL, 110, 180, 145, 145);</v>
      </c>
    </row>
    <row r="589" customFormat="false" ht="14.25" hidden="false" customHeight="false" outlineLevel="0" collapsed="false">
      <c r="A589" s="1" t="n">
        <v>588</v>
      </c>
      <c r="B589" s="1" t="n">
        <v>15</v>
      </c>
      <c r="C589" s="1" t="n">
        <v>36</v>
      </c>
      <c r="D589" s="1" t="str">
        <f aca="false">IF('Boletins Nuppa Site'!G589&lt;&gt;0,'Boletins Nuppa Site'!G589,"NULL")</f>
        <v>NULL</v>
      </c>
      <c r="E589" s="16" t="n">
        <f aca="false">IF('Boletins Nuppa Site'!H589&lt;&gt;0,'Boletins Nuppa Site'!H589,"NULL")</f>
        <v>110</v>
      </c>
      <c r="F589" s="16" t="n">
        <f aca="false">IF('Boletins Nuppa Site'!I589&lt;&gt;0,'Boletins Nuppa Site'!I589,"NULL")</f>
        <v>110</v>
      </c>
      <c r="G589" s="16" t="n">
        <f aca="false">IF('Boletins Nuppa Site'!J589&lt;&gt;0,'Boletins Nuppa Site'!J589,"NULL")</f>
        <v>110</v>
      </c>
      <c r="H589" s="16" t="n">
        <f aca="false">IF('Boletins Nuppa Site'!K589&lt;&gt;0,'Boletins Nuppa Site'!K589,"NULL")</f>
        <v>110</v>
      </c>
      <c r="J589" s="1" t="str">
        <f aca="false">"INSERT INTO COTACAO (blt_id, pap_id, cot_prc_comum, cot_prc_min, cot_prc_max, cot_prc_med, cot_prc_mediana) VALUES ("&amp;B589&amp;", "&amp;C589&amp;", "&amp;D589&amp;", "&amp;E589&amp;", "&amp;F589&amp;", "&amp;G589&amp;", "&amp;H589&amp;");"</f>
        <v>INSERT INTO COTACAO (blt_id, pap_id, cot_prc_comum, cot_prc_min, cot_prc_max, cot_prc_med, cot_prc_mediana) VALUES (15, 36, NULL, 110, 110, 110, 110);</v>
      </c>
    </row>
    <row r="590" customFormat="false" ht="14.25" hidden="false" customHeight="false" outlineLevel="0" collapsed="false">
      <c r="A590" s="1" t="n">
        <v>589</v>
      </c>
      <c r="B590" s="1" t="n">
        <v>15</v>
      </c>
      <c r="C590" s="1" t="n">
        <v>37</v>
      </c>
      <c r="D590" s="16" t="n">
        <f aca="false">IF('Boletins Nuppa Site'!G590&lt;&gt;0,'Boletins Nuppa Site'!G590,"NULL")</f>
        <v>70</v>
      </c>
      <c r="E590" s="16" t="n">
        <f aca="false">IF('Boletins Nuppa Site'!H590&lt;&gt;0,'Boletins Nuppa Site'!H590,"NULL")</f>
        <v>70</v>
      </c>
      <c r="F590" s="16" t="n">
        <f aca="false">IF('Boletins Nuppa Site'!I590&lt;&gt;0,'Boletins Nuppa Site'!I590,"NULL")</f>
        <v>70</v>
      </c>
      <c r="G590" s="16" t="n">
        <f aca="false">IF('Boletins Nuppa Site'!J590&lt;&gt;0,'Boletins Nuppa Site'!J590,"NULL")</f>
        <v>70</v>
      </c>
      <c r="H590" s="16" t="n">
        <f aca="false">IF('Boletins Nuppa Site'!K590&lt;&gt;0,'Boletins Nuppa Site'!K590,"NULL")</f>
        <v>70</v>
      </c>
      <c r="J590" s="1" t="str">
        <f aca="false">"INSERT INTO COTACAO (blt_id, pap_id, cot_prc_comum, cot_prc_min, cot_prc_max, cot_prc_med, cot_prc_mediana) VALUES ("&amp;B590&amp;", "&amp;C590&amp;", "&amp;D590&amp;", "&amp;E590&amp;", "&amp;F590&amp;", "&amp;G590&amp;", "&amp;H590&amp;");"</f>
        <v>INSERT INTO COTACAO (blt_id, pap_id, cot_prc_comum, cot_prc_min, cot_prc_max, cot_prc_med, cot_prc_mediana) VALUES (15, 37, 70, 70, 70, 70, 70);</v>
      </c>
    </row>
    <row r="591" customFormat="false" ht="14.25" hidden="false" customHeight="false" outlineLevel="0" collapsed="false">
      <c r="A591" s="1" t="n">
        <v>590</v>
      </c>
      <c r="B591" s="1" t="n">
        <v>15</v>
      </c>
      <c r="C591" s="1" t="n">
        <v>38</v>
      </c>
      <c r="D591" s="1" t="str">
        <f aca="false">IF('Boletins Nuppa Site'!G591&lt;&gt;0,'Boletins Nuppa Site'!G591,"NULL")</f>
        <v>NULL</v>
      </c>
      <c r="E591" s="16" t="n">
        <f aca="false">IF('Boletins Nuppa Site'!H591&lt;&gt;0,'Boletins Nuppa Site'!H591,"NULL")</f>
        <v>50</v>
      </c>
      <c r="F591" s="16" t="n">
        <f aca="false">IF('Boletins Nuppa Site'!I591&lt;&gt;0,'Boletins Nuppa Site'!I591,"NULL")</f>
        <v>60</v>
      </c>
      <c r="G591" s="16" t="n">
        <f aca="false">IF('Boletins Nuppa Site'!J591&lt;&gt;0,'Boletins Nuppa Site'!J591,"NULL")</f>
        <v>55</v>
      </c>
      <c r="H591" s="16" t="n">
        <f aca="false">IF('Boletins Nuppa Site'!K591&lt;&gt;0,'Boletins Nuppa Site'!K591,"NULL")</f>
        <v>55</v>
      </c>
      <c r="J591" s="1" t="str">
        <f aca="false">"INSERT INTO COTACAO (blt_id, pap_id, cot_prc_comum, cot_prc_min, cot_prc_max, cot_prc_med, cot_prc_mediana) VALUES ("&amp;B591&amp;", "&amp;C591&amp;", "&amp;D591&amp;", "&amp;E591&amp;", "&amp;F591&amp;", "&amp;G591&amp;", "&amp;H591&amp;");"</f>
        <v>INSERT INTO COTACAO (blt_id, pap_id, cot_prc_comum, cot_prc_min, cot_prc_max, cot_prc_med, cot_prc_mediana) VALUES (15, 38, NULL, 50, 60, 55, 55);</v>
      </c>
    </row>
    <row r="592" customFormat="false" ht="14.25" hidden="false" customHeight="false" outlineLevel="0" collapsed="false">
      <c r="A592" s="1" t="n">
        <v>591</v>
      </c>
      <c r="B592" s="1" t="n">
        <v>15</v>
      </c>
      <c r="C592" s="1" t="n">
        <v>39</v>
      </c>
      <c r="D592" s="1" t="str">
        <f aca="false">IF('Boletins Nuppa Site'!G592&lt;&gt;0,'Boletins Nuppa Site'!G592,"NULL")</f>
        <v>NULL</v>
      </c>
      <c r="E592" s="16" t="n">
        <f aca="false">IF('Boletins Nuppa Site'!H592&lt;&gt;0,'Boletins Nuppa Site'!H592,"NULL")</f>
        <v>55</v>
      </c>
      <c r="F592" s="16" t="n">
        <f aca="false">IF('Boletins Nuppa Site'!I592&lt;&gt;0,'Boletins Nuppa Site'!I592,"NULL")</f>
        <v>55</v>
      </c>
      <c r="G592" s="16" t="n">
        <f aca="false">IF('Boletins Nuppa Site'!J592&lt;&gt;0,'Boletins Nuppa Site'!J592,"NULL")</f>
        <v>55</v>
      </c>
      <c r="H592" s="16" t="n">
        <f aca="false">IF('Boletins Nuppa Site'!K592&lt;&gt;0,'Boletins Nuppa Site'!K592,"NULL")</f>
        <v>55</v>
      </c>
      <c r="J592" s="1" t="str">
        <f aca="false">"INSERT INTO COTACAO (blt_id, pap_id, cot_prc_comum, cot_prc_min, cot_prc_max, cot_prc_med, cot_prc_mediana) VALUES ("&amp;B592&amp;", "&amp;C592&amp;", "&amp;D592&amp;", "&amp;E592&amp;", "&amp;F592&amp;", "&amp;G592&amp;", "&amp;H592&amp;");"</f>
        <v>INSERT INTO COTACAO (blt_id, pap_id, cot_prc_comum, cot_prc_min, cot_prc_max, cot_prc_med, cot_prc_mediana) VALUES (15, 39, NULL, 55, 55, 55, 55);</v>
      </c>
    </row>
    <row r="593" customFormat="false" ht="14.25" hidden="false" customHeight="false" outlineLevel="0" collapsed="false">
      <c r="A593" s="1" t="n">
        <v>592</v>
      </c>
      <c r="B593" s="1" t="n">
        <v>15</v>
      </c>
      <c r="C593" s="1" t="n">
        <v>40</v>
      </c>
      <c r="D593" s="1" t="str">
        <f aca="false">IF('Boletins Nuppa Site'!G593&lt;&gt;0,'Boletins Nuppa Site'!G593,"NULL")</f>
        <v>NULL</v>
      </c>
      <c r="E593" s="16" t="n">
        <f aca="false">IF('Boletins Nuppa Site'!H593&lt;&gt;0,'Boletins Nuppa Site'!H593,"NULL")</f>
        <v>40</v>
      </c>
      <c r="F593" s="16" t="n">
        <f aca="false">IF('Boletins Nuppa Site'!I593&lt;&gt;0,'Boletins Nuppa Site'!I593,"NULL")</f>
        <v>55</v>
      </c>
      <c r="G593" s="1" t="str">
        <f aca="false">IF('Boletins Nuppa Site'!J593&lt;&gt;0,'Boletins Nuppa Site'!J593,"NULL")</f>
        <v>47.5</v>
      </c>
      <c r="H593" s="1" t="str">
        <f aca="false">IF('Boletins Nuppa Site'!K593&lt;&gt;0,'Boletins Nuppa Site'!K593,"NULL")</f>
        <v>47.5</v>
      </c>
      <c r="J593" s="1" t="str">
        <f aca="false">"INSERT INTO COTACAO (blt_id, pap_id, cot_prc_comum, cot_prc_min, cot_prc_max, cot_prc_med, cot_prc_mediana) VALUES ("&amp;B593&amp;", "&amp;C593&amp;", "&amp;D593&amp;", "&amp;E593&amp;", "&amp;F593&amp;", "&amp;G593&amp;", "&amp;H593&amp;");"</f>
        <v>INSERT INTO COTACAO (blt_id, pap_id, cot_prc_comum, cot_prc_min, cot_prc_max, cot_prc_med, cot_prc_mediana) VALUES (15, 40, NULL, 40, 55, 47.5, 47.5);</v>
      </c>
    </row>
    <row r="594" customFormat="false" ht="14.25" hidden="false" customHeight="false" outlineLevel="0" collapsed="false">
      <c r="A594" s="1" t="n">
        <v>593</v>
      </c>
      <c r="B594" s="1" t="n">
        <v>16</v>
      </c>
      <c r="C594" s="1" t="n">
        <v>1</v>
      </c>
      <c r="D594" s="1" t="str">
        <f aca="false">IF('Boletins Nuppa Site'!G594&lt;&gt;0,'Boletins Nuppa Site'!G594,"NULL")</f>
        <v>NULL</v>
      </c>
      <c r="E594" s="16" t="n">
        <f aca="false">IF('Boletins Nuppa Site'!H594&lt;&gt;0,'Boletins Nuppa Site'!H594,"NULL")</f>
        <v>60</v>
      </c>
      <c r="F594" s="16" t="n">
        <f aca="false">IF('Boletins Nuppa Site'!I594&lt;&gt;0,'Boletins Nuppa Site'!I594,"NULL")</f>
        <v>72</v>
      </c>
      <c r="G594" s="16" t="n">
        <f aca="false">IF('Boletins Nuppa Site'!J594&lt;&gt;0,'Boletins Nuppa Site'!J594,"NULL")</f>
        <v>66</v>
      </c>
      <c r="H594" s="16" t="n">
        <f aca="false">IF('Boletins Nuppa Site'!K594&lt;&gt;0,'Boletins Nuppa Site'!K594,"NULL")</f>
        <v>66</v>
      </c>
      <c r="J594" s="1" t="str">
        <f aca="false">"INSERT INTO COTACAO (blt_id, pap_id, cot_prc_comum, cot_prc_min, cot_prc_max, cot_prc_med, cot_prc_mediana) VALUES ("&amp;B594&amp;", "&amp;C594&amp;", "&amp;D594&amp;", "&amp;E594&amp;", "&amp;F594&amp;", "&amp;G594&amp;", "&amp;H594&amp;");"</f>
        <v>INSERT INTO COTACAO (blt_id, pap_id, cot_prc_comum, cot_prc_min, cot_prc_max, cot_prc_med, cot_prc_mediana) VALUES (16, 1, NULL, 60, 72, 66, 66);</v>
      </c>
    </row>
    <row r="595" customFormat="false" ht="14.25" hidden="false" customHeight="false" outlineLevel="0" collapsed="false">
      <c r="A595" s="1" t="n">
        <v>594</v>
      </c>
      <c r="B595" s="1" t="n">
        <v>16</v>
      </c>
      <c r="C595" s="1" t="n">
        <v>2</v>
      </c>
      <c r="D595" s="16" t="n">
        <f aca="false">IF('Boletins Nuppa Site'!G595&lt;&gt;0,'Boletins Nuppa Site'!G595,"NULL")</f>
        <v>84</v>
      </c>
      <c r="E595" s="16" t="n">
        <f aca="false">IF('Boletins Nuppa Site'!H595&lt;&gt;0,'Boletins Nuppa Site'!H595,"NULL")</f>
        <v>72</v>
      </c>
      <c r="F595" s="16" t="n">
        <f aca="false">IF('Boletins Nuppa Site'!I595&lt;&gt;0,'Boletins Nuppa Site'!I595,"NULL")</f>
        <v>84</v>
      </c>
      <c r="G595" s="16" t="n">
        <f aca="false">IF('Boletins Nuppa Site'!J595&lt;&gt;0,'Boletins Nuppa Site'!J595,"NULL")</f>
        <v>80</v>
      </c>
      <c r="H595" s="16" t="n">
        <f aca="false">IF('Boletins Nuppa Site'!K595&lt;&gt;0,'Boletins Nuppa Site'!K595,"NULL")</f>
        <v>84</v>
      </c>
      <c r="J595" s="1" t="str">
        <f aca="false">"INSERT INTO COTACAO (blt_id, pap_id, cot_prc_comum, cot_prc_min, cot_prc_max, cot_prc_med, cot_prc_mediana) VALUES ("&amp;B595&amp;", "&amp;C595&amp;", "&amp;D595&amp;", "&amp;E595&amp;", "&amp;F595&amp;", "&amp;G595&amp;", "&amp;H595&amp;");"</f>
        <v>INSERT INTO COTACAO (blt_id, pap_id, cot_prc_comum, cot_prc_min, cot_prc_max, cot_prc_med, cot_prc_mediana) VALUES (16, 2, 84, 72, 84, 80, 84);</v>
      </c>
    </row>
    <row r="596" customFormat="false" ht="14.25" hidden="false" customHeight="false" outlineLevel="0" collapsed="false">
      <c r="A596" s="1" t="n">
        <v>595</v>
      </c>
      <c r="B596" s="1" t="n">
        <v>16</v>
      </c>
      <c r="C596" s="1" t="n">
        <v>3</v>
      </c>
      <c r="D596" s="1" t="str">
        <f aca="false">IF('Boletins Nuppa Site'!G596&lt;&gt;0,'Boletins Nuppa Site'!G596,"NULL")</f>
        <v>NULL</v>
      </c>
      <c r="E596" s="16" t="n">
        <f aca="false">IF('Boletins Nuppa Site'!H596&lt;&gt;0,'Boletins Nuppa Site'!H596,"NULL")</f>
        <v>42</v>
      </c>
      <c r="F596" s="16" t="n">
        <f aca="false">IF('Boletins Nuppa Site'!I596&lt;&gt;0,'Boletins Nuppa Site'!I596,"NULL")</f>
        <v>54</v>
      </c>
      <c r="G596" s="16" t="n">
        <f aca="false">IF('Boletins Nuppa Site'!J596&lt;&gt;0,'Boletins Nuppa Site'!J596,"NULL")</f>
        <v>47</v>
      </c>
      <c r="H596" s="16" t="n">
        <f aca="false">IF('Boletins Nuppa Site'!K596&lt;&gt;0,'Boletins Nuppa Site'!K596,"NULL")</f>
        <v>45</v>
      </c>
      <c r="J596" s="1" t="str">
        <f aca="false">"INSERT INTO COTACAO (blt_id, pap_id, cot_prc_comum, cot_prc_min, cot_prc_max, cot_prc_med, cot_prc_mediana) VALUES ("&amp;B596&amp;", "&amp;C596&amp;", "&amp;D596&amp;", "&amp;E596&amp;", "&amp;F596&amp;", "&amp;G596&amp;", "&amp;H596&amp;");"</f>
        <v>INSERT INTO COTACAO (blt_id, pap_id, cot_prc_comum, cot_prc_min, cot_prc_max, cot_prc_med, cot_prc_mediana) VALUES (16, 3, NULL, 42, 54, 47, 45);</v>
      </c>
    </row>
    <row r="597" customFormat="false" ht="14.25" hidden="false" customHeight="false" outlineLevel="0" collapsed="false">
      <c r="A597" s="1" t="n">
        <v>596</v>
      </c>
      <c r="B597" s="1" t="n">
        <v>16</v>
      </c>
      <c r="C597" s="1" t="n">
        <v>4</v>
      </c>
      <c r="D597" s="16" t="n">
        <f aca="false">IF('Boletins Nuppa Site'!G597&lt;&gt;0,'Boletins Nuppa Site'!G597,"NULL")</f>
        <v>24</v>
      </c>
      <c r="E597" s="16" t="n">
        <f aca="false">IF('Boletins Nuppa Site'!H597&lt;&gt;0,'Boletins Nuppa Site'!H597,"NULL")</f>
        <v>20</v>
      </c>
      <c r="F597" s="16" t="n">
        <f aca="false">IF('Boletins Nuppa Site'!I597&lt;&gt;0,'Boletins Nuppa Site'!I597,"NULL")</f>
        <v>33</v>
      </c>
      <c r="G597" s="1" t="str">
        <f aca="false">IF('Boletins Nuppa Site'!J597&lt;&gt;0,'Boletins Nuppa Site'!J597,"NULL")</f>
        <v>25.25</v>
      </c>
      <c r="H597" s="16" t="n">
        <f aca="false">IF('Boletins Nuppa Site'!K597&lt;&gt;0,'Boletins Nuppa Site'!K597,"NULL")</f>
        <v>24</v>
      </c>
      <c r="J597" s="1" t="str">
        <f aca="false">"INSERT INTO COTACAO (blt_id, pap_id, cot_prc_comum, cot_prc_min, cot_prc_max, cot_prc_med, cot_prc_mediana) VALUES ("&amp;B597&amp;", "&amp;C597&amp;", "&amp;D597&amp;", "&amp;E597&amp;", "&amp;F597&amp;", "&amp;G597&amp;", "&amp;H597&amp;");"</f>
        <v>INSERT INTO COTACAO (blt_id, pap_id, cot_prc_comum, cot_prc_min, cot_prc_max, cot_prc_med, cot_prc_mediana) VALUES (16, 4, 24, 20, 33, 25.25, 24);</v>
      </c>
    </row>
    <row r="598" customFormat="false" ht="14.25" hidden="false" customHeight="false" outlineLevel="0" collapsed="false">
      <c r="A598" s="1" t="n">
        <v>597</v>
      </c>
      <c r="B598" s="1" t="n">
        <v>16</v>
      </c>
      <c r="C598" s="1" t="n">
        <v>5</v>
      </c>
      <c r="D598" s="1" t="str">
        <f aca="false">IF('Boletins Nuppa Site'!G598&lt;&gt;0,'Boletins Nuppa Site'!G598,"NULL")</f>
        <v>NULL</v>
      </c>
      <c r="E598" s="16" t="n">
        <f aca="false">IF('Boletins Nuppa Site'!H598&lt;&gt;0,'Boletins Nuppa Site'!H598,"NULL")</f>
        <v>20</v>
      </c>
      <c r="F598" s="16" t="n">
        <f aca="false">IF('Boletins Nuppa Site'!I598&lt;&gt;0,'Boletins Nuppa Site'!I598,"NULL")</f>
        <v>33</v>
      </c>
      <c r="G598" s="1" t="str">
        <f aca="false">IF('Boletins Nuppa Site'!J598&lt;&gt;0,'Boletins Nuppa Site'!J598,"NULL")</f>
        <v>25.67</v>
      </c>
      <c r="H598" s="16" t="n">
        <f aca="false">IF('Boletins Nuppa Site'!K598&lt;&gt;0,'Boletins Nuppa Site'!K598,"NULL")</f>
        <v>24</v>
      </c>
      <c r="J598" s="1" t="str">
        <f aca="false">"INSERT INTO COTACAO (blt_id, pap_id, cot_prc_comum, cot_prc_min, cot_prc_max, cot_prc_med, cot_prc_mediana) VALUES ("&amp;B598&amp;", "&amp;C598&amp;", "&amp;D598&amp;", "&amp;E598&amp;", "&amp;F598&amp;", "&amp;G598&amp;", "&amp;H598&amp;");"</f>
        <v>INSERT INTO COTACAO (blt_id, pap_id, cot_prc_comum, cot_prc_min, cot_prc_max, cot_prc_med, cot_prc_mediana) VALUES (16, 5, NULL, 20, 33, 25.67, 24);</v>
      </c>
    </row>
    <row r="599" customFormat="false" ht="14.25" hidden="false" customHeight="false" outlineLevel="0" collapsed="false">
      <c r="A599" s="1" t="n">
        <v>598</v>
      </c>
      <c r="B599" s="1" t="n">
        <v>16</v>
      </c>
      <c r="C599" s="1" t="n">
        <v>6</v>
      </c>
      <c r="D599" s="16" t="n">
        <f aca="false">IF('Boletins Nuppa Site'!G599&lt;&gt;0,'Boletins Nuppa Site'!G599,"NULL")</f>
        <v>60</v>
      </c>
      <c r="E599" s="16" t="n">
        <f aca="false">IF('Boletins Nuppa Site'!H599&lt;&gt;0,'Boletins Nuppa Site'!H599,"NULL")</f>
        <v>60</v>
      </c>
      <c r="F599" s="16" t="n">
        <f aca="false">IF('Boletins Nuppa Site'!I599&lt;&gt;0,'Boletins Nuppa Site'!I599,"NULL")</f>
        <v>60</v>
      </c>
      <c r="G599" s="16" t="n">
        <f aca="false">IF('Boletins Nuppa Site'!J599&lt;&gt;0,'Boletins Nuppa Site'!J599,"NULL")</f>
        <v>60</v>
      </c>
      <c r="H599" s="16" t="n">
        <f aca="false">IF('Boletins Nuppa Site'!K599&lt;&gt;0,'Boletins Nuppa Site'!K599,"NULL")</f>
        <v>60</v>
      </c>
      <c r="J599" s="1" t="str">
        <f aca="false">"INSERT INTO COTACAO (blt_id, pap_id, cot_prc_comum, cot_prc_min, cot_prc_max, cot_prc_med, cot_prc_mediana) VALUES ("&amp;B599&amp;", "&amp;C599&amp;", "&amp;D599&amp;", "&amp;E599&amp;", "&amp;F599&amp;", "&amp;G599&amp;", "&amp;H599&amp;");"</f>
        <v>INSERT INTO COTACAO (blt_id, pap_id, cot_prc_comum, cot_prc_min, cot_prc_max, cot_prc_med, cot_prc_mediana) VALUES (16, 6, 60, 60, 60, 60, 60);</v>
      </c>
    </row>
    <row r="600" customFormat="false" ht="14.25" hidden="false" customHeight="false" outlineLevel="0" collapsed="false">
      <c r="A600" s="1" t="n">
        <v>599</v>
      </c>
      <c r="B600" s="1" t="n">
        <v>16</v>
      </c>
      <c r="C600" s="1" t="n">
        <v>7</v>
      </c>
      <c r="D600" s="16" t="n">
        <f aca="false">IF('Boletins Nuppa Site'!G600&lt;&gt;0,'Boletins Nuppa Site'!G600,"NULL")</f>
        <v>72</v>
      </c>
      <c r="E600" s="16" t="n">
        <f aca="false">IF('Boletins Nuppa Site'!H600&lt;&gt;0,'Boletins Nuppa Site'!H600,"NULL")</f>
        <v>72</v>
      </c>
      <c r="F600" s="16" t="n">
        <f aca="false">IF('Boletins Nuppa Site'!I600&lt;&gt;0,'Boletins Nuppa Site'!I600,"NULL")</f>
        <v>84</v>
      </c>
      <c r="G600" s="16" t="n">
        <f aca="false">IF('Boletins Nuppa Site'!J600&lt;&gt;0,'Boletins Nuppa Site'!J600,"NULL")</f>
        <v>76</v>
      </c>
      <c r="H600" s="16" t="n">
        <f aca="false">IF('Boletins Nuppa Site'!K600&lt;&gt;0,'Boletins Nuppa Site'!K600,"NULL")</f>
        <v>72</v>
      </c>
      <c r="J600" s="1" t="str">
        <f aca="false">"INSERT INTO COTACAO (blt_id, pap_id, cot_prc_comum, cot_prc_min, cot_prc_max, cot_prc_med, cot_prc_mediana) VALUES ("&amp;B600&amp;", "&amp;C600&amp;", "&amp;D600&amp;", "&amp;E600&amp;", "&amp;F600&amp;", "&amp;G600&amp;", "&amp;H600&amp;");"</f>
        <v>INSERT INTO COTACAO (blt_id, pap_id, cot_prc_comum, cot_prc_min, cot_prc_max, cot_prc_med, cot_prc_mediana) VALUES (16, 7, 72, 72, 84, 76, 72);</v>
      </c>
    </row>
    <row r="601" customFormat="false" ht="14.25" hidden="false" customHeight="false" outlineLevel="0" collapsed="false">
      <c r="A601" s="1" t="n">
        <v>600</v>
      </c>
      <c r="B601" s="1" t="n">
        <v>16</v>
      </c>
      <c r="C601" s="1" t="n">
        <v>8</v>
      </c>
      <c r="D601" s="1" t="str">
        <f aca="false">IF('Boletins Nuppa Site'!G601&lt;&gt;0,'Boletins Nuppa Site'!G601,"NULL")</f>
        <v>NULL</v>
      </c>
      <c r="E601" s="16" t="n">
        <f aca="false">IF('Boletins Nuppa Site'!H601&lt;&gt;0,'Boletins Nuppa Site'!H601,"NULL")</f>
        <v>84</v>
      </c>
      <c r="F601" s="16" t="n">
        <f aca="false">IF('Boletins Nuppa Site'!I601&lt;&gt;0,'Boletins Nuppa Site'!I601,"NULL")</f>
        <v>96</v>
      </c>
      <c r="G601" s="1" t="str">
        <f aca="false">IF('Boletins Nuppa Site'!J601&lt;&gt;0,'Boletins Nuppa Site'!J601,"NULL")</f>
        <v>91.67</v>
      </c>
      <c r="H601" s="16" t="n">
        <f aca="false">IF('Boletins Nuppa Site'!K601&lt;&gt;0,'Boletins Nuppa Site'!K601,"NULL")</f>
        <v>95</v>
      </c>
      <c r="J601" s="1" t="str">
        <f aca="false">"INSERT INTO COTACAO (blt_id, pap_id, cot_prc_comum, cot_prc_min, cot_prc_max, cot_prc_med, cot_prc_mediana) VALUES ("&amp;B601&amp;", "&amp;C601&amp;", "&amp;D601&amp;", "&amp;E601&amp;", "&amp;F601&amp;", "&amp;G601&amp;", "&amp;H601&amp;");"</f>
        <v>INSERT INTO COTACAO (blt_id, pap_id, cot_prc_comum, cot_prc_min, cot_prc_max, cot_prc_med, cot_prc_mediana) VALUES (16, 8, NULL, 84, 96, 91.67, 95);</v>
      </c>
    </row>
    <row r="602" customFormat="false" ht="14.25" hidden="false" customHeight="false" outlineLevel="0" collapsed="false">
      <c r="A602" s="1" t="n">
        <v>601</v>
      </c>
      <c r="B602" s="1" t="n">
        <v>16</v>
      </c>
      <c r="C602" s="1" t="n">
        <v>9</v>
      </c>
      <c r="D602" s="16" t="n">
        <f aca="false">IF('Boletins Nuppa Site'!G602&lt;&gt;0,'Boletins Nuppa Site'!G602,"NULL")</f>
        <v>24</v>
      </c>
      <c r="E602" s="16" t="n">
        <f aca="false">IF('Boletins Nuppa Site'!H602&lt;&gt;0,'Boletins Nuppa Site'!H602,"NULL")</f>
        <v>6</v>
      </c>
      <c r="F602" s="16" t="n">
        <f aca="false">IF('Boletins Nuppa Site'!I602&lt;&gt;0,'Boletins Nuppa Site'!I602,"NULL")</f>
        <v>30</v>
      </c>
      <c r="G602" s="16" t="n">
        <f aca="false">IF('Boletins Nuppa Site'!J602&lt;&gt;0,'Boletins Nuppa Site'!J602,"NULL")</f>
        <v>21</v>
      </c>
      <c r="H602" s="16" t="n">
        <f aca="false">IF('Boletins Nuppa Site'!K602&lt;&gt;0,'Boletins Nuppa Site'!K602,"NULL")</f>
        <v>24</v>
      </c>
      <c r="J602" s="1" t="str">
        <f aca="false">"INSERT INTO COTACAO (blt_id, pap_id, cot_prc_comum, cot_prc_min, cot_prc_max, cot_prc_med, cot_prc_mediana) VALUES ("&amp;B602&amp;", "&amp;C602&amp;", "&amp;D602&amp;", "&amp;E602&amp;", "&amp;F602&amp;", "&amp;G602&amp;", "&amp;H602&amp;");"</f>
        <v>INSERT INTO COTACAO (blt_id, pap_id, cot_prc_comum, cot_prc_min, cot_prc_max, cot_prc_med, cot_prc_mediana) VALUES (16, 9, 24, 6, 30, 21, 24);</v>
      </c>
    </row>
    <row r="603" customFormat="false" ht="14.25" hidden="false" customHeight="false" outlineLevel="0" collapsed="false">
      <c r="A603" s="1" t="n">
        <v>602</v>
      </c>
      <c r="B603" s="1" t="n">
        <v>16</v>
      </c>
      <c r="C603" s="1" t="n">
        <v>10</v>
      </c>
      <c r="D603" s="16" t="n">
        <f aca="false">IF('Boletins Nuppa Site'!G603&lt;&gt;0,'Boletins Nuppa Site'!G603,"NULL")</f>
        <v>96</v>
      </c>
      <c r="E603" s="16" t="n">
        <f aca="false">IF('Boletins Nuppa Site'!H603&lt;&gt;0,'Boletins Nuppa Site'!H603,"NULL")</f>
        <v>90</v>
      </c>
      <c r="F603" s="16" t="n">
        <f aca="false">IF('Boletins Nuppa Site'!I603&lt;&gt;0,'Boletins Nuppa Site'!I603,"NULL")</f>
        <v>96</v>
      </c>
      <c r="G603" s="16" t="n">
        <f aca="false">IF('Boletins Nuppa Site'!J603&lt;&gt;0,'Boletins Nuppa Site'!J603,"NULL")</f>
        <v>94</v>
      </c>
      <c r="H603" s="16" t="n">
        <f aca="false">IF('Boletins Nuppa Site'!K603&lt;&gt;0,'Boletins Nuppa Site'!K603,"NULL")</f>
        <v>96</v>
      </c>
      <c r="J603" s="1" t="str">
        <f aca="false">"INSERT INTO COTACAO (blt_id, pap_id, cot_prc_comum, cot_prc_min, cot_prc_max, cot_prc_med, cot_prc_mediana) VALUES ("&amp;B603&amp;", "&amp;C603&amp;", "&amp;D603&amp;", "&amp;E603&amp;", "&amp;F603&amp;", "&amp;G603&amp;", "&amp;H603&amp;");"</f>
        <v>INSERT INTO COTACAO (blt_id, pap_id, cot_prc_comum, cot_prc_min, cot_prc_max, cot_prc_med, cot_prc_mediana) VALUES (16, 10, 96, 90, 96, 94, 96);</v>
      </c>
    </row>
    <row r="604" customFormat="false" ht="14.25" hidden="false" customHeight="false" outlineLevel="0" collapsed="false">
      <c r="A604" s="1" t="n">
        <v>603</v>
      </c>
      <c r="B604" s="1" t="n">
        <v>16</v>
      </c>
      <c r="C604" s="1" t="n">
        <v>11</v>
      </c>
      <c r="D604" s="1" t="str">
        <f aca="false">IF('Boletins Nuppa Site'!G604&lt;&gt;0,'Boletins Nuppa Site'!G604,"NULL")</f>
        <v>NULL</v>
      </c>
      <c r="E604" s="16" t="n">
        <f aca="false">IF('Boletins Nuppa Site'!H604&lt;&gt;0,'Boletins Nuppa Site'!H604,"NULL")</f>
        <v>20</v>
      </c>
      <c r="F604" s="16" t="n">
        <f aca="false">IF('Boletins Nuppa Site'!I604&lt;&gt;0,'Boletins Nuppa Site'!I604,"NULL")</f>
        <v>33</v>
      </c>
      <c r="G604" s="1" t="str">
        <f aca="false">IF('Boletins Nuppa Site'!J604&lt;&gt;0,'Boletins Nuppa Site'!J604,"NULL")</f>
        <v>27.67</v>
      </c>
      <c r="H604" s="16" t="n">
        <f aca="false">IF('Boletins Nuppa Site'!K604&lt;&gt;0,'Boletins Nuppa Site'!K604,"NULL")</f>
        <v>30</v>
      </c>
      <c r="J604" s="1" t="str">
        <f aca="false">"INSERT INTO COTACAO (blt_id, pap_id, cot_prc_comum, cot_prc_min, cot_prc_max, cot_prc_med, cot_prc_mediana) VALUES ("&amp;B604&amp;", "&amp;C604&amp;", "&amp;D604&amp;", "&amp;E604&amp;", "&amp;F604&amp;", "&amp;G604&amp;", "&amp;H604&amp;");"</f>
        <v>INSERT INTO COTACAO (blt_id, pap_id, cot_prc_comum, cot_prc_min, cot_prc_max, cot_prc_med, cot_prc_mediana) VALUES (16, 11, NULL, 20, 33, 27.67, 30);</v>
      </c>
    </row>
    <row r="605" customFormat="false" ht="14.25" hidden="false" customHeight="false" outlineLevel="0" collapsed="false">
      <c r="A605" s="1" t="n">
        <v>604</v>
      </c>
      <c r="B605" s="1" t="n">
        <v>16</v>
      </c>
      <c r="C605" s="1" t="n">
        <v>12</v>
      </c>
      <c r="D605" s="16" t="n">
        <f aca="false">IF('Boletins Nuppa Site'!G605&lt;&gt;0,'Boletins Nuppa Site'!G605,"NULL")</f>
        <v>78</v>
      </c>
      <c r="E605" s="16" t="n">
        <f aca="false">IF('Boletins Nuppa Site'!H605&lt;&gt;0,'Boletins Nuppa Site'!H605,"NULL")</f>
        <v>78</v>
      </c>
      <c r="F605" s="16" t="n">
        <f aca="false">IF('Boletins Nuppa Site'!I605&lt;&gt;0,'Boletins Nuppa Site'!I605,"NULL")</f>
        <v>84</v>
      </c>
      <c r="G605" s="16" t="n">
        <f aca="false">IF('Boletins Nuppa Site'!J605&lt;&gt;0,'Boletins Nuppa Site'!J605,"NULL")</f>
        <v>80</v>
      </c>
      <c r="H605" s="16" t="n">
        <f aca="false">IF('Boletins Nuppa Site'!K605&lt;&gt;0,'Boletins Nuppa Site'!K605,"NULL")</f>
        <v>78</v>
      </c>
      <c r="J605" s="1" t="str">
        <f aca="false">"INSERT INTO COTACAO (blt_id, pap_id, cot_prc_comum, cot_prc_min, cot_prc_max, cot_prc_med, cot_prc_mediana) VALUES ("&amp;B605&amp;", "&amp;C605&amp;", "&amp;D605&amp;", "&amp;E605&amp;", "&amp;F605&amp;", "&amp;G605&amp;", "&amp;H605&amp;");"</f>
        <v>INSERT INTO COTACAO (blt_id, pap_id, cot_prc_comum, cot_prc_min, cot_prc_max, cot_prc_med, cot_prc_mediana) VALUES (16, 12, 78, 78, 84, 80, 78);</v>
      </c>
    </row>
    <row r="606" customFormat="false" ht="14.25" hidden="false" customHeight="false" outlineLevel="0" collapsed="false">
      <c r="A606" s="1" t="n">
        <v>605</v>
      </c>
      <c r="B606" s="1" t="n">
        <v>16</v>
      </c>
      <c r="C606" s="1" t="n">
        <v>13</v>
      </c>
      <c r="D606" s="16" t="n">
        <f aca="false">IF('Boletins Nuppa Site'!G606&lt;&gt;0,'Boletins Nuppa Site'!G606,"NULL")</f>
        <v>72</v>
      </c>
      <c r="E606" s="16" t="n">
        <f aca="false">IF('Boletins Nuppa Site'!H606&lt;&gt;0,'Boletins Nuppa Site'!H606,"NULL")</f>
        <v>72</v>
      </c>
      <c r="F606" s="16" t="n">
        <f aca="false">IF('Boletins Nuppa Site'!I606&lt;&gt;0,'Boletins Nuppa Site'!I606,"NULL")</f>
        <v>78</v>
      </c>
      <c r="G606" s="16" t="n">
        <f aca="false">IF('Boletins Nuppa Site'!J606&lt;&gt;0,'Boletins Nuppa Site'!J606,"NULL")</f>
        <v>74</v>
      </c>
      <c r="H606" s="16" t="n">
        <f aca="false">IF('Boletins Nuppa Site'!K606&lt;&gt;0,'Boletins Nuppa Site'!K606,"NULL")</f>
        <v>72</v>
      </c>
      <c r="J606" s="1" t="str">
        <f aca="false">"INSERT INTO COTACAO (blt_id, pap_id, cot_prc_comum, cot_prc_min, cot_prc_max, cot_prc_med, cot_prc_mediana) VALUES ("&amp;B606&amp;", "&amp;C606&amp;", "&amp;D606&amp;", "&amp;E606&amp;", "&amp;F606&amp;", "&amp;G606&amp;", "&amp;H606&amp;");"</f>
        <v>INSERT INTO COTACAO (blt_id, pap_id, cot_prc_comum, cot_prc_min, cot_prc_max, cot_prc_med, cot_prc_mediana) VALUES (16, 13, 72, 72, 78, 74, 72);</v>
      </c>
    </row>
    <row r="607" customFormat="false" ht="14.25" hidden="false" customHeight="false" outlineLevel="0" collapsed="false">
      <c r="A607" s="1" t="n">
        <v>606</v>
      </c>
      <c r="B607" s="1" t="n">
        <v>16</v>
      </c>
      <c r="C607" s="1" t="n">
        <v>14</v>
      </c>
      <c r="D607" s="1" t="str">
        <f aca="false">IF('Boletins Nuppa Site'!G607&lt;&gt;0,'Boletins Nuppa Site'!G607,"NULL")</f>
        <v>NULL</v>
      </c>
      <c r="E607" s="16" t="n">
        <f aca="false">IF('Boletins Nuppa Site'!H607&lt;&gt;0,'Boletins Nuppa Site'!H607,"NULL")</f>
        <v>55</v>
      </c>
      <c r="F607" s="16" t="n">
        <f aca="false">IF('Boletins Nuppa Site'!I607&lt;&gt;0,'Boletins Nuppa Site'!I607,"NULL")</f>
        <v>86</v>
      </c>
      <c r="G607" s="16" t="n">
        <f aca="false">IF('Boletins Nuppa Site'!J607&lt;&gt;0,'Boletins Nuppa Site'!J607,"NULL")</f>
        <v>75</v>
      </c>
      <c r="H607" s="16" t="n">
        <f aca="false">IF('Boletins Nuppa Site'!K607&lt;&gt;0,'Boletins Nuppa Site'!K607,"NULL")</f>
        <v>84</v>
      </c>
      <c r="J607" s="1" t="str">
        <f aca="false">"INSERT INTO COTACAO (blt_id, pap_id, cot_prc_comum, cot_prc_min, cot_prc_max, cot_prc_med, cot_prc_mediana) VALUES ("&amp;B607&amp;", "&amp;C607&amp;", "&amp;D607&amp;", "&amp;E607&amp;", "&amp;F607&amp;", "&amp;G607&amp;", "&amp;H607&amp;");"</f>
        <v>INSERT INTO COTACAO (blt_id, pap_id, cot_prc_comum, cot_prc_min, cot_prc_max, cot_prc_med, cot_prc_mediana) VALUES (16, 14, NULL, 55, 86, 75, 84);</v>
      </c>
    </row>
    <row r="608" customFormat="false" ht="14.25" hidden="false" customHeight="false" outlineLevel="0" collapsed="false">
      <c r="A608" s="1" t="n">
        <v>607</v>
      </c>
      <c r="B608" s="1" t="n">
        <v>16</v>
      </c>
      <c r="C608" s="1" t="n">
        <v>15</v>
      </c>
      <c r="D608" s="16" t="n">
        <f aca="false">IF('Boletins Nuppa Site'!G608&lt;&gt;0,'Boletins Nuppa Site'!G608,"NULL")</f>
        <v>60</v>
      </c>
      <c r="E608" s="16" t="n">
        <f aca="false">IF('Boletins Nuppa Site'!H608&lt;&gt;0,'Boletins Nuppa Site'!H608,"NULL")</f>
        <v>50</v>
      </c>
      <c r="F608" s="16" t="n">
        <f aca="false">IF('Boletins Nuppa Site'!I608&lt;&gt;0,'Boletins Nuppa Site'!I608,"NULL")</f>
        <v>72</v>
      </c>
      <c r="G608" s="1" t="str">
        <f aca="false">IF('Boletins Nuppa Site'!J608&lt;&gt;0,'Boletins Nuppa Site'!J608,"NULL")</f>
        <v>60.5</v>
      </c>
      <c r="H608" s="16" t="n">
        <f aca="false">IF('Boletins Nuppa Site'!K608&lt;&gt;0,'Boletins Nuppa Site'!K608,"NULL")</f>
        <v>60</v>
      </c>
      <c r="J608" s="1" t="str">
        <f aca="false">"INSERT INTO COTACAO (blt_id, pap_id, cot_prc_comum, cot_prc_min, cot_prc_max, cot_prc_med, cot_prc_mediana) VALUES ("&amp;B608&amp;", "&amp;C608&amp;", "&amp;D608&amp;", "&amp;E608&amp;", "&amp;F608&amp;", "&amp;G608&amp;", "&amp;H608&amp;");"</f>
        <v>INSERT INTO COTACAO (blt_id, pap_id, cot_prc_comum, cot_prc_min, cot_prc_max, cot_prc_med, cot_prc_mediana) VALUES (16, 15, 60, 50, 72, 60.5, 60);</v>
      </c>
    </row>
    <row r="609" customFormat="false" ht="14.25" hidden="false" customHeight="false" outlineLevel="0" collapsed="false">
      <c r="A609" s="1" t="n">
        <v>608</v>
      </c>
      <c r="B609" s="1" t="n">
        <v>16</v>
      </c>
      <c r="C609" s="1" t="n">
        <v>16</v>
      </c>
      <c r="D609" s="16" t="n">
        <f aca="false">IF('Boletins Nuppa Site'!G609&lt;&gt;0,'Boletins Nuppa Site'!G609,"NULL")</f>
        <v>54</v>
      </c>
      <c r="E609" s="16" t="n">
        <f aca="false">IF('Boletins Nuppa Site'!H609&lt;&gt;0,'Boletins Nuppa Site'!H609,"NULL")</f>
        <v>48</v>
      </c>
      <c r="F609" s="16" t="n">
        <f aca="false">IF('Boletins Nuppa Site'!I609&lt;&gt;0,'Boletins Nuppa Site'!I609,"NULL")</f>
        <v>54</v>
      </c>
      <c r="G609" s="16" t="n">
        <f aca="false">IF('Boletins Nuppa Site'!J609&lt;&gt;0,'Boletins Nuppa Site'!J609,"NULL")</f>
        <v>52</v>
      </c>
      <c r="H609" s="16" t="n">
        <f aca="false">IF('Boletins Nuppa Site'!K609&lt;&gt;0,'Boletins Nuppa Site'!K609,"NULL")</f>
        <v>54</v>
      </c>
      <c r="J609" s="1" t="str">
        <f aca="false">"INSERT INTO COTACAO (blt_id, pap_id, cot_prc_comum, cot_prc_min, cot_prc_max, cot_prc_med, cot_prc_mediana) VALUES ("&amp;B609&amp;", "&amp;C609&amp;", "&amp;D609&amp;", "&amp;E609&amp;", "&amp;F609&amp;", "&amp;G609&amp;", "&amp;H609&amp;");"</f>
        <v>INSERT INTO COTACAO (blt_id, pap_id, cot_prc_comum, cot_prc_min, cot_prc_max, cot_prc_med, cot_prc_mediana) VALUES (16, 16, 54, 48, 54, 52, 54);</v>
      </c>
    </row>
    <row r="610" customFormat="false" ht="14.25" hidden="false" customHeight="false" outlineLevel="0" collapsed="false">
      <c r="A610" s="1" t="n">
        <v>609</v>
      </c>
      <c r="B610" s="1" t="n">
        <v>16</v>
      </c>
      <c r="C610" s="1" t="n">
        <v>17</v>
      </c>
      <c r="D610" s="16" t="n">
        <f aca="false">IF('Boletins Nuppa Site'!G610&lt;&gt;0,'Boletins Nuppa Site'!G610,"NULL")</f>
        <v>5</v>
      </c>
      <c r="E610" s="16" t="n">
        <f aca="false">IF('Boletins Nuppa Site'!H610&lt;&gt;0,'Boletins Nuppa Site'!H610,"NULL")</f>
        <v>5</v>
      </c>
      <c r="F610" s="16" t="n">
        <f aca="false">IF('Boletins Nuppa Site'!I610&lt;&gt;0,'Boletins Nuppa Site'!I610,"NULL")</f>
        <v>5</v>
      </c>
      <c r="G610" s="16" t="n">
        <f aca="false">IF('Boletins Nuppa Site'!J610&lt;&gt;0,'Boletins Nuppa Site'!J610,"NULL")</f>
        <v>5</v>
      </c>
      <c r="H610" s="16" t="n">
        <f aca="false">IF('Boletins Nuppa Site'!K610&lt;&gt;0,'Boletins Nuppa Site'!K610,"NULL")</f>
        <v>5</v>
      </c>
      <c r="J610" s="1" t="str">
        <f aca="false">"INSERT INTO COTACAO (blt_id, pap_id, cot_prc_comum, cot_prc_min, cot_prc_max, cot_prc_med, cot_prc_mediana) VALUES ("&amp;B610&amp;", "&amp;C610&amp;", "&amp;D610&amp;", "&amp;E610&amp;", "&amp;F610&amp;", "&amp;G610&amp;", "&amp;H610&amp;");"</f>
        <v>INSERT INTO COTACAO (blt_id, pap_id, cot_prc_comum, cot_prc_min, cot_prc_max, cot_prc_med, cot_prc_mediana) VALUES (16, 17, 5, 5, 5, 5, 5);</v>
      </c>
    </row>
    <row r="611" customFormat="false" ht="14.25" hidden="false" customHeight="false" outlineLevel="0" collapsed="false">
      <c r="A611" s="1" t="n">
        <v>610</v>
      </c>
      <c r="B611" s="1" t="n">
        <v>16</v>
      </c>
      <c r="C611" s="1" t="n">
        <v>18</v>
      </c>
      <c r="D611" s="16" t="n">
        <f aca="false">IF('Boletins Nuppa Site'!G611&lt;&gt;0,'Boletins Nuppa Site'!G611,"NULL")</f>
        <v>25</v>
      </c>
      <c r="E611" s="16" t="n">
        <f aca="false">IF('Boletins Nuppa Site'!H611&lt;&gt;0,'Boletins Nuppa Site'!H611,"NULL")</f>
        <v>25</v>
      </c>
      <c r="F611" s="16" t="n">
        <f aca="false">IF('Boletins Nuppa Site'!I611&lt;&gt;0,'Boletins Nuppa Site'!I611,"NULL")</f>
        <v>28</v>
      </c>
      <c r="G611" s="16" t="n">
        <f aca="false">IF('Boletins Nuppa Site'!J611&lt;&gt;0,'Boletins Nuppa Site'!J611,"NULL")</f>
        <v>26</v>
      </c>
      <c r="H611" s="16" t="n">
        <f aca="false">IF('Boletins Nuppa Site'!K611&lt;&gt;0,'Boletins Nuppa Site'!K611,"NULL")</f>
        <v>25</v>
      </c>
      <c r="J611" s="1" t="str">
        <f aca="false">"INSERT INTO COTACAO (blt_id, pap_id, cot_prc_comum, cot_prc_min, cot_prc_max, cot_prc_med, cot_prc_mediana) VALUES ("&amp;B611&amp;", "&amp;C611&amp;", "&amp;D611&amp;", "&amp;E611&amp;", "&amp;F611&amp;", "&amp;G611&amp;", "&amp;H611&amp;");"</f>
        <v>INSERT INTO COTACAO (blt_id, pap_id, cot_prc_comum, cot_prc_min, cot_prc_max, cot_prc_med, cot_prc_mediana) VALUES (16, 18, 25, 25, 28, 26, 25);</v>
      </c>
    </row>
    <row r="612" customFormat="false" ht="14.25" hidden="false" customHeight="false" outlineLevel="0" collapsed="false">
      <c r="A612" s="1" t="n">
        <v>611</v>
      </c>
      <c r="B612" s="1" t="n">
        <v>16</v>
      </c>
      <c r="C612" s="1" t="n">
        <v>19</v>
      </c>
      <c r="D612" s="16" t="n">
        <f aca="false">IF('Boletins Nuppa Site'!G612&lt;&gt;0,'Boletins Nuppa Site'!G612,"NULL")</f>
        <v>30</v>
      </c>
      <c r="E612" s="16" t="n">
        <f aca="false">IF('Boletins Nuppa Site'!H612&lt;&gt;0,'Boletins Nuppa Site'!H612,"NULL")</f>
        <v>30</v>
      </c>
      <c r="F612" s="16" t="n">
        <f aca="false">IF('Boletins Nuppa Site'!I612&lt;&gt;0,'Boletins Nuppa Site'!I612,"NULL")</f>
        <v>35</v>
      </c>
      <c r="G612" s="1" t="str">
        <f aca="false">IF('Boletins Nuppa Site'!J612&lt;&gt;0,'Boletins Nuppa Site'!J612,"NULL")</f>
        <v>31.67</v>
      </c>
      <c r="H612" s="16" t="n">
        <f aca="false">IF('Boletins Nuppa Site'!K612&lt;&gt;0,'Boletins Nuppa Site'!K612,"NULL")</f>
        <v>30</v>
      </c>
      <c r="J612" s="1" t="str">
        <f aca="false">"INSERT INTO COTACAO (blt_id, pap_id, cot_prc_comum, cot_prc_min, cot_prc_max, cot_prc_med, cot_prc_mediana) VALUES ("&amp;B612&amp;", "&amp;C612&amp;", "&amp;D612&amp;", "&amp;E612&amp;", "&amp;F612&amp;", "&amp;G612&amp;", "&amp;H612&amp;");"</f>
        <v>INSERT INTO COTACAO (blt_id, pap_id, cot_prc_comum, cot_prc_min, cot_prc_max, cot_prc_med, cot_prc_mediana) VALUES (16, 19, 30, 30, 35, 31.67, 30);</v>
      </c>
    </row>
    <row r="613" customFormat="false" ht="14.25" hidden="false" customHeight="false" outlineLevel="0" collapsed="false">
      <c r="A613" s="1" t="n">
        <v>612</v>
      </c>
      <c r="B613" s="1" t="n">
        <v>16</v>
      </c>
      <c r="C613" s="1" t="n">
        <v>20</v>
      </c>
      <c r="D613" s="1" t="str">
        <f aca="false">IF('Boletins Nuppa Site'!G613&lt;&gt;0,'Boletins Nuppa Site'!G613,"NULL")</f>
        <v>NULL</v>
      </c>
      <c r="E613" s="16" t="n">
        <f aca="false">IF('Boletins Nuppa Site'!H613&lt;&gt;0,'Boletins Nuppa Site'!H613,"NULL")</f>
        <v>85</v>
      </c>
      <c r="F613" s="16" t="n">
        <f aca="false">IF('Boletins Nuppa Site'!I613&lt;&gt;0,'Boletins Nuppa Site'!I613,"NULL")</f>
        <v>90</v>
      </c>
      <c r="G613" s="1" t="str">
        <f aca="false">IF('Boletins Nuppa Site'!J613&lt;&gt;0,'Boletins Nuppa Site'!J613,"NULL")</f>
        <v>87.5</v>
      </c>
      <c r="H613" s="1" t="str">
        <f aca="false">IF('Boletins Nuppa Site'!K613&lt;&gt;0,'Boletins Nuppa Site'!K613,"NULL")</f>
        <v>87.5</v>
      </c>
      <c r="J613" s="1" t="str">
        <f aca="false">"INSERT INTO COTACAO (blt_id, pap_id, cot_prc_comum, cot_prc_min, cot_prc_max, cot_prc_med, cot_prc_mediana) VALUES ("&amp;B613&amp;", "&amp;C613&amp;", "&amp;D613&amp;", "&amp;E613&amp;", "&amp;F613&amp;", "&amp;G613&amp;", "&amp;H613&amp;");"</f>
        <v>INSERT INTO COTACAO (blt_id, pap_id, cot_prc_comum, cot_prc_min, cot_prc_max, cot_prc_med, cot_prc_mediana) VALUES (16, 20, NULL, 85, 90, 87.5, 87.5);</v>
      </c>
    </row>
    <row r="614" customFormat="false" ht="14.25" hidden="false" customHeight="false" outlineLevel="0" collapsed="false">
      <c r="A614" s="1" t="n">
        <v>613</v>
      </c>
      <c r="B614" s="1" t="n">
        <v>16</v>
      </c>
      <c r="C614" s="1" t="n">
        <v>21</v>
      </c>
      <c r="D614" s="16" t="n">
        <f aca="false">IF('Boletins Nuppa Site'!G614&lt;&gt;0,'Boletins Nuppa Site'!G614,"NULL")</f>
        <v>50</v>
      </c>
      <c r="E614" s="16" t="n">
        <f aca="false">IF('Boletins Nuppa Site'!H614&lt;&gt;0,'Boletins Nuppa Site'!H614,"NULL")</f>
        <v>50</v>
      </c>
      <c r="F614" s="16" t="n">
        <f aca="false">IF('Boletins Nuppa Site'!I614&lt;&gt;0,'Boletins Nuppa Site'!I614,"NULL")</f>
        <v>80</v>
      </c>
      <c r="G614" s="16" t="n">
        <f aca="false">IF('Boletins Nuppa Site'!J614&lt;&gt;0,'Boletins Nuppa Site'!J614,"NULL")</f>
        <v>60</v>
      </c>
      <c r="H614" s="16" t="n">
        <f aca="false">IF('Boletins Nuppa Site'!K614&lt;&gt;0,'Boletins Nuppa Site'!K614,"NULL")</f>
        <v>55</v>
      </c>
      <c r="J614" s="1" t="str">
        <f aca="false">"INSERT INTO COTACAO (blt_id, pap_id, cot_prc_comum, cot_prc_min, cot_prc_max, cot_prc_med, cot_prc_mediana) VALUES ("&amp;B614&amp;", "&amp;C614&amp;", "&amp;D614&amp;", "&amp;E614&amp;", "&amp;F614&amp;", "&amp;G614&amp;", "&amp;H614&amp;");"</f>
        <v>INSERT INTO COTACAO (blt_id, pap_id, cot_prc_comum, cot_prc_min, cot_prc_max, cot_prc_med, cot_prc_mediana) VALUES (16, 21, 50, 50, 80, 60, 55);</v>
      </c>
    </row>
    <row r="615" customFormat="false" ht="14.25" hidden="false" customHeight="false" outlineLevel="0" collapsed="false">
      <c r="A615" s="1" t="n">
        <v>614</v>
      </c>
      <c r="B615" s="1" t="n">
        <v>16</v>
      </c>
      <c r="C615" s="1" t="n">
        <v>22</v>
      </c>
      <c r="D615" s="16" t="n">
        <f aca="false">IF('Boletins Nuppa Site'!G615&lt;&gt;0,'Boletins Nuppa Site'!G615,"NULL")</f>
        <v>70</v>
      </c>
      <c r="E615" s="16" t="n">
        <f aca="false">IF('Boletins Nuppa Site'!H615&lt;&gt;0,'Boletins Nuppa Site'!H615,"NULL")</f>
        <v>45</v>
      </c>
      <c r="F615" s="16" t="n">
        <f aca="false">IF('Boletins Nuppa Site'!I615&lt;&gt;0,'Boletins Nuppa Site'!I615,"NULL")</f>
        <v>70</v>
      </c>
      <c r="G615" s="1" t="str">
        <f aca="false">IF('Boletins Nuppa Site'!J615&lt;&gt;0,'Boletins Nuppa Site'!J615,"NULL")</f>
        <v>58.75</v>
      </c>
      <c r="H615" s="16" t="n">
        <f aca="false">IF('Boletins Nuppa Site'!K615&lt;&gt;0,'Boletins Nuppa Site'!K615,"NULL")</f>
        <v>60</v>
      </c>
      <c r="J615" s="1" t="str">
        <f aca="false">"INSERT INTO COTACAO (blt_id, pap_id, cot_prc_comum, cot_prc_min, cot_prc_max, cot_prc_med, cot_prc_mediana) VALUES ("&amp;B615&amp;", "&amp;C615&amp;", "&amp;D615&amp;", "&amp;E615&amp;", "&amp;F615&amp;", "&amp;G615&amp;", "&amp;H615&amp;");"</f>
        <v>INSERT INTO COTACAO (blt_id, pap_id, cot_prc_comum, cot_prc_min, cot_prc_max, cot_prc_med, cot_prc_mediana) VALUES (16, 22, 70, 45, 70, 58.75, 60);</v>
      </c>
    </row>
    <row r="616" customFormat="false" ht="14.25" hidden="false" customHeight="false" outlineLevel="0" collapsed="false">
      <c r="A616" s="1" t="n">
        <v>615</v>
      </c>
      <c r="B616" s="1" t="n">
        <v>16</v>
      </c>
      <c r="C616" s="1" t="n">
        <v>23</v>
      </c>
      <c r="D616" s="1" t="str">
        <f aca="false">IF('Boletins Nuppa Site'!G616&lt;&gt;0,'Boletins Nuppa Site'!G616,"NULL")</f>
        <v>NULL</v>
      </c>
      <c r="E616" s="16" t="n">
        <f aca="false">IF('Boletins Nuppa Site'!H616&lt;&gt;0,'Boletins Nuppa Site'!H616,"NULL")</f>
        <v>35</v>
      </c>
      <c r="F616" s="16" t="n">
        <f aca="false">IF('Boletins Nuppa Site'!I616&lt;&gt;0,'Boletins Nuppa Site'!I616,"NULL")</f>
        <v>60</v>
      </c>
      <c r="G616" s="1" t="str">
        <f aca="false">IF('Boletins Nuppa Site'!J616&lt;&gt;0,'Boletins Nuppa Site'!J616,"NULL")</f>
        <v>47.5</v>
      </c>
      <c r="H616" s="1" t="str">
        <f aca="false">IF('Boletins Nuppa Site'!K616&lt;&gt;0,'Boletins Nuppa Site'!K616,"NULL")</f>
        <v>47.5</v>
      </c>
      <c r="J616" s="1" t="str">
        <f aca="false">"INSERT INTO COTACAO (blt_id, pap_id, cot_prc_comum, cot_prc_min, cot_prc_max, cot_prc_med, cot_prc_mediana) VALUES ("&amp;B616&amp;", "&amp;C616&amp;", "&amp;D616&amp;", "&amp;E616&amp;", "&amp;F616&amp;", "&amp;G616&amp;", "&amp;H616&amp;");"</f>
        <v>INSERT INTO COTACAO (blt_id, pap_id, cot_prc_comum, cot_prc_min, cot_prc_max, cot_prc_med, cot_prc_mediana) VALUES (16, 23, NULL, 35, 60, 47.5, 47.5);</v>
      </c>
    </row>
    <row r="617" customFormat="false" ht="14.25" hidden="false" customHeight="false" outlineLevel="0" collapsed="false">
      <c r="A617" s="1" t="n">
        <v>616</v>
      </c>
      <c r="B617" s="1" t="n">
        <v>16</v>
      </c>
      <c r="C617" s="1" t="n">
        <v>24</v>
      </c>
      <c r="D617" s="16" t="n">
        <f aca="false">IF('Boletins Nuppa Site'!G617&lt;&gt;0,'Boletins Nuppa Site'!G617,"NULL")</f>
        <v>110</v>
      </c>
      <c r="E617" s="16" t="n">
        <f aca="false">IF('Boletins Nuppa Site'!H617&lt;&gt;0,'Boletins Nuppa Site'!H617,"NULL")</f>
        <v>110</v>
      </c>
      <c r="F617" s="16" t="n">
        <f aca="false">IF('Boletins Nuppa Site'!I617&lt;&gt;0,'Boletins Nuppa Site'!I617,"NULL")</f>
        <v>110</v>
      </c>
      <c r="G617" s="16" t="n">
        <f aca="false">IF('Boletins Nuppa Site'!J617&lt;&gt;0,'Boletins Nuppa Site'!J617,"NULL")</f>
        <v>110</v>
      </c>
      <c r="H617" s="16" t="n">
        <f aca="false">IF('Boletins Nuppa Site'!K617&lt;&gt;0,'Boletins Nuppa Site'!K617,"NULL")</f>
        <v>110</v>
      </c>
      <c r="J617" s="1" t="str">
        <f aca="false">"INSERT INTO COTACAO (blt_id, pap_id, cot_prc_comum, cot_prc_min, cot_prc_max, cot_prc_med, cot_prc_mediana) VALUES ("&amp;B617&amp;", "&amp;C617&amp;", "&amp;D617&amp;", "&amp;E617&amp;", "&amp;F617&amp;", "&amp;G617&amp;", "&amp;H617&amp;");"</f>
        <v>INSERT INTO COTACAO (blt_id, pap_id, cot_prc_comum, cot_prc_min, cot_prc_max, cot_prc_med, cot_prc_mediana) VALUES (16, 24, 110, 110, 110, 110, 110);</v>
      </c>
    </row>
    <row r="618" customFormat="false" ht="14.25" hidden="false" customHeight="false" outlineLevel="0" collapsed="false">
      <c r="A618" s="1" t="n">
        <v>617</v>
      </c>
      <c r="B618" s="1" t="n">
        <v>16</v>
      </c>
      <c r="C618" s="1" t="n">
        <v>25</v>
      </c>
      <c r="D618" s="1" t="str">
        <f aca="false">IF('Boletins Nuppa Site'!G618&lt;&gt;0,'Boletins Nuppa Site'!G618,"NULL")</f>
        <v>NULL</v>
      </c>
      <c r="E618" s="16" t="n">
        <f aca="false">IF('Boletins Nuppa Site'!H618&lt;&gt;0,'Boletins Nuppa Site'!H618,"NULL")</f>
        <v>90</v>
      </c>
      <c r="F618" s="16" t="n">
        <f aca="false">IF('Boletins Nuppa Site'!I618&lt;&gt;0,'Boletins Nuppa Site'!I618,"NULL")</f>
        <v>160</v>
      </c>
      <c r="G618" s="1" t="str">
        <f aca="false">IF('Boletins Nuppa Site'!J618&lt;&gt;0,'Boletins Nuppa Site'!J618,"NULL")</f>
        <v>127.5</v>
      </c>
      <c r="H618" s="16" t="n">
        <f aca="false">IF('Boletins Nuppa Site'!K618&lt;&gt;0,'Boletins Nuppa Site'!K618,"NULL")</f>
        <v>130</v>
      </c>
      <c r="J618" s="1" t="str">
        <f aca="false">"INSERT INTO COTACAO (blt_id, pap_id, cot_prc_comum, cot_prc_min, cot_prc_max, cot_prc_med, cot_prc_mediana) VALUES ("&amp;B618&amp;", "&amp;C618&amp;", "&amp;D618&amp;", "&amp;E618&amp;", "&amp;F618&amp;", "&amp;G618&amp;", "&amp;H618&amp;");"</f>
        <v>INSERT INTO COTACAO (blt_id, pap_id, cot_prc_comum, cot_prc_min, cot_prc_max, cot_prc_med, cot_prc_mediana) VALUES (16, 25, NULL, 90, 160, 127.5, 130);</v>
      </c>
    </row>
    <row r="619" customFormat="false" ht="14.25" hidden="false" customHeight="false" outlineLevel="0" collapsed="false">
      <c r="A619" s="1" t="n">
        <v>618</v>
      </c>
      <c r="B619" s="1" t="n">
        <v>16</v>
      </c>
      <c r="C619" s="1" t="n">
        <v>26</v>
      </c>
      <c r="D619" s="1" t="str">
        <f aca="false">IF('Boletins Nuppa Site'!G619&lt;&gt;0,'Boletins Nuppa Site'!G619,"NULL")</f>
        <v>NULL</v>
      </c>
      <c r="E619" s="16" t="n">
        <f aca="false">IF('Boletins Nuppa Site'!H619&lt;&gt;0,'Boletins Nuppa Site'!H619,"NULL")</f>
        <v>100</v>
      </c>
      <c r="F619" s="16" t="n">
        <f aca="false">IF('Boletins Nuppa Site'!I619&lt;&gt;0,'Boletins Nuppa Site'!I619,"NULL")</f>
        <v>170</v>
      </c>
      <c r="G619" s="1" t="str">
        <f aca="false">IF('Boletins Nuppa Site'!J619&lt;&gt;0,'Boletins Nuppa Site'!J619,"NULL")</f>
        <v>137.5</v>
      </c>
      <c r="H619" s="16" t="n">
        <f aca="false">IF('Boletins Nuppa Site'!K619&lt;&gt;0,'Boletins Nuppa Site'!K619,"NULL")</f>
        <v>140</v>
      </c>
      <c r="J619" s="1" t="str">
        <f aca="false">"INSERT INTO COTACAO (blt_id, pap_id, cot_prc_comum, cot_prc_min, cot_prc_max, cot_prc_med, cot_prc_mediana) VALUES ("&amp;B619&amp;", "&amp;C619&amp;", "&amp;D619&amp;", "&amp;E619&amp;", "&amp;F619&amp;", "&amp;G619&amp;", "&amp;H619&amp;");"</f>
        <v>INSERT INTO COTACAO (blt_id, pap_id, cot_prc_comum, cot_prc_min, cot_prc_max, cot_prc_med, cot_prc_mediana) VALUES (16, 26, NULL, 100, 170, 137.5, 140);</v>
      </c>
    </row>
    <row r="620" customFormat="false" ht="14.25" hidden="false" customHeight="false" outlineLevel="0" collapsed="false">
      <c r="A620" s="1" t="n">
        <v>619</v>
      </c>
      <c r="B620" s="1" t="n">
        <v>16</v>
      </c>
      <c r="C620" s="1" t="n">
        <v>27</v>
      </c>
      <c r="D620" s="16" t="n">
        <f aca="false">IF('Boletins Nuppa Site'!G620&lt;&gt;0,'Boletins Nuppa Site'!G620,"NULL")</f>
        <v>60</v>
      </c>
      <c r="E620" s="16" t="n">
        <f aca="false">IF('Boletins Nuppa Site'!H620&lt;&gt;0,'Boletins Nuppa Site'!H620,"NULL")</f>
        <v>50</v>
      </c>
      <c r="F620" s="16" t="n">
        <f aca="false">IF('Boletins Nuppa Site'!I620&lt;&gt;0,'Boletins Nuppa Site'!I620,"NULL")</f>
        <v>60</v>
      </c>
      <c r="G620" s="1" t="str">
        <f aca="false">IF('Boletins Nuppa Site'!J620&lt;&gt;0,'Boletins Nuppa Site'!J620,"NULL")</f>
        <v>57.5</v>
      </c>
      <c r="H620" s="16" t="n">
        <f aca="false">IF('Boletins Nuppa Site'!K620&lt;&gt;0,'Boletins Nuppa Site'!K620,"NULL")</f>
        <v>60</v>
      </c>
      <c r="J620" s="1" t="str">
        <f aca="false">"INSERT INTO COTACAO (blt_id, pap_id, cot_prc_comum, cot_prc_min, cot_prc_max, cot_prc_med, cot_prc_mediana) VALUES ("&amp;B620&amp;", "&amp;C620&amp;", "&amp;D620&amp;", "&amp;E620&amp;", "&amp;F620&amp;", "&amp;G620&amp;", "&amp;H620&amp;");"</f>
        <v>INSERT INTO COTACAO (blt_id, pap_id, cot_prc_comum, cot_prc_min, cot_prc_max, cot_prc_med, cot_prc_mediana) VALUES (16, 27, 60, 50, 60, 57.5, 60);</v>
      </c>
    </row>
    <row r="621" customFormat="false" ht="14.25" hidden="false" customHeight="false" outlineLevel="0" collapsed="false">
      <c r="A621" s="1" t="n">
        <v>620</v>
      </c>
      <c r="B621" s="1" t="n">
        <v>16</v>
      </c>
      <c r="C621" s="1" t="n">
        <v>28</v>
      </c>
      <c r="D621" s="1" t="str">
        <f aca="false">IF('Boletins Nuppa Site'!G621&lt;&gt;0,'Boletins Nuppa Site'!G621,"NULL")</f>
        <v>NULL</v>
      </c>
      <c r="E621" s="16" t="n">
        <f aca="false">IF('Boletins Nuppa Site'!H621&lt;&gt;0,'Boletins Nuppa Site'!H621,"NULL")</f>
        <v>60</v>
      </c>
      <c r="F621" s="16" t="n">
        <f aca="false">IF('Boletins Nuppa Site'!I621&lt;&gt;0,'Boletins Nuppa Site'!I621,"NULL")</f>
        <v>110</v>
      </c>
      <c r="G621" s="16" t="n">
        <f aca="false">IF('Boletins Nuppa Site'!J621&lt;&gt;0,'Boletins Nuppa Site'!J621,"NULL")</f>
        <v>90</v>
      </c>
      <c r="H621" s="16" t="n">
        <f aca="false">IF('Boletins Nuppa Site'!K621&lt;&gt;0,'Boletins Nuppa Site'!K621,"NULL")</f>
        <v>95</v>
      </c>
      <c r="J621" s="1" t="str">
        <f aca="false">"INSERT INTO COTACAO (blt_id, pap_id, cot_prc_comum, cot_prc_min, cot_prc_max, cot_prc_med, cot_prc_mediana) VALUES ("&amp;B621&amp;", "&amp;C621&amp;", "&amp;D621&amp;", "&amp;E621&amp;", "&amp;F621&amp;", "&amp;G621&amp;", "&amp;H621&amp;");"</f>
        <v>INSERT INTO COTACAO (blt_id, pap_id, cot_prc_comum, cot_prc_min, cot_prc_max, cot_prc_med, cot_prc_mediana) VALUES (16, 28, NULL, 60, 110, 90, 95);</v>
      </c>
    </row>
    <row r="622" customFormat="false" ht="14.25" hidden="false" customHeight="false" outlineLevel="0" collapsed="false">
      <c r="A622" s="1" t="n">
        <v>621</v>
      </c>
      <c r="B622" s="1" t="n">
        <v>16</v>
      </c>
      <c r="C622" s="1" t="n">
        <v>29</v>
      </c>
      <c r="D622" s="1" t="str">
        <f aca="false">IF('Boletins Nuppa Site'!G622&lt;&gt;0,'Boletins Nuppa Site'!G622,"NULL")</f>
        <v>NULL</v>
      </c>
      <c r="E622" s="16" t="n">
        <f aca="false">IF('Boletins Nuppa Site'!H622&lt;&gt;0,'Boletins Nuppa Site'!H622,"NULL")</f>
        <v>80</v>
      </c>
      <c r="F622" s="16" t="n">
        <f aca="false">IF('Boletins Nuppa Site'!I622&lt;&gt;0,'Boletins Nuppa Site'!I622,"NULL")</f>
        <v>80</v>
      </c>
      <c r="G622" s="16" t="n">
        <f aca="false">IF('Boletins Nuppa Site'!J622&lt;&gt;0,'Boletins Nuppa Site'!J622,"NULL")</f>
        <v>80</v>
      </c>
      <c r="H622" s="16" t="n">
        <f aca="false">IF('Boletins Nuppa Site'!K622&lt;&gt;0,'Boletins Nuppa Site'!K622,"NULL")</f>
        <v>80</v>
      </c>
      <c r="J622" s="1" t="str">
        <f aca="false">"INSERT INTO COTACAO (blt_id, pap_id, cot_prc_comum, cot_prc_min, cot_prc_max, cot_prc_med, cot_prc_mediana) VALUES ("&amp;B622&amp;", "&amp;C622&amp;", "&amp;D622&amp;", "&amp;E622&amp;", "&amp;F622&amp;", "&amp;G622&amp;", "&amp;H622&amp;");"</f>
        <v>INSERT INTO COTACAO (blt_id, pap_id, cot_prc_comum, cot_prc_min, cot_prc_max, cot_prc_med, cot_prc_mediana) VALUES (16, 29, NULL, 80, 80, 80, 80);</v>
      </c>
    </row>
    <row r="623" customFormat="false" ht="14.25" hidden="false" customHeight="false" outlineLevel="0" collapsed="false">
      <c r="A623" s="1" t="n">
        <v>622</v>
      </c>
      <c r="B623" s="1" t="n">
        <v>16</v>
      </c>
      <c r="C623" s="1" t="n">
        <v>30</v>
      </c>
      <c r="D623" s="16" t="n">
        <f aca="false">IF('Boletins Nuppa Site'!G623&lt;&gt;0,'Boletins Nuppa Site'!G623,"NULL")</f>
        <v>60</v>
      </c>
      <c r="E623" s="16" t="n">
        <f aca="false">IF('Boletins Nuppa Site'!H623&lt;&gt;0,'Boletins Nuppa Site'!H623,"NULL")</f>
        <v>60</v>
      </c>
      <c r="F623" s="16" t="n">
        <f aca="false">IF('Boletins Nuppa Site'!I623&lt;&gt;0,'Boletins Nuppa Site'!I623,"NULL")</f>
        <v>60</v>
      </c>
      <c r="G623" s="16" t="n">
        <f aca="false">IF('Boletins Nuppa Site'!J623&lt;&gt;0,'Boletins Nuppa Site'!J623,"NULL")</f>
        <v>60</v>
      </c>
      <c r="H623" s="16" t="n">
        <f aca="false">IF('Boletins Nuppa Site'!K623&lt;&gt;0,'Boletins Nuppa Site'!K623,"NULL")</f>
        <v>60</v>
      </c>
      <c r="J623" s="1" t="str">
        <f aca="false">"INSERT INTO COTACAO (blt_id, pap_id, cot_prc_comum, cot_prc_min, cot_prc_max, cot_prc_med, cot_prc_mediana) VALUES ("&amp;B623&amp;", "&amp;C623&amp;", "&amp;D623&amp;", "&amp;E623&amp;", "&amp;F623&amp;", "&amp;G623&amp;", "&amp;H623&amp;");"</f>
        <v>INSERT INTO COTACAO (blt_id, pap_id, cot_prc_comum, cot_prc_min, cot_prc_max, cot_prc_med, cot_prc_mediana) VALUES (16, 30, 60, 60, 60, 60, 60);</v>
      </c>
    </row>
    <row r="624" customFormat="false" ht="14.25" hidden="false" customHeight="false" outlineLevel="0" collapsed="false">
      <c r="A624" s="1" t="n">
        <v>623</v>
      </c>
      <c r="B624" s="1" t="n">
        <v>16</v>
      </c>
      <c r="C624" s="1" t="n">
        <v>31</v>
      </c>
      <c r="D624" s="16" t="n">
        <f aca="false">IF('Boletins Nuppa Site'!G624&lt;&gt;0,'Boletins Nuppa Site'!G624,"NULL")</f>
        <v>90</v>
      </c>
      <c r="E624" s="16" t="n">
        <f aca="false">IF('Boletins Nuppa Site'!H624&lt;&gt;0,'Boletins Nuppa Site'!H624,"NULL")</f>
        <v>80</v>
      </c>
      <c r="F624" s="16" t="n">
        <f aca="false">IF('Boletins Nuppa Site'!I624&lt;&gt;0,'Boletins Nuppa Site'!I624,"NULL")</f>
        <v>90</v>
      </c>
      <c r="G624" s="1" t="str">
        <f aca="false">IF('Boletins Nuppa Site'!J624&lt;&gt;0,'Boletins Nuppa Site'!J624,"NULL")</f>
        <v>87.5</v>
      </c>
      <c r="H624" s="16" t="n">
        <f aca="false">IF('Boletins Nuppa Site'!K624&lt;&gt;0,'Boletins Nuppa Site'!K624,"NULL")</f>
        <v>90</v>
      </c>
      <c r="J624" s="1" t="str">
        <f aca="false">"INSERT INTO COTACAO (blt_id, pap_id, cot_prc_comum, cot_prc_min, cot_prc_max, cot_prc_med, cot_prc_mediana) VALUES ("&amp;B624&amp;", "&amp;C624&amp;", "&amp;D624&amp;", "&amp;E624&amp;", "&amp;F624&amp;", "&amp;G624&amp;", "&amp;H624&amp;");"</f>
        <v>INSERT INTO COTACAO (blt_id, pap_id, cot_prc_comum, cot_prc_min, cot_prc_max, cot_prc_med, cot_prc_mediana) VALUES (16, 31, 90, 80, 90, 87.5, 90);</v>
      </c>
    </row>
    <row r="625" customFormat="false" ht="14.25" hidden="false" customHeight="false" outlineLevel="0" collapsed="false">
      <c r="A625" s="1" t="n">
        <v>624</v>
      </c>
      <c r="B625" s="1" t="n">
        <v>16</v>
      </c>
      <c r="C625" s="1" t="n">
        <v>32</v>
      </c>
      <c r="D625" s="16" t="n">
        <f aca="false">IF('Boletins Nuppa Site'!G625&lt;&gt;0,'Boletins Nuppa Site'!G625,"NULL")</f>
        <v>60</v>
      </c>
      <c r="E625" s="16" t="n">
        <f aca="false">IF('Boletins Nuppa Site'!H625&lt;&gt;0,'Boletins Nuppa Site'!H625,"NULL")</f>
        <v>50</v>
      </c>
      <c r="F625" s="16" t="n">
        <f aca="false">IF('Boletins Nuppa Site'!I625&lt;&gt;0,'Boletins Nuppa Site'!I625,"NULL")</f>
        <v>60</v>
      </c>
      <c r="G625" s="16" t="n">
        <f aca="false">IF('Boletins Nuppa Site'!J625&lt;&gt;0,'Boletins Nuppa Site'!J625,"NULL")</f>
        <v>55</v>
      </c>
      <c r="H625" s="16" t="n">
        <f aca="false">IF('Boletins Nuppa Site'!K625&lt;&gt;0,'Boletins Nuppa Site'!K625,"NULL")</f>
        <v>55</v>
      </c>
      <c r="J625" s="1" t="str">
        <f aca="false">"INSERT INTO COTACAO (blt_id, pap_id, cot_prc_comum, cot_prc_min, cot_prc_max, cot_prc_med, cot_prc_mediana) VALUES ("&amp;B625&amp;", "&amp;C625&amp;", "&amp;D625&amp;", "&amp;E625&amp;", "&amp;F625&amp;", "&amp;G625&amp;", "&amp;H625&amp;");"</f>
        <v>INSERT INTO COTACAO (blt_id, pap_id, cot_prc_comum, cot_prc_min, cot_prc_max, cot_prc_med, cot_prc_mediana) VALUES (16, 32, 60, 50, 60, 55, 55);</v>
      </c>
    </row>
    <row r="626" customFormat="false" ht="14.25" hidden="false" customHeight="false" outlineLevel="0" collapsed="false">
      <c r="A626" s="1" t="n">
        <v>625</v>
      </c>
      <c r="B626" s="1" t="n">
        <v>16</v>
      </c>
      <c r="C626" s="1" t="n">
        <v>33</v>
      </c>
      <c r="D626" s="16" t="n">
        <f aca="false">IF('Boletins Nuppa Site'!G626&lt;&gt;0,'Boletins Nuppa Site'!G626,"NULL")</f>
        <v>110</v>
      </c>
      <c r="E626" s="16" t="n">
        <f aca="false">IF('Boletins Nuppa Site'!H626&lt;&gt;0,'Boletins Nuppa Site'!H626,"NULL")</f>
        <v>90</v>
      </c>
      <c r="F626" s="16" t="n">
        <f aca="false">IF('Boletins Nuppa Site'!I626&lt;&gt;0,'Boletins Nuppa Site'!I626,"NULL")</f>
        <v>120</v>
      </c>
      <c r="G626" s="1" t="str">
        <f aca="false">IF('Boletins Nuppa Site'!J626&lt;&gt;0,'Boletins Nuppa Site'!J626,"NULL")</f>
        <v>107.5</v>
      </c>
      <c r="H626" s="16" t="n">
        <f aca="false">IF('Boletins Nuppa Site'!K626&lt;&gt;0,'Boletins Nuppa Site'!K626,"NULL")</f>
        <v>110</v>
      </c>
      <c r="J626" s="1" t="str">
        <f aca="false">"INSERT INTO COTACAO (blt_id, pap_id, cot_prc_comum, cot_prc_min, cot_prc_max, cot_prc_med, cot_prc_mediana) VALUES ("&amp;B626&amp;", "&amp;C626&amp;", "&amp;D626&amp;", "&amp;E626&amp;", "&amp;F626&amp;", "&amp;G626&amp;", "&amp;H626&amp;");"</f>
        <v>INSERT INTO COTACAO (blt_id, pap_id, cot_prc_comum, cot_prc_min, cot_prc_max, cot_prc_med, cot_prc_mediana) VALUES (16, 33, 110, 90, 120, 107.5, 110);</v>
      </c>
    </row>
    <row r="627" customFormat="false" ht="14.25" hidden="false" customHeight="false" outlineLevel="0" collapsed="false">
      <c r="A627" s="1" t="n">
        <v>626</v>
      </c>
      <c r="B627" s="1" t="n">
        <v>16</v>
      </c>
      <c r="C627" s="1" t="n">
        <v>34</v>
      </c>
      <c r="D627" s="1" t="str">
        <f aca="false">IF('Boletins Nuppa Site'!G627&lt;&gt;0,'Boletins Nuppa Site'!G627,"NULL")</f>
        <v>NULL</v>
      </c>
      <c r="E627" s="16" t="n">
        <f aca="false">IF('Boletins Nuppa Site'!H627&lt;&gt;0,'Boletins Nuppa Site'!H627,"NULL")</f>
        <v>100</v>
      </c>
      <c r="F627" s="16" t="n">
        <f aca="false">IF('Boletins Nuppa Site'!I627&lt;&gt;0,'Boletins Nuppa Site'!I627,"NULL")</f>
        <v>150</v>
      </c>
      <c r="G627" s="16" t="n">
        <f aca="false">IF('Boletins Nuppa Site'!J627&lt;&gt;0,'Boletins Nuppa Site'!J627,"NULL")</f>
        <v>125</v>
      </c>
      <c r="H627" s="16" t="n">
        <f aca="false">IF('Boletins Nuppa Site'!K627&lt;&gt;0,'Boletins Nuppa Site'!K627,"NULL")</f>
        <v>125</v>
      </c>
      <c r="J627" s="1" t="str">
        <f aca="false">"INSERT INTO COTACAO (blt_id, pap_id, cot_prc_comum, cot_prc_min, cot_prc_max, cot_prc_med, cot_prc_mediana) VALUES ("&amp;B627&amp;", "&amp;C627&amp;", "&amp;D627&amp;", "&amp;E627&amp;", "&amp;F627&amp;", "&amp;G627&amp;", "&amp;H627&amp;");"</f>
        <v>INSERT INTO COTACAO (blt_id, pap_id, cot_prc_comum, cot_prc_min, cot_prc_max, cot_prc_med, cot_prc_mediana) VALUES (16, 34, NULL, 100, 150, 125, 125);</v>
      </c>
    </row>
    <row r="628" customFormat="false" ht="14.25" hidden="false" customHeight="false" outlineLevel="0" collapsed="false">
      <c r="A628" s="1" t="n">
        <v>627</v>
      </c>
      <c r="B628" s="1" t="n">
        <v>16</v>
      </c>
      <c r="C628" s="1" t="n">
        <v>35</v>
      </c>
      <c r="D628" s="1" t="str">
        <f aca="false">IF('Boletins Nuppa Site'!G628&lt;&gt;0,'Boletins Nuppa Site'!G628,"NULL")</f>
        <v>NULL</v>
      </c>
      <c r="E628" s="16" t="n">
        <f aca="false">IF('Boletins Nuppa Site'!H628&lt;&gt;0,'Boletins Nuppa Site'!H628,"NULL")</f>
        <v>180</v>
      </c>
      <c r="F628" s="16" t="n">
        <f aca="false">IF('Boletins Nuppa Site'!I628&lt;&gt;0,'Boletins Nuppa Site'!I628,"NULL")</f>
        <v>200</v>
      </c>
      <c r="G628" s="16" t="n">
        <f aca="false">IF('Boletins Nuppa Site'!J628&lt;&gt;0,'Boletins Nuppa Site'!J628,"NULL")</f>
        <v>190</v>
      </c>
      <c r="H628" s="16" t="n">
        <f aca="false">IF('Boletins Nuppa Site'!K628&lt;&gt;0,'Boletins Nuppa Site'!K628,"NULL")</f>
        <v>190</v>
      </c>
      <c r="J628" s="1" t="str">
        <f aca="false">"INSERT INTO COTACAO (blt_id, pap_id, cot_prc_comum, cot_prc_min, cot_prc_max, cot_prc_med, cot_prc_mediana) VALUES ("&amp;B628&amp;", "&amp;C628&amp;", "&amp;D628&amp;", "&amp;E628&amp;", "&amp;F628&amp;", "&amp;G628&amp;", "&amp;H628&amp;");"</f>
        <v>INSERT INTO COTACAO (blt_id, pap_id, cot_prc_comum, cot_prc_min, cot_prc_max, cot_prc_med, cot_prc_mediana) VALUES (16, 35, NULL, 180, 200, 190, 190);</v>
      </c>
    </row>
    <row r="629" customFormat="false" ht="14.25" hidden="false" customHeight="false" outlineLevel="0" collapsed="false">
      <c r="A629" s="1" t="n">
        <v>628</v>
      </c>
      <c r="B629" s="1" t="n">
        <v>16</v>
      </c>
      <c r="C629" s="1" t="n">
        <v>36</v>
      </c>
      <c r="D629" s="1" t="str">
        <f aca="false">IF('Boletins Nuppa Site'!G629&lt;&gt;0,'Boletins Nuppa Site'!G629,"NULL")</f>
        <v>NULL</v>
      </c>
      <c r="E629" s="16" t="n">
        <f aca="false">IF('Boletins Nuppa Site'!H629&lt;&gt;0,'Boletins Nuppa Site'!H629,"NULL")</f>
        <v>90</v>
      </c>
      <c r="F629" s="16" t="n">
        <f aca="false">IF('Boletins Nuppa Site'!I629&lt;&gt;0,'Boletins Nuppa Site'!I629,"NULL")</f>
        <v>90</v>
      </c>
      <c r="G629" s="16" t="n">
        <f aca="false">IF('Boletins Nuppa Site'!J629&lt;&gt;0,'Boletins Nuppa Site'!J629,"NULL")</f>
        <v>90</v>
      </c>
      <c r="H629" s="16" t="n">
        <f aca="false">IF('Boletins Nuppa Site'!K629&lt;&gt;0,'Boletins Nuppa Site'!K629,"NULL")</f>
        <v>90</v>
      </c>
      <c r="J629" s="1" t="str">
        <f aca="false">"INSERT INTO COTACAO (blt_id, pap_id, cot_prc_comum, cot_prc_min, cot_prc_max, cot_prc_med, cot_prc_mediana) VALUES ("&amp;B629&amp;", "&amp;C629&amp;", "&amp;D629&amp;", "&amp;E629&amp;", "&amp;F629&amp;", "&amp;G629&amp;", "&amp;H629&amp;");"</f>
        <v>INSERT INTO COTACAO (blt_id, pap_id, cot_prc_comum, cot_prc_min, cot_prc_max, cot_prc_med, cot_prc_mediana) VALUES (16, 36, NULL, 90, 90, 90, 90);</v>
      </c>
    </row>
    <row r="630" customFormat="false" ht="14.25" hidden="false" customHeight="false" outlineLevel="0" collapsed="false">
      <c r="A630" s="1" t="n">
        <v>629</v>
      </c>
      <c r="B630" s="1" t="n">
        <v>16</v>
      </c>
      <c r="C630" s="1" t="n">
        <v>37</v>
      </c>
      <c r="D630" s="1" t="str">
        <f aca="false">IF('Boletins Nuppa Site'!G630&lt;&gt;0,'Boletins Nuppa Site'!G630,"NULL")</f>
        <v>NULL</v>
      </c>
      <c r="E630" s="16" t="n">
        <f aca="false">IF('Boletins Nuppa Site'!H630&lt;&gt;0,'Boletins Nuppa Site'!H630,"NULL")</f>
        <v>70</v>
      </c>
      <c r="F630" s="16" t="n">
        <f aca="false">IF('Boletins Nuppa Site'!I630&lt;&gt;0,'Boletins Nuppa Site'!I630,"NULL")</f>
        <v>80</v>
      </c>
      <c r="G630" s="16" t="n">
        <f aca="false">IF('Boletins Nuppa Site'!J630&lt;&gt;0,'Boletins Nuppa Site'!J630,"NULL")</f>
        <v>75</v>
      </c>
      <c r="H630" s="16" t="n">
        <f aca="false">IF('Boletins Nuppa Site'!K630&lt;&gt;0,'Boletins Nuppa Site'!K630,"NULL")</f>
        <v>75</v>
      </c>
      <c r="J630" s="1" t="str">
        <f aca="false">"INSERT INTO COTACAO (blt_id, pap_id, cot_prc_comum, cot_prc_min, cot_prc_max, cot_prc_med, cot_prc_mediana) VALUES ("&amp;B630&amp;", "&amp;C630&amp;", "&amp;D630&amp;", "&amp;E630&amp;", "&amp;F630&amp;", "&amp;G630&amp;", "&amp;H630&amp;");"</f>
        <v>INSERT INTO COTACAO (blt_id, pap_id, cot_prc_comum, cot_prc_min, cot_prc_max, cot_prc_med, cot_prc_mediana) VALUES (16, 37, NULL, 70, 80, 75, 75);</v>
      </c>
    </row>
    <row r="631" customFormat="false" ht="14.25" hidden="false" customHeight="false" outlineLevel="0" collapsed="false">
      <c r="A631" s="1" t="n">
        <v>630</v>
      </c>
      <c r="B631" s="1" t="n">
        <v>16</v>
      </c>
      <c r="C631" s="1" t="n">
        <v>38</v>
      </c>
      <c r="D631" s="1" t="str">
        <f aca="false">IF('Boletins Nuppa Site'!G631&lt;&gt;0,'Boletins Nuppa Site'!G631,"NULL")</f>
        <v>NULL</v>
      </c>
      <c r="E631" s="16" t="n">
        <f aca="false">IF('Boletins Nuppa Site'!H631&lt;&gt;0,'Boletins Nuppa Site'!H631,"NULL")</f>
        <v>50</v>
      </c>
      <c r="F631" s="16" t="n">
        <f aca="false">IF('Boletins Nuppa Site'!I631&lt;&gt;0,'Boletins Nuppa Site'!I631,"NULL")</f>
        <v>70</v>
      </c>
      <c r="G631" s="16" t="n">
        <f aca="false">IF('Boletins Nuppa Site'!J631&lt;&gt;0,'Boletins Nuppa Site'!J631,"NULL")</f>
        <v>60</v>
      </c>
      <c r="H631" s="16" t="n">
        <f aca="false">IF('Boletins Nuppa Site'!K631&lt;&gt;0,'Boletins Nuppa Site'!K631,"NULL")</f>
        <v>60</v>
      </c>
      <c r="J631" s="1" t="str">
        <f aca="false">"INSERT INTO COTACAO (blt_id, pap_id, cot_prc_comum, cot_prc_min, cot_prc_max, cot_prc_med, cot_prc_mediana) VALUES ("&amp;B631&amp;", "&amp;C631&amp;", "&amp;D631&amp;", "&amp;E631&amp;", "&amp;F631&amp;", "&amp;G631&amp;", "&amp;H631&amp;");"</f>
        <v>INSERT INTO COTACAO (blt_id, pap_id, cot_prc_comum, cot_prc_min, cot_prc_max, cot_prc_med, cot_prc_mediana) VALUES (16, 38, NULL, 50, 70, 60, 60);</v>
      </c>
    </row>
    <row r="632" customFormat="false" ht="14.25" hidden="false" customHeight="false" outlineLevel="0" collapsed="false">
      <c r="A632" s="1" t="n">
        <v>631</v>
      </c>
      <c r="B632" s="1" t="n">
        <v>16</v>
      </c>
      <c r="C632" s="1" t="n">
        <v>39</v>
      </c>
      <c r="D632" s="1" t="str">
        <f aca="false">IF('Boletins Nuppa Site'!G632&lt;&gt;0,'Boletins Nuppa Site'!G632,"NULL")</f>
        <v>NULL</v>
      </c>
      <c r="E632" s="16" t="n">
        <f aca="false">IF('Boletins Nuppa Site'!H632&lt;&gt;0,'Boletins Nuppa Site'!H632,"NULL")</f>
        <v>55</v>
      </c>
      <c r="F632" s="16" t="n">
        <f aca="false">IF('Boletins Nuppa Site'!I632&lt;&gt;0,'Boletins Nuppa Site'!I632,"NULL")</f>
        <v>55</v>
      </c>
      <c r="G632" s="16" t="n">
        <f aca="false">IF('Boletins Nuppa Site'!J632&lt;&gt;0,'Boletins Nuppa Site'!J632,"NULL")</f>
        <v>55</v>
      </c>
      <c r="H632" s="16" t="n">
        <f aca="false">IF('Boletins Nuppa Site'!K632&lt;&gt;0,'Boletins Nuppa Site'!K632,"NULL")</f>
        <v>55</v>
      </c>
      <c r="J632" s="1" t="str">
        <f aca="false">"INSERT INTO COTACAO (blt_id, pap_id, cot_prc_comum, cot_prc_min, cot_prc_max, cot_prc_med, cot_prc_mediana) VALUES ("&amp;B632&amp;", "&amp;C632&amp;", "&amp;D632&amp;", "&amp;E632&amp;", "&amp;F632&amp;", "&amp;G632&amp;", "&amp;H632&amp;");"</f>
        <v>INSERT INTO COTACAO (blt_id, pap_id, cot_prc_comum, cot_prc_min, cot_prc_max, cot_prc_med, cot_prc_mediana) VALUES (16, 39, NULL, 55, 55, 55, 55);</v>
      </c>
    </row>
    <row r="633" customFormat="false" ht="14.25" hidden="false" customHeight="false" outlineLevel="0" collapsed="false">
      <c r="A633" s="1" t="n">
        <v>632</v>
      </c>
      <c r="B633" s="1" t="n">
        <v>16</v>
      </c>
      <c r="C633" s="1" t="n">
        <v>40</v>
      </c>
      <c r="D633" s="1" t="str">
        <f aca="false">IF('Boletins Nuppa Site'!G633&lt;&gt;0,'Boletins Nuppa Site'!G633,"NULL")</f>
        <v>NULL</v>
      </c>
      <c r="E633" s="16" t="n">
        <f aca="false">IF('Boletins Nuppa Site'!H633&lt;&gt;0,'Boletins Nuppa Site'!H633,"NULL")</f>
        <v>55</v>
      </c>
      <c r="F633" s="16" t="n">
        <f aca="false">IF('Boletins Nuppa Site'!I633&lt;&gt;0,'Boletins Nuppa Site'!I633,"NULL")</f>
        <v>60</v>
      </c>
      <c r="G633" s="1" t="str">
        <f aca="false">IF('Boletins Nuppa Site'!J633&lt;&gt;0,'Boletins Nuppa Site'!J633,"NULL")</f>
        <v>57.5</v>
      </c>
      <c r="H633" s="1" t="str">
        <f aca="false">IF('Boletins Nuppa Site'!K633&lt;&gt;0,'Boletins Nuppa Site'!K633,"NULL")</f>
        <v>57.5</v>
      </c>
      <c r="J633" s="1" t="str">
        <f aca="false">"INSERT INTO COTACAO (blt_id, pap_id, cot_prc_comum, cot_prc_min, cot_prc_max, cot_prc_med, cot_prc_mediana) VALUES ("&amp;B633&amp;", "&amp;C633&amp;", "&amp;D633&amp;", "&amp;E633&amp;", "&amp;F633&amp;", "&amp;G633&amp;", "&amp;H633&amp;");"</f>
        <v>INSERT INTO COTACAO (blt_id, pap_id, cot_prc_comum, cot_prc_min, cot_prc_max, cot_prc_med, cot_prc_mediana) VALUES (16, 40, NULL, 55, 60, 57.5, 57.5);</v>
      </c>
    </row>
    <row r="634" customFormat="false" ht="14.25" hidden="false" customHeight="false" outlineLevel="0" collapsed="false">
      <c r="A634" s="1" t="n">
        <v>633</v>
      </c>
      <c r="B634" s="1" t="n">
        <v>17</v>
      </c>
      <c r="C634" s="1" t="n">
        <v>1</v>
      </c>
      <c r="D634" s="16" t="n">
        <f aca="false">IF('Boletins Nuppa Site'!G634&lt;&gt;0,'Boletins Nuppa Site'!G634,"NULL")</f>
        <v>60</v>
      </c>
      <c r="E634" s="16" t="n">
        <f aca="false">IF('Boletins Nuppa Site'!H634&lt;&gt;0,'Boletins Nuppa Site'!H634,"NULL")</f>
        <v>60</v>
      </c>
      <c r="F634" s="16" t="n">
        <f aca="false">IF('Boletins Nuppa Site'!I634&lt;&gt;0,'Boletins Nuppa Site'!I634,"NULL")</f>
        <v>80</v>
      </c>
      <c r="G634" s="1" t="str">
        <f aca="false">IF('Boletins Nuppa Site'!J634&lt;&gt;0,'Boletins Nuppa Site'!J634,"NULL")</f>
        <v>66.67</v>
      </c>
      <c r="H634" s="16" t="n">
        <f aca="false">IF('Boletins Nuppa Site'!K634&lt;&gt;0,'Boletins Nuppa Site'!K634,"NULL")</f>
        <v>60</v>
      </c>
      <c r="J634" s="1" t="str">
        <f aca="false">"INSERT INTO COTACAO (blt_id, pap_id, cot_prc_comum, cot_prc_min, cot_prc_max, cot_prc_med, cot_prc_mediana) VALUES ("&amp;B634&amp;", "&amp;C634&amp;", "&amp;D634&amp;", "&amp;E634&amp;", "&amp;F634&amp;", "&amp;G634&amp;", "&amp;H634&amp;");"</f>
        <v>INSERT INTO COTACAO (blt_id, pap_id, cot_prc_comum, cot_prc_min, cot_prc_max, cot_prc_med, cot_prc_mediana) VALUES (17, 1, 60, 60, 80, 66.67, 60);</v>
      </c>
    </row>
    <row r="635" customFormat="false" ht="14.25" hidden="false" customHeight="false" outlineLevel="0" collapsed="false">
      <c r="A635" s="1" t="n">
        <v>634</v>
      </c>
      <c r="B635" s="1" t="n">
        <v>17</v>
      </c>
      <c r="C635" s="1" t="n">
        <v>2</v>
      </c>
      <c r="D635" s="16" t="n">
        <f aca="false">IF('Boletins Nuppa Site'!G635&lt;&gt;0,'Boletins Nuppa Site'!G635,"NULL")</f>
        <v>84</v>
      </c>
      <c r="E635" s="16" t="n">
        <f aca="false">IF('Boletins Nuppa Site'!H635&lt;&gt;0,'Boletins Nuppa Site'!H635,"NULL")</f>
        <v>72</v>
      </c>
      <c r="F635" s="16" t="n">
        <f aca="false">IF('Boletins Nuppa Site'!I635&lt;&gt;0,'Boletins Nuppa Site'!I635,"NULL")</f>
        <v>84</v>
      </c>
      <c r="G635" s="16" t="n">
        <f aca="false">IF('Boletins Nuppa Site'!J635&lt;&gt;0,'Boletins Nuppa Site'!J635,"NULL")</f>
        <v>80</v>
      </c>
      <c r="H635" s="16" t="n">
        <f aca="false">IF('Boletins Nuppa Site'!K635&lt;&gt;0,'Boletins Nuppa Site'!K635,"NULL")</f>
        <v>84</v>
      </c>
      <c r="J635" s="1" t="str">
        <f aca="false">"INSERT INTO COTACAO (blt_id, pap_id, cot_prc_comum, cot_prc_min, cot_prc_max, cot_prc_med, cot_prc_mediana) VALUES ("&amp;B635&amp;", "&amp;C635&amp;", "&amp;D635&amp;", "&amp;E635&amp;", "&amp;F635&amp;", "&amp;G635&amp;", "&amp;H635&amp;");"</f>
        <v>INSERT INTO COTACAO (blt_id, pap_id, cot_prc_comum, cot_prc_min, cot_prc_max, cot_prc_med, cot_prc_mediana) VALUES (17, 2, 84, 72, 84, 80, 84);</v>
      </c>
    </row>
    <row r="636" customFormat="false" ht="14.25" hidden="false" customHeight="false" outlineLevel="0" collapsed="false">
      <c r="A636" s="1" t="n">
        <v>635</v>
      </c>
      <c r="B636" s="1" t="n">
        <v>17</v>
      </c>
      <c r="C636" s="1" t="n">
        <v>3</v>
      </c>
      <c r="D636" s="1" t="str">
        <f aca="false">IF('Boletins Nuppa Site'!G636&lt;&gt;0,'Boletins Nuppa Site'!G636,"NULL")</f>
        <v>NULL</v>
      </c>
      <c r="E636" s="16" t="n">
        <f aca="false">IF('Boletins Nuppa Site'!H636&lt;&gt;0,'Boletins Nuppa Site'!H636,"NULL")</f>
        <v>36</v>
      </c>
      <c r="F636" s="16" t="n">
        <f aca="false">IF('Boletins Nuppa Site'!I636&lt;&gt;0,'Boletins Nuppa Site'!I636,"NULL")</f>
        <v>48</v>
      </c>
      <c r="G636" s="16" t="n">
        <f aca="false">IF('Boletins Nuppa Site'!J636&lt;&gt;0,'Boletins Nuppa Site'!J636,"NULL")</f>
        <v>42</v>
      </c>
      <c r="H636" s="16" t="n">
        <f aca="false">IF('Boletins Nuppa Site'!K636&lt;&gt;0,'Boletins Nuppa Site'!K636,"NULL")</f>
        <v>42</v>
      </c>
      <c r="J636" s="1" t="str">
        <f aca="false">"INSERT INTO COTACAO (blt_id, pap_id, cot_prc_comum, cot_prc_min, cot_prc_max, cot_prc_med, cot_prc_mediana) VALUES ("&amp;B636&amp;", "&amp;C636&amp;", "&amp;D636&amp;", "&amp;E636&amp;", "&amp;F636&amp;", "&amp;G636&amp;", "&amp;H636&amp;");"</f>
        <v>INSERT INTO COTACAO (blt_id, pap_id, cot_prc_comum, cot_prc_min, cot_prc_max, cot_prc_med, cot_prc_mediana) VALUES (17, 3, NULL, 36, 48, 42, 42);</v>
      </c>
    </row>
    <row r="637" customFormat="false" ht="14.25" hidden="false" customHeight="false" outlineLevel="0" collapsed="false">
      <c r="A637" s="1" t="n">
        <v>636</v>
      </c>
      <c r="B637" s="1" t="n">
        <v>17</v>
      </c>
      <c r="C637" s="1" t="n">
        <v>4</v>
      </c>
      <c r="D637" s="16" t="n">
        <f aca="false">IF('Boletins Nuppa Site'!G637&lt;&gt;0,'Boletins Nuppa Site'!G637,"NULL")</f>
        <v>30</v>
      </c>
      <c r="E637" s="16" t="n">
        <f aca="false">IF('Boletins Nuppa Site'!H637&lt;&gt;0,'Boletins Nuppa Site'!H637,"NULL")</f>
        <v>30</v>
      </c>
      <c r="F637" s="16" t="n">
        <f aca="false">IF('Boletins Nuppa Site'!I637&lt;&gt;0,'Boletins Nuppa Site'!I637,"NULL")</f>
        <v>30</v>
      </c>
      <c r="G637" s="16" t="n">
        <f aca="false">IF('Boletins Nuppa Site'!J637&lt;&gt;0,'Boletins Nuppa Site'!J637,"NULL")</f>
        <v>30</v>
      </c>
      <c r="H637" s="16" t="n">
        <f aca="false">IF('Boletins Nuppa Site'!K637&lt;&gt;0,'Boletins Nuppa Site'!K637,"NULL")</f>
        <v>30</v>
      </c>
      <c r="J637" s="1" t="str">
        <f aca="false">"INSERT INTO COTACAO (blt_id, pap_id, cot_prc_comum, cot_prc_min, cot_prc_max, cot_prc_med, cot_prc_mediana) VALUES ("&amp;B637&amp;", "&amp;C637&amp;", "&amp;D637&amp;", "&amp;E637&amp;", "&amp;F637&amp;", "&amp;G637&amp;", "&amp;H637&amp;");"</f>
        <v>INSERT INTO COTACAO (blt_id, pap_id, cot_prc_comum, cot_prc_min, cot_prc_max, cot_prc_med, cot_prc_mediana) VALUES (17, 4, 30, 30, 30, 30, 30);</v>
      </c>
    </row>
    <row r="638" customFormat="false" ht="14.25" hidden="false" customHeight="false" outlineLevel="0" collapsed="false">
      <c r="A638" s="1" t="n">
        <v>637</v>
      </c>
      <c r="B638" s="1" t="n">
        <v>17</v>
      </c>
      <c r="C638" s="1" t="n">
        <v>5</v>
      </c>
      <c r="D638" s="16" t="n">
        <f aca="false">IF('Boletins Nuppa Site'!G638&lt;&gt;0,'Boletins Nuppa Site'!G638,"NULL")</f>
        <v>30</v>
      </c>
      <c r="E638" s="16" t="n">
        <f aca="false">IF('Boletins Nuppa Site'!H638&lt;&gt;0,'Boletins Nuppa Site'!H638,"NULL")</f>
        <v>24</v>
      </c>
      <c r="F638" s="16" t="n">
        <f aca="false">IF('Boletins Nuppa Site'!I638&lt;&gt;0,'Boletins Nuppa Site'!I638,"NULL")</f>
        <v>30</v>
      </c>
      <c r="G638" s="16" t="n">
        <f aca="false">IF('Boletins Nuppa Site'!J638&lt;&gt;0,'Boletins Nuppa Site'!J638,"NULL")</f>
        <v>28</v>
      </c>
      <c r="H638" s="16" t="n">
        <f aca="false">IF('Boletins Nuppa Site'!K638&lt;&gt;0,'Boletins Nuppa Site'!K638,"NULL")</f>
        <v>30</v>
      </c>
      <c r="J638" s="1" t="str">
        <f aca="false">"INSERT INTO COTACAO (blt_id, pap_id, cot_prc_comum, cot_prc_min, cot_prc_max, cot_prc_med, cot_prc_mediana) VALUES ("&amp;B638&amp;", "&amp;C638&amp;", "&amp;D638&amp;", "&amp;E638&amp;", "&amp;F638&amp;", "&amp;G638&amp;", "&amp;H638&amp;");"</f>
        <v>INSERT INTO COTACAO (blt_id, pap_id, cot_prc_comum, cot_prc_min, cot_prc_max, cot_prc_med, cot_prc_mediana) VALUES (17, 5, 30, 24, 30, 28, 30);</v>
      </c>
    </row>
    <row r="639" customFormat="false" ht="14.25" hidden="false" customHeight="false" outlineLevel="0" collapsed="false">
      <c r="A639" s="1" t="n">
        <v>638</v>
      </c>
      <c r="B639" s="1" t="n">
        <v>17</v>
      </c>
      <c r="C639" s="1" t="n">
        <v>6</v>
      </c>
      <c r="D639" s="16" t="n">
        <f aca="false">IF('Boletins Nuppa Site'!G639&lt;&gt;0,'Boletins Nuppa Site'!G639,"NULL")</f>
        <v>60</v>
      </c>
      <c r="E639" s="16" t="n">
        <f aca="false">IF('Boletins Nuppa Site'!H639&lt;&gt;0,'Boletins Nuppa Site'!H639,"NULL")</f>
        <v>60</v>
      </c>
      <c r="F639" s="16" t="n">
        <f aca="false">IF('Boletins Nuppa Site'!I639&lt;&gt;0,'Boletins Nuppa Site'!I639,"NULL")</f>
        <v>60</v>
      </c>
      <c r="G639" s="16" t="n">
        <f aca="false">IF('Boletins Nuppa Site'!J639&lt;&gt;0,'Boletins Nuppa Site'!J639,"NULL")</f>
        <v>60</v>
      </c>
      <c r="H639" s="16" t="n">
        <f aca="false">IF('Boletins Nuppa Site'!K639&lt;&gt;0,'Boletins Nuppa Site'!K639,"NULL")</f>
        <v>60</v>
      </c>
      <c r="J639" s="1" t="str">
        <f aca="false">"INSERT INTO COTACAO (blt_id, pap_id, cot_prc_comum, cot_prc_min, cot_prc_max, cot_prc_med, cot_prc_mediana) VALUES ("&amp;B639&amp;", "&amp;C639&amp;", "&amp;D639&amp;", "&amp;E639&amp;", "&amp;F639&amp;", "&amp;G639&amp;", "&amp;H639&amp;");"</f>
        <v>INSERT INTO COTACAO (blt_id, pap_id, cot_prc_comum, cot_prc_min, cot_prc_max, cot_prc_med, cot_prc_mediana) VALUES (17, 6, 60, 60, 60, 60, 60);</v>
      </c>
    </row>
    <row r="640" customFormat="false" ht="14.25" hidden="false" customHeight="false" outlineLevel="0" collapsed="false">
      <c r="A640" s="1" t="n">
        <v>639</v>
      </c>
      <c r="B640" s="1" t="n">
        <v>17</v>
      </c>
      <c r="C640" s="1" t="n">
        <v>7</v>
      </c>
      <c r="D640" s="16" t="n">
        <f aca="false">IF('Boletins Nuppa Site'!G640&lt;&gt;0,'Boletins Nuppa Site'!G640,"NULL")</f>
        <v>72</v>
      </c>
      <c r="E640" s="16" t="n">
        <f aca="false">IF('Boletins Nuppa Site'!H640&lt;&gt;0,'Boletins Nuppa Site'!H640,"NULL")</f>
        <v>72</v>
      </c>
      <c r="F640" s="16" t="n">
        <f aca="false">IF('Boletins Nuppa Site'!I640&lt;&gt;0,'Boletins Nuppa Site'!I640,"NULL")</f>
        <v>78</v>
      </c>
      <c r="G640" s="16" t="n">
        <f aca="false">IF('Boletins Nuppa Site'!J640&lt;&gt;0,'Boletins Nuppa Site'!J640,"NULL")</f>
        <v>74</v>
      </c>
      <c r="H640" s="16" t="n">
        <f aca="false">IF('Boletins Nuppa Site'!K640&lt;&gt;0,'Boletins Nuppa Site'!K640,"NULL")</f>
        <v>72</v>
      </c>
      <c r="J640" s="1" t="str">
        <f aca="false">"INSERT INTO COTACAO (blt_id, pap_id, cot_prc_comum, cot_prc_min, cot_prc_max, cot_prc_med, cot_prc_mediana) VALUES ("&amp;B640&amp;", "&amp;C640&amp;", "&amp;D640&amp;", "&amp;E640&amp;", "&amp;F640&amp;", "&amp;G640&amp;", "&amp;H640&amp;");"</f>
        <v>INSERT INTO COTACAO (blt_id, pap_id, cot_prc_comum, cot_prc_min, cot_prc_max, cot_prc_med, cot_prc_mediana) VALUES (17, 7, 72, 72, 78, 74, 72);</v>
      </c>
    </row>
    <row r="641" customFormat="false" ht="14.25" hidden="false" customHeight="false" outlineLevel="0" collapsed="false">
      <c r="A641" s="1" t="n">
        <v>640</v>
      </c>
      <c r="B641" s="1" t="n">
        <v>17</v>
      </c>
      <c r="C641" s="1" t="n">
        <v>8</v>
      </c>
      <c r="D641" s="16" t="n">
        <f aca="false">IF('Boletins Nuppa Site'!G641&lt;&gt;0,'Boletins Nuppa Site'!G641,"NULL")</f>
        <v>96</v>
      </c>
      <c r="E641" s="16" t="n">
        <f aca="false">IF('Boletins Nuppa Site'!H641&lt;&gt;0,'Boletins Nuppa Site'!H641,"NULL")</f>
        <v>72</v>
      </c>
      <c r="F641" s="16" t="n">
        <f aca="false">IF('Boletins Nuppa Site'!I641&lt;&gt;0,'Boletins Nuppa Site'!I641,"NULL")</f>
        <v>96</v>
      </c>
      <c r="G641" s="16" t="n">
        <f aca="false">IF('Boletins Nuppa Site'!J641&lt;&gt;0,'Boletins Nuppa Site'!J641,"NULL")</f>
        <v>88</v>
      </c>
      <c r="H641" s="16" t="n">
        <f aca="false">IF('Boletins Nuppa Site'!K641&lt;&gt;0,'Boletins Nuppa Site'!K641,"NULL")</f>
        <v>96</v>
      </c>
      <c r="J641" s="1" t="str">
        <f aca="false">"INSERT INTO COTACAO (blt_id, pap_id, cot_prc_comum, cot_prc_min, cot_prc_max, cot_prc_med, cot_prc_mediana) VALUES ("&amp;B641&amp;", "&amp;C641&amp;", "&amp;D641&amp;", "&amp;E641&amp;", "&amp;F641&amp;", "&amp;G641&amp;", "&amp;H641&amp;");"</f>
        <v>INSERT INTO COTACAO (blt_id, pap_id, cot_prc_comum, cot_prc_min, cot_prc_max, cot_prc_med, cot_prc_mediana) VALUES (17, 8, 96, 72, 96, 88, 96);</v>
      </c>
    </row>
    <row r="642" customFormat="false" ht="14.25" hidden="false" customHeight="false" outlineLevel="0" collapsed="false">
      <c r="A642" s="1" t="n">
        <v>641</v>
      </c>
      <c r="B642" s="1" t="n">
        <v>17</v>
      </c>
      <c r="C642" s="1" t="n">
        <v>9</v>
      </c>
      <c r="D642" s="16" t="n">
        <f aca="false">IF('Boletins Nuppa Site'!G642&lt;&gt;0,'Boletins Nuppa Site'!G642,"NULL")</f>
        <v>24</v>
      </c>
      <c r="E642" s="16" t="n">
        <f aca="false">IF('Boletins Nuppa Site'!H642&lt;&gt;0,'Boletins Nuppa Site'!H642,"NULL")</f>
        <v>24</v>
      </c>
      <c r="F642" s="16" t="n">
        <f aca="false">IF('Boletins Nuppa Site'!I642&lt;&gt;0,'Boletins Nuppa Site'!I642,"NULL")</f>
        <v>30</v>
      </c>
      <c r="G642" s="16" t="n">
        <f aca="false">IF('Boletins Nuppa Site'!J642&lt;&gt;0,'Boletins Nuppa Site'!J642,"NULL")</f>
        <v>26</v>
      </c>
      <c r="H642" s="16" t="n">
        <f aca="false">IF('Boletins Nuppa Site'!K642&lt;&gt;0,'Boletins Nuppa Site'!K642,"NULL")</f>
        <v>24</v>
      </c>
      <c r="J642" s="1" t="str">
        <f aca="false">"INSERT INTO COTACAO (blt_id, pap_id, cot_prc_comum, cot_prc_min, cot_prc_max, cot_prc_med, cot_prc_mediana) VALUES ("&amp;B642&amp;", "&amp;C642&amp;", "&amp;D642&amp;", "&amp;E642&amp;", "&amp;F642&amp;", "&amp;G642&amp;", "&amp;H642&amp;");"</f>
        <v>INSERT INTO COTACAO (blt_id, pap_id, cot_prc_comum, cot_prc_min, cot_prc_max, cot_prc_med, cot_prc_mediana) VALUES (17, 9, 24, 24, 30, 26, 24);</v>
      </c>
    </row>
    <row r="643" customFormat="false" ht="14.25" hidden="false" customHeight="false" outlineLevel="0" collapsed="false">
      <c r="A643" s="1" t="n">
        <v>642</v>
      </c>
      <c r="B643" s="1" t="n">
        <v>17</v>
      </c>
      <c r="C643" s="1" t="n">
        <v>10</v>
      </c>
      <c r="D643" s="16" t="n">
        <f aca="false">IF('Boletins Nuppa Site'!G643&lt;&gt;0,'Boletins Nuppa Site'!G643,"NULL")</f>
        <v>72</v>
      </c>
      <c r="E643" s="16" t="n">
        <f aca="false">IF('Boletins Nuppa Site'!H643&lt;&gt;0,'Boletins Nuppa Site'!H643,"NULL")</f>
        <v>72</v>
      </c>
      <c r="F643" s="16" t="n">
        <f aca="false">IF('Boletins Nuppa Site'!I643&lt;&gt;0,'Boletins Nuppa Site'!I643,"NULL")</f>
        <v>84</v>
      </c>
      <c r="G643" s="16" t="n">
        <f aca="false">IF('Boletins Nuppa Site'!J643&lt;&gt;0,'Boletins Nuppa Site'!J643,"NULL")</f>
        <v>76</v>
      </c>
      <c r="H643" s="16" t="n">
        <f aca="false">IF('Boletins Nuppa Site'!K643&lt;&gt;0,'Boletins Nuppa Site'!K643,"NULL")</f>
        <v>72</v>
      </c>
      <c r="J643" s="1" t="str">
        <f aca="false">"INSERT INTO COTACAO (blt_id, pap_id, cot_prc_comum, cot_prc_min, cot_prc_max, cot_prc_med, cot_prc_mediana) VALUES ("&amp;B643&amp;", "&amp;C643&amp;", "&amp;D643&amp;", "&amp;E643&amp;", "&amp;F643&amp;", "&amp;G643&amp;", "&amp;H643&amp;");"</f>
        <v>INSERT INTO COTACAO (blt_id, pap_id, cot_prc_comum, cot_prc_min, cot_prc_max, cot_prc_med, cot_prc_mediana) VALUES (17, 10, 72, 72, 84, 76, 72);</v>
      </c>
    </row>
    <row r="644" customFormat="false" ht="14.25" hidden="false" customHeight="false" outlineLevel="0" collapsed="false">
      <c r="A644" s="1" t="n">
        <v>643</v>
      </c>
      <c r="B644" s="1" t="n">
        <v>17</v>
      </c>
      <c r="C644" s="1" t="n">
        <v>11</v>
      </c>
      <c r="D644" s="16" t="n">
        <f aca="false">IF('Boletins Nuppa Site'!G644&lt;&gt;0,'Boletins Nuppa Site'!G644,"NULL")</f>
        <v>30</v>
      </c>
      <c r="E644" s="16" t="n">
        <f aca="false">IF('Boletins Nuppa Site'!H644&lt;&gt;0,'Boletins Nuppa Site'!H644,"NULL")</f>
        <v>30</v>
      </c>
      <c r="F644" s="16" t="n">
        <f aca="false">IF('Boletins Nuppa Site'!I644&lt;&gt;0,'Boletins Nuppa Site'!I644,"NULL")</f>
        <v>30</v>
      </c>
      <c r="G644" s="16" t="n">
        <f aca="false">IF('Boletins Nuppa Site'!J644&lt;&gt;0,'Boletins Nuppa Site'!J644,"NULL")</f>
        <v>30</v>
      </c>
      <c r="H644" s="16" t="n">
        <f aca="false">IF('Boletins Nuppa Site'!K644&lt;&gt;0,'Boletins Nuppa Site'!K644,"NULL")</f>
        <v>30</v>
      </c>
      <c r="J644" s="1" t="str">
        <f aca="false">"INSERT INTO COTACAO (blt_id, pap_id, cot_prc_comum, cot_prc_min, cot_prc_max, cot_prc_med, cot_prc_mediana) VALUES ("&amp;B644&amp;", "&amp;C644&amp;", "&amp;D644&amp;", "&amp;E644&amp;", "&amp;F644&amp;", "&amp;G644&amp;", "&amp;H644&amp;");"</f>
        <v>INSERT INTO COTACAO (blt_id, pap_id, cot_prc_comum, cot_prc_min, cot_prc_max, cot_prc_med, cot_prc_mediana) VALUES (17, 11, 30, 30, 30, 30, 30);</v>
      </c>
    </row>
    <row r="645" customFormat="false" ht="14.25" hidden="false" customHeight="false" outlineLevel="0" collapsed="false">
      <c r="A645" s="1" t="n">
        <v>644</v>
      </c>
      <c r="B645" s="1" t="n">
        <v>17</v>
      </c>
      <c r="C645" s="1" t="n">
        <v>12</v>
      </c>
      <c r="D645" s="1" t="str">
        <f aca="false">IF('Boletins Nuppa Site'!G645&lt;&gt;0,'Boletins Nuppa Site'!G645,"NULL")</f>
        <v>NULL</v>
      </c>
      <c r="E645" s="16" t="n">
        <f aca="false">IF('Boletins Nuppa Site'!H645&lt;&gt;0,'Boletins Nuppa Site'!H645,"NULL")</f>
        <v>78</v>
      </c>
      <c r="F645" s="16" t="n">
        <f aca="false">IF('Boletins Nuppa Site'!I645&lt;&gt;0,'Boletins Nuppa Site'!I645,"NULL")</f>
        <v>96</v>
      </c>
      <c r="G645" s="16" t="n">
        <f aca="false">IF('Boletins Nuppa Site'!J645&lt;&gt;0,'Boletins Nuppa Site'!J645,"NULL")</f>
        <v>86</v>
      </c>
      <c r="H645" s="16" t="n">
        <f aca="false">IF('Boletins Nuppa Site'!K645&lt;&gt;0,'Boletins Nuppa Site'!K645,"NULL")</f>
        <v>84</v>
      </c>
      <c r="J645" s="1" t="str">
        <f aca="false">"INSERT INTO COTACAO (blt_id, pap_id, cot_prc_comum, cot_prc_min, cot_prc_max, cot_prc_med, cot_prc_mediana) VALUES ("&amp;B645&amp;", "&amp;C645&amp;", "&amp;D645&amp;", "&amp;E645&amp;", "&amp;F645&amp;", "&amp;G645&amp;", "&amp;H645&amp;");"</f>
        <v>INSERT INTO COTACAO (blt_id, pap_id, cot_prc_comum, cot_prc_min, cot_prc_max, cot_prc_med, cot_prc_mediana) VALUES (17, 12, NULL, 78, 96, 86, 84);</v>
      </c>
    </row>
    <row r="646" customFormat="false" ht="14.25" hidden="false" customHeight="false" outlineLevel="0" collapsed="false">
      <c r="A646" s="1" t="n">
        <v>645</v>
      </c>
      <c r="B646" s="1" t="n">
        <v>17</v>
      </c>
      <c r="C646" s="1" t="n">
        <v>13</v>
      </c>
      <c r="D646" s="16" t="n">
        <f aca="false">IF('Boletins Nuppa Site'!G646&lt;&gt;0,'Boletins Nuppa Site'!G646,"NULL")</f>
        <v>60</v>
      </c>
      <c r="E646" s="16" t="n">
        <f aca="false">IF('Boletins Nuppa Site'!H646&lt;&gt;0,'Boletins Nuppa Site'!H646,"NULL")</f>
        <v>60</v>
      </c>
      <c r="F646" s="16" t="n">
        <f aca="false">IF('Boletins Nuppa Site'!I646&lt;&gt;0,'Boletins Nuppa Site'!I646,"NULL")</f>
        <v>78</v>
      </c>
      <c r="G646" s="16" t="n">
        <f aca="false">IF('Boletins Nuppa Site'!J646&lt;&gt;0,'Boletins Nuppa Site'!J646,"NULL")</f>
        <v>66</v>
      </c>
      <c r="H646" s="16" t="n">
        <f aca="false">IF('Boletins Nuppa Site'!K646&lt;&gt;0,'Boletins Nuppa Site'!K646,"NULL")</f>
        <v>60</v>
      </c>
      <c r="J646" s="1" t="str">
        <f aca="false">"INSERT INTO COTACAO (blt_id, pap_id, cot_prc_comum, cot_prc_min, cot_prc_max, cot_prc_med, cot_prc_mediana) VALUES ("&amp;B646&amp;", "&amp;C646&amp;", "&amp;D646&amp;", "&amp;E646&amp;", "&amp;F646&amp;", "&amp;G646&amp;", "&amp;H646&amp;");"</f>
        <v>INSERT INTO COTACAO (blt_id, pap_id, cot_prc_comum, cot_prc_min, cot_prc_max, cot_prc_med, cot_prc_mediana) VALUES (17, 13, 60, 60, 78, 66, 60);</v>
      </c>
    </row>
    <row r="647" customFormat="false" ht="14.25" hidden="false" customHeight="false" outlineLevel="0" collapsed="false">
      <c r="A647" s="1" t="n">
        <v>646</v>
      </c>
      <c r="B647" s="1" t="n">
        <v>17</v>
      </c>
      <c r="C647" s="1" t="n">
        <v>14</v>
      </c>
      <c r="D647" s="16" t="n">
        <f aca="false">IF('Boletins Nuppa Site'!G647&lt;&gt;0,'Boletins Nuppa Site'!G647,"NULL")</f>
        <v>84</v>
      </c>
      <c r="E647" s="16" t="n">
        <f aca="false">IF('Boletins Nuppa Site'!H647&lt;&gt;0,'Boletins Nuppa Site'!H647,"NULL")</f>
        <v>84</v>
      </c>
      <c r="F647" s="16" t="n">
        <f aca="false">IF('Boletins Nuppa Site'!I647&lt;&gt;0,'Boletins Nuppa Site'!I647,"NULL")</f>
        <v>96</v>
      </c>
      <c r="G647" s="16" t="n">
        <f aca="false">IF('Boletins Nuppa Site'!J647&lt;&gt;0,'Boletins Nuppa Site'!J647,"NULL")</f>
        <v>88</v>
      </c>
      <c r="H647" s="16" t="n">
        <f aca="false">IF('Boletins Nuppa Site'!K647&lt;&gt;0,'Boletins Nuppa Site'!K647,"NULL")</f>
        <v>84</v>
      </c>
      <c r="J647" s="1" t="str">
        <f aca="false">"INSERT INTO COTACAO (blt_id, pap_id, cot_prc_comum, cot_prc_min, cot_prc_max, cot_prc_med, cot_prc_mediana) VALUES ("&amp;B647&amp;", "&amp;C647&amp;", "&amp;D647&amp;", "&amp;E647&amp;", "&amp;F647&amp;", "&amp;G647&amp;", "&amp;H647&amp;");"</f>
        <v>INSERT INTO COTACAO (blt_id, pap_id, cot_prc_comum, cot_prc_min, cot_prc_max, cot_prc_med, cot_prc_mediana) VALUES (17, 14, 84, 84, 96, 88, 84);</v>
      </c>
    </row>
    <row r="648" customFormat="false" ht="14.25" hidden="false" customHeight="false" outlineLevel="0" collapsed="false">
      <c r="A648" s="1" t="n">
        <v>647</v>
      </c>
      <c r="B648" s="1" t="n">
        <v>17</v>
      </c>
      <c r="C648" s="1" t="n">
        <v>15</v>
      </c>
      <c r="D648" s="16" t="n">
        <f aca="false">IF('Boletins Nuppa Site'!G648&lt;&gt;0,'Boletins Nuppa Site'!G648,"NULL")</f>
        <v>60</v>
      </c>
      <c r="E648" s="16" t="n">
        <f aca="false">IF('Boletins Nuppa Site'!H648&lt;&gt;0,'Boletins Nuppa Site'!H648,"NULL")</f>
        <v>60</v>
      </c>
      <c r="F648" s="16" t="n">
        <f aca="false">IF('Boletins Nuppa Site'!I648&lt;&gt;0,'Boletins Nuppa Site'!I648,"NULL")</f>
        <v>70</v>
      </c>
      <c r="G648" s="1" t="str">
        <f aca="false">IF('Boletins Nuppa Site'!J648&lt;&gt;0,'Boletins Nuppa Site'!J648,"NULL")</f>
        <v>63.33</v>
      </c>
      <c r="H648" s="16" t="n">
        <f aca="false">IF('Boletins Nuppa Site'!K648&lt;&gt;0,'Boletins Nuppa Site'!K648,"NULL")</f>
        <v>60</v>
      </c>
      <c r="J648" s="1" t="str">
        <f aca="false">"INSERT INTO COTACAO (blt_id, pap_id, cot_prc_comum, cot_prc_min, cot_prc_max, cot_prc_med, cot_prc_mediana) VALUES ("&amp;B648&amp;", "&amp;C648&amp;", "&amp;D648&amp;", "&amp;E648&amp;", "&amp;F648&amp;", "&amp;G648&amp;", "&amp;H648&amp;");"</f>
        <v>INSERT INTO COTACAO (blt_id, pap_id, cot_prc_comum, cot_prc_min, cot_prc_max, cot_prc_med, cot_prc_mediana) VALUES (17, 15, 60, 60, 70, 63.33, 60);</v>
      </c>
    </row>
    <row r="649" customFormat="false" ht="14.25" hidden="false" customHeight="false" outlineLevel="0" collapsed="false">
      <c r="A649" s="1" t="n">
        <v>648</v>
      </c>
      <c r="B649" s="1" t="n">
        <v>17</v>
      </c>
      <c r="C649" s="1" t="n">
        <v>16</v>
      </c>
      <c r="D649" s="16" t="n">
        <f aca="false">IF('Boletins Nuppa Site'!G649&lt;&gt;0,'Boletins Nuppa Site'!G649,"NULL")</f>
        <v>54</v>
      </c>
      <c r="E649" s="16" t="n">
        <f aca="false">IF('Boletins Nuppa Site'!H649&lt;&gt;0,'Boletins Nuppa Site'!H649,"NULL")</f>
        <v>48</v>
      </c>
      <c r="F649" s="16" t="n">
        <f aca="false">IF('Boletins Nuppa Site'!I649&lt;&gt;0,'Boletins Nuppa Site'!I649,"NULL")</f>
        <v>54</v>
      </c>
      <c r="G649" s="16" t="n">
        <f aca="false">IF('Boletins Nuppa Site'!J649&lt;&gt;0,'Boletins Nuppa Site'!J649,"NULL")</f>
        <v>52</v>
      </c>
      <c r="H649" s="16" t="n">
        <f aca="false">IF('Boletins Nuppa Site'!K649&lt;&gt;0,'Boletins Nuppa Site'!K649,"NULL")</f>
        <v>54</v>
      </c>
      <c r="J649" s="1" t="str">
        <f aca="false">"INSERT INTO COTACAO (blt_id, pap_id, cot_prc_comum, cot_prc_min, cot_prc_max, cot_prc_med, cot_prc_mediana) VALUES ("&amp;B649&amp;", "&amp;C649&amp;", "&amp;D649&amp;", "&amp;E649&amp;", "&amp;F649&amp;", "&amp;G649&amp;", "&amp;H649&amp;");"</f>
        <v>INSERT INTO COTACAO (blt_id, pap_id, cot_prc_comum, cot_prc_min, cot_prc_max, cot_prc_med, cot_prc_mediana) VALUES (17, 16, 54, 48, 54, 52, 54);</v>
      </c>
    </row>
    <row r="650" customFormat="false" ht="14.25" hidden="false" customHeight="false" outlineLevel="0" collapsed="false">
      <c r="A650" s="1" t="n">
        <v>649</v>
      </c>
      <c r="B650" s="1" t="n">
        <v>17</v>
      </c>
      <c r="C650" s="1" t="n">
        <v>17</v>
      </c>
      <c r="D650" s="16" t="n">
        <f aca="false">IF('Boletins Nuppa Site'!G650&lt;&gt;0,'Boletins Nuppa Site'!G650,"NULL")</f>
        <v>5</v>
      </c>
      <c r="E650" s="16" t="n">
        <f aca="false">IF('Boletins Nuppa Site'!H650&lt;&gt;0,'Boletins Nuppa Site'!H650,"NULL")</f>
        <v>5</v>
      </c>
      <c r="F650" s="16" t="n">
        <f aca="false">IF('Boletins Nuppa Site'!I650&lt;&gt;0,'Boletins Nuppa Site'!I650,"NULL")</f>
        <v>6</v>
      </c>
      <c r="G650" s="1" t="str">
        <f aca="false">IF('Boletins Nuppa Site'!J650&lt;&gt;0,'Boletins Nuppa Site'!J650,"NULL")</f>
        <v>53.33</v>
      </c>
      <c r="H650" s="16" t="n">
        <f aca="false">IF('Boletins Nuppa Site'!K650&lt;&gt;0,'Boletins Nuppa Site'!K650,"NULL")</f>
        <v>5</v>
      </c>
      <c r="J650" s="1" t="str">
        <f aca="false">"INSERT INTO COTACAO (blt_id, pap_id, cot_prc_comum, cot_prc_min, cot_prc_max, cot_prc_med, cot_prc_mediana) VALUES ("&amp;B650&amp;", "&amp;C650&amp;", "&amp;D650&amp;", "&amp;E650&amp;", "&amp;F650&amp;", "&amp;G650&amp;", "&amp;H650&amp;");"</f>
        <v>INSERT INTO COTACAO (blt_id, pap_id, cot_prc_comum, cot_prc_min, cot_prc_max, cot_prc_med, cot_prc_mediana) VALUES (17, 17, 5, 5, 6, 53.33, 5);</v>
      </c>
    </row>
    <row r="651" customFormat="false" ht="14.25" hidden="false" customHeight="false" outlineLevel="0" collapsed="false">
      <c r="A651" s="1" t="n">
        <v>650</v>
      </c>
      <c r="B651" s="1" t="n">
        <v>17</v>
      </c>
      <c r="C651" s="1" t="n">
        <v>18</v>
      </c>
      <c r="D651" s="16" t="n">
        <f aca="false">IF('Boletins Nuppa Site'!G651&lt;&gt;0,'Boletins Nuppa Site'!G651,"NULL")</f>
        <v>25</v>
      </c>
      <c r="E651" s="16" t="n">
        <f aca="false">IF('Boletins Nuppa Site'!H651&lt;&gt;0,'Boletins Nuppa Site'!H651,"NULL")</f>
        <v>20</v>
      </c>
      <c r="F651" s="16" t="n">
        <f aca="false">IF('Boletins Nuppa Site'!I651&lt;&gt;0,'Boletins Nuppa Site'!I651,"NULL")</f>
        <v>25</v>
      </c>
      <c r="G651" s="1" t="str">
        <f aca="false">IF('Boletins Nuppa Site'!J651&lt;&gt;0,'Boletins Nuppa Site'!J651,"NULL")</f>
        <v>23.33</v>
      </c>
      <c r="H651" s="16" t="n">
        <f aca="false">IF('Boletins Nuppa Site'!K651&lt;&gt;0,'Boletins Nuppa Site'!K651,"NULL")</f>
        <v>25</v>
      </c>
      <c r="J651" s="1" t="str">
        <f aca="false">"INSERT INTO COTACAO (blt_id, pap_id, cot_prc_comum, cot_prc_min, cot_prc_max, cot_prc_med, cot_prc_mediana) VALUES ("&amp;B651&amp;", "&amp;C651&amp;", "&amp;D651&amp;", "&amp;E651&amp;", "&amp;F651&amp;", "&amp;G651&amp;", "&amp;H651&amp;");"</f>
        <v>INSERT INTO COTACAO (blt_id, pap_id, cot_prc_comum, cot_prc_min, cot_prc_max, cot_prc_med, cot_prc_mediana) VALUES (17, 18, 25, 20, 25, 23.33, 25);</v>
      </c>
    </row>
    <row r="652" customFormat="false" ht="14.25" hidden="false" customHeight="false" outlineLevel="0" collapsed="false">
      <c r="A652" s="1" t="n">
        <v>651</v>
      </c>
      <c r="B652" s="1" t="n">
        <v>17</v>
      </c>
      <c r="C652" s="1" t="n">
        <v>19</v>
      </c>
      <c r="D652" s="1" t="str">
        <f aca="false">IF('Boletins Nuppa Site'!G652&lt;&gt;0,'Boletins Nuppa Site'!G652,"NULL")</f>
        <v>NULL</v>
      </c>
      <c r="E652" s="16" t="n">
        <f aca="false">IF('Boletins Nuppa Site'!H652&lt;&gt;0,'Boletins Nuppa Site'!H652,"NULL")</f>
        <v>25</v>
      </c>
      <c r="F652" s="16" t="n">
        <f aca="false">IF('Boletins Nuppa Site'!I652&lt;&gt;0,'Boletins Nuppa Site'!I652,"NULL")</f>
        <v>32</v>
      </c>
      <c r="G652" s="16" t="n">
        <f aca="false">IF('Boletins Nuppa Site'!J652&lt;&gt;0,'Boletins Nuppa Site'!J652,"NULL")</f>
        <v>29</v>
      </c>
      <c r="H652" s="16" t="n">
        <f aca="false">IF('Boletins Nuppa Site'!K652&lt;&gt;0,'Boletins Nuppa Site'!K652,"NULL")</f>
        <v>30</v>
      </c>
      <c r="J652" s="1" t="str">
        <f aca="false">"INSERT INTO COTACAO (blt_id, pap_id, cot_prc_comum, cot_prc_min, cot_prc_max, cot_prc_med, cot_prc_mediana) VALUES ("&amp;B652&amp;", "&amp;C652&amp;", "&amp;D652&amp;", "&amp;E652&amp;", "&amp;F652&amp;", "&amp;G652&amp;", "&amp;H652&amp;");"</f>
        <v>INSERT INTO COTACAO (blt_id, pap_id, cot_prc_comum, cot_prc_min, cot_prc_max, cot_prc_med, cot_prc_mediana) VALUES (17, 19, NULL, 25, 32, 29, 30);</v>
      </c>
    </row>
    <row r="653" customFormat="false" ht="14.25" hidden="false" customHeight="false" outlineLevel="0" collapsed="false">
      <c r="A653" s="1" t="n">
        <v>652</v>
      </c>
      <c r="B653" s="1" t="n">
        <v>17</v>
      </c>
      <c r="C653" s="1" t="n">
        <v>20</v>
      </c>
      <c r="D653" s="1" t="str">
        <f aca="false">IF('Boletins Nuppa Site'!G653&lt;&gt;0,'Boletins Nuppa Site'!G653,"NULL")</f>
        <v>NULL</v>
      </c>
      <c r="E653" s="16" t="n">
        <f aca="false">IF('Boletins Nuppa Site'!H653&lt;&gt;0,'Boletins Nuppa Site'!H653,"NULL")</f>
        <v>85</v>
      </c>
      <c r="F653" s="16" t="n">
        <f aca="false">IF('Boletins Nuppa Site'!I653&lt;&gt;0,'Boletins Nuppa Site'!I653,"NULL")</f>
        <v>90</v>
      </c>
      <c r="G653" s="1" t="str">
        <f aca="false">IF('Boletins Nuppa Site'!J653&lt;&gt;0,'Boletins Nuppa Site'!J653,"NULL")</f>
        <v>87.5</v>
      </c>
      <c r="H653" s="1" t="str">
        <f aca="false">IF('Boletins Nuppa Site'!K653&lt;&gt;0,'Boletins Nuppa Site'!K653,"NULL")</f>
        <v>87.5</v>
      </c>
      <c r="J653" s="1" t="str">
        <f aca="false">"INSERT INTO COTACAO (blt_id, pap_id, cot_prc_comum, cot_prc_min, cot_prc_max, cot_prc_med, cot_prc_mediana) VALUES ("&amp;B653&amp;", "&amp;C653&amp;", "&amp;D653&amp;", "&amp;E653&amp;", "&amp;F653&amp;", "&amp;G653&amp;", "&amp;H653&amp;");"</f>
        <v>INSERT INTO COTACAO (blt_id, pap_id, cot_prc_comum, cot_prc_min, cot_prc_max, cot_prc_med, cot_prc_mediana) VALUES (17, 20, NULL, 85, 90, 87.5, 87.5);</v>
      </c>
    </row>
    <row r="654" customFormat="false" ht="14.25" hidden="false" customHeight="false" outlineLevel="0" collapsed="false">
      <c r="A654" s="1" t="n">
        <v>653</v>
      </c>
      <c r="B654" s="1" t="n">
        <v>17</v>
      </c>
      <c r="C654" s="1" t="n">
        <v>21</v>
      </c>
      <c r="D654" s="16" t="n">
        <f aca="false">IF('Boletins Nuppa Site'!G654&lt;&gt;0,'Boletins Nuppa Site'!G654,"NULL")</f>
        <v>70</v>
      </c>
      <c r="E654" s="16" t="n">
        <f aca="false">IF('Boletins Nuppa Site'!H654&lt;&gt;0,'Boletins Nuppa Site'!H654,"NULL")</f>
        <v>60</v>
      </c>
      <c r="F654" s="16" t="n">
        <f aca="false">IF('Boletins Nuppa Site'!I654&lt;&gt;0,'Boletins Nuppa Site'!I654,"NULL")</f>
        <v>70</v>
      </c>
      <c r="G654" s="1" t="str">
        <f aca="false">IF('Boletins Nuppa Site'!J654&lt;&gt;0,'Boletins Nuppa Site'!J654,"NULL")</f>
        <v>67.5</v>
      </c>
      <c r="H654" s="16" t="n">
        <f aca="false">IF('Boletins Nuppa Site'!K654&lt;&gt;0,'Boletins Nuppa Site'!K654,"NULL")</f>
        <v>70</v>
      </c>
      <c r="J654" s="1" t="str">
        <f aca="false">"INSERT INTO COTACAO (blt_id, pap_id, cot_prc_comum, cot_prc_min, cot_prc_max, cot_prc_med, cot_prc_mediana) VALUES ("&amp;B654&amp;", "&amp;C654&amp;", "&amp;D654&amp;", "&amp;E654&amp;", "&amp;F654&amp;", "&amp;G654&amp;", "&amp;H654&amp;");"</f>
        <v>INSERT INTO COTACAO (blt_id, pap_id, cot_prc_comum, cot_prc_min, cot_prc_max, cot_prc_med, cot_prc_mediana) VALUES (17, 21, 70, 60, 70, 67.5, 70);</v>
      </c>
    </row>
    <row r="655" customFormat="false" ht="14.25" hidden="false" customHeight="false" outlineLevel="0" collapsed="false">
      <c r="A655" s="1" t="n">
        <v>654</v>
      </c>
      <c r="B655" s="1" t="n">
        <v>17</v>
      </c>
      <c r="C655" s="1" t="n">
        <v>22</v>
      </c>
      <c r="D655" s="16" t="n">
        <f aca="false">IF('Boletins Nuppa Site'!G655&lt;&gt;0,'Boletins Nuppa Site'!G655,"NULL")</f>
        <v>65</v>
      </c>
      <c r="E655" s="16" t="n">
        <f aca="false">IF('Boletins Nuppa Site'!H655&lt;&gt;0,'Boletins Nuppa Site'!H655,"NULL")</f>
        <v>45</v>
      </c>
      <c r="F655" s="16" t="n">
        <f aca="false">IF('Boletins Nuppa Site'!I655&lt;&gt;0,'Boletins Nuppa Site'!I655,"NULL")</f>
        <v>65</v>
      </c>
      <c r="G655" s="1" t="str">
        <f aca="false">IF('Boletins Nuppa Site'!J655&lt;&gt;0,'Boletins Nuppa Site'!J655,"NULL")</f>
        <v>56.25</v>
      </c>
      <c r="H655" s="1" t="str">
        <f aca="false">IF('Boletins Nuppa Site'!K655&lt;&gt;0,'Boletins Nuppa Site'!K655,"NULL")</f>
        <v>57.5</v>
      </c>
      <c r="J655" s="1" t="str">
        <f aca="false">"INSERT INTO COTACAO (blt_id, pap_id, cot_prc_comum, cot_prc_min, cot_prc_max, cot_prc_med, cot_prc_mediana) VALUES ("&amp;B655&amp;", "&amp;C655&amp;", "&amp;D655&amp;", "&amp;E655&amp;", "&amp;F655&amp;", "&amp;G655&amp;", "&amp;H655&amp;");"</f>
        <v>INSERT INTO COTACAO (blt_id, pap_id, cot_prc_comum, cot_prc_min, cot_prc_max, cot_prc_med, cot_prc_mediana) VALUES (17, 22, 65, 45, 65, 56.25, 57.5);</v>
      </c>
    </row>
    <row r="656" customFormat="false" ht="14.25" hidden="false" customHeight="false" outlineLevel="0" collapsed="false">
      <c r="A656" s="1" t="n">
        <v>655</v>
      </c>
      <c r="B656" s="1" t="n">
        <v>17</v>
      </c>
      <c r="C656" s="1" t="n">
        <v>23</v>
      </c>
      <c r="D656" s="16" t="n">
        <f aca="false">IF('Boletins Nuppa Site'!G656&lt;&gt;0,'Boletins Nuppa Site'!G656,"NULL")</f>
        <v>50</v>
      </c>
      <c r="E656" s="16" t="n">
        <f aca="false">IF('Boletins Nuppa Site'!H656&lt;&gt;0,'Boletins Nuppa Site'!H656,"NULL")</f>
        <v>40</v>
      </c>
      <c r="F656" s="16" t="n">
        <f aca="false">IF('Boletins Nuppa Site'!I656&lt;&gt;0,'Boletins Nuppa Site'!I656,"NULL")</f>
        <v>50</v>
      </c>
      <c r="G656" s="1" t="str">
        <f aca="false">IF('Boletins Nuppa Site'!J656&lt;&gt;0,'Boletins Nuppa Site'!J656,"NULL")</f>
        <v>47.5</v>
      </c>
      <c r="H656" s="16" t="n">
        <f aca="false">IF('Boletins Nuppa Site'!K656&lt;&gt;0,'Boletins Nuppa Site'!K656,"NULL")</f>
        <v>50</v>
      </c>
      <c r="J656" s="1" t="str">
        <f aca="false">"INSERT INTO COTACAO (blt_id, pap_id, cot_prc_comum, cot_prc_min, cot_prc_max, cot_prc_med, cot_prc_mediana) VALUES ("&amp;B656&amp;", "&amp;C656&amp;", "&amp;D656&amp;", "&amp;E656&amp;", "&amp;F656&amp;", "&amp;G656&amp;", "&amp;H656&amp;");"</f>
        <v>INSERT INTO COTACAO (blt_id, pap_id, cot_prc_comum, cot_prc_min, cot_prc_max, cot_prc_med, cot_prc_mediana) VALUES (17, 23, 50, 40, 50, 47.5, 50);</v>
      </c>
    </row>
    <row r="657" customFormat="false" ht="14.25" hidden="false" customHeight="false" outlineLevel="0" collapsed="false">
      <c r="A657" s="1" t="n">
        <v>656</v>
      </c>
      <c r="B657" s="1" t="n">
        <v>17</v>
      </c>
      <c r="C657" s="1" t="n">
        <v>24</v>
      </c>
      <c r="D657" s="16" t="n">
        <f aca="false">IF('Boletins Nuppa Site'!G657&lt;&gt;0,'Boletins Nuppa Site'!G657,"NULL")</f>
        <v>100</v>
      </c>
      <c r="E657" s="16" t="n">
        <f aca="false">IF('Boletins Nuppa Site'!H657&lt;&gt;0,'Boletins Nuppa Site'!H657,"NULL")</f>
        <v>90</v>
      </c>
      <c r="F657" s="16" t="n">
        <f aca="false">IF('Boletins Nuppa Site'!I657&lt;&gt;0,'Boletins Nuppa Site'!I657,"NULL")</f>
        <v>100</v>
      </c>
      <c r="G657" s="1" t="str">
        <f aca="false">IF('Boletins Nuppa Site'!J657&lt;&gt;0,'Boletins Nuppa Site'!J657,"NULL")</f>
        <v>96.67</v>
      </c>
      <c r="H657" s="16" t="n">
        <f aca="false">IF('Boletins Nuppa Site'!K657&lt;&gt;0,'Boletins Nuppa Site'!K657,"NULL")</f>
        <v>100</v>
      </c>
      <c r="J657" s="1" t="str">
        <f aca="false">"INSERT INTO COTACAO (blt_id, pap_id, cot_prc_comum, cot_prc_min, cot_prc_max, cot_prc_med, cot_prc_mediana) VALUES ("&amp;B657&amp;", "&amp;C657&amp;", "&amp;D657&amp;", "&amp;E657&amp;", "&amp;F657&amp;", "&amp;G657&amp;", "&amp;H657&amp;");"</f>
        <v>INSERT INTO COTACAO (blt_id, pap_id, cot_prc_comum, cot_prc_min, cot_prc_max, cot_prc_med, cot_prc_mediana) VALUES (17, 24, 100, 90, 100, 96.67, 100);</v>
      </c>
    </row>
    <row r="658" customFormat="false" ht="14.25" hidden="false" customHeight="false" outlineLevel="0" collapsed="false">
      <c r="A658" s="1" t="n">
        <v>657</v>
      </c>
      <c r="B658" s="1" t="n">
        <v>17</v>
      </c>
      <c r="C658" s="1" t="n">
        <v>25</v>
      </c>
      <c r="D658" s="16" t="n">
        <f aca="false">IF('Boletins Nuppa Site'!G658&lt;&gt;0,'Boletins Nuppa Site'!G658,"NULL")</f>
        <v>110</v>
      </c>
      <c r="E658" s="16" t="n">
        <f aca="false">IF('Boletins Nuppa Site'!H658&lt;&gt;0,'Boletins Nuppa Site'!H658,"NULL")</f>
        <v>110</v>
      </c>
      <c r="F658" s="16" t="n">
        <f aca="false">IF('Boletins Nuppa Site'!I658&lt;&gt;0,'Boletins Nuppa Site'!I658,"NULL")</f>
        <v>150</v>
      </c>
      <c r="G658" s="1" t="str">
        <f aca="false">IF('Boletins Nuppa Site'!J658&lt;&gt;0,'Boletins Nuppa Site'!J658,"NULL")</f>
        <v>128.75</v>
      </c>
      <c r="H658" s="1" t="str">
        <f aca="false">IF('Boletins Nuppa Site'!K658&lt;&gt;0,'Boletins Nuppa Site'!K658,"NULL")</f>
        <v>127.5</v>
      </c>
      <c r="J658" s="1" t="str">
        <f aca="false">"INSERT INTO COTACAO (blt_id, pap_id, cot_prc_comum, cot_prc_min, cot_prc_max, cot_prc_med, cot_prc_mediana) VALUES ("&amp;B658&amp;", "&amp;C658&amp;", "&amp;D658&amp;", "&amp;E658&amp;", "&amp;F658&amp;", "&amp;G658&amp;", "&amp;H658&amp;");"</f>
        <v>INSERT INTO COTACAO (blt_id, pap_id, cot_prc_comum, cot_prc_min, cot_prc_max, cot_prc_med, cot_prc_mediana) VALUES (17, 25, 110, 110, 150, 128.75, 127.5);</v>
      </c>
    </row>
    <row r="659" customFormat="false" ht="14.25" hidden="false" customHeight="false" outlineLevel="0" collapsed="false">
      <c r="A659" s="1" t="n">
        <v>658</v>
      </c>
      <c r="B659" s="1" t="n">
        <v>17</v>
      </c>
      <c r="C659" s="1" t="n">
        <v>26</v>
      </c>
      <c r="D659" s="16" t="n">
        <f aca="false">IF('Boletins Nuppa Site'!G659&lt;&gt;0,'Boletins Nuppa Site'!G659,"NULL")</f>
        <v>170</v>
      </c>
      <c r="E659" s="16" t="n">
        <f aca="false">IF('Boletins Nuppa Site'!H659&lt;&gt;0,'Boletins Nuppa Site'!H659,"NULL")</f>
        <v>100</v>
      </c>
      <c r="F659" s="16" t="n">
        <f aca="false">IF('Boletins Nuppa Site'!I659&lt;&gt;0,'Boletins Nuppa Site'!I659,"NULL")</f>
        <v>170</v>
      </c>
      <c r="G659" s="16" t="n">
        <f aca="false">IF('Boletins Nuppa Site'!J659&lt;&gt;0,'Boletins Nuppa Site'!J659,"NULL")</f>
        <v>135</v>
      </c>
      <c r="H659" s="16" t="n">
        <f aca="false">IF('Boletins Nuppa Site'!K659&lt;&gt;0,'Boletins Nuppa Site'!K659,"NULL")</f>
        <v>135</v>
      </c>
      <c r="J659" s="1" t="str">
        <f aca="false">"INSERT INTO COTACAO (blt_id, pap_id, cot_prc_comum, cot_prc_min, cot_prc_max, cot_prc_med, cot_prc_mediana) VALUES ("&amp;B659&amp;", "&amp;C659&amp;", "&amp;D659&amp;", "&amp;E659&amp;", "&amp;F659&amp;", "&amp;G659&amp;", "&amp;H659&amp;");"</f>
        <v>INSERT INTO COTACAO (blt_id, pap_id, cot_prc_comum, cot_prc_min, cot_prc_max, cot_prc_med, cot_prc_mediana) VALUES (17, 26, 170, 100, 170, 135, 135);</v>
      </c>
    </row>
    <row r="660" customFormat="false" ht="14.25" hidden="false" customHeight="false" outlineLevel="0" collapsed="false">
      <c r="A660" s="1" t="n">
        <v>659</v>
      </c>
      <c r="B660" s="1" t="n">
        <v>17</v>
      </c>
      <c r="C660" s="1" t="n">
        <v>27</v>
      </c>
      <c r="D660" s="16" t="n">
        <f aca="false">IF('Boletins Nuppa Site'!G660&lt;&gt;0,'Boletins Nuppa Site'!G660,"NULL")</f>
        <v>50</v>
      </c>
      <c r="E660" s="16" t="n">
        <f aca="false">IF('Boletins Nuppa Site'!H660&lt;&gt;0,'Boletins Nuppa Site'!H660,"NULL")</f>
        <v>50</v>
      </c>
      <c r="F660" s="16" t="n">
        <f aca="false">IF('Boletins Nuppa Site'!I660&lt;&gt;0,'Boletins Nuppa Site'!I660,"NULL")</f>
        <v>60</v>
      </c>
      <c r="G660" s="16" t="n">
        <f aca="false">IF('Boletins Nuppa Site'!J660&lt;&gt;0,'Boletins Nuppa Site'!J660,"NULL")</f>
        <v>55</v>
      </c>
      <c r="H660" s="16" t="n">
        <f aca="false">IF('Boletins Nuppa Site'!K660&lt;&gt;0,'Boletins Nuppa Site'!K660,"NULL")</f>
        <v>55</v>
      </c>
      <c r="J660" s="1" t="str">
        <f aca="false">"INSERT INTO COTACAO (blt_id, pap_id, cot_prc_comum, cot_prc_min, cot_prc_max, cot_prc_med, cot_prc_mediana) VALUES ("&amp;B660&amp;", "&amp;C660&amp;", "&amp;D660&amp;", "&amp;E660&amp;", "&amp;F660&amp;", "&amp;G660&amp;", "&amp;H660&amp;");"</f>
        <v>INSERT INTO COTACAO (blt_id, pap_id, cot_prc_comum, cot_prc_min, cot_prc_max, cot_prc_med, cot_prc_mediana) VALUES (17, 27, 50, 50, 60, 55, 55);</v>
      </c>
    </row>
    <row r="661" customFormat="false" ht="14.25" hidden="false" customHeight="false" outlineLevel="0" collapsed="false">
      <c r="A661" s="1" t="n">
        <v>660</v>
      </c>
      <c r="B661" s="1" t="n">
        <v>17</v>
      </c>
      <c r="C661" s="1" t="n">
        <v>28</v>
      </c>
      <c r="D661" s="16" t="n">
        <f aca="false">IF('Boletins Nuppa Site'!G661&lt;&gt;0,'Boletins Nuppa Site'!G661,"NULL")</f>
        <v>90</v>
      </c>
      <c r="E661" s="16" t="n">
        <f aca="false">IF('Boletins Nuppa Site'!H661&lt;&gt;0,'Boletins Nuppa Site'!H661,"NULL")</f>
        <v>80</v>
      </c>
      <c r="F661" s="16" t="n">
        <f aca="false">IF('Boletins Nuppa Site'!I661&lt;&gt;0,'Boletins Nuppa Site'!I661,"NULL")</f>
        <v>90</v>
      </c>
      <c r="G661" s="1" t="str">
        <f aca="false">IF('Boletins Nuppa Site'!J661&lt;&gt;0,'Boletins Nuppa Site'!J661,"NULL")</f>
        <v>86.67</v>
      </c>
      <c r="H661" s="16" t="n">
        <f aca="false">IF('Boletins Nuppa Site'!K661&lt;&gt;0,'Boletins Nuppa Site'!K661,"NULL")</f>
        <v>90</v>
      </c>
      <c r="J661" s="1" t="str">
        <f aca="false">"INSERT INTO COTACAO (blt_id, pap_id, cot_prc_comum, cot_prc_min, cot_prc_max, cot_prc_med, cot_prc_mediana) VALUES ("&amp;B661&amp;", "&amp;C661&amp;", "&amp;D661&amp;", "&amp;E661&amp;", "&amp;F661&amp;", "&amp;G661&amp;", "&amp;H661&amp;");"</f>
        <v>INSERT INTO COTACAO (blt_id, pap_id, cot_prc_comum, cot_prc_min, cot_prc_max, cot_prc_med, cot_prc_mediana) VALUES (17, 28, 90, 80, 90, 86.67, 90);</v>
      </c>
    </row>
    <row r="662" customFormat="false" ht="14.25" hidden="false" customHeight="false" outlineLevel="0" collapsed="false">
      <c r="A662" s="1" t="n">
        <v>661</v>
      </c>
      <c r="B662" s="1" t="n">
        <v>17</v>
      </c>
      <c r="C662" s="1" t="n">
        <v>29</v>
      </c>
      <c r="D662" s="16" t="n">
        <f aca="false">IF('Boletins Nuppa Site'!G662&lt;&gt;0,'Boletins Nuppa Site'!G662,"NULL")</f>
        <v>75</v>
      </c>
      <c r="E662" s="16" t="n">
        <f aca="false">IF('Boletins Nuppa Site'!H662&lt;&gt;0,'Boletins Nuppa Site'!H662,"NULL")</f>
        <v>75</v>
      </c>
      <c r="F662" s="16" t="n">
        <f aca="false">IF('Boletins Nuppa Site'!I662&lt;&gt;0,'Boletins Nuppa Site'!I662,"NULL")</f>
        <v>75</v>
      </c>
      <c r="G662" s="16" t="n">
        <f aca="false">IF('Boletins Nuppa Site'!J662&lt;&gt;0,'Boletins Nuppa Site'!J662,"NULL")</f>
        <v>75</v>
      </c>
      <c r="H662" s="16" t="n">
        <f aca="false">IF('Boletins Nuppa Site'!K662&lt;&gt;0,'Boletins Nuppa Site'!K662,"NULL")</f>
        <v>75</v>
      </c>
      <c r="J662" s="1" t="str">
        <f aca="false">"INSERT INTO COTACAO (blt_id, pap_id, cot_prc_comum, cot_prc_min, cot_prc_max, cot_prc_med, cot_prc_mediana) VALUES ("&amp;B662&amp;", "&amp;C662&amp;", "&amp;D662&amp;", "&amp;E662&amp;", "&amp;F662&amp;", "&amp;G662&amp;", "&amp;H662&amp;");"</f>
        <v>INSERT INTO COTACAO (blt_id, pap_id, cot_prc_comum, cot_prc_min, cot_prc_max, cot_prc_med, cot_prc_mediana) VALUES (17, 29, 75, 75, 75, 75, 75);</v>
      </c>
    </row>
    <row r="663" customFormat="false" ht="14.25" hidden="false" customHeight="false" outlineLevel="0" collapsed="false">
      <c r="A663" s="1" t="n">
        <v>662</v>
      </c>
      <c r="B663" s="1" t="n">
        <v>17</v>
      </c>
      <c r="C663" s="1" t="n">
        <v>30</v>
      </c>
      <c r="D663" s="1" t="str">
        <f aca="false">IF('Boletins Nuppa Site'!G663&lt;&gt;0,'Boletins Nuppa Site'!G663,"NULL")</f>
        <v>NULL</v>
      </c>
      <c r="E663" s="16" t="n">
        <f aca="false">IF('Boletins Nuppa Site'!H663&lt;&gt;0,'Boletins Nuppa Site'!H663,"NULL")</f>
        <v>50</v>
      </c>
      <c r="F663" s="16" t="n">
        <f aca="false">IF('Boletins Nuppa Site'!I663&lt;&gt;0,'Boletins Nuppa Site'!I663,"NULL")</f>
        <v>85</v>
      </c>
      <c r="G663" s="1" t="str">
        <f aca="false">IF('Boletins Nuppa Site'!J663&lt;&gt;0,'Boletins Nuppa Site'!J663,"NULL")</f>
        <v>68.33</v>
      </c>
      <c r="H663" s="16" t="n">
        <f aca="false">IF('Boletins Nuppa Site'!K663&lt;&gt;0,'Boletins Nuppa Site'!K663,"NULL")</f>
        <v>70</v>
      </c>
      <c r="J663" s="1" t="str">
        <f aca="false">"INSERT INTO COTACAO (blt_id, pap_id, cot_prc_comum, cot_prc_min, cot_prc_max, cot_prc_med, cot_prc_mediana) VALUES ("&amp;B663&amp;", "&amp;C663&amp;", "&amp;D663&amp;", "&amp;E663&amp;", "&amp;F663&amp;", "&amp;G663&amp;", "&amp;H663&amp;");"</f>
        <v>INSERT INTO COTACAO (blt_id, pap_id, cot_prc_comum, cot_prc_min, cot_prc_max, cot_prc_med, cot_prc_mediana) VALUES (17, 30, NULL, 50, 85, 68.33, 70);</v>
      </c>
    </row>
    <row r="664" customFormat="false" ht="14.25" hidden="false" customHeight="false" outlineLevel="0" collapsed="false">
      <c r="A664" s="1" t="n">
        <v>663</v>
      </c>
      <c r="B664" s="1" t="n">
        <v>17</v>
      </c>
      <c r="C664" s="1" t="n">
        <v>31</v>
      </c>
      <c r="D664" s="16" t="n">
        <f aca="false">IF('Boletins Nuppa Site'!G664&lt;&gt;0,'Boletins Nuppa Site'!G664,"NULL")</f>
        <v>80</v>
      </c>
      <c r="E664" s="16" t="n">
        <f aca="false">IF('Boletins Nuppa Site'!H664&lt;&gt;0,'Boletins Nuppa Site'!H664,"NULL")</f>
        <v>80</v>
      </c>
      <c r="F664" s="16" t="n">
        <f aca="false">IF('Boletins Nuppa Site'!I664&lt;&gt;0,'Boletins Nuppa Site'!I664,"NULL")</f>
        <v>150</v>
      </c>
      <c r="G664" s="16" t="n">
        <f aca="false">IF('Boletins Nuppa Site'!J664&lt;&gt;0,'Boletins Nuppa Site'!J664,"NULL")</f>
        <v>100</v>
      </c>
      <c r="H664" s="16" t="n">
        <f aca="false">IF('Boletins Nuppa Site'!K664&lt;&gt;0,'Boletins Nuppa Site'!K664,"NULL")</f>
        <v>85</v>
      </c>
      <c r="J664" s="1" t="str">
        <f aca="false">"INSERT INTO COTACAO (blt_id, pap_id, cot_prc_comum, cot_prc_min, cot_prc_max, cot_prc_med, cot_prc_mediana) VALUES ("&amp;B664&amp;", "&amp;C664&amp;", "&amp;D664&amp;", "&amp;E664&amp;", "&amp;F664&amp;", "&amp;G664&amp;", "&amp;H664&amp;");"</f>
        <v>INSERT INTO COTACAO (blt_id, pap_id, cot_prc_comum, cot_prc_min, cot_prc_max, cot_prc_med, cot_prc_mediana) VALUES (17, 31, 80, 80, 150, 100, 85);</v>
      </c>
    </row>
    <row r="665" customFormat="false" ht="14.25" hidden="false" customHeight="false" outlineLevel="0" collapsed="false">
      <c r="A665" s="1" t="n">
        <v>664</v>
      </c>
      <c r="B665" s="1" t="n">
        <v>17</v>
      </c>
      <c r="C665" s="1" t="n">
        <v>32</v>
      </c>
      <c r="D665" s="16" t="n">
        <f aca="false">IF('Boletins Nuppa Site'!G665&lt;&gt;0,'Boletins Nuppa Site'!G665,"NULL")</f>
        <v>50</v>
      </c>
      <c r="E665" s="16" t="n">
        <f aca="false">IF('Boletins Nuppa Site'!H665&lt;&gt;0,'Boletins Nuppa Site'!H665,"NULL")</f>
        <v>50</v>
      </c>
      <c r="F665" s="16" t="n">
        <f aca="false">IF('Boletins Nuppa Site'!I665&lt;&gt;0,'Boletins Nuppa Site'!I665,"NULL")</f>
        <v>65</v>
      </c>
      <c r="G665" s="16" t="n">
        <f aca="false">IF('Boletins Nuppa Site'!J665&lt;&gt;0,'Boletins Nuppa Site'!J665,"NULL")</f>
        <v>56</v>
      </c>
      <c r="H665" s="16" t="n">
        <f aca="false">IF('Boletins Nuppa Site'!K665&lt;&gt;0,'Boletins Nuppa Site'!K665,"NULL")</f>
        <v>55</v>
      </c>
      <c r="J665" s="1" t="str">
        <f aca="false">"INSERT INTO COTACAO (blt_id, pap_id, cot_prc_comum, cot_prc_min, cot_prc_max, cot_prc_med, cot_prc_mediana) VALUES ("&amp;B665&amp;", "&amp;C665&amp;", "&amp;D665&amp;", "&amp;E665&amp;", "&amp;F665&amp;", "&amp;G665&amp;", "&amp;H665&amp;");"</f>
        <v>INSERT INTO COTACAO (blt_id, pap_id, cot_prc_comum, cot_prc_min, cot_prc_max, cot_prc_med, cot_prc_mediana) VALUES (17, 32, 50, 50, 65, 56, 55);</v>
      </c>
    </row>
    <row r="666" customFormat="false" ht="14.25" hidden="false" customHeight="false" outlineLevel="0" collapsed="false">
      <c r="A666" s="1" t="n">
        <v>665</v>
      </c>
      <c r="B666" s="1" t="n">
        <v>17</v>
      </c>
      <c r="C666" s="1" t="n">
        <v>33</v>
      </c>
      <c r="D666" s="16" t="n">
        <f aca="false">IF('Boletins Nuppa Site'!G666&lt;&gt;0,'Boletins Nuppa Site'!G666,"NULL")</f>
        <v>120</v>
      </c>
      <c r="E666" s="16" t="n">
        <f aca="false">IF('Boletins Nuppa Site'!H666&lt;&gt;0,'Boletins Nuppa Site'!H666,"NULL")</f>
        <v>100</v>
      </c>
      <c r="F666" s="16" t="n">
        <f aca="false">IF('Boletins Nuppa Site'!I666&lt;&gt;0,'Boletins Nuppa Site'!I666,"NULL")</f>
        <v>120</v>
      </c>
      <c r="G666" s="1" t="str">
        <f aca="false">IF('Boletins Nuppa Site'!J666&lt;&gt;0,'Boletins Nuppa Site'!J666,"NULL")</f>
        <v>112.5</v>
      </c>
      <c r="H666" s="16" t="n">
        <f aca="false">IF('Boletins Nuppa Site'!K666&lt;&gt;0,'Boletins Nuppa Site'!K666,"NULL")</f>
        <v>115</v>
      </c>
      <c r="J666" s="1" t="str">
        <f aca="false">"INSERT INTO COTACAO (blt_id, pap_id, cot_prc_comum, cot_prc_min, cot_prc_max, cot_prc_med, cot_prc_mediana) VALUES ("&amp;B666&amp;", "&amp;C666&amp;", "&amp;D666&amp;", "&amp;E666&amp;", "&amp;F666&amp;", "&amp;G666&amp;", "&amp;H666&amp;");"</f>
        <v>INSERT INTO COTACAO (blt_id, pap_id, cot_prc_comum, cot_prc_min, cot_prc_max, cot_prc_med, cot_prc_mediana) VALUES (17, 33, 120, 100, 120, 112.5, 115);</v>
      </c>
    </row>
    <row r="667" customFormat="false" ht="14.25" hidden="false" customHeight="false" outlineLevel="0" collapsed="false">
      <c r="A667" s="1" t="n">
        <v>666</v>
      </c>
      <c r="B667" s="1" t="n">
        <v>17</v>
      </c>
      <c r="C667" s="1" t="n">
        <v>34</v>
      </c>
      <c r="D667" s="16" t="n">
        <f aca="false">IF('Boletins Nuppa Site'!G667&lt;&gt;0,'Boletins Nuppa Site'!G667,"NULL")</f>
        <v>140</v>
      </c>
      <c r="E667" s="16" t="n">
        <f aca="false">IF('Boletins Nuppa Site'!H667&lt;&gt;0,'Boletins Nuppa Site'!H667,"NULL")</f>
        <v>80</v>
      </c>
      <c r="F667" s="16" t="n">
        <f aca="false">IF('Boletins Nuppa Site'!I667&lt;&gt;0,'Boletins Nuppa Site'!I667,"NULL")</f>
        <v>140</v>
      </c>
      <c r="G667" s="1" t="str">
        <f aca="false">IF('Boletins Nuppa Site'!J667&lt;&gt;0,'Boletins Nuppa Site'!J667,"NULL")</f>
        <v>111.67</v>
      </c>
      <c r="H667" s="16" t="n">
        <f aca="false">IF('Boletins Nuppa Site'!K667&lt;&gt;0,'Boletins Nuppa Site'!K667,"NULL")</f>
        <v>105</v>
      </c>
      <c r="J667" s="1" t="str">
        <f aca="false">"INSERT INTO COTACAO (blt_id, pap_id, cot_prc_comum, cot_prc_min, cot_prc_max, cot_prc_med, cot_prc_mediana) VALUES ("&amp;B667&amp;", "&amp;C667&amp;", "&amp;D667&amp;", "&amp;E667&amp;", "&amp;F667&amp;", "&amp;G667&amp;", "&amp;H667&amp;");"</f>
        <v>INSERT INTO COTACAO (blt_id, pap_id, cot_prc_comum, cot_prc_min, cot_prc_max, cot_prc_med, cot_prc_mediana) VALUES (17, 34, 140, 80, 140, 111.67, 105);</v>
      </c>
    </row>
    <row r="668" customFormat="false" ht="14.25" hidden="false" customHeight="false" outlineLevel="0" collapsed="false">
      <c r="A668" s="1" t="n">
        <v>667</v>
      </c>
      <c r="B668" s="1" t="n">
        <v>17</v>
      </c>
      <c r="C668" s="1" t="n">
        <v>35</v>
      </c>
      <c r="D668" s="16" t="n">
        <f aca="false">IF('Boletins Nuppa Site'!G668&lt;&gt;0,'Boletins Nuppa Site'!G668,"NULL")</f>
        <v>200</v>
      </c>
      <c r="E668" s="16" t="n">
        <f aca="false">IF('Boletins Nuppa Site'!H668&lt;&gt;0,'Boletins Nuppa Site'!H668,"NULL")</f>
        <v>170</v>
      </c>
      <c r="F668" s="16" t="n">
        <f aca="false">IF('Boletins Nuppa Site'!I668&lt;&gt;0,'Boletins Nuppa Site'!I668,"NULL")</f>
        <v>200</v>
      </c>
      <c r="G668" s="16" t="n">
        <f aca="false">IF('Boletins Nuppa Site'!J668&lt;&gt;0,'Boletins Nuppa Site'!J668,"NULL")</f>
        <v>190</v>
      </c>
      <c r="H668" s="16" t="n">
        <f aca="false">IF('Boletins Nuppa Site'!K668&lt;&gt;0,'Boletins Nuppa Site'!K668,"NULL")</f>
        <v>200</v>
      </c>
      <c r="J668" s="1" t="str">
        <f aca="false">"INSERT INTO COTACAO (blt_id, pap_id, cot_prc_comum, cot_prc_min, cot_prc_max, cot_prc_med, cot_prc_mediana) VALUES ("&amp;B668&amp;", "&amp;C668&amp;", "&amp;D668&amp;", "&amp;E668&amp;", "&amp;F668&amp;", "&amp;G668&amp;", "&amp;H668&amp;");"</f>
        <v>INSERT INTO COTACAO (blt_id, pap_id, cot_prc_comum, cot_prc_min, cot_prc_max, cot_prc_med, cot_prc_mediana) VALUES (17, 35, 200, 170, 200, 190, 200);</v>
      </c>
    </row>
    <row r="669" customFormat="false" ht="14.25" hidden="false" customHeight="false" outlineLevel="0" collapsed="false">
      <c r="A669" s="1" t="n">
        <v>668</v>
      </c>
      <c r="B669" s="1" t="n">
        <v>17</v>
      </c>
      <c r="C669" s="1" t="n">
        <v>36</v>
      </c>
      <c r="D669" s="1" t="str">
        <f aca="false">IF('Boletins Nuppa Site'!G669&lt;&gt;0,'Boletins Nuppa Site'!G669,"NULL")</f>
        <v>NULL</v>
      </c>
      <c r="E669" s="16" t="n">
        <f aca="false">IF('Boletins Nuppa Site'!H669&lt;&gt;0,'Boletins Nuppa Site'!H669,"NULL")</f>
        <v>170</v>
      </c>
      <c r="F669" s="16" t="n">
        <f aca="false">IF('Boletins Nuppa Site'!I669&lt;&gt;0,'Boletins Nuppa Site'!I669,"NULL")</f>
        <v>170</v>
      </c>
      <c r="G669" s="16" t="n">
        <f aca="false">IF('Boletins Nuppa Site'!J669&lt;&gt;0,'Boletins Nuppa Site'!J669,"NULL")</f>
        <v>170</v>
      </c>
      <c r="H669" s="16" t="n">
        <f aca="false">IF('Boletins Nuppa Site'!K669&lt;&gt;0,'Boletins Nuppa Site'!K669,"NULL")</f>
        <v>170</v>
      </c>
      <c r="J669" s="1" t="str">
        <f aca="false">"INSERT INTO COTACAO (blt_id, pap_id, cot_prc_comum, cot_prc_min, cot_prc_max, cot_prc_med, cot_prc_mediana) VALUES ("&amp;B669&amp;", "&amp;C669&amp;", "&amp;D669&amp;", "&amp;E669&amp;", "&amp;F669&amp;", "&amp;G669&amp;", "&amp;H669&amp;");"</f>
        <v>INSERT INTO COTACAO (blt_id, pap_id, cot_prc_comum, cot_prc_min, cot_prc_max, cot_prc_med, cot_prc_mediana) VALUES (17, 36, NULL, 170, 170, 170, 170);</v>
      </c>
    </row>
    <row r="670" customFormat="false" ht="14.25" hidden="false" customHeight="false" outlineLevel="0" collapsed="false">
      <c r="A670" s="1" t="n">
        <v>669</v>
      </c>
      <c r="B670" s="1" t="n">
        <v>17</v>
      </c>
      <c r="C670" s="1" t="n">
        <v>37</v>
      </c>
      <c r="D670" s="1" t="str">
        <f aca="false">IF('Boletins Nuppa Site'!G670&lt;&gt;0,'Boletins Nuppa Site'!G670,"NULL")</f>
        <v>NULL</v>
      </c>
      <c r="E670" s="16" t="n">
        <f aca="false">IF('Boletins Nuppa Site'!H670&lt;&gt;0,'Boletins Nuppa Site'!H670,"NULL")</f>
        <v>75</v>
      </c>
      <c r="F670" s="16" t="n">
        <f aca="false">IF('Boletins Nuppa Site'!I670&lt;&gt;0,'Boletins Nuppa Site'!I670,"NULL")</f>
        <v>75</v>
      </c>
      <c r="G670" s="16" t="n">
        <f aca="false">IF('Boletins Nuppa Site'!J670&lt;&gt;0,'Boletins Nuppa Site'!J670,"NULL")</f>
        <v>75</v>
      </c>
      <c r="H670" s="16" t="n">
        <f aca="false">IF('Boletins Nuppa Site'!K670&lt;&gt;0,'Boletins Nuppa Site'!K670,"NULL")</f>
        <v>75</v>
      </c>
      <c r="J670" s="1" t="str">
        <f aca="false">"INSERT INTO COTACAO (blt_id, pap_id, cot_prc_comum, cot_prc_min, cot_prc_max, cot_prc_med, cot_prc_mediana) VALUES ("&amp;B670&amp;", "&amp;C670&amp;", "&amp;D670&amp;", "&amp;E670&amp;", "&amp;F670&amp;", "&amp;G670&amp;", "&amp;H670&amp;");"</f>
        <v>INSERT INTO COTACAO (blt_id, pap_id, cot_prc_comum, cot_prc_min, cot_prc_max, cot_prc_med, cot_prc_mediana) VALUES (17, 37, NULL, 75, 75, 75, 75);</v>
      </c>
    </row>
    <row r="671" customFormat="false" ht="14.25" hidden="false" customHeight="false" outlineLevel="0" collapsed="false">
      <c r="A671" s="1" t="n">
        <v>670</v>
      </c>
      <c r="B671" s="1" t="n">
        <v>17</v>
      </c>
      <c r="C671" s="1" t="n">
        <v>38</v>
      </c>
      <c r="D671" s="1" t="str">
        <f aca="false">IF('Boletins Nuppa Site'!G671&lt;&gt;0,'Boletins Nuppa Site'!G671,"NULL")</f>
        <v>NULL</v>
      </c>
      <c r="E671" s="1" t="str">
        <f aca="false">IF('Boletins Nuppa Site'!H671&lt;&gt;0,'Boletins Nuppa Site'!H671,"NULL")</f>
        <v>NULL</v>
      </c>
      <c r="F671" s="1" t="str">
        <f aca="false">IF('Boletins Nuppa Site'!I671&lt;&gt;0,'Boletins Nuppa Site'!I671,"NULL")</f>
        <v>NULL</v>
      </c>
      <c r="G671" s="1" t="str">
        <f aca="false">IF('Boletins Nuppa Site'!J671&lt;&gt;0,'Boletins Nuppa Site'!J671,"NULL")</f>
        <v>NULL</v>
      </c>
      <c r="H671" s="1" t="str">
        <f aca="false">IF('Boletins Nuppa Site'!K671&lt;&gt;0,'Boletins Nuppa Site'!K671,"NULL")</f>
        <v>NULL</v>
      </c>
      <c r="J671" s="1" t="str">
        <f aca="false">"INSERT INTO COTACAO (blt_id, pap_id, cot_prc_comum, cot_prc_min, cot_prc_max, cot_prc_med, cot_prc_mediana) VALUES ("&amp;B671&amp;", "&amp;C671&amp;", "&amp;D671&amp;", "&amp;E671&amp;", "&amp;F671&amp;", "&amp;G671&amp;", "&amp;H671&amp;");"</f>
        <v>INSERT INTO COTACAO (blt_id, pap_id, cot_prc_comum, cot_prc_min, cot_prc_max, cot_prc_med, cot_prc_mediana) VALUES (17, 38, NULL, NULL, NULL, NULL, NULL);</v>
      </c>
    </row>
    <row r="672" customFormat="false" ht="14.25" hidden="false" customHeight="false" outlineLevel="0" collapsed="false">
      <c r="A672" s="1" t="n">
        <v>671</v>
      </c>
      <c r="B672" s="1" t="n">
        <v>17</v>
      </c>
      <c r="C672" s="1" t="n">
        <v>39</v>
      </c>
      <c r="D672" s="1" t="str">
        <f aca="false">IF('Boletins Nuppa Site'!G672&lt;&gt;0,'Boletins Nuppa Site'!G672,"NULL")</f>
        <v>NULL</v>
      </c>
      <c r="E672" s="16" t="n">
        <f aca="false">IF('Boletins Nuppa Site'!H672&lt;&gt;0,'Boletins Nuppa Site'!H672,"NULL")</f>
        <v>50</v>
      </c>
      <c r="F672" s="16" t="n">
        <f aca="false">IF('Boletins Nuppa Site'!I672&lt;&gt;0,'Boletins Nuppa Site'!I672,"NULL")</f>
        <v>50</v>
      </c>
      <c r="G672" s="16" t="n">
        <f aca="false">IF('Boletins Nuppa Site'!J672&lt;&gt;0,'Boletins Nuppa Site'!J672,"NULL")</f>
        <v>50</v>
      </c>
      <c r="H672" s="16" t="n">
        <f aca="false">IF('Boletins Nuppa Site'!K672&lt;&gt;0,'Boletins Nuppa Site'!K672,"NULL")</f>
        <v>50</v>
      </c>
      <c r="J672" s="1" t="str">
        <f aca="false">"INSERT INTO COTACAO (blt_id, pap_id, cot_prc_comum, cot_prc_min, cot_prc_max, cot_prc_med, cot_prc_mediana) VALUES ("&amp;B672&amp;", "&amp;C672&amp;", "&amp;D672&amp;", "&amp;E672&amp;", "&amp;F672&amp;", "&amp;G672&amp;", "&amp;H672&amp;");"</f>
        <v>INSERT INTO COTACAO (blt_id, pap_id, cot_prc_comum, cot_prc_min, cot_prc_max, cot_prc_med, cot_prc_mediana) VALUES (17, 39, NULL, 50, 50, 50, 50);</v>
      </c>
    </row>
    <row r="673" customFormat="false" ht="14.25" hidden="false" customHeight="false" outlineLevel="0" collapsed="false">
      <c r="A673" s="1" t="n">
        <v>672</v>
      </c>
      <c r="B673" s="1" t="n">
        <v>17</v>
      </c>
      <c r="C673" s="1" t="n">
        <v>40</v>
      </c>
      <c r="D673" s="1" t="str">
        <f aca="false">IF('Boletins Nuppa Site'!G673&lt;&gt;0,'Boletins Nuppa Site'!G673,"NULL")</f>
        <v>NULL</v>
      </c>
      <c r="E673" s="16" t="n">
        <f aca="false">IF('Boletins Nuppa Site'!H673&lt;&gt;0,'Boletins Nuppa Site'!H673,"NULL")</f>
        <v>50</v>
      </c>
      <c r="F673" s="16" t="n">
        <f aca="false">IF('Boletins Nuppa Site'!I673&lt;&gt;0,'Boletins Nuppa Site'!I673,"NULL")</f>
        <v>60</v>
      </c>
      <c r="G673" s="16" t="n">
        <f aca="false">IF('Boletins Nuppa Site'!J673&lt;&gt;0,'Boletins Nuppa Site'!J673,"NULL")</f>
        <v>55</v>
      </c>
      <c r="H673" s="16" t="n">
        <f aca="false">IF('Boletins Nuppa Site'!K673&lt;&gt;0,'Boletins Nuppa Site'!K673,"NULL")</f>
        <v>55</v>
      </c>
      <c r="J673" s="1" t="str">
        <f aca="false">"INSERT INTO COTACAO (blt_id, pap_id, cot_prc_comum, cot_prc_min, cot_prc_max, cot_prc_med, cot_prc_mediana) VALUES ("&amp;B673&amp;", "&amp;C673&amp;", "&amp;D673&amp;", "&amp;E673&amp;", "&amp;F673&amp;", "&amp;G673&amp;", "&amp;H673&amp;");"</f>
        <v>INSERT INTO COTACAO (blt_id, pap_id, cot_prc_comum, cot_prc_min, cot_prc_max, cot_prc_med, cot_prc_mediana) VALUES (17, 40, NULL, 50, 60, 55, 55);</v>
      </c>
    </row>
    <row r="674" customFormat="false" ht="14.25" hidden="false" customHeight="false" outlineLevel="0" collapsed="false">
      <c r="A674" s="1" t="n">
        <v>673</v>
      </c>
      <c r="B674" s="1" t="n">
        <v>18</v>
      </c>
      <c r="C674" s="1" t="n">
        <v>1</v>
      </c>
      <c r="D674" s="16" t="n">
        <f aca="false">IF('Boletins Nuppa Site'!G674&lt;&gt;0,'Boletins Nuppa Site'!G674,"NULL")</f>
        <v>60</v>
      </c>
      <c r="E674" s="16" t="n">
        <f aca="false">IF('Boletins Nuppa Site'!H674&lt;&gt;0,'Boletins Nuppa Site'!H674,"NULL")</f>
        <v>48</v>
      </c>
      <c r="F674" s="16" t="n">
        <f aca="false">IF('Boletins Nuppa Site'!I674&lt;&gt;0,'Boletins Nuppa Site'!I674,"NULL")</f>
        <v>66</v>
      </c>
      <c r="G674" s="1" t="str">
        <f aca="false">IF('Boletins Nuppa Site'!J674&lt;&gt;0,'Boletins Nuppa Site'!J674,"NULL")</f>
        <v>58.5</v>
      </c>
      <c r="H674" s="16" t="n">
        <f aca="false">IF('Boletins Nuppa Site'!K674&lt;&gt;0,'Boletins Nuppa Site'!K674,"NULL")</f>
        <v>60</v>
      </c>
      <c r="J674" s="1" t="str">
        <f aca="false">"INSERT INTO COTACAO (blt_id, pap_id, cot_prc_comum, cot_prc_min, cot_prc_max, cot_prc_med, cot_prc_mediana) VALUES ("&amp;B674&amp;", "&amp;C674&amp;", "&amp;D674&amp;", "&amp;E674&amp;", "&amp;F674&amp;", "&amp;G674&amp;", "&amp;H674&amp;");"</f>
        <v>INSERT INTO COTACAO (blt_id, pap_id, cot_prc_comum, cot_prc_min, cot_prc_max, cot_prc_med, cot_prc_mediana) VALUES (18, 1, 60, 48, 66, 58.5, 60);</v>
      </c>
    </row>
    <row r="675" customFormat="false" ht="14.25" hidden="false" customHeight="false" outlineLevel="0" collapsed="false">
      <c r="A675" s="1" t="n">
        <v>674</v>
      </c>
      <c r="B675" s="1" t="n">
        <v>18</v>
      </c>
      <c r="C675" s="1" t="n">
        <v>2</v>
      </c>
      <c r="D675" s="16" t="n">
        <f aca="false">IF('Boletins Nuppa Site'!G675&lt;&gt;0,'Boletins Nuppa Site'!G675,"NULL")</f>
        <v>84</v>
      </c>
      <c r="E675" s="16" t="n">
        <f aca="false">IF('Boletins Nuppa Site'!H675&lt;&gt;0,'Boletins Nuppa Site'!H675,"NULL")</f>
        <v>60</v>
      </c>
      <c r="F675" s="16" t="n">
        <f aca="false">IF('Boletins Nuppa Site'!I675&lt;&gt;0,'Boletins Nuppa Site'!I675,"NULL")</f>
        <v>84</v>
      </c>
      <c r="G675" s="16" t="n">
        <f aca="false">IF('Boletins Nuppa Site'!J675&lt;&gt;0,'Boletins Nuppa Site'!J675,"NULL")</f>
        <v>78</v>
      </c>
      <c r="H675" s="16" t="n">
        <f aca="false">IF('Boletins Nuppa Site'!K675&lt;&gt;0,'Boletins Nuppa Site'!K675,"NULL")</f>
        <v>84</v>
      </c>
      <c r="J675" s="1" t="str">
        <f aca="false">"INSERT INTO COTACAO (blt_id, pap_id, cot_prc_comum, cot_prc_min, cot_prc_max, cot_prc_med, cot_prc_mediana) VALUES ("&amp;B675&amp;", "&amp;C675&amp;", "&amp;D675&amp;", "&amp;E675&amp;", "&amp;F675&amp;", "&amp;G675&amp;", "&amp;H675&amp;");"</f>
        <v>INSERT INTO COTACAO (blt_id, pap_id, cot_prc_comum, cot_prc_min, cot_prc_max, cot_prc_med, cot_prc_mediana) VALUES (18, 2, 84, 60, 84, 78, 84);</v>
      </c>
    </row>
    <row r="676" customFormat="false" ht="14.25" hidden="false" customHeight="false" outlineLevel="0" collapsed="false">
      <c r="A676" s="1" t="n">
        <v>675</v>
      </c>
      <c r="B676" s="1" t="n">
        <v>18</v>
      </c>
      <c r="C676" s="1" t="n">
        <v>3</v>
      </c>
      <c r="D676" s="1" t="str">
        <f aca="false">IF('Boletins Nuppa Site'!G676&lt;&gt;0,'Boletins Nuppa Site'!G676,"NULL")</f>
        <v>NULL</v>
      </c>
      <c r="E676" s="16" t="n">
        <f aca="false">IF('Boletins Nuppa Site'!H676&lt;&gt;0,'Boletins Nuppa Site'!H676,"NULL")</f>
        <v>36</v>
      </c>
      <c r="F676" s="16" t="n">
        <f aca="false">IF('Boletins Nuppa Site'!I676&lt;&gt;0,'Boletins Nuppa Site'!I676,"NULL")</f>
        <v>54</v>
      </c>
      <c r="G676" s="1" t="str">
        <f aca="false">IF('Boletins Nuppa Site'!J676&lt;&gt;0,'Boletins Nuppa Site'!J676,"NULL")</f>
        <v>44.5</v>
      </c>
      <c r="H676" s="16" t="n">
        <f aca="false">IF('Boletins Nuppa Site'!K676&lt;&gt;0,'Boletins Nuppa Site'!K676,"NULL")</f>
        <v>44</v>
      </c>
      <c r="J676" s="1" t="str">
        <f aca="false">"INSERT INTO COTACAO (blt_id, pap_id, cot_prc_comum, cot_prc_min, cot_prc_max, cot_prc_med, cot_prc_mediana) VALUES ("&amp;B676&amp;", "&amp;C676&amp;", "&amp;D676&amp;", "&amp;E676&amp;", "&amp;F676&amp;", "&amp;G676&amp;", "&amp;H676&amp;");"</f>
        <v>INSERT INTO COTACAO (blt_id, pap_id, cot_prc_comum, cot_prc_min, cot_prc_max, cot_prc_med, cot_prc_mediana) VALUES (18, 3, NULL, 36, 54, 44.5, 44);</v>
      </c>
    </row>
    <row r="677" customFormat="false" ht="14.25" hidden="false" customHeight="false" outlineLevel="0" collapsed="false">
      <c r="A677" s="1" t="n">
        <v>676</v>
      </c>
      <c r="B677" s="1" t="n">
        <v>18</v>
      </c>
      <c r="C677" s="1" t="n">
        <v>4</v>
      </c>
      <c r="D677" s="16" t="n">
        <f aca="false">IF('Boletins Nuppa Site'!G677&lt;&gt;0,'Boletins Nuppa Site'!G677,"NULL")</f>
        <v>24</v>
      </c>
      <c r="E677" s="16" t="n">
        <f aca="false">IF('Boletins Nuppa Site'!H677&lt;&gt;0,'Boletins Nuppa Site'!H677,"NULL")</f>
        <v>24</v>
      </c>
      <c r="F677" s="16" t="n">
        <f aca="false">IF('Boletins Nuppa Site'!I677&lt;&gt;0,'Boletins Nuppa Site'!I677,"NULL")</f>
        <v>30</v>
      </c>
      <c r="G677" s="16" t="n">
        <f aca="false">IF('Boletins Nuppa Site'!J677&lt;&gt;0,'Boletins Nuppa Site'!J677,"NULL")</f>
        <v>27</v>
      </c>
      <c r="H677" s="16" t="n">
        <f aca="false">IF('Boletins Nuppa Site'!K677&lt;&gt;0,'Boletins Nuppa Site'!K677,"NULL")</f>
        <v>27</v>
      </c>
      <c r="J677" s="1" t="str">
        <f aca="false">"INSERT INTO COTACAO (blt_id, pap_id, cot_prc_comum, cot_prc_min, cot_prc_max, cot_prc_med, cot_prc_mediana) VALUES ("&amp;B677&amp;", "&amp;C677&amp;", "&amp;D677&amp;", "&amp;E677&amp;", "&amp;F677&amp;", "&amp;G677&amp;", "&amp;H677&amp;");"</f>
        <v>INSERT INTO COTACAO (blt_id, pap_id, cot_prc_comum, cot_prc_min, cot_prc_max, cot_prc_med, cot_prc_mediana) VALUES (18, 4, 24, 24, 30, 27, 27);</v>
      </c>
    </row>
    <row r="678" customFormat="false" ht="14.25" hidden="false" customHeight="false" outlineLevel="0" collapsed="false">
      <c r="A678" s="1" t="n">
        <v>677</v>
      </c>
      <c r="B678" s="1" t="n">
        <v>18</v>
      </c>
      <c r="C678" s="1" t="n">
        <v>5</v>
      </c>
      <c r="D678" s="16" t="n">
        <f aca="false">IF('Boletins Nuppa Site'!G678&lt;&gt;0,'Boletins Nuppa Site'!G678,"NULL")</f>
        <v>24</v>
      </c>
      <c r="E678" s="16" t="n">
        <f aca="false">IF('Boletins Nuppa Site'!H678&lt;&gt;0,'Boletins Nuppa Site'!H678,"NULL")</f>
        <v>24</v>
      </c>
      <c r="F678" s="16" t="n">
        <f aca="false">IF('Boletins Nuppa Site'!I678&lt;&gt;0,'Boletins Nuppa Site'!I678,"NULL")</f>
        <v>30</v>
      </c>
      <c r="G678" s="16" t="n">
        <f aca="false">IF('Boletins Nuppa Site'!J678&lt;&gt;0,'Boletins Nuppa Site'!J678,"NULL")</f>
        <v>27</v>
      </c>
      <c r="H678" s="16" t="n">
        <f aca="false">IF('Boletins Nuppa Site'!K678&lt;&gt;0,'Boletins Nuppa Site'!K678,"NULL")</f>
        <v>27</v>
      </c>
      <c r="J678" s="1" t="str">
        <f aca="false">"INSERT INTO COTACAO (blt_id, pap_id, cot_prc_comum, cot_prc_min, cot_prc_max, cot_prc_med, cot_prc_mediana) VALUES ("&amp;B678&amp;", "&amp;C678&amp;", "&amp;D678&amp;", "&amp;E678&amp;", "&amp;F678&amp;", "&amp;G678&amp;", "&amp;H678&amp;");"</f>
        <v>INSERT INTO COTACAO (blt_id, pap_id, cot_prc_comum, cot_prc_min, cot_prc_max, cot_prc_med, cot_prc_mediana) VALUES (18, 5, 24, 24, 30, 27, 27);</v>
      </c>
    </row>
    <row r="679" customFormat="false" ht="14.25" hidden="false" customHeight="false" outlineLevel="0" collapsed="false">
      <c r="A679" s="1" t="n">
        <v>678</v>
      </c>
      <c r="B679" s="1" t="n">
        <v>18</v>
      </c>
      <c r="C679" s="1" t="n">
        <v>6</v>
      </c>
      <c r="D679" s="16" t="n">
        <f aca="false">IF('Boletins Nuppa Site'!G679&lt;&gt;0,'Boletins Nuppa Site'!G679,"NULL")</f>
        <v>50</v>
      </c>
      <c r="E679" s="16" t="n">
        <f aca="false">IF('Boletins Nuppa Site'!H679&lt;&gt;0,'Boletins Nuppa Site'!H679,"NULL")</f>
        <v>48</v>
      </c>
      <c r="F679" s="16" t="n">
        <f aca="false">IF('Boletins Nuppa Site'!I679&lt;&gt;0,'Boletins Nuppa Site'!I679,"NULL")</f>
        <v>60</v>
      </c>
      <c r="G679" s="16" t="n">
        <f aca="false">IF('Boletins Nuppa Site'!J679&lt;&gt;0,'Boletins Nuppa Site'!J679,"NULL")</f>
        <v>52</v>
      </c>
      <c r="H679" s="16" t="n">
        <f aca="false">IF('Boletins Nuppa Site'!K679&lt;&gt;0,'Boletins Nuppa Site'!K679,"NULL")</f>
        <v>50</v>
      </c>
      <c r="J679" s="1" t="str">
        <f aca="false">"INSERT INTO COTACAO (blt_id, pap_id, cot_prc_comum, cot_prc_min, cot_prc_max, cot_prc_med, cot_prc_mediana) VALUES ("&amp;B679&amp;", "&amp;C679&amp;", "&amp;D679&amp;", "&amp;E679&amp;", "&amp;F679&amp;", "&amp;G679&amp;", "&amp;H679&amp;");"</f>
        <v>INSERT INTO COTACAO (blt_id, pap_id, cot_prc_comum, cot_prc_min, cot_prc_max, cot_prc_med, cot_prc_mediana) VALUES (18, 6, 50, 48, 60, 52, 50);</v>
      </c>
    </row>
    <row r="680" customFormat="false" ht="14.25" hidden="false" customHeight="false" outlineLevel="0" collapsed="false">
      <c r="A680" s="1" t="n">
        <v>679</v>
      </c>
      <c r="B680" s="1" t="n">
        <v>18</v>
      </c>
      <c r="C680" s="1" t="n">
        <v>7</v>
      </c>
      <c r="D680" s="16" t="n">
        <f aca="false">IF('Boletins Nuppa Site'!G680&lt;&gt;0,'Boletins Nuppa Site'!G680,"NULL")</f>
        <v>84</v>
      </c>
      <c r="E680" s="16" t="n">
        <f aca="false">IF('Boletins Nuppa Site'!H680&lt;&gt;0,'Boletins Nuppa Site'!H680,"NULL")</f>
        <v>84</v>
      </c>
      <c r="F680" s="16" t="n">
        <f aca="false">IF('Boletins Nuppa Site'!I680&lt;&gt;0,'Boletins Nuppa Site'!I680,"NULL")</f>
        <v>96</v>
      </c>
      <c r="G680" s="16" t="n">
        <f aca="false">IF('Boletins Nuppa Site'!J680&lt;&gt;0,'Boletins Nuppa Site'!J680,"NULL")</f>
        <v>90</v>
      </c>
      <c r="H680" s="16" t="n">
        <f aca="false">IF('Boletins Nuppa Site'!K680&lt;&gt;0,'Boletins Nuppa Site'!K680,"NULL")</f>
        <v>90</v>
      </c>
      <c r="J680" s="1" t="str">
        <f aca="false">"INSERT INTO COTACAO (blt_id, pap_id, cot_prc_comum, cot_prc_min, cot_prc_max, cot_prc_med, cot_prc_mediana) VALUES ("&amp;B680&amp;", "&amp;C680&amp;", "&amp;D680&amp;", "&amp;E680&amp;", "&amp;F680&amp;", "&amp;G680&amp;", "&amp;H680&amp;");"</f>
        <v>INSERT INTO COTACAO (blt_id, pap_id, cot_prc_comum, cot_prc_min, cot_prc_max, cot_prc_med, cot_prc_mediana) VALUES (18, 7, 84, 84, 96, 90, 90);</v>
      </c>
    </row>
    <row r="681" customFormat="false" ht="14.25" hidden="false" customHeight="false" outlineLevel="0" collapsed="false">
      <c r="A681" s="1" t="n">
        <v>680</v>
      </c>
      <c r="B681" s="1" t="n">
        <v>18</v>
      </c>
      <c r="C681" s="1" t="n">
        <v>8</v>
      </c>
      <c r="D681" s="16" t="n">
        <f aca="false">IF('Boletins Nuppa Site'!G681&lt;&gt;0,'Boletins Nuppa Site'!G681,"NULL")</f>
        <v>96</v>
      </c>
      <c r="E681" s="16" t="n">
        <f aca="false">IF('Boletins Nuppa Site'!H681&lt;&gt;0,'Boletins Nuppa Site'!H681,"NULL")</f>
        <v>84</v>
      </c>
      <c r="F681" s="16" t="n">
        <f aca="false">IF('Boletins Nuppa Site'!I681&lt;&gt;0,'Boletins Nuppa Site'!I681,"NULL")</f>
        <v>96</v>
      </c>
      <c r="G681" s="16" t="n">
        <f aca="false">IF('Boletins Nuppa Site'!J681&lt;&gt;0,'Boletins Nuppa Site'!J681,"NULL")</f>
        <v>93</v>
      </c>
      <c r="H681" s="16" t="n">
        <f aca="false">IF('Boletins Nuppa Site'!K681&lt;&gt;0,'Boletins Nuppa Site'!K681,"NULL")</f>
        <v>96</v>
      </c>
      <c r="J681" s="1" t="str">
        <f aca="false">"INSERT INTO COTACAO (blt_id, pap_id, cot_prc_comum, cot_prc_min, cot_prc_max, cot_prc_med, cot_prc_mediana) VALUES ("&amp;B681&amp;", "&amp;C681&amp;", "&amp;D681&amp;", "&amp;E681&amp;", "&amp;F681&amp;", "&amp;G681&amp;", "&amp;H681&amp;");"</f>
        <v>INSERT INTO COTACAO (blt_id, pap_id, cot_prc_comum, cot_prc_min, cot_prc_max, cot_prc_med, cot_prc_mediana) VALUES (18, 8, 96, 84, 96, 93, 96);</v>
      </c>
    </row>
    <row r="682" customFormat="false" ht="14.25" hidden="false" customHeight="false" outlineLevel="0" collapsed="false">
      <c r="A682" s="1" t="n">
        <v>681</v>
      </c>
      <c r="B682" s="1" t="n">
        <v>18</v>
      </c>
      <c r="C682" s="1" t="n">
        <v>9</v>
      </c>
      <c r="D682" s="16" t="n">
        <f aca="false">IF('Boletins Nuppa Site'!G682&lt;&gt;0,'Boletins Nuppa Site'!G682,"NULL")</f>
        <v>24</v>
      </c>
      <c r="E682" s="16" t="n">
        <f aca="false">IF('Boletins Nuppa Site'!H682&lt;&gt;0,'Boletins Nuppa Site'!H682,"NULL")</f>
        <v>24</v>
      </c>
      <c r="F682" s="16" t="n">
        <f aca="false">IF('Boletins Nuppa Site'!I682&lt;&gt;0,'Boletins Nuppa Site'!I682,"NULL")</f>
        <v>30</v>
      </c>
      <c r="G682" s="16" t="n">
        <f aca="false">IF('Boletins Nuppa Site'!J682&lt;&gt;0,'Boletins Nuppa Site'!J682,"NULL")</f>
        <v>27</v>
      </c>
      <c r="H682" s="16" t="n">
        <f aca="false">IF('Boletins Nuppa Site'!K682&lt;&gt;0,'Boletins Nuppa Site'!K682,"NULL")</f>
        <v>27</v>
      </c>
      <c r="J682" s="1" t="str">
        <f aca="false">"INSERT INTO COTACAO (blt_id, pap_id, cot_prc_comum, cot_prc_min, cot_prc_max, cot_prc_med, cot_prc_mediana) VALUES ("&amp;B682&amp;", "&amp;C682&amp;", "&amp;D682&amp;", "&amp;E682&amp;", "&amp;F682&amp;", "&amp;G682&amp;", "&amp;H682&amp;");"</f>
        <v>INSERT INTO COTACAO (blt_id, pap_id, cot_prc_comum, cot_prc_min, cot_prc_max, cot_prc_med, cot_prc_mediana) VALUES (18, 9, 24, 24, 30, 27, 27);</v>
      </c>
    </row>
    <row r="683" customFormat="false" ht="14.25" hidden="false" customHeight="false" outlineLevel="0" collapsed="false">
      <c r="A683" s="1" t="n">
        <v>682</v>
      </c>
      <c r="B683" s="1" t="n">
        <v>18</v>
      </c>
      <c r="C683" s="1" t="n">
        <v>10</v>
      </c>
      <c r="D683" s="16" t="n">
        <f aca="false">IF('Boletins Nuppa Site'!G683&lt;&gt;0,'Boletins Nuppa Site'!G683,"NULL")</f>
        <v>96</v>
      </c>
      <c r="E683" s="16" t="n">
        <f aca="false">IF('Boletins Nuppa Site'!H683&lt;&gt;0,'Boletins Nuppa Site'!H683,"NULL")</f>
        <v>96</v>
      </c>
      <c r="F683" s="16" t="n">
        <f aca="false">IF('Boletins Nuppa Site'!I683&lt;&gt;0,'Boletins Nuppa Site'!I683,"NULL")</f>
        <v>120</v>
      </c>
      <c r="G683" s="16" t="n">
        <f aca="false">IF('Boletins Nuppa Site'!J683&lt;&gt;0,'Boletins Nuppa Site'!J683,"NULL")</f>
        <v>102</v>
      </c>
      <c r="H683" s="16" t="n">
        <f aca="false">IF('Boletins Nuppa Site'!K683&lt;&gt;0,'Boletins Nuppa Site'!K683,"NULL")</f>
        <v>96</v>
      </c>
      <c r="J683" s="1" t="str">
        <f aca="false">"INSERT INTO COTACAO (blt_id, pap_id, cot_prc_comum, cot_prc_min, cot_prc_max, cot_prc_med, cot_prc_mediana) VALUES ("&amp;B683&amp;", "&amp;C683&amp;", "&amp;D683&amp;", "&amp;E683&amp;", "&amp;F683&amp;", "&amp;G683&amp;", "&amp;H683&amp;");"</f>
        <v>INSERT INTO COTACAO (blt_id, pap_id, cot_prc_comum, cot_prc_min, cot_prc_max, cot_prc_med, cot_prc_mediana) VALUES (18, 10, 96, 96, 120, 102, 96);</v>
      </c>
    </row>
    <row r="684" customFormat="false" ht="14.25" hidden="false" customHeight="false" outlineLevel="0" collapsed="false">
      <c r="A684" s="1" t="n">
        <v>683</v>
      </c>
      <c r="B684" s="1" t="n">
        <v>18</v>
      </c>
      <c r="C684" s="1" t="n">
        <v>11</v>
      </c>
      <c r="D684" s="16" t="n">
        <f aca="false">IF('Boletins Nuppa Site'!G684&lt;&gt;0,'Boletins Nuppa Site'!G684,"NULL")</f>
        <v>24</v>
      </c>
      <c r="E684" s="16" t="n">
        <f aca="false">IF('Boletins Nuppa Site'!H684&lt;&gt;0,'Boletins Nuppa Site'!H684,"NULL")</f>
        <v>24</v>
      </c>
      <c r="F684" s="16" t="n">
        <f aca="false">IF('Boletins Nuppa Site'!I684&lt;&gt;0,'Boletins Nuppa Site'!I684,"NULL")</f>
        <v>30</v>
      </c>
      <c r="G684" s="16" t="n">
        <f aca="false">IF('Boletins Nuppa Site'!J684&lt;&gt;0,'Boletins Nuppa Site'!J684,"NULL")</f>
        <v>27</v>
      </c>
      <c r="H684" s="16" t="n">
        <f aca="false">IF('Boletins Nuppa Site'!K684&lt;&gt;0,'Boletins Nuppa Site'!K684,"NULL")</f>
        <v>27</v>
      </c>
      <c r="J684" s="1" t="str">
        <f aca="false">"INSERT INTO COTACAO (blt_id, pap_id, cot_prc_comum, cot_prc_min, cot_prc_max, cot_prc_med, cot_prc_mediana) VALUES ("&amp;B684&amp;", "&amp;C684&amp;", "&amp;D684&amp;", "&amp;E684&amp;", "&amp;F684&amp;", "&amp;G684&amp;", "&amp;H684&amp;");"</f>
        <v>INSERT INTO COTACAO (blt_id, pap_id, cot_prc_comum, cot_prc_min, cot_prc_max, cot_prc_med, cot_prc_mediana) VALUES (18, 11, 24, 24, 30, 27, 27);</v>
      </c>
    </row>
    <row r="685" customFormat="false" ht="14.25" hidden="false" customHeight="false" outlineLevel="0" collapsed="false">
      <c r="A685" s="1" t="n">
        <v>684</v>
      </c>
      <c r="B685" s="1" t="n">
        <v>18</v>
      </c>
      <c r="C685" s="1" t="n">
        <v>12</v>
      </c>
      <c r="D685" s="1" t="str">
        <f aca="false">IF('Boletins Nuppa Site'!G685&lt;&gt;0,'Boletins Nuppa Site'!G685,"NULL")</f>
        <v>NULL</v>
      </c>
      <c r="E685" s="16" t="n">
        <f aca="false">IF('Boletins Nuppa Site'!H685&lt;&gt;0,'Boletins Nuppa Site'!H685,"NULL")</f>
        <v>66</v>
      </c>
      <c r="F685" s="16" t="n">
        <f aca="false">IF('Boletins Nuppa Site'!I685&lt;&gt;0,'Boletins Nuppa Site'!I685,"NULL")</f>
        <v>86</v>
      </c>
      <c r="G685" s="1" t="str">
        <f aca="false">IF('Boletins Nuppa Site'!J685&lt;&gt;0,'Boletins Nuppa Site'!J685,"NULL")</f>
        <v>75.5</v>
      </c>
      <c r="H685" s="16" t="n">
        <f aca="false">IF('Boletins Nuppa Site'!K685&lt;&gt;0,'Boletins Nuppa Site'!K685,"NULL")</f>
        <v>75</v>
      </c>
      <c r="J685" s="1" t="str">
        <f aca="false">"INSERT INTO COTACAO (blt_id, pap_id, cot_prc_comum, cot_prc_min, cot_prc_max, cot_prc_med, cot_prc_mediana) VALUES ("&amp;B685&amp;", "&amp;C685&amp;", "&amp;D685&amp;", "&amp;E685&amp;", "&amp;F685&amp;", "&amp;G685&amp;", "&amp;H685&amp;");"</f>
        <v>INSERT INTO COTACAO (blt_id, pap_id, cot_prc_comum, cot_prc_min, cot_prc_max, cot_prc_med, cot_prc_mediana) VALUES (18, 12, NULL, 66, 86, 75.5, 75);</v>
      </c>
    </row>
    <row r="686" customFormat="false" ht="14.25" hidden="false" customHeight="false" outlineLevel="0" collapsed="false">
      <c r="A686" s="1" t="n">
        <v>685</v>
      </c>
      <c r="B686" s="1" t="n">
        <v>18</v>
      </c>
      <c r="C686" s="1" t="n">
        <v>13</v>
      </c>
      <c r="D686" s="16" t="n">
        <f aca="false">IF('Boletins Nuppa Site'!G686&lt;&gt;0,'Boletins Nuppa Site'!G686,"NULL")</f>
        <v>48</v>
      </c>
      <c r="E686" s="16" t="n">
        <f aca="false">IF('Boletins Nuppa Site'!H686&lt;&gt;0,'Boletins Nuppa Site'!H686,"NULL")</f>
        <v>48</v>
      </c>
      <c r="F686" s="16" t="n">
        <f aca="false">IF('Boletins Nuppa Site'!I686&lt;&gt;0,'Boletins Nuppa Site'!I686,"NULL")</f>
        <v>72</v>
      </c>
      <c r="G686" s="16" t="n">
        <f aca="false">IF('Boletins Nuppa Site'!J686&lt;&gt;0,'Boletins Nuppa Site'!J686,"NULL")</f>
        <v>57</v>
      </c>
      <c r="H686" s="16" t="n">
        <f aca="false">IF('Boletins Nuppa Site'!K686&lt;&gt;0,'Boletins Nuppa Site'!K686,"NULL")</f>
        <v>54</v>
      </c>
      <c r="J686" s="1" t="str">
        <f aca="false">"INSERT INTO COTACAO (blt_id, pap_id, cot_prc_comum, cot_prc_min, cot_prc_max, cot_prc_med, cot_prc_mediana) VALUES ("&amp;B686&amp;", "&amp;C686&amp;", "&amp;D686&amp;", "&amp;E686&amp;", "&amp;F686&amp;", "&amp;G686&amp;", "&amp;H686&amp;");"</f>
        <v>INSERT INTO COTACAO (blt_id, pap_id, cot_prc_comum, cot_prc_min, cot_prc_max, cot_prc_med, cot_prc_mediana) VALUES (18, 13, 48, 48, 72, 57, 54);</v>
      </c>
    </row>
    <row r="687" customFormat="false" ht="14.25" hidden="false" customHeight="false" outlineLevel="0" collapsed="false">
      <c r="A687" s="1" t="n">
        <v>686</v>
      </c>
      <c r="B687" s="1" t="n">
        <v>18</v>
      </c>
      <c r="C687" s="1" t="n">
        <v>14</v>
      </c>
      <c r="D687" s="1" t="str">
        <f aca="false">IF('Boletins Nuppa Site'!G687&lt;&gt;0,'Boletins Nuppa Site'!G687,"NULL")</f>
        <v>NULL</v>
      </c>
      <c r="E687" s="16" t="n">
        <f aca="false">IF('Boletins Nuppa Site'!H687&lt;&gt;0,'Boletins Nuppa Site'!H687,"NULL")</f>
        <v>60</v>
      </c>
      <c r="F687" s="16" t="n">
        <f aca="false">IF('Boletins Nuppa Site'!I687&lt;&gt;0,'Boletins Nuppa Site'!I687,"NULL")</f>
        <v>96</v>
      </c>
      <c r="G687" s="16" t="n">
        <f aca="false">IF('Boletins Nuppa Site'!J687&lt;&gt;0,'Boletins Nuppa Site'!J687,"NULL")</f>
        <v>78</v>
      </c>
      <c r="H687" s="16" t="n">
        <f aca="false">IF('Boletins Nuppa Site'!K687&lt;&gt;0,'Boletins Nuppa Site'!K687,"NULL")</f>
        <v>78</v>
      </c>
      <c r="J687" s="1" t="str">
        <f aca="false">"INSERT INTO COTACAO (blt_id, pap_id, cot_prc_comum, cot_prc_min, cot_prc_max, cot_prc_med, cot_prc_mediana) VALUES ("&amp;B687&amp;", "&amp;C687&amp;", "&amp;D687&amp;", "&amp;E687&amp;", "&amp;F687&amp;", "&amp;G687&amp;", "&amp;H687&amp;");"</f>
        <v>INSERT INTO COTACAO (blt_id, pap_id, cot_prc_comum, cot_prc_min, cot_prc_max, cot_prc_med, cot_prc_mediana) VALUES (18, 14, NULL, 60, 96, 78, 78);</v>
      </c>
    </row>
    <row r="688" customFormat="false" ht="14.25" hidden="false" customHeight="false" outlineLevel="0" collapsed="false">
      <c r="A688" s="1" t="n">
        <v>687</v>
      </c>
      <c r="B688" s="1" t="n">
        <v>18</v>
      </c>
      <c r="C688" s="1" t="n">
        <v>15</v>
      </c>
      <c r="D688" s="16" t="n">
        <f aca="false">IF('Boletins Nuppa Site'!G688&lt;&gt;0,'Boletins Nuppa Site'!G688,"NULL")</f>
        <v>48</v>
      </c>
      <c r="E688" s="16" t="n">
        <f aca="false">IF('Boletins Nuppa Site'!H688&lt;&gt;0,'Boletins Nuppa Site'!H688,"NULL")</f>
        <v>48</v>
      </c>
      <c r="F688" s="16" t="n">
        <f aca="false">IF('Boletins Nuppa Site'!I688&lt;&gt;0,'Boletins Nuppa Site'!I688,"NULL")</f>
        <v>72</v>
      </c>
      <c r="G688" s="1" t="str">
        <f aca="false">IF('Boletins Nuppa Site'!J688&lt;&gt;0,'Boletins Nuppa Site'!J688,"NULL")</f>
        <v>55.6</v>
      </c>
      <c r="H688" s="16" t="n">
        <f aca="false">IF('Boletins Nuppa Site'!K688&lt;&gt;0,'Boletins Nuppa Site'!K688,"NULL")</f>
        <v>50</v>
      </c>
      <c r="J688" s="1" t="str">
        <f aca="false">"INSERT INTO COTACAO (blt_id, pap_id, cot_prc_comum, cot_prc_min, cot_prc_max, cot_prc_med, cot_prc_mediana) VALUES ("&amp;B688&amp;", "&amp;C688&amp;", "&amp;D688&amp;", "&amp;E688&amp;", "&amp;F688&amp;", "&amp;G688&amp;", "&amp;H688&amp;");"</f>
        <v>INSERT INTO COTACAO (blt_id, pap_id, cot_prc_comum, cot_prc_min, cot_prc_max, cot_prc_med, cot_prc_mediana) VALUES (18, 15, 48, 48, 72, 55.6, 50);</v>
      </c>
    </row>
    <row r="689" customFormat="false" ht="14.25" hidden="false" customHeight="false" outlineLevel="0" collapsed="false">
      <c r="A689" s="1" t="n">
        <v>688</v>
      </c>
      <c r="B689" s="1" t="n">
        <v>18</v>
      </c>
      <c r="C689" s="1" t="n">
        <v>16</v>
      </c>
      <c r="D689" s="16" t="n">
        <f aca="false">IF('Boletins Nuppa Site'!G689&lt;&gt;0,'Boletins Nuppa Site'!G689,"NULL")</f>
        <v>54</v>
      </c>
      <c r="E689" s="16" t="n">
        <f aca="false">IF('Boletins Nuppa Site'!H689&lt;&gt;0,'Boletins Nuppa Site'!H689,"NULL")</f>
        <v>48</v>
      </c>
      <c r="F689" s="16" t="n">
        <f aca="false">IF('Boletins Nuppa Site'!I689&lt;&gt;0,'Boletins Nuppa Site'!I689,"NULL")</f>
        <v>60</v>
      </c>
      <c r="G689" s="16" t="n">
        <f aca="false">IF('Boletins Nuppa Site'!J689&lt;&gt;0,'Boletins Nuppa Site'!J689,"NULL")</f>
        <v>54</v>
      </c>
      <c r="H689" s="16" t="n">
        <f aca="false">IF('Boletins Nuppa Site'!K689&lt;&gt;0,'Boletins Nuppa Site'!K689,"NULL")</f>
        <v>54</v>
      </c>
      <c r="J689" s="1" t="str">
        <f aca="false">"INSERT INTO COTACAO (blt_id, pap_id, cot_prc_comum, cot_prc_min, cot_prc_max, cot_prc_med, cot_prc_mediana) VALUES ("&amp;B689&amp;", "&amp;C689&amp;", "&amp;D689&amp;", "&amp;E689&amp;", "&amp;F689&amp;", "&amp;G689&amp;", "&amp;H689&amp;");"</f>
        <v>INSERT INTO COTACAO (blt_id, pap_id, cot_prc_comum, cot_prc_min, cot_prc_max, cot_prc_med, cot_prc_mediana) VALUES (18, 16, 54, 48, 60, 54, 54);</v>
      </c>
    </row>
    <row r="690" customFormat="false" ht="14.25" hidden="false" customHeight="false" outlineLevel="0" collapsed="false">
      <c r="A690" s="1" t="n">
        <v>689</v>
      </c>
      <c r="B690" s="1" t="n">
        <v>18</v>
      </c>
      <c r="C690" s="1" t="n">
        <v>17</v>
      </c>
      <c r="D690" s="16" t="n">
        <f aca="false">IF('Boletins Nuppa Site'!G690&lt;&gt;0,'Boletins Nuppa Site'!G690,"NULL")</f>
        <v>5</v>
      </c>
      <c r="E690" s="16" t="n">
        <f aca="false">IF('Boletins Nuppa Site'!H690&lt;&gt;0,'Boletins Nuppa Site'!H690,"NULL")</f>
        <v>5</v>
      </c>
      <c r="F690" s="16" t="n">
        <f aca="false">IF('Boletins Nuppa Site'!I690&lt;&gt;0,'Boletins Nuppa Site'!I690,"NULL")</f>
        <v>6</v>
      </c>
      <c r="G690" s="1" t="str">
        <f aca="false">IF('Boletins Nuppa Site'!J690&lt;&gt;0,'Boletins Nuppa Site'!J690,"NULL")</f>
        <v>5.25</v>
      </c>
      <c r="H690" s="16" t="n">
        <f aca="false">IF('Boletins Nuppa Site'!K690&lt;&gt;0,'Boletins Nuppa Site'!K690,"NULL")</f>
        <v>5</v>
      </c>
      <c r="J690" s="1" t="str">
        <f aca="false">"INSERT INTO COTACAO (blt_id, pap_id, cot_prc_comum, cot_prc_min, cot_prc_max, cot_prc_med, cot_prc_mediana) VALUES ("&amp;B690&amp;", "&amp;C690&amp;", "&amp;D690&amp;", "&amp;E690&amp;", "&amp;F690&amp;", "&amp;G690&amp;", "&amp;H690&amp;");"</f>
        <v>INSERT INTO COTACAO (blt_id, pap_id, cot_prc_comum, cot_prc_min, cot_prc_max, cot_prc_med, cot_prc_mediana) VALUES (18, 17, 5, 5, 6, 5.25, 5);</v>
      </c>
    </row>
    <row r="691" customFormat="false" ht="14.25" hidden="false" customHeight="false" outlineLevel="0" collapsed="false">
      <c r="A691" s="1" t="n">
        <v>690</v>
      </c>
      <c r="B691" s="1" t="n">
        <v>18</v>
      </c>
      <c r="C691" s="1" t="n">
        <v>18</v>
      </c>
      <c r="D691" s="16" t="n">
        <f aca="false">IF('Boletins Nuppa Site'!G691&lt;&gt;0,'Boletins Nuppa Site'!G691,"NULL")</f>
        <v>20</v>
      </c>
      <c r="E691" s="16" t="n">
        <f aca="false">IF('Boletins Nuppa Site'!H691&lt;&gt;0,'Boletins Nuppa Site'!H691,"NULL")</f>
        <v>15</v>
      </c>
      <c r="F691" s="16" t="n">
        <f aca="false">IF('Boletins Nuppa Site'!I691&lt;&gt;0,'Boletins Nuppa Site'!I691,"NULL")</f>
        <v>25</v>
      </c>
      <c r="G691" s="16" t="n">
        <f aca="false">IF('Boletins Nuppa Site'!J691&lt;&gt;0,'Boletins Nuppa Site'!J691,"NULL")</f>
        <v>20</v>
      </c>
      <c r="H691" s="16" t="n">
        <f aca="false">IF('Boletins Nuppa Site'!K691&lt;&gt;0,'Boletins Nuppa Site'!K691,"NULL")</f>
        <v>20</v>
      </c>
      <c r="J691" s="1" t="str">
        <f aca="false">"INSERT INTO COTACAO (blt_id, pap_id, cot_prc_comum, cot_prc_min, cot_prc_max, cot_prc_med, cot_prc_mediana) VALUES ("&amp;B691&amp;", "&amp;C691&amp;", "&amp;D691&amp;", "&amp;E691&amp;", "&amp;F691&amp;", "&amp;G691&amp;", "&amp;H691&amp;");"</f>
        <v>INSERT INTO COTACAO (blt_id, pap_id, cot_prc_comum, cot_prc_min, cot_prc_max, cot_prc_med, cot_prc_mediana) VALUES (18, 18, 20, 15, 25, 20, 20);</v>
      </c>
    </row>
    <row r="692" customFormat="false" ht="14.25" hidden="false" customHeight="false" outlineLevel="0" collapsed="false">
      <c r="A692" s="1" t="n">
        <v>691</v>
      </c>
      <c r="B692" s="1" t="n">
        <v>18</v>
      </c>
      <c r="C692" s="1" t="n">
        <v>19</v>
      </c>
      <c r="D692" s="16" t="n">
        <f aca="false">IF('Boletins Nuppa Site'!G692&lt;&gt;0,'Boletins Nuppa Site'!G692,"NULL")</f>
        <v>25</v>
      </c>
      <c r="E692" s="16" t="n">
        <f aca="false">IF('Boletins Nuppa Site'!H692&lt;&gt;0,'Boletins Nuppa Site'!H692,"NULL")</f>
        <v>25</v>
      </c>
      <c r="F692" s="16" t="n">
        <f aca="false">IF('Boletins Nuppa Site'!I692&lt;&gt;0,'Boletins Nuppa Site'!I692,"NULL")</f>
        <v>35</v>
      </c>
      <c r="G692" s="16" t="n">
        <f aca="false">IF('Boletins Nuppa Site'!J692&lt;&gt;0,'Boletins Nuppa Site'!J692,"NULL")</f>
        <v>30</v>
      </c>
      <c r="H692" s="16" t="n">
        <f aca="false">IF('Boletins Nuppa Site'!K692&lt;&gt;0,'Boletins Nuppa Site'!K692,"NULL")</f>
        <v>30</v>
      </c>
      <c r="J692" s="1" t="str">
        <f aca="false">"INSERT INTO COTACAO (blt_id, pap_id, cot_prc_comum, cot_prc_min, cot_prc_max, cot_prc_med, cot_prc_mediana) VALUES ("&amp;B692&amp;", "&amp;C692&amp;", "&amp;D692&amp;", "&amp;E692&amp;", "&amp;F692&amp;", "&amp;G692&amp;", "&amp;H692&amp;");"</f>
        <v>INSERT INTO COTACAO (blt_id, pap_id, cot_prc_comum, cot_prc_min, cot_prc_max, cot_prc_med, cot_prc_mediana) VALUES (18, 19, 25, 25, 35, 30, 30);</v>
      </c>
    </row>
    <row r="693" customFormat="false" ht="14.25" hidden="false" customHeight="false" outlineLevel="0" collapsed="false">
      <c r="A693" s="1" t="n">
        <v>692</v>
      </c>
      <c r="B693" s="1" t="n">
        <v>18</v>
      </c>
      <c r="C693" s="1" t="n">
        <v>20</v>
      </c>
      <c r="D693" s="1" t="str">
        <f aca="false">IF('Boletins Nuppa Site'!G693&lt;&gt;0,'Boletins Nuppa Site'!G693,"NULL")</f>
        <v>NULL</v>
      </c>
      <c r="E693" s="16" t="n">
        <f aca="false">IF('Boletins Nuppa Site'!H693&lt;&gt;0,'Boletins Nuppa Site'!H693,"NULL")</f>
        <v>85</v>
      </c>
      <c r="F693" s="16" t="n">
        <f aca="false">IF('Boletins Nuppa Site'!I693&lt;&gt;0,'Boletins Nuppa Site'!I693,"NULL")</f>
        <v>85</v>
      </c>
      <c r="G693" s="16" t="n">
        <f aca="false">IF('Boletins Nuppa Site'!J693&lt;&gt;0,'Boletins Nuppa Site'!J693,"NULL")</f>
        <v>85</v>
      </c>
      <c r="H693" s="16" t="n">
        <f aca="false">IF('Boletins Nuppa Site'!K693&lt;&gt;0,'Boletins Nuppa Site'!K693,"NULL")</f>
        <v>85</v>
      </c>
      <c r="J693" s="1" t="str">
        <f aca="false">"INSERT INTO COTACAO (blt_id, pap_id, cot_prc_comum, cot_prc_min, cot_prc_max, cot_prc_med, cot_prc_mediana) VALUES ("&amp;B693&amp;", "&amp;C693&amp;", "&amp;D693&amp;", "&amp;E693&amp;", "&amp;F693&amp;", "&amp;G693&amp;", "&amp;H693&amp;");"</f>
        <v>INSERT INTO COTACAO (blt_id, pap_id, cot_prc_comum, cot_prc_min, cot_prc_max, cot_prc_med, cot_prc_mediana) VALUES (18, 20, NULL, 85, 85, 85, 85);</v>
      </c>
    </row>
    <row r="694" customFormat="false" ht="14.25" hidden="false" customHeight="false" outlineLevel="0" collapsed="false">
      <c r="A694" s="1" t="n">
        <v>693</v>
      </c>
      <c r="B694" s="1" t="n">
        <v>18</v>
      </c>
      <c r="C694" s="1" t="n">
        <v>21</v>
      </c>
      <c r="D694" s="16" t="n">
        <f aca="false">IF('Boletins Nuppa Site'!G694&lt;&gt;0,'Boletins Nuppa Site'!G694,"NULL")</f>
        <v>100</v>
      </c>
      <c r="E694" s="16" t="n">
        <f aca="false">IF('Boletins Nuppa Site'!H694&lt;&gt;0,'Boletins Nuppa Site'!H694,"NULL")</f>
        <v>80</v>
      </c>
      <c r="F694" s="16" t="n">
        <f aca="false">IF('Boletins Nuppa Site'!I694&lt;&gt;0,'Boletins Nuppa Site'!I694,"NULL")</f>
        <v>100</v>
      </c>
      <c r="G694" s="1" t="str">
        <f aca="false">IF('Boletins Nuppa Site'!J694&lt;&gt;0,'Boletins Nuppa Site'!J694,"NULL")</f>
        <v>93.33</v>
      </c>
      <c r="H694" s="16" t="n">
        <f aca="false">IF('Boletins Nuppa Site'!K694&lt;&gt;0,'Boletins Nuppa Site'!K694,"NULL")</f>
        <v>100</v>
      </c>
      <c r="J694" s="1" t="str">
        <f aca="false">"INSERT INTO COTACAO (blt_id, pap_id, cot_prc_comum, cot_prc_min, cot_prc_max, cot_prc_med, cot_prc_mediana) VALUES ("&amp;B694&amp;", "&amp;C694&amp;", "&amp;D694&amp;", "&amp;E694&amp;", "&amp;F694&amp;", "&amp;G694&amp;", "&amp;H694&amp;");"</f>
        <v>INSERT INTO COTACAO (blt_id, pap_id, cot_prc_comum, cot_prc_min, cot_prc_max, cot_prc_med, cot_prc_mediana) VALUES (18, 21, 100, 80, 100, 93.33, 100);</v>
      </c>
    </row>
    <row r="695" customFormat="false" ht="14.25" hidden="false" customHeight="false" outlineLevel="0" collapsed="false">
      <c r="A695" s="1" t="n">
        <v>694</v>
      </c>
      <c r="B695" s="1" t="n">
        <v>18</v>
      </c>
      <c r="C695" s="1" t="n">
        <v>22</v>
      </c>
      <c r="D695" s="16" t="n">
        <f aca="false">IF('Boletins Nuppa Site'!G695&lt;&gt;0,'Boletins Nuppa Site'!G695,"NULL")</f>
        <v>50</v>
      </c>
      <c r="E695" s="16" t="n">
        <f aca="false">IF('Boletins Nuppa Site'!H695&lt;&gt;0,'Boletins Nuppa Site'!H695,"NULL")</f>
        <v>50</v>
      </c>
      <c r="F695" s="16" t="n">
        <f aca="false">IF('Boletins Nuppa Site'!I695&lt;&gt;0,'Boletins Nuppa Site'!I695,"NULL")</f>
        <v>70</v>
      </c>
      <c r="G695" s="16" t="n">
        <f aca="false">IF('Boletins Nuppa Site'!J695&lt;&gt;0,'Boletins Nuppa Site'!J695,"NULL")</f>
        <v>60</v>
      </c>
      <c r="H695" s="16" t="n">
        <f aca="false">IF('Boletins Nuppa Site'!K695&lt;&gt;0,'Boletins Nuppa Site'!K695,"NULL")</f>
        <v>60</v>
      </c>
      <c r="J695" s="1" t="str">
        <f aca="false">"INSERT INTO COTACAO (blt_id, pap_id, cot_prc_comum, cot_prc_min, cot_prc_max, cot_prc_med, cot_prc_mediana) VALUES ("&amp;B695&amp;", "&amp;C695&amp;", "&amp;D695&amp;", "&amp;E695&amp;", "&amp;F695&amp;", "&amp;G695&amp;", "&amp;H695&amp;");"</f>
        <v>INSERT INTO COTACAO (blt_id, pap_id, cot_prc_comum, cot_prc_min, cot_prc_max, cot_prc_med, cot_prc_mediana) VALUES (18, 22, 50, 50, 70, 60, 60);</v>
      </c>
    </row>
    <row r="696" customFormat="false" ht="14.25" hidden="false" customHeight="false" outlineLevel="0" collapsed="false">
      <c r="A696" s="1" t="n">
        <v>695</v>
      </c>
      <c r="B696" s="1" t="n">
        <v>18</v>
      </c>
      <c r="C696" s="1" t="n">
        <v>23</v>
      </c>
      <c r="D696" s="1" t="str">
        <f aca="false">IF('Boletins Nuppa Site'!G696&lt;&gt;0,'Boletins Nuppa Site'!G696,"NULL")</f>
        <v>NULL</v>
      </c>
      <c r="E696" s="16" t="n">
        <f aca="false">IF('Boletins Nuppa Site'!H696&lt;&gt;0,'Boletins Nuppa Site'!H696,"NULL")</f>
        <v>40</v>
      </c>
      <c r="F696" s="16" t="n">
        <f aca="false">IF('Boletins Nuppa Site'!I696&lt;&gt;0,'Boletins Nuppa Site'!I696,"NULL")</f>
        <v>50</v>
      </c>
      <c r="G696" s="16" t="n">
        <f aca="false">IF('Boletins Nuppa Site'!J696&lt;&gt;0,'Boletins Nuppa Site'!J696,"NULL")</f>
        <v>45</v>
      </c>
      <c r="H696" s="16" t="n">
        <f aca="false">IF('Boletins Nuppa Site'!K696&lt;&gt;0,'Boletins Nuppa Site'!K696,"NULL")</f>
        <v>45</v>
      </c>
      <c r="J696" s="1" t="str">
        <f aca="false">"INSERT INTO COTACAO (blt_id, pap_id, cot_prc_comum, cot_prc_min, cot_prc_max, cot_prc_med, cot_prc_mediana) VALUES ("&amp;B696&amp;", "&amp;C696&amp;", "&amp;D696&amp;", "&amp;E696&amp;", "&amp;F696&amp;", "&amp;G696&amp;", "&amp;H696&amp;");"</f>
        <v>INSERT INTO COTACAO (blt_id, pap_id, cot_prc_comum, cot_prc_min, cot_prc_max, cot_prc_med, cot_prc_mediana) VALUES (18, 23, NULL, 40, 50, 45, 45);</v>
      </c>
    </row>
    <row r="697" customFormat="false" ht="14.25" hidden="false" customHeight="false" outlineLevel="0" collapsed="false">
      <c r="A697" s="1" t="n">
        <v>696</v>
      </c>
      <c r="B697" s="1" t="n">
        <v>18</v>
      </c>
      <c r="C697" s="1" t="n">
        <v>24</v>
      </c>
      <c r="D697" s="1" t="str">
        <f aca="false">IF('Boletins Nuppa Site'!G697&lt;&gt;0,'Boletins Nuppa Site'!G697,"NULL")</f>
        <v>NULL</v>
      </c>
      <c r="E697" s="16" t="n">
        <f aca="false">IF('Boletins Nuppa Site'!H697&lt;&gt;0,'Boletins Nuppa Site'!H697,"NULL")</f>
        <v>100</v>
      </c>
      <c r="F697" s="16" t="n">
        <f aca="false">IF('Boletins Nuppa Site'!I697&lt;&gt;0,'Boletins Nuppa Site'!I697,"NULL")</f>
        <v>100</v>
      </c>
      <c r="G697" s="16" t="n">
        <f aca="false">IF('Boletins Nuppa Site'!J697&lt;&gt;0,'Boletins Nuppa Site'!J697,"NULL")</f>
        <v>100</v>
      </c>
      <c r="H697" s="16" t="n">
        <f aca="false">IF('Boletins Nuppa Site'!K697&lt;&gt;0,'Boletins Nuppa Site'!K697,"NULL")</f>
        <v>100</v>
      </c>
      <c r="J697" s="1" t="str">
        <f aca="false">"INSERT INTO COTACAO (blt_id, pap_id, cot_prc_comum, cot_prc_min, cot_prc_max, cot_prc_med, cot_prc_mediana) VALUES ("&amp;B697&amp;", "&amp;C697&amp;", "&amp;D697&amp;", "&amp;E697&amp;", "&amp;F697&amp;", "&amp;G697&amp;", "&amp;H697&amp;");"</f>
        <v>INSERT INTO COTACAO (blt_id, pap_id, cot_prc_comum, cot_prc_min, cot_prc_max, cot_prc_med, cot_prc_mediana) VALUES (18, 24, NULL, 100, 100, 100, 100);</v>
      </c>
    </row>
    <row r="698" customFormat="false" ht="14.25" hidden="false" customHeight="false" outlineLevel="0" collapsed="false">
      <c r="A698" s="1" t="n">
        <v>697</v>
      </c>
      <c r="B698" s="1" t="n">
        <v>18</v>
      </c>
      <c r="C698" s="1" t="n">
        <v>25</v>
      </c>
      <c r="D698" s="16" t="n">
        <f aca="false">IF('Boletins Nuppa Site'!G698&lt;&gt;0,'Boletins Nuppa Site'!G698,"NULL")</f>
        <v>110</v>
      </c>
      <c r="E698" s="16" t="n">
        <f aca="false">IF('Boletins Nuppa Site'!H698&lt;&gt;0,'Boletins Nuppa Site'!H698,"NULL")</f>
        <v>110</v>
      </c>
      <c r="F698" s="16" t="n">
        <f aca="false">IF('Boletins Nuppa Site'!I698&lt;&gt;0,'Boletins Nuppa Site'!I698,"NULL")</f>
        <v>140</v>
      </c>
      <c r="G698" s="16" t="n">
        <f aca="false">IF('Boletins Nuppa Site'!J698&lt;&gt;0,'Boletins Nuppa Site'!J698,"NULL")</f>
        <v>120</v>
      </c>
      <c r="H698" s="16" t="n">
        <f aca="false">IF('Boletins Nuppa Site'!K698&lt;&gt;0,'Boletins Nuppa Site'!K698,"NULL")</f>
        <v>110</v>
      </c>
      <c r="J698" s="1" t="str">
        <f aca="false">"INSERT INTO COTACAO (blt_id, pap_id, cot_prc_comum, cot_prc_min, cot_prc_max, cot_prc_med, cot_prc_mediana) VALUES ("&amp;B698&amp;", "&amp;C698&amp;", "&amp;D698&amp;", "&amp;E698&amp;", "&amp;F698&amp;", "&amp;G698&amp;", "&amp;H698&amp;");"</f>
        <v>INSERT INTO COTACAO (blt_id, pap_id, cot_prc_comum, cot_prc_min, cot_prc_max, cot_prc_med, cot_prc_mediana) VALUES (18, 25, 110, 110, 140, 120, 110);</v>
      </c>
    </row>
    <row r="699" customFormat="false" ht="14.25" hidden="false" customHeight="false" outlineLevel="0" collapsed="false">
      <c r="A699" s="1" t="n">
        <v>698</v>
      </c>
      <c r="B699" s="1" t="n">
        <v>18</v>
      </c>
      <c r="C699" s="1" t="n">
        <v>26</v>
      </c>
      <c r="D699" s="1" t="str">
        <f aca="false">IF('Boletins Nuppa Site'!G699&lt;&gt;0,'Boletins Nuppa Site'!G699,"NULL")</f>
        <v>NULL</v>
      </c>
      <c r="E699" s="16" t="n">
        <f aca="false">IF('Boletins Nuppa Site'!H699&lt;&gt;0,'Boletins Nuppa Site'!H699,"NULL")</f>
        <v>100</v>
      </c>
      <c r="F699" s="16" t="n">
        <f aca="false">IF('Boletins Nuppa Site'!I699&lt;&gt;0,'Boletins Nuppa Site'!I699,"NULL")</f>
        <v>170</v>
      </c>
      <c r="G699" s="1" t="str">
        <f aca="false">IF('Boletins Nuppa Site'!J699&lt;&gt;0,'Boletins Nuppa Site'!J699,"NULL")</f>
        <v>132.5</v>
      </c>
      <c r="H699" s="16" t="n">
        <f aca="false">IF('Boletins Nuppa Site'!K699&lt;&gt;0,'Boletins Nuppa Site'!K699,"NULL")</f>
        <v>130</v>
      </c>
      <c r="J699" s="1" t="str">
        <f aca="false">"INSERT INTO COTACAO (blt_id, pap_id, cot_prc_comum, cot_prc_min, cot_prc_max, cot_prc_med, cot_prc_mediana) VALUES ("&amp;B699&amp;", "&amp;C699&amp;", "&amp;D699&amp;", "&amp;E699&amp;", "&amp;F699&amp;", "&amp;G699&amp;", "&amp;H699&amp;");"</f>
        <v>INSERT INTO COTACAO (blt_id, pap_id, cot_prc_comum, cot_prc_min, cot_prc_max, cot_prc_med, cot_prc_mediana) VALUES (18, 26, NULL, 100, 170, 132.5, 130);</v>
      </c>
    </row>
    <row r="700" customFormat="false" ht="14.25" hidden="false" customHeight="false" outlineLevel="0" collapsed="false">
      <c r="A700" s="1" t="n">
        <v>699</v>
      </c>
      <c r="B700" s="1" t="n">
        <v>18</v>
      </c>
      <c r="C700" s="1" t="n">
        <v>27</v>
      </c>
      <c r="D700" s="16" t="n">
        <f aca="false">IF('Boletins Nuppa Site'!G700&lt;&gt;0,'Boletins Nuppa Site'!G700,"NULL")</f>
        <v>70</v>
      </c>
      <c r="E700" s="16" t="n">
        <f aca="false">IF('Boletins Nuppa Site'!H700&lt;&gt;0,'Boletins Nuppa Site'!H700,"NULL")</f>
        <v>60</v>
      </c>
      <c r="F700" s="16" t="n">
        <f aca="false">IF('Boletins Nuppa Site'!I700&lt;&gt;0,'Boletins Nuppa Site'!I700,"NULL")</f>
        <v>70</v>
      </c>
      <c r="G700" s="1" t="str">
        <f aca="false">IF('Boletins Nuppa Site'!J700&lt;&gt;0,'Boletins Nuppa Site'!J700,"NULL")</f>
        <v>66.67</v>
      </c>
      <c r="H700" s="16" t="n">
        <f aca="false">IF('Boletins Nuppa Site'!K700&lt;&gt;0,'Boletins Nuppa Site'!K700,"NULL")</f>
        <v>70</v>
      </c>
      <c r="J700" s="1" t="str">
        <f aca="false">"INSERT INTO COTACAO (blt_id, pap_id, cot_prc_comum, cot_prc_min, cot_prc_max, cot_prc_med, cot_prc_mediana) VALUES ("&amp;B700&amp;", "&amp;C700&amp;", "&amp;D700&amp;", "&amp;E700&amp;", "&amp;F700&amp;", "&amp;G700&amp;", "&amp;H700&amp;");"</f>
        <v>INSERT INTO COTACAO (blt_id, pap_id, cot_prc_comum, cot_prc_min, cot_prc_max, cot_prc_med, cot_prc_mediana) VALUES (18, 27, 70, 60, 70, 66.67, 70);</v>
      </c>
    </row>
    <row r="701" customFormat="false" ht="14.25" hidden="false" customHeight="false" outlineLevel="0" collapsed="false">
      <c r="A701" s="1" t="n">
        <v>700</v>
      </c>
      <c r="B701" s="1" t="n">
        <v>18</v>
      </c>
      <c r="C701" s="1" t="n">
        <v>28</v>
      </c>
      <c r="D701" s="1" t="str">
        <f aca="false">IF('Boletins Nuppa Site'!G701&lt;&gt;0,'Boletins Nuppa Site'!G701,"NULL")</f>
        <v>NULL</v>
      </c>
      <c r="E701" s="16" t="n">
        <f aca="false">IF('Boletins Nuppa Site'!H701&lt;&gt;0,'Boletins Nuppa Site'!H701,"NULL")</f>
        <v>110</v>
      </c>
      <c r="F701" s="16" t="n">
        <f aca="false">IF('Boletins Nuppa Site'!I701&lt;&gt;0,'Boletins Nuppa Site'!I701,"NULL")</f>
        <v>120</v>
      </c>
      <c r="G701" s="16" t="n">
        <f aca="false">IF('Boletins Nuppa Site'!J701&lt;&gt;0,'Boletins Nuppa Site'!J701,"NULL")</f>
        <v>115</v>
      </c>
      <c r="H701" s="16" t="n">
        <f aca="false">IF('Boletins Nuppa Site'!K701&lt;&gt;0,'Boletins Nuppa Site'!K701,"NULL")</f>
        <v>115</v>
      </c>
      <c r="J701" s="1" t="str">
        <f aca="false">"INSERT INTO COTACAO (blt_id, pap_id, cot_prc_comum, cot_prc_min, cot_prc_max, cot_prc_med, cot_prc_mediana) VALUES ("&amp;B701&amp;", "&amp;C701&amp;", "&amp;D701&amp;", "&amp;E701&amp;", "&amp;F701&amp;", "&amp;G701&amp;", "&amp;H701&amp;");"</f>
        <v>INSERT INTO COTACAO (blt_id, pap_id, cot_prc_comum, cot_prc_min, cot_prc_max, cot_prc_med, cot_prc_mediana) VALUES (18, 28, NULL, 110, 120, 115, 115);</v>
      </c>
    </row>
    <row r="702" customFormat="false" ht="14.25" hidden="false" customHeight="false" outlineLevel="0" collapsed="false">
      <c r="A702" s="1" t="n">
        <v>701</v>
      </c>
      <c r="B702" s="1" t="n">
        <v>18</v>
      </c>
      <c r="C702" s="1" t="n">
        <v>29</v>
      </c>
      <c r="D702" s="1" t="str">
        <f aca="false">IF('Boletins Nuppa Site'!G702&lt;&gt;0,'Boletins Nuppa Site'!G702,"NULL")</f>
        <v>NULL</v>
      </c>
      <c r="E702" s="16" t="n">
        <f aca="false">IF('Boletins Nuppa Site'!H702&lt;&gt;0,'Boletins Nuppa Site'!H702,"NULL")</f>
        <v>75</v>
      </c>
      <c r="F702" s="16" t="n">
        <f aca="false">IF('Boletins Nuppa Site'!I702&lt;&gt;0,'Boletins Nuppa Site'!I702,"NULL")</f>
        <v>75</v>
      </c>
      <c r="G702" s="16" t="n">
        <f aca="false">IF('Boletins Nuppa Site'!J702&lt;&gt;0,'Boletins Nuppa Site'!J702,"NULL")</f>
        <v>75</v>
      </c>
      <c r="H702" s="16" t="n">
        <f aca="false">IF('Boletins Nuppa Site'!K702&lt;&gt;0,'Boletins Nuppa Site'!K702,"NULL")</f>
        <v>75</v>
      </c>
      <c r="J702" s="1" t="str">
        <f aca="false">"INSERT INTO COTACAO (blt_id, pap_id, cot_prc_comum, cot_prc_min, cot_prc_max, cot_prc_med, cot_prc_mediana) VALUES ("&amp;B702&amp;", "&amp;C702&amp;", "&amp;D702&amp;", "&amp;E702&amp;", "&amp;F702&amp;", "&amp;G702&amp;", "&amp;H702&amp;");"</f>
        <v>INSERT INTO COTACAO (blt_id, pap_id, cot_prc_comum, cot_prc_min, cot_prc_max, cot_prc_med, cot_prc_mediana) VALUES (18, 29, NULL, 75, 75, 75, 75);</v>
      </c>
    </row>
    <row r="703" customFormat="false" ht="14.25" hidden="false" customHeight="false" outlineLevel="0" collapsed="false">
      <c r="A703" s="1" t="n">
        <v>702</v>
      </c>
      <c r="B703" s="1" t="n">
        <v>18</v>
      </c>
      <c r="C703" s="1" t="n">
        <v>30</v>
      </c>
      <c r="D703" s="1" t="str">
        <f aca="false">IF('Boletins Nuppa Site'!G703&lt;&gt;0,'Boletins Nuppa Site'!G703,"NULL")</f>
        <v>NULL</v>
      </c>
      <c r="E703" s="16" t="n">
        <f aca="false">IF('Boletins Nuppa Site'!H703&lt;&gt;0,'Boletins Nuppa Site'!H703,"NULL")</f>
        <v>80</v>
      </c>
      <c r="F703" s="16" t="n">
        <f aca="false">IF('Boletins Nuppa Site'!I703&lt;&gt;0,'Boletins Nuppa Site'!I703,"NULL")</f>
        <v>80</v>
      </c>
      <c r="G703" s="16" t="n">
        <f aca="false">IF('Boletins Nuppa Site'!J703&lt;&gt;0,'Boletins Nuppa Site'!J703,"NULL")</f>
        <v>80</v>
      </c>
      <c r="H703" s="16" t="n">
        <f aca="false">IF('Boletins Nuppa Site'!K703&lt;&gt;0,'Boletins Nuppa Site'!K703,"NULL")</f>
        <v>80</v>
      </c>
      <c r="J703" s="1" t="str">
        <f aca="false">"INSERT INTO COTACAO (blt_id, pap_id, cot_prc_comum, cot_prc_min, cot_prc_max, cot_prc_med, cot_prc_mediana) VALUES ("&amp;B703&amp;", "&amp;C703&amp;", "&amp;D703&amp;", "&amp;E703&amp;", "&amp;F703&amp;", "&amp;G703&amp;", "&amp;H703&amp;");"</f>
        <v>INSERT INTO COTACAO (blt_id, pap_id, cot_prc_comum, cot_prc_min, cot_prc_max, cot_prc_med, cot_prc_mediana) VALUES (18, 30, NULL, 80, 80, 80, 80);</v>
      </c>
    </row>
    <row r="704" customFormat="false" ht="14.25" hidden="false" customHeight="false" outlineLevel="0" collapsed="false">
      <c r="A704" s="1" t="n">
        <v>703</v>
      </c>
      <c r="B704" s="1" t="n">
        <v>18</v>
      </c>
      <c r="C704" s="1" t="n">
        <v>31</v>
      </c>
      <c r="D704" s="1" t="str">
        <f aca="false">IF('Boletins Nuppa Site'!G704&lt;&gt;0,'Boletins Nuppa Site'!G704,"NULL")</f>
        <v>NULL</v>
      </c>
      <c r="E704" s="16" t="n">
        <f aca="false">IF('Boletins Nuppa Site'!H704&lt;&gt;0,'Boletins Nuppa Site'!H704,"NULL")</f>
        <v>60</v>
      </c>
      <c r="F704" s="16" t="n">
        <f aca="false">IF('Boletins Nuppa Site'!I704&lt;&gt;0,'Boletins Nuppa Site'!I704,"NULL")</f>
        <v>100</v>
      </c>
      <c r="G704" s="1" t="str">
        <f aca="false">IF('Boletins Nuppa Site'!J704&lt;&gt;0,'Boletins Nuppa Site'!J704,"NULL")</f>
        <v>78.75</v>
      </c>
      <c r="H704" s="1" t="str">
        <f aca="false">IF('Boletins Nuppa Site'!K704&lt;&gt;0,'Boletins Nuppa Site'!K704,"NULL")</f>
        <v>77.5</v>
      </c>
      <c r="J704" s="1" t="str">
        <f aca="false">"INSERT INTO COTACAO (blt_id, pap_id, cot_prc_comum, cot_prc_min, cot_prc_max, cot_prc_med, cot_prc_mediana) VALUES ("&amp;B704&amp;", "&amp;C704&amp;", "&amp;D704&amp;", "&amp;E704&amp;", "&amp;F704&amp;", "&amp;G704&amp;", "&amp;H704&amp;");"</f>
        <v>INSERT INTO COTACAO (blt_id, pap_id, cot_prc_comum, cot_prc_min, cot_prc_max, cot_prc_med, cot_prc_mediana) VALUES (18, 31, NULL, 60, 100, 78.75, 77.5);</v>
      </c>
    </row>
    <row r="705" customFormat="false" ht="14.25" hidden="false" customHeight="false" outlineLevel="0" collapsed="false">
      <c r="A705" s="1" t="n">
        <v>704</v>
      </c>
      <c r="B705" s="1" t="n">
        <v>18</v>
      </c>
      <c r="C705" s="1" t="n">
        <v>32</v>
      </c>
      <c r="D705" s="16" t="n">
        <f aca="false">IF('Boletins Nuppa Site'!G705&lt;&gt;0,'Boletins Nuppa Site'!G705,"NULL")</f>
        <v>60</v>
      </c>
      <c r="E705" s="16" t="n">
        <f aca="false">IF('Boletins Nuppa Site'!H705&lt;&gt;0,'Boletins Nuppa Site'!H705,"NULL")</f>
        <v>50</v>
      </c>
      <c r="F705" s="16" t="n">
        <f aca="false">IF('Boletins Nuppa Site'!I705&lt;&gt;0,'Boletins Nuppa Site'!I705,"NULL")</f>
        <v>60</v>
      </c>
      <c r="G705" s="1" t="str">
        <f aca="false">IF('Boletins Nuppa Site'!J705&lt;&gt;0,'Boletins Nuppa Site'!J705,"NULL")</f>
        <v>56.25</v>
      </c>
      <c r="H705" s="1" t="str">
        <f aca="false">IF('Boletins Nuppa Site'!K705&lt;&gt;0,'Boletins Nuppa Site'!K705,"NULL")</f>
        <v>57.5</v>
      </c>
      <c r="J705" s="1" t="str">
        <f aca="false">"INSERT INTO COTACAO (blt_id, pap_id, cot_prc_comum, cot_prc_min, cot_prc_max, cot_prc_med, cot_prc_mediana) VALUES ("&amp;B705&amp;", "&amp;C705&amp;", "&amp;D705&amp;", "&amp;E705&amp;", "&amp;F705&amp;", "&amp;G705&amp;", "&amp;H705&amp;");"</f>
        <v>INSERT INTO COTACAO (blt_id, pap_id, cot_prc_comum, cot_prc_min, cot_prc_max, cot_prc_med, cot_prc_mediana) VALUES (18, 32, 60, 50, 60, 56.25, 57.5);</v>
      </c>
    </row>
    <row r="706" customFormat="false" ht="14.25" hidden="false" customHeight="false" outlineLevel="0" collapsed="false">
      <c r="A706" s="1" t="n">
        <v>705</v>
      </c>
      <c r="B706" s="1" t="n">
        <v>18</v>
      </c>
      <c r="C706" s="1" t="n">
        <v>33</v>
      </c>
      <c r="D706" s="1" t="str">
        <f aca="false">IF('Boletins Nuppa Site'!G706&lt;&gt;0,'Boletins Nuppa Site'!G706,"NULL")</f>
        <v>NULL</v>
      </c>
      <c r="E706" s="16" t="n">
        <f aca="false">IF('Boletins Nuppa Site'!H706&lt;&gt;0,'Boletins Nuppa Site'!H706,"NULL")</f>
        <v>140</v>
      </c>
      <c r="F706" s="16" t="n">
        <f aca="false">IF('Boletins Nuppa Site'!I706&lt;&gt;0,'Boletins Nuppa Site'!I706,"NULL")</f>
        <v>150</v>
      </c>
      <c r="G706" s="16" t="n">
        <f aca="false">IF('Boletins Nuppa Site'!J706&lt;&gt;0,'Boletins Nuppa Site'!J706,"NULL")</f>
        <v>145</v>
      </c>
      <c r="H706" s="16" t="n">
        <f aca="false">IF('Boletins Nuppa Site'!K706&lt;&gt;0,'Boletins Nuppa Site'!K706,"NULL")</f>
        <v>145</v>
      </c>
      <c r="J706" s="1" t="str">
        <f aca="false">"INSERT INTO COTACAO (blt_id, pap_id, cot_prc_comum, cot_prc_min, cot_prc_max, cot_prc_med, cot_prc_mediana) VALUES ("&amp;B706&amp;", "&amp;C706&amp;", "&amp;D706&amp;", "&amp;E706&amp;", "&amp;F706&amp;", "&amp;G706&amp;", "&amp;H706&amp;");"</f>
        <v>INSERT INTO COTACAO (blt_id, pap_id, cot_prc_comum, cot_prc_min, cot_prc_max, cot_prc_med, cot_prc_mediana) VALUES (18, 33, NULL, 140, 150, 145, 145);</v>
      </c>
    </row>
    <row r="707" customFormat="false" ht="14.25" hidden="false" customHeight="false" outlineLevel="0" collapsed="false">
      <c r="A707" s="1" t="n">
        <v>706</v>
      </c>
      <c r="B707" s="1" t="n">
        <v>18</v>
      </c>
      <c r="C707" s="1" t="n">
        <v>34</v>
      </c>
      <c r="D707" s="1" t="str">
        <f aca="false">IF('Boletins Nuppa Site'!G707&lt;&gt;0,'Boletins Nuppa Site'!G707,"NULL")</f>
        <v>NULL</v>
      </c>
      <c r="E707" s="16" t="n">
        <f aca="false">IF('Boletins Nuppa Site'!H707&lt;&gt;0,'Boletins Nuppa Site'!H707,"NULL")</f>
        <v>100</v>
      </c>
      <c r="F707" s="16" t="n">
        <f aca="false">IF('Boletins Nuppa Site'!I707&lt;&gt;0,'Boletins Nuppa Site'!I707,"NULL")</f>
        <v>150</v>
      </c>
      <c r="G707" s="1" t="str">
        <f aca="false">IF('Boletins Nuppa Site'!J707&lt;&gt;0,'Boletins Nuppa Site'!J707,"NULL")</f>
        <v>123.33</v>
      </c>
      <c r="H707" s="16" t="n">
        <f aca="false">IF('Boletins Nuppa Site'!K707&lt;&gt;0,'Boletins Nuppa Site'!K707,"NULL")</f>
        <v>120</v>
      </c>
      <c r="J707" s="1" t="str">
        <f aca="false">"INSERT INTO COTACAO (blt_id, pap_id, cot_prc_comum, cot_prc_min, cot_prc_max, cot_prc_med, cot_prc_mediana) VALUES ("&amp;B707&amp;", "&amp;C707&amp;", "&amp;D707&amp;", "&amp;E707&amp;", "&amp;F707&amp;", "&amp;G707&amp;", "&amp;H707&amp;");"</f>
        <v>INSERT INTO COTACAO (blt_id, pap_id, cot_prc_comum, cot_prc_min, cot_prc_max, cot_prc_med, cot_prc_mediana) VALUES (18, 34, NULL, 100, 150, 123.33, 120);</v>
      </c>
    </row>
    <row r="708" customFormat="false" ht="14.25" hidden="false" customHeight="false" outlineLevel="0" collapsed="false">
      <c r="A708" s="1" t="n">
        <v>707</v>
      </c>
      <c r="B708" s="1" t="n">
        <v>18</v>
      </c>
      <c r="C708" s="1" t="n">
        <v>35</v>
      </c>
      <c r="D708" s="16" t="n">
        <f aca="false">IF('Boletins Nuppa Site'!G708&lt;&gt;0,'Boletins Nuppa Site'!G708,"NULL")</f>
        <v>200</v>
      </c>
      <c r="E708" s="16" t="n">
        <f aca="false">IF('Boletins Nuppa Site'!H708&lt;&gt;0,'Boletins Nuppa Site'!H708,"NULL")</f>
        <v>200</v>
      </c>
      <c r="F708" s="16" t="n">
        <f aca="false">IF('Boletins Nuppa Site'!I708&lt;&gt;0,'Boletins Nuppa Site'!I708,"NULL")</f>
        <v>200</v>
      </c>
      <c r="G708" s="16" t="n">
        <f aca="false">IF('Boletins Nuppa Site'!J708&lt;&gt;0,'Boletins Nuppa Site'!J708,"NULL")</f>
        <v>200</v>
      </c>
      <c r="H708" s="16" t="n">
        <f aca="false">IF('Boletins Nuppa Site'!K708&lt;&gt;0,'Boletins Nuppa Site'!K708,"NULL")</f>
        <v>200</v>
      </c>
      <c r="J708" s="1" t="str">
        <f aca="false">"INSERT INTO COTACAO (blt_id, pap_id, cot_prc_comum, cot_prc_min, cot_prc_max, cot_prc_med, cot_prc_mediana) VALUES ("&amp;B708&amp;", "&amp;C708&amp;", "&amp;D708&amp;", "&amp;E708&amp;", "&amp;F708&amp;", "&amp;G708&amp;", "&amp;H708&amp;");"</f>
        <v>INSERT INTO COTACAO (blt_id, pap_id, cot_prc_comum, cot_prc_min, cot_prc_max, cot_prc_med, cot_prc_mediana) VALUES (18, 35, 200, 200, 200, 200, 200);</v>
      </c>
    </row>
    <row r="709" customFormat="false" ht="14.25" hidden="false" customHeight="false" outlineLevel="0" collapsed="false">
      <c r="A709" s="1" t="n">
        <v>708</v>
      </c>
      <c r="B709" s="1" t="n">
        <v>18</v>
      </c>
      <c r="C709" s="1" t="n">
        <v>36</v>
      </c>
      <c r="D709" s="1" t="str">
        <f aca="false">IF('Boletins Nuppa Site'!G709&lt;&gt;0,'Boletins Nuppa Site'!G709,"NULL")</f>
        <v>NULL</v>
      </c>
      <c r="E709" s="16" t="n">
        <f aca="false">IF('Boletins Nuppa Site'!H709&lt;&gt;0,'Boletins Nuppa Site'!H709,"NULL")</f>
        <v>100</v>
      </c>
      <c r="F709" s="16" t="n">
        <f aca="false">IF('Boletins Nuppa Site'!I709&lt;&gt;0,'Boletins Nuppa Site'!I709,"NULL")</f>
        <v>100</v>
      </c>
      <c r="G709" s="16" t="n">
        <f aca="false">IF('Boletins Nuppa Site'!J709&lt;&gt;0,'Boletins Nuppa Site'!J709,"NULL")</f>
        <v>100</v>
      </c>
      <c r="H709" s="16" t="n">
        <f aca="false">IF('Boletins Nuppa Site'!K709&lt;&gt;0,'Boletins Nuppa Site'!K709,"NULL")</f>
        <v>100</v>
      </c>
      <c r="J709" s="1" t="str">
        <f aca="false">"INSERT INTO COTACAO (blt_id, pap_id, cot_prc_comum, cot_prc_min, cot_prc_max, cot_prc_med, cot_prc_mediana) VALUES ("&amp;B709&amp;", "&amp;C709&amp;", "&amp;D709&amp;", "&amp;E709&amp;", "&amp;F709&amp;", "&amp;G709&amp;", "&amp;H709&amp;");"</f>
        <v>INSERT INTO COTACAO (blt_id, pap_id, cot_prc_comum, cot_prc_min, cot_prc_max, cot_prc_med, cot_prc_mediana) VALUES (18, 36, NULL, 100, 100, 100, 100);</v>
      </c>
    </row>
    <row r="710" customFormat="false" ht="14.25" hidden="false" customHeight="false" outlineLevel="0" collapsed="false">
      <c r="A710" s="1" t="n">
        <v>709</v>
      </c>
      <c r="B710" s="1" t="n">
        <v>18</v>
      </c>
      <c r="C710" s="1" t="n">
        <v>37</v>
      </c>
      <c r="D710" s="1" t="str">
        <f aca="false">IF('Boletins Nuppa Site'!G710&lt;&gt;0,'Boletins Nuppa Site'!G710,"NULL")</f>
        <v>NULL</v>
      </c>
      <c r="E710" s="16" t="n">
        <f aca="false">IF('Boletins Nuppa Site'!H710&lt;&gt;0,'Boletins Nuppa Site'!H710,"NULL")</f>
        <v>75</v>
      </c>
      <c r="F710" s="16" t="n">
        <f aca="false">IF('Boletins Nuppa Site'!I710&lt;&gt;0,'Boletins Nuppa Site'!I710,"NULL")</f>
        <v>75</v>
      </c>
      <c r="G710" s="16" t="n">
        <f aca="false">IF('Boletins Nuppa Site'!J710&lt;&gt;0,'Boletins Nuppa Site'!J710,"NULL")</f>
        <v>75</v>
      </c>
      <c r="H710" s="16" t="n">
        <f aca="false">IF('Boletins Nuppa Site'!K710&lt;&gt;0,'Boletins Nuppa Site'!K710,"NULL")</f>
        <v>75</v>
      </c>
      <c r="J710" s="1" t="str">
        <f aca="false">"INSERT INTO COTACAO (blt_id, pap_id, cot_prc_comum, cot_prc_min, cot_prc_max, cot_prc_med, cot_prc_mediana) VALUES ("&amp;B710&amp;", "&amp;C710&amp;", "&amp;D710&amp;", "&amp;E710&amp;", "&amp;F710&amp;", "&amp;G710&amp;", "&amp;H710&amp;");"</f>
        <v>INSERT INTO COTACAO (blt_id, pap_id, cot_prc_comum, cot_prc_min, cot_prc_max, cot_prc_med, cot_prc_mediana) VALUES (18, 37, NULL, 75, 75, 75, 75);</v>
      </c>
    </row>
    <row r="711" customFormat="false" ht="14.25" hidden="false" customHeight="false" outlineLevel="0" collapsed="false">
      <c r="A711" s="1" t="n">
        <v>710</v>
      </c>
      <c r="B711" s="1" t="n">
        <v>18</v>
      </c>
      <c r="C711" s="1" t="n">
        <v>38</v>
      </c>
      <c r="D711" s="1" t="str">
        <f aca="false">IF('Boletins Nuppa Site'!G711&lt;&gt;0,'Boletins Nuppa Site'!G711,"NULL")</f>
        <v>NULL</v>
      </c>
      <c r="E711" s="1" t="str">
        <f aca="false">IF('Boletins Nuppa Site'!H711&lt;&gt;0,'Boletins Nuppa Site'!H711,"NULL")</f>
        <v>NULL</v>
      </c>
      <c r="F711" s="1" t="str">
        <f aca="false">IF('Boletins Nuppa Site'!I711&lt;&gt;0,'Boletins Nuppa Site'!I711,"NULL")</f>
        <v>NULL</v>
      </c>
      <c r="G711" s="1" t="str">
        <f aca="false">IF('Boletins Nuppa Site'!J711&lt;&gt;0,'Boletins Nuppa Site'!J711,"NULL")</f>
        <v>NULL</v>
      </c>
      <c r="H711" s="1" t="str">
        <f aca="false">IF('Boletins Nuppa Site'!K711&lt;&gt;0,'Boletins Nuppa Site'!K711,"NULL")</f>
        <v>NULL</v>
      </c>
      <c r="J711" s="1" t="str">
        <f aca="false">"INSERT INTO COTACAO (blt_id, pap_id, cot_prc_comum, cot_prc_min, cot_prc_max, cot_prc_med, cot_prc_mediana) VALUES ("&amp;B711&amp;", "&amp;C711&amp;", "&amp;D711&amp;", "&amp;E711&amp;", "&amp;F711&amp;", "&amp;G711&amp;", "&amp;H711&amp;");"</f>
        <v>INSERT INTO COTACAO (blt_id, pap_id, cot_prc_comum, cot_prc_min, cot_prc_max, cot_prc_med, cot_prc_mediana) VALUES (18, 38, NULL, NULL, NULL, NULL, NULL);</v>
      </c>
    </row>
    <row r="712" customFormat="false" ht="14.25" hidden="false" customHeight="false" outlineLevel="0" collapsed="false">
      <c r="A712" s="1" t="n">
        <v>711</v>
      </c>
      <c r="B712" s="1" t="n">
        <v>18</v>
      </c>
      <c r="C712" s="1" t="n">
        <v>39</v>
      </c>
      <c r="D712" s="1" t="str">
        <f aca="false">IF('Boletins Nuppa Site'!G712&lt;&gt;0,'Boletins Nuppa Site'!G712,"NULL")</f>
        <v>NULL</v>
      </c>
      <c r="E712" s="16" t="n">
        <f aca="false">IF('Boletins Nuppa Site'!H712&lt;&gt;0,'Boletins Nuppa Site'!H712,"NULL")</f>
        <v>40</v>
      </c>
      <c r="F712" s="16" t="n">
        <f aca="false">IF('Boletins Nuppa Site'!I712&lt;&gt;0,'Boletins Nuppa Site'!I712,"NULL")</f>
        <v>40</v>
      </c>
      <c r="G712" s="16" t="n">
        <f aca="false">IF('Boletins Nuppa Site'!J712&lt;&gt;0,'Boletins Nuppa Site'!J712,"NULL")</f>
        <v>40</v>
      </c>
      <c r="H712" s="16" t="n">
        <f aca="false">IF('Boletins Nuppa Site'!K712&lt;&gt;0,'Boletins Nuppa Site'!K712,"NULL")</f>
        <v>40</v>
      </c>
      <c r="J712" s="1" t="str">
        <f aca="false">"INSERT INTO COTACAO (blt_id, pap_id, cot_prc_comum, cot_prc_min, cot_prc_max, cot_prc_med, cot_prc_mediana) VALUES ("&amp;B712&amp;", "&amp;C712&amp;", "&amp;D712&amp;", "&amp;E712&amp;", "&amp;F712&amp;", "&amp;G712&amp;", "&amp;H712&amp;");"</f>
        <v>INSERT INTO COTACAO (blt_id, pap_id, cot_prc_comum, cot_prc_min, cot_prc_max, cot_prc_med, cot_prc_mediana) VALUES (18, 39, NULL, 40, 40, 40, 40);</v>
      </c>
    </row>
    <row r="713" customFormat="false" ht="14.25" hidden="false" customHeight="false" outlineLevel="0" collapsed="false">
      <c r="A713" s="1" t="n">
        <v>712</v>
      </c>
      <c r="B713" s="1" t="n">
        <v>18</v>
      </c>
      <c r="C713" s="1" t="n">
        <v>40</v>
      </c>
      <c r="D713" s="1" t="str">
        <f aca="false">IF('Boletins Nuppa Site'!G713&lt;&gt;0,'Boletins Nuppa Site'!G713,"NULL")</f>
        <v>NULL</v>
      </c>
      <c r="E713" s="16" t="n">
        <f aca="false">IF('Boletins Nuppa Site'!H713&lt;&gt;0,'Boletins Nuppa Site'!H713,"NULL")</f>
        <v>55</v>
      </c>
      <c r="F713" s="16" t="n">
        <f aca="false">IF('Boletins Nuppa Site'!I713&lt;&gt;0,'Boletins Nuppa Site'!I713,"NULL")</f>
        <v>55</v>
      </c>
      <c r="G713" s="16" t="n">
        <f aca="false">IF('Boletins Nuppa Site'!J713&lt;&gt;0,'Boletins Nuppa Site'!J713,"NULL")</f>
        <v>55</v>
      </c>
      <c r="H713" s="16" t="n">
        <f aca="false">IF('Boletins Nuppa Site'!K713&lt;&gt;0,'Boletins Nuppa Site'!K713,"NULL")</f>
        <v>55</v>
      </c>
      <c r="J713" s="1" t="str">
        <f aca="false">"INSERT INTO COTACAO (blt_id, pap_id, cot_prc_comum, cot_prc_min, cot_prc_max, cot_prc_med, cot_prc_mediana) VALUES ("&amp;B713&amp;", "&amp;C713&amp;", "&amp;D713&amp;", "&amp;E713&amp;", "&amp;F713&amp;", "&amp;G713&amp;", "&amp;H713&amp;");"</f>
        <v>INSERT INTO COTACAO (blt_id, pap_id, cot_prc_comum, cot_prc_min, cot_prc_max, cot_prc_med, cot_prc_mediana) VALUES (18, 40, NULL, 55, 55, 55, 55);</v>
      </c>
    </row>
    <row r="714" customFormat="false" ht="14.25" hidden="false" customHeight="false" outlineLevel="0" collapsed="false">
      <c r="A714" s="1" t="n">
        <v>713</v>
      </c>
      <c r="B714" s="1" t="n">
        <v>19</v>
      </c>
      <c r="C714" s="1" t="n">
        <v>1</v>
      </c>
      <c r="D714" s="16" t="n">
        <f aca="false">IF('Boletins Nuppa Site'!G714&lt;&gt;0,'Boletins Nuppa Site'!G714,"NULL")</f>
        <v>72</v>
      </c>
      <c r="E714" s="16" t="n">
        <f aca="false">IF('Boletins Nuppa Site'!H714&lt;&gt;0,'Boletins Nuppa Site'!H714,"NULL")</f>
        <v>48</v>
      </c>
      <c r="F714" s="16" t="n">
        <f aca="false">IF('Boletins Nuppa Site'!I714&lt;&gt;0,'Boletins Nuppa Site'!I714,"NULL")</f>
        <v>72</v>
      </c>
      <c r="G714" s="16" t="n">
        <f aca="false">IF('Boletins Nuppa Site'!J714&lt;&gt;0,'Boletins Nuppa Site'!J714,"NULL")</f>
        <v>64</v>
      </c>
      <c r="H714" s="16" t="n">
        <f aca="false">IF('Boletins Nuppa Site'!K714&lt;&gt;0,'Boletins Nuppa Site'!K714,"NULL")</f>
        <v>72</v>
      </c>
      <c r="J714" s="1" t="str">
        <f aca="false">"INSERT INTO COTACAO (blt_id, pap_id, cot_prc_comum, cot_prc_min, cot_prc_max, cot_prc_med, cot_prc_mediana) VALUES ("&amp;B714&amp;", "&amp;C714&amp;", "&amp;D714&amp;", "&amp;E714&amp;", "&amp;F714&amp;", "&amp;G714&amp;", "&amp;H714&amp;");"</f>
        <v>INSERT INTO COTACAO (blt_id, pap_id, cot_prc_comum, cot_prc_min, cot_prc_max, cot_prc_med, cot_prc_mediana) VALUES (19, 1, 72, 48, 72, 64, 72);</v>
      </c>
    </row>
    <row r="715" customFormat="false" ht="14.25" hidden="false" customHeight="false" outlineLevel="0" collapsed="false">
      <c r="A715" s="1" t="n">
        <v>714</v>
      </c>
      <c r="B715" s="1" t="n">
        <v>19</v>
      </c>
      <c r="C715" s="1" t="n">
        <v>2</v>
      </c>
      <c r="D715" s="16" t="n">
        <f aca="false">IF('Boletins Nuppa Site'!G715&lt;&gt;0,'Boletins Nuppa Site'!G715,"NULL")</f>
        <v>84</v>
      </c>
      <c r="E715" s="16" t="n">
        <f aca="false">IF('Boletins Nuppa Site'!H715&lt;&gt;0,'Boletins Nuppa Site'!H715,"NULL")</f>
        <v>72</v>
      </c>
      <c r="F715" s="16" t="n">
        <f aca="false">IF('Boletins Nuppa Site'!I715&lt;&gt;0,'Boletins Nuppa Site'!I715,"NULL")</f>
        <v>84</v>
      </c>
      <c r="G715" s="16" t="n">
        <f aca="false">IF('Boletins Nuppa Site'!J715&lt;&gt;0,'Boletins Nuppa Site'!J715,"NULL")</f>
        <v>80</v>
      </c>
      <c r="H715" s="16" t="n">
        <f aca="false">IF('Boletins Nuppa Site'!K715&lt;&gt;0,'Boletins Nuppa Site'!K715,"NULL")</f>
        <v>84</v>
      </c>
      <c r="J715" s="1" t="str">
        <f aca="false">"INSERT INTO COTACAO (blt_id, pap_id, cot_prc_comum, cot_prc_min, cot_prc_max, cot_prc_med, cot_prc_mediana) VALUES ("&amp;B715&amp;", "&amp;C715&amp;", "&amp;D715&amp;", "&amp;E715&amp;", "&amp;F715&amp;", "&amp;G715&amp;", "&amp;H715&amp;");"</f>
        <v>INSERT INTO COTACAO (blt_id, pap_id, cot_prc_comum, cot_prc_min, cot_prc_max, cot_prc_med, cot_prc_mediana) VALUES (19, 2, 84, 72, 84, 80, 84);</v>
      </c>
    </row>
    <row r="716" customFormat="false" ht="14.25" hidden="false" customHeight="false" outlineLevel="0" collapsed="false">
      <c r="A716" s="1" t="n">
        <v>715</v>
      </c>
      <c r="B716" s="1" t="n">
        <v>19</v>
      </c>
      <c r="C716" s="1" t="n">
        <v>3</v>
      </c>
      <c r="D716" s="1" t="str">
        <f aca="false">IF('Boletins Nuppa Site'!G716&lt;&gt;0,'Boletins Nuppa Site'!G716,"NULL")</f>
        <v>NULL</v>
      </c>
      <c r="E716" s="16" t="n">
        <f aca="false">IF('Boletins Nuppa Site'!H716&lt;&gt;0,'Boletins Nuppa Site'!H716,"NULL")</f>
        <v>36</v>
      </c>
      <c r="F716" s="16" t="n">
        <f aca="false">IF('Boletins Nuppa Site'!I716&lt;&gt;0,'Boletins Nuppa Site'!I716,"NULL")</f>
        <v>54</v>
      </c>
      <c r="G716" s="16" t="n">
        <f aca="false">IF('Boletins Nuppa Site'!J716&lt;&gt;0,'Boletins Nuppa Site'!J716,"NULL")</f>
        <v>44</v>
      </c>
      <c r="H716" s="16" t="n">
        <f aca="false">IF('Boletins Nuppa Site'!K716&lt;&gt;0,'Boletins Nuppa Site'!K716,"NULL")</f>
        <v>42</v>
      </c>
      <c r="J716" s="1" t="str">
        <f aca="false">"INSERT INTO COTACAO (blt_id, pap_id, cot_prc_comum, cot_prc_min, cot_prc_max, cot_prc_med, cot_prc_mediana) VALUES ("&amp;B716&amp;", "&amp;C716&amp;", "&amp;D716&amp;", "&amp;E716&amp;", "&amp;F716&amp;", "&amp;G716&amp;", "&amp;H716&amp;");"</f>
        <v>INSERT INTO COTACAO (blt_id, pap_id, cot_prc_comum, cot_prc_min, cot_prc_max, cot_prc_med, cot_prc_mediana) VALUES (19, 3, NULL, 36, 54, 44, 42);</v>
      </c>
    </row>
    <row r="717" customFormat="false" ht="14.25" hidden="false" customHeight="false" outlineLevel="0" collapsed="false">
      <c r="A717" s="1" t="n">
        <v>716</v>
      </c>
      <c r="B717" s="1" t="n">
        <v>19</v>
      </c>
      <c r="C717" s="1" t="n">
        <v>4</v>
      </c>
      <c r="D717" s="16" t="n">
        <f aca="false">IF('Boletins Nuppa Site'!G717&lt;&gt;0,'Boletins Nuppa Site'!G717,"NULL")</f>
        <v>30</v>
      </c>
      <c r="E717" s="16" t="n">
        <f aca="false">IF('Boletins Nuppa Site'!H717&lt;&gt;0,'Boletins Nuppa Site'!H717,"NULL")</f>
        <v>24</v>
      </c>
      <c r="F717" s="16" t="n">
        <f aca="false">IF('Boletins Nuppa Site'!I717&lt;&gt;0,'Boletins Nuppa Site'!I717,"NULL")</f>
        <v>30</v>
      </c>
      <c r="G717" s="16" t="n">
        <f aca="false">IF('Boletins Nuppa Site'!J717&lt;&gt;0,'Boletins Nuppa Site'!J717,"NULL")</f>
        <v>28</v>
      </c>
      <c r="H717" s="16" t="n">
        <f aca="false">IF('Boletins Nuppa Site'!K717&lt;&gt;0,'Boletins Nuppa Site'!K717,"NULL")</f>
        <v>30</v>
      </c>
      <c r="J717" s="1" t="str">
        <f aca="false">"INSERT INTO COTACAO (blt_id, pap_id, cot_prc_comum, cot_prc_min, cot_prc_max, cot_prc_med, cot_prc_mediana) VALUES ("&amp;B717&amp;", "&amp;C717&amp;", "&amp;D717&amp;", "&amp;E717&amp;", "&amp;F717&amp;", "&amp;G717&amp;", "&amp;H717&amp;");"</f>
        <v>INSERT INTO COTACAO (blt_id, pap_id, cot_prc_comum, cot_prc_min, cot_prc_max, cot_prc_med, cot_prc_mediana) VALUES (19, 4, 30, 24, 30, 28, 30);</v>
      </c>
    </row>
    <row r="718" customFormat="false" ht="14.25" hidden="false" customHeight="false" outlineLevel="0" collapsed="false">
      <c r="A718" s="1" t="n">
        <v>717</v>
      </c>
      <c r="B718" s="1" t="n">
        <v>19</v>
      </c>
      <c r="C718" s="1" t="n">
        <v>5</v>
      </c>
      <c r="D718" s="16" t="n">
        <f aca="false">IF('Boletins Nuppa Site'!G718&lt;&gt;0,'Boletins Nuppa Site'!G718,"NULL")</f>
        <v>30</v>
      </c>
      <c r="E718" s="16" t="n">
        <f aca="false">IF('Boletins Nuppa Site'!H718&lt;&gt;0,'Boletins Nuppa Site'!H718,"NULL")</f>
        <v>24</v>
      </c>
      <c r="F718" s="16" t="n">
        <f aca="false">IF('Boletins Nuppa Site'!I718&lt;&gt;0,'Boletins Nuppa Site'!I718,"NULL")</f>
        <v>30</v>
      </c>
      <c r="G718" s="16" t="n">
        <f aca="false">IF('Boletins Nuppa Site'!J718&lt;&gt;0,'Boletins Nuppa Site'!J718,"NULL")</f>
        <v>28</v>
      </c>
      <c r="H718" s="16" t="n">
        <f aca="false">IF('Boletins Nuppa Site'!K718&lt;&gt;0,'Boletins Nuppa Site'!K718,"NULL")</f>
        <v>30</v>
      </c>
      <c r="J718" s="1" t="str">
        <f aca="false">"INSERT INTO COTACAO (blt_id, pap_id, cot_prc_comum, cot_prc_min, cot_prc_max, cot_prc_med, cot_prc_mediana) VALUES ("&amp;B718&amp;", "&amp;C718&amp;", "&amp;D718&amp;", "&amp;E718&amp;", "&amp;F718&amp;", "&amp;G718&amp;", "&amp;H718&amp;");"</f>
        <v>INSERT INTO COTACAO (blt_id, pap_id, cot_prc_comum, cot_prc_min, cot_prc_max, cot_prc_med, cot_prc_mediana) VALUES (19, 5, 30, 24, 30, 28, 30);</v>
      </c>
    </row>
    <row r="719" customFormat="false" ht="14.25" hidden="false" customHeight="false" outlineLevel="0" collapsed="false">
      <c r="A719" s="1" t="n">
        <v>718</v>
      </c>
      <c r="B719" s="1" t="n">
        <v>19</v>
      </c>
      <c r="C719" s="1" t="n">
        <v>6</v>
      </c>
      <c r="D719" s="16" t="n">
        <f aca="false">IF('Boletins Nuppa Site'!G719&lt;&gt;0,'Boletins Nuppa Site'!G719,"NULL")</f>
        <v>60</v>
      </c>
      <c r="E719" s="16" t="n">
        <f aca="false">IF('Boletins Nuppa Site'!H719&lt;&gt;0,'Boletins Nuppa Site'!H719,"NULL")</f>
        <v>60</v>
      </c>
      <c r="F719" s="16" t="n">
        <f aca="false">IF('Boletins Nuppa Site'!I719&lt;&gt;0,'Boletins Nuppa Site'!I719,"NULL")</f>
        <v>60</v>
      </c>
      <c r="G719" s="16" t="n">
        <f aca="false">IF('Boletins Nuppa Site'!J719&lt;&gt;0,'Boletins Nuppa Site'!J719,"NULL")</f>
        <v>60</v>
      </c>
      <c r="H719" s="16" t="n">
        <f aca="false">IF('Boletins Nuppa Site'!K719&lt;&gt;0,'Boletins Nuppa Site'!K719,"NULL")</f>
        <v>60</v>
      </c>
      <c r="J719" s="1" t="str">
        <f aca="false">"INSERT INTO COTACAO (blt_id, pap_id, cot_prc_comum, cot_prc_min, cot_prc_max, cot_prc_med, cot_prc_mediana) VALUES ("&amp;B719&amp;", "&amp;C719&amp;", "&amp;D719&amp;", "&amp;E719&amp;", "&amp;F719&amp;", "&amp;G719&amp;", "&amp;H719&amp;");"</f>
        <v>INSERT INTO COTACAO (blt_id, pap_id, cot_prc_comum, cot_prc_min, cot_prc_max, cot_prc_med, cot_prc_mediana) VALUES (19, 6, 60, 60, 60, 60, 60);</v>
      </c>
    </row>
    <row r="720" customFormat="false" ht="14.25" hidden="false" customHeight="false" outlineLevel="0" collapsed="false">
      <c r="A720" s="1" t="n">
        <v>719</v>
      </c>
      <c r="B720" s="1" t="n">
        <v>19</v>
      </c>
      <c r="C720" s="1" t="n">
        <v>7</v>
      </c>
      <c r="D720" s="16" t="n">
        <f aca="false">IF('Boletins Nuppa Site'!G720&lt;&gt;0,'Boletins Nuppa Site'!G720,"NULL")</f>
        <v>96</v>
      </c>
      <c r="E720" s="16" t="n">
        <f aca="false">IF('Boletins Nuppa Site'!H720&lt;&gt;0,'Boletins Nuppa Site'!H720,"NULL")</f>
        <v>96</v>
      </c>
      <c r="F720" s="16" t="n">
        <f aca="false">IF('Boletins Nuppa Site'!I720&lt;&gt;0,'Boletins Nuppa Site'!I720,"NULL")</f>
        <v>120</v>
      </c>
      <c r="G720" s="16" t="n">
        <f aca="false">IF('Boletins Nuppa Site'!J720&lt;&gt;0,'Boletins Nuppa Site'!J720,"NULL")</f>
        <v>104</v>
      </c>
      <c r="H720" s="16" t="n">
        <f aca="false">IF('Boletins Nuppa Site'!K720&lt;&gt;0,'Boletins Nuppa Site'!K720,"NULL")</f>
        <v>96</v>
      </c>
      <c r="J720" s="1" t="str">
        <f aca="false">"INSERT INTO COTACAO (blt_id, pap_id, cot_prc_comum, cot_prc_min, cot_prc_max, cot_prc_med, cot_prc_mediana) VALUES ("&amp;B720&amp;", "&amp;C720&amp;", "&amp;D720&amp;", "&amp;E720&amp;", "&amp;F720&amp;", "&amp;G720&amp;", "&amp;H720&amp;");"</f>
        <v>INSERT INTO COTACAO (blt_id, pap_id, cot_prc_comum, cot_prc_min, cot_prc_max, cot_prc_med, cot_prc_mediana) VALUES (19, 7, 96, 96, 120, 104, 96);</v>
      </c>
    </row>
    <row r="721" customFormat="false" ht="14.25" hidden="false" customHeight="false" outlineLevel="0" collapsed="false">
      <c r="A721" s="1" t="n">
        <v>720</v>
      </c>
      <c r="B721" s="1" t="n">
        <v>19</v>
      </c>
      <c r="C721" s="1" t="n">
        <v>8</v>
      </c>
      <c r="D721" s="1" t="str">
        <f aca="false">IF('Boletins Nuppa Site'!G721&lt;&gt;0,'Boletins Nuppa Site'!G721,"NULL")</f>
        <v>NULL</v>
      </c>
      <c r="E721" s="16" t="n">
        <f aca="false">IF('Boletins Nuppa Site'!H721&lt;&gt;0,'Boletins Nuppa Site'!H721,"NULL")</f>
        <v>84</v>
      </c>
      <c r="F721" s="16" t="n">
        <f aca="false">IF('Boletins Nuppa Site'!I721&lt;&gt;0,'Boletins Nuppa Site'!I721,"NULL")</f>
        <v>120</v>
      </c>
      <c r="G721" s="16" t="n">
        <f aca="false">IF('Boletins Nuppa Site'!J721&lt;&gt;0,'Boletins Nuppa Site'!J721,"NULL")</f>
        <v>100</v>
      </c>
      <c r="H721" s="16" t="n">
        <f aca="false">IF('Boletins Nuppa Site'!K721&lt;&gt;0,'Boletins Nuppa Site'!K721,"NULL")</f>
        <v>96</v>
      </c>
      <c r="J721" s="1" t="str">
        <f aca="false">"INSERT INTO COTACAO (blt_id, pap_id, cot_prc_comum, cot_prc_min, cot_prc_max, cot_prc_med, cot_prc_mediana) VALUES ("&amp;B721&amp;", "&amp;C721&amp;", "&amp;D721&amp;", "&amp;E721&amp;", "&amp;F721&amp;", "&amp;G721&amp;", "&amp;H721&amp;");"</f>
        <v>INSERT INTO COTACAO (blt_id, pap_id, cot_prc_comum, cot_prc_min, cot_prc_max, cot_prc_med, cot_prc_mediana) VALUES (19, 8, NULL, 84, 120, 100, 96);</v>
      </c>
    </row>
    <row r="722" customFormat="false" ht="14.25" hidden="false" customHeight="false" outlineLevel="0" collapsed="false">
      <c r="A722" s="1" t="n">
        <v>721</v>
      </c>
      <c r="B722" s="1" t="n">
        <v>19</v>
      </c>
      <c r="C722" s="1" t="n">
        <v>9</v>
      </c>
      <c r="D722" s="16" t="n">
        <f aca="false">IF('Boletins Nuppa Site'!G722&lt;&gt;0,'Boletins Nuppa Site'!G722,"NULL")</f>
        <v>24</v>
      </c>
      <c r="E722" s="16" t="n">
        <f aca="false">IF('Boletins Nuppa Site'!H722&lt;&gt;0,'Boletins Nuppa Site'!H722,"NULL")</f>
        <v>24</v>
      </c>
      <c r="F722" s="16" t="n">
        <f aca="false">IF('Boletins Nuppa Site'!I722&lt;&gt;0,'Boletins Nuppa Site'!I722,"NULL")</f>
        <v>30</v>
      </c>
      <c r="G722" s="16" t="n">
        <f aca="false">IF('Boletins Nuppa Site'!J722&lt;&gt;0,'Boletins Nuppa Site'!J722,"NULL")</f>
        <v>26</v>
      </c>
      <c r="H722" s="16" t="n">
        <f aca="false">IF('Boletins Nuppa Site'!K722&lt;&gt;0,'Boletins Nuppa Site'!K722,"NULL")</f>
        <v>24</v>
      </c>
      <c r="J722" s="1" t="str">
        <f aca="false">"INSERT INTO COTACAO (blt_id, pap_id, cot_prc_comum, cot_prc_min, cot_prc_max, cot_prc_med, cot_prc_mediana) VALUES ("&amp;B722&amp;", "&amp;C722&amp;", "&amp;D722&amp;", "&amp;E722&amp;", "&amp;F722&amp;", "&amp;G722&amp;", "&amp;H722&amp;");"</f>
        <v>INSERT INTO COTACAO (blt_id, pap_id, cot_prc_comum, cot_prc_min, cot_prc_max, cot_prc_med, cot_prc_mediana) VALUES (19, 9, 24, 24, 30, 26, 24);</v>
      </c>
    </row>
    <row r="723" customFormat="false" ht="14.25" hidden="false" customHeight="false" outlineLevel="0" collapsed="false">
      <c r="A723" s="1" t="n">
        <v>722</v>
      </c>
      <c r="B723" s="1" t="n">
        <v>19</v>
      </c>
      <c r="C723" s="1" t="n">
        <v>10</v>
      </c>
      <c r="D723" s="1" t="str">
        <f aca="false">IF('Boletins Nuppa Site'!G723&lt;&gt;0,'Boletins Nuppa Site'!G723,"NULL")</f>
        <v>NULL</v>
      </c>
      <c r="E723" s="16" t="n">
        <f aca="false">IF('Boletins Nuppa Site'!H723&lt;&gt;0,'Boletins Nuppa Site'!H723,"NULL")</f>
        <v>96</v>
      </c>
      <c r="F723" s="16" t="n">
        <f aca="false">IF('Boletins Nuppa Site'!I723&lt;&gt;0,'Boletins Nuppa Site'!I723,"NULL")</f>
        <v>120</v>
      </c>
      <c r="G723" s="16" t="n">
        <f aca="false">IF('Boletins Nuppa Site'!J723&lt;&gt;0,'Boletins Nuppa Site'!J723,"NULL")</f>
        <v>106</v>
      </c>
      <c r="H723" s="16" t="n">
        <f aca="false">IF('Boletins Nuppa Site'!K723&lt;&gt;0,'Boletins Nuppa Site'!K723,"NULL")</f>
        <v>102</v>
      </c>
      <c r="J723" s="1" t="str">
        <f aca="false">"INSERT INTO COTACAO (blt_id, pap_id, cot_prc_comum, cot_prc_min, cot_prc_max, cot_prc_med, cot_prc_mediana) VALUES ("&amp;B723&amp;", "&amp;C723&amp;", "&amp;D723&amp;", "&amp;E723&amp;", "&amp;F723&amp;", "&amp;G723&amp;", "&amp;H723&amp;");"</f>
        <v>INSERT INTO COTACAO (blt_id, pap_id, cot_prc_comum, cot_prc_min, cot_prc_max, cot_prc_med, cot_prc_mediana) VALUES (19, 10, NULL, 96, 120, 106, 102);</v>
      </c>
    </row>
    <row r="724" customFormat="false" ht="14.25" hidden="false" customHeight="false" outlineLevel="0" collapsed="false">
      <c r="A724" s="1" t="n">
        <v>723</v>
      </c>
      <c r="B724" s="1" t="n">
        <v>19</v>
      </c>
      <c r="C724" s="1" t="n">
        <v>11</v>
      </c>
      <c r="D724" s="16" t="n">
        <f aca="false">IF('Boletins Nuppa Site'!G724&lt;&gt;0,'Boletins Nuppa Site'!G724,"NULL")</f>
        <v>30</v>
      </c>
      <c r="E724" s="16" t="n">
        <f aca="false">IF('Boletins Nuppa Site'!H724&lt;&gt;0,'Boletins Nuppa Site'!H724,"NULL")</f>
        <v>24</v>
      </c>
      <c r="F724" s="16" t="n">
        <f aca="false">IF('Boletins Nuppa Site'!I724&lt;&gt;0,'Boletins Nuppa Site'!I724,"NULL")</f>
        <v>30</v>
      </c>
      <c r="G724" s="16" t="n">
        <f aca="false">IF('Boletins Nuppa Site'!J724&lt;&gt;0,'Boletins Nuppa Site'!J724,"NULL")</f>
        <v>28</v>
      </c>
      <c r="H724" s="16" t="n">
        <f aca="false">IF('Boletins Nuppa Site'!K724&lt;&gt;0,'Boletins Nuppa Site'!K724,"NULL")</f>
        <v>30</v>
      </c>
      <c r="J724" s="1" t="str">
        <f aca="false">"INSERT INTO COTACAO (blt_id, pap_id, cot_prc_comum, cot_prc_min, cot_prc_max, cot_prc_med, cot_prc_mediana) VALUES ("&amp;B724&amp;", "&amp;C724&amp;", "&amp;D724&amp;", "&amp;E724&amp;", "&amp;F724&amp;", "&amp;G724&amp;", "&amp;H724&amp;");"</f>
        <v>INSERT INTO COTACAO (blt_id, pap_id, cot_prc_comum, cot_prc_min, cot_prc_max, cot_prc_med, cot_prc_mediana) VALUES (19, 11, 30, 24, 30, 28, 30);</v>
      </c>
    </row>
    <row r="725" customFormat="false" ht="14.25" hidden="false" customHeight="false" outlineLevel="0" collapsed="false">
      <c r="A725" s="1" t="n">
        <v>724</v>
      </c>
      <c r="B725" s="1" t="n">
        <v>19</v>
      </c>
      <c r="C725" s="1" t="n">
        <v>12</v>
      </c>
      <c r="D725" s="16" t="n">
        <f aca="false">IF('Boletins Nuppa Site'!G725&lt;&gt;0,'Boletins Nuppa Site'!G725,"NULL")</f>
        <v>60</v>
      </c>
      <c r="E725" s="16" t="n">
        <f aca="false">IF('Boletins Nuppa Site'!H725&lt;&gt;0,'Boletins Nuppa Site'!H725,"NULL")</f>
        <v>60</v>
      </c>
      <c r="F725" s="16" t="n">
        <f aca="false">IF('Boletins Nuppa Site'!I725&lt;&gt;0,'Boletins Nuppa Site'!I725,"NULL")</f>
        <v>84</v>
      </c>
      <c r="G725" s="16" t="n">
        <f aca="false">IF('Boletins Nuppa Site'!J725&lt;&gt;0,'Boletins Nuppa Site'!J725,"NULL")</f>
        <v>68</v>
      </c>
      <c r="H725" s="16" t="n">
        <f aca="false">IF('Boletins Nuppa Site'!K725&lt;&gt;0,'Boletins Nuppa Site'!K725,"NULL")</f>
        <v>60</v>
      </c>
      <c r="J725" s="1" t="str">
        <f aca="false">"INSERT INTO COTACAO (blt_id, pap_id, cot_prc_comum, cot_prc_min, cot_prc_max, cot_prc_med, cot_prc_mediana) VALUES ("&amp;B725&amp;", "&amp;C725&amp;", "&amp;D725&amp;", "&amp;E725&amp;", "&amp;F725&amp;", "&amp;G725&amp;", "&amp;H725&amp;");"</f>
        <v>INSERT INTO COTACAO (blt_id, pap_id, cot_prc_comum, cot_prc_min, cot_prc_max, cot_prc_med, cot_prc_mediana) VALUES (19, 12, 60, 60, 84, 68, 60);</v>
      </c>
    </row>
    <row r="726" customFormat="false" ht="14.25" hidden="false" customHeight="false" outlineLevel="0" collapsed="false">
      <c r="A726" s="1" t="n">
        <v>725</v>
      </c>
      <c r="B726" s="1" t="n">
        <v>19</v>
      </c>
      <c r="C726" s="1" t="n">
        <v>13</v>
      </c>
      <c r="D726" s="16" t="n">
        <f aca="false">IF('Boletins Nuppa Site'!G726&lt;&gt;0,'Boletins Nuppa Site'!G726,"NULL")</f>
        <v>60</v>
      </c>
      <c r="E726" s="16" t="n">
        <f aca="false">IF('Boletins Nuppa Site'!H726&lt;&gt;0,'Boletins Nuppa Site'!H726,"NULL")</f>
        <v>60</v>
      </c>
      <c r="F726" s="16" t="n">
        <f aca="false">IF('Boletins Nuppa Site'!I726&lt;&gt;0,'Boletins Nuppa Site'!I726,"NULL")</f>
        <v>78</v>
      </c>
      <c r="G726" s="16" t="n">
        <f aca="false">IF('Boletins Nuppa Site'!J726&lt;&gt;0,'Boletins Nuppa Site'!J726,"NULL")</f>
        <v>66</v>
      </c>
      <c r="H726" s="16" t="n">
        <f aca="false">IF('Boletins Nuppa Site'!K726&lt;&gt;0,'Boletins Nuppa Site'!K726,"NULL")</f>
        <v>60</v>
      </c>
      <c r="J726" s="1" t="str">
        <f aca="false">"INSERT INTO COTACAO (blt_id, pap_id, cot_prc_comum, cot_prc_min, cot_prc_max, cot_prc_med, cot_prc_mediana) VALUES ("&amp;B726&amp;", "&amp;C726&amp;", "&amp;D726&amp;", "&amp;E726&amp;", "&amp;F726&amp;", "&amp;G726&amp;", "&amp;H726&amp;");"</f>
        <v>INSERT INTO COTACAO (blt_id, pap_id, cot_prc_comum, cot_prc_min, cot_prc_max, cot_prc_med, cot_prc_mediana) VALUES (19, 13, 60, 60, 78, 66, 60);</v>
      </c>
    </row>
    <row r="727" customFormat="false" ht="14.25" hidden="false" customHeight="false" outlineLevel="0" collapsed="false">
      <c r="A727" s="1" t="n">
        <v>726</v>
      </c>
      <c r="B727" s="1" t="n">
        <v>19</v>
      </c>
      <c r="C727" s="1" t="n">
        <v>14</v>
      </c>
      <c r="D727" s="1" t="str">
        <f aca="false">IF('Boletins Nuppa Site'!G727&lt;&gt;0,'Boletins Nuppa Site'!G727,"NULL")</f>
        <v>NULL</v>
      </c>
      <c r="E727" s="16" t="n">
        <f aca="false">IF('Boletins Nuppa Site'!H727&lt;&gt;0,'Boletins Nuppa Site'!H727,"NULL")</f>
        <v>72</v>
      </c>
      <c r="F727" s="16" t="n">
        <f aca="false">IF('Boletins Nuppa Site'!I727&lt;&gt;0,'Boletins Nuppa Site'!I727,"NULL")</f>
        <v>100</v>
      </c>
      <c r="G727" s="1" t="str">
        <f aca="false">IF('Boletins Nuppa Site'!J727&lt;&gt;0,'Boletins Nuppa Site'!J727,"NULL")</f>
        <v>85.33</v>
      </c>
      <c r="H727" s="16" t="n">
        <f aca="false">IF('Boletins Nuppa Site'!K727&lt;&gt;0,'Boletins Nuppa Site'!K727,"NULL")</f>
        <v>84</v>
      </c>
      <c r="J727" s="1" t="str">
        <f aca="false">"INSERT INTO COTACAO (blt_id, pap_id, cot_prc_comum, cot_prc_min, cot_prc_max, cot_prc_med, cot_prc_mediana) VALUES ("&amp;B727&amp;", "&amp;C727&amp;", "&amp;D727&amp;", "&amp;E727&amp;", "&amp;F727&amp;", "&amp;G727&amp;", "&amp;H727&amp;");"</f>
        <v>INSERT INTO COTACAO (blt_id, pap_id, cot_prc_comum, cot_prc_min, cot_prc_max, cot_prc_med, cot_prc_mediana) VALUES (19, 14, NULL, 72, 100, 85.33, 84);</v>
      </c>
    </row>
    <row r="728" customFormat="false" ht="14.25" hidden="false" customHeight="false" outlineLevel="0" collapsed="false">
      <c r="A728" s="1" t="n">
        <v>727</v>
      </c>
      <c r="B728" s="1" t="n">
        <v>19</v>
      </c>
      <c r="C728" s="1" t="n">
        <v>15</v>
      </c>
      <c r="D728" s="1" t="str">
        <f aca="false">IF('Boletins Nuppa Site'!G728&lt;&gt;0,'Boletins Nuppa Site'!G728,"NULL")</f>
        <v>NULL</v>
      </c>
      <c r="E728" s="16" t="n">
        <f aca="false">IF('Boletins Nuppa Site'!H728&lt;&gt;0,'Boletins Nuppa Site'!H728,"NULL")</f>
        <v>48</v>
      </c>
      <c r="F728" s="16" t="n">
        <f aca="false">IF('Boletins Nuppa Site'!I728&lt;&gt;0,'Boletins Nuppa Site'!I728,"NULL")</f>
        <v>80</v>
      </c>
      <c r="G728" s="16" t="n">
        <f aca="false">IF('Boletins Nuppa Site'!J728&lt;&gt;0,'Boletins Nuppa Site'!J728,"NULL")</f>
        <v>61</v>
      </c>
      <c r="H728" s="16" t="n">
        <f aca="false">IF('Boletins Nuppa Site'!K728&lt;&gt;0,'Boletins Nuppa Site'!K728,"NULL")</f>
        <v>55</v>
      </c>
      <c r="J728" s="1" t="str">
        <f aca="false">"INSERT INTO COTACAO (blt_id, pap_id, cot_prc_comum, cot_prc_min, cot_prc_max, cot_prc_med, cot_prc_mediana) VALUES ("&amp;B728&amp;", "&amp;C728&amp;", "&amp;D728&amp;", "&amp;E728&amp;", "&amp;F728&amp;", "&amp;G728&amp;", "&amp;H728&amp;");"</f>
        <v>INSERT INTO COTACAO (blt_id, pap_id, cot_prc_comum, cot_prc_min, cot_prc_max, cot_prc_med, cot_prc_mediana) VALUES (19, 15, NULL, 48, 80, 61, 55);</v>
      </c>
    </row>
    <row r="729" customFormat="false" ht="14.25" hidden="false" customHeight="false" outlineLevel="0" collapsed="false">
      <c r="A729" s="1" t="n">
        <v>728</v>
      </c>
      <c r="B729" s="1" t="n">
        <v>19</v>
      </c>
      <c r="C729" s="1" t="n">
        <v>16</v>
      </c>
      <c r="D729" s="16" t="n">
        <f aca="false">IF('Boletins Nuppa Site'!G729&lt;&gt;0,'Boletins Nuppa Site'!G729,"NULL")</f>
        <v>54</v>
      </c>
      <c r="E729" s="16" t="n">
        <f aca="false">IF('Boletins Nuppa Site'!H729&lt;&gt;0,'Boletins Nuppa Site'!H729,"NULL")</f>
        <v>48</v>
      </c>
      <c r="F729" s="16" t="n">
        <f aca="false">IF('Boletins Nuppa Site'!I729&lt;&gt;0,'Boletins Nuppa Site'!I729,"NULL")</f>
        <v>54</v>
      </c>
      <c r="G729" s="16" t="n">
        <f aca="false">IF('Boletins Nuppa Site'!J729&lt;&gt;0,'Boletins Nuppa Site'!J729,"NULL")</f>
        <v>52</v>
      </c>
      <c r="H729" s="16" t="n">
        <f aca="false">IF('Boletins Nuppa Site'!K729&lt;&gt;0,'Boletins Nuppa Site'!K729,"NULL")</f>
        <v>54</v>
      </c>
      <c r="J729" s="1" t="str">
        <f aca="false">"INSERT INTO COTACAO (blt_id, pap_id, cot_prc_comum, cot_prc_min, cot_prc_max, cot_prc_med, cot_prc_mediana) VALUES ("&amp;B729&amp;", "&amp;C729&amp;", "&amp;D729&amp;", "&amp;E729&amp;", "&amp;F729&amp;", "&amp;G729&amp;", "&amp;H729&amp;");"</f>
        <v>INSERT INTO COTACAO (blt_id, pap_id, cot_prc_comum, cot_prc_min, cot_prc_max, cot_prc_med, cot_prc_mediana) VALUES (19, 16, 54, 48, 54, 52, 54);</v>
      </c>
    </row>
    <row r="730" customFormat="false" ht="14.25" hidden="false" customHeight="false" outlineLevel="0" collapsed="false">
      <c r="A730" s="1" t="n">
        <v>729</v>
      </c>
      <c r="B730" s="1" t="n">
        <v>19</v>
      </c>
      <c r="C730" s="1" t="n">
        <v>17</v>
      </c>
      <c r="D730" s="16" t="n">
        <f aca="false">IF('Boletins Nuppa Site'!G730&lt;&gt;0,'Boletins Nuppa Site'!G730,"NULL")</f>
        <v>5</v>
      </c>
      <c r="E730" s="16" t="n">
        <f aca="false">IF('Boletins Nuppa Site'!H730&lt;&gt;0,'Boletins Nuppa Site'!H730,"NULL")</f>
        <v>5</v>
      </c>
      <c r="F730" s="16" t="n">
        <f aca="false">IF('Boletins Nuppa Site'!I730&lt;&gt;0,'Boletins Nuppa Site'!I730,"NULL")</f>
        <v>6</v>
      </c>
      <c r="G730" s="1" t="str">
        <f aca="false">IF('Boletins Nuppa Site'!J730&lt;&gt;0,'Boletins Nuppa Site'!J730,"NULL")</f>
        <v>5.33</v>
      </c>
      <c r="H730" s="16" t="n">
        <f aca="false">IF('Boletins Nuppa Site'!K730&lt;&gt;0,'Boletins Nuppa Site'!K730,"NULL")</f>
        <v>5</v>
      </c>
      <c r="J730" s="1" t="str">
        <f aca="false">"INSERT INTO COTACAO (blt_id, pap_id, cot_prc_comum, cot_prc_min, cot_prc_max, cot_prc_med, cot_prc_mediana) VALUES ("&amp;B730&amp;", "&amp;C730&amp;", "&amp;D730&amp;", "&amp;E730&amp;", "&amp;F730&amp;", "&amp;G730&amp;", "&amp;H730&amp;");"</f>
        <v>INSERT INTO COTACAO (blt_id, pap_id, cot_prc_comum, cot_prc_min, cot_prc_max, cot_prc_med, cot_prc_mediana) VALUES (19, 17, 5, 5, 6, 5.33, 5);</v>
      </c>
    </row>
    <row r="731" customFormat="false" ht="14.25" hidden="false" customHeight="false" outlineLevel="0" collapsed="false">
      <c r="A731" s="1" t="n">
        <v>730</v>
      </c>
      <c r="B731" s="1" t="n">
        <v>19</v>
      </c>
      <c r="C731" s="1" t="n">
        <v>18</v>
      </c>
      <c r="D731" s="16" t="n">
        <f aca="false">IF('Boletins Nuppa Site'!G731&lt;&gt;0,'Boletins Nuppa Site'!G731,"NULL")</f>
        <v>20</v>
      </c>
      <c r="E731" s="16" t="n">
        <f aca="false">IF('Boletins Nuppa Site'!H731&lt;&gt;0,'Boletins Nuppa Site'!H731,"NULL")</f>
        <v>20</v>
      </c>
      <c r="F731" s="16" t="n">
        <f aca="false">IF('Boletins Nuppa Site'!I731&lt;&gt;0,'Boletins Nuppa Site'!I731,"NULL")</f>
        <v>20</v>
      </c>
      <c r="G731" s="16" t="n">
        <f aca="false">IF('Boletins Nuppa Site'!J731&lt;&gt;0,'Boletins Nuppa Site'!J731,"NULL")</f>
        <v>20</v>
      </c>
      <c r="H731" s="16" t="n">
        <f aca="false">IF('Boletins Nuppa Site'!K731&lt;&gt;0,'Boletins Nuppa Site'!K731,"NULL")</f>
        <v>20</v>
      </c>
      <c r="J731" s="1" t="str">
        <f aca="false">"INSERT INTO COTACAO (blt_id, pap_id, cot_prc_comum, cot_prc_min, cot_prc_max, cot_prc_med, cot_prc_mediana) VALUES ("&amp;B731&amp;", "&amp;C731&amp;", "&amp;D731&amp;", "&amp;E731&amp;", "&amp;F731&amp;", "&amp;G731&amp;", "&amp;H731&amp;");"</f>
        <v>INSERT INTO COTACAO (blt_id, pap_id, cot_prc_comum, cot_prc_min, cot_prc_max, cot_prc_med, cot_prc_mediana) VALUES (19, 18, 20, 20, 20, 20, 20);</v>
      </c>
    </row>
    <row r="732" customFormat="false" ht="14.25" hidden="false" customHeight="false" outlineLevel="0" collapsed="false">
      <c r="A732" s="1" t="n">
        <v>731</v>
      </c>
      <c r="B732" s="1" t="n">
        <v>19</v>
      </c>
      <c r="C732" s="1" t="n">
        <v>19</v>
      </c>
      <c r="D732" s="1" t="str">
        <f aca="false">IF('Boletins Nuppa Site'!G732&lt;&gt;0,'Boletins Nuppa Site'!G732,"NULL")</f>
        <v>NULL</v>
      </c>
      <c r="E732" s="16" t="n">
        <f aca="false">IF('Boletins Nuppa Site'!H732&lt;&gt;0,'Boletins Nuppa Site'!H732,"NULL")</f>
        <v>25</v>
      </c>
      <c r="F732" s="16" t="n">
        <f aca="false">IF('Boletins Nuppa Site'!I732&lt;&gt;0,'Boletins Nuppa Site'!I732,"NULL")</f>
        <v>35</v>
      </c>
      <c r="G732" s="16" t="n">
        <f aca="false">IF('Boletins Nuppa Site'!J732&lt;&gt;0,'Boletins Nuppa Site'!J732,"NULL")</f>
        <v>30</v>
      </c>
      <c r="H732" s="16" t="n">
        <f aca="false">IF('Boletins Nuppa Site'!K732&lt;&gt;0,'Boletins Nuppa Site'!K732,"NULL")</f>
        <v>30</v>
      </c>
      <c r="J732" s="1" t="str">
        <f aca="false">"INSERT INTO COTACAO (blt_id, pap_id, cot_prc_comum, cot_prc_min, cot_prc_max, cot_prc_med, cot_prc_mediana) VALUES ("&amp;B732&amp;", "&amp;C732&amp;", "&amp;D732&amp;", "&amp;E732&amp;", "&amp;F732&amp;", "&amp;G732&amp;", "&amp;H732&amp;");"</f>
        <v>INSERT INTO COTACAO (blt_id, pap_id, cot_prc_comum, cot_prc_min, cot_prc_max, cot_prc_med, cot_prc_mediana) VALUES (19, 19, NULL, 25, 35, 30, 30);</v>
      </c>
    </row>
    <row r="733" customFormat="false" ht="14.25" hidden="false" customHeight="false" outlineLevel="0" collapsed="false">
      <c r="A733" s="1" t="n">
        <v>732</v>
      </c>
      <c r="B733" s="1" t="n">
        <v>19</v>
      </c>
      <c r="C733" s="1" t="n">
        <v>20</v>
      </c>
      <c r="D733" s="1" t="str">
        <f aca="false">IF('Boletins Nuppa Site'!G733&lt;&gt;0,'Boletins Nuppa Site'!G733,"NULL")</f>
        <v>NULL</v>
      </c>
      <c r="E733" s="16" t="n">
        <f aca="false">IF('Boletins Nuppa Site'!H733&lt;&gt;0,'Boletins Nuppa Site'!H733,"NULL")</f>
        <v>85</v>
      </c>
      <c r="F733" s="16" t="n">
        <f aca="false">IF('Boletins Nuppa Site'!I733&lt;&gt;0,'Boletins Nuppa Site'!I733,"NULL")</f>
        <v>95</v>
      </c>
      <c r="G733" s="16" t="n">
        <f aca="false">IF('Boletins Nuppa Site'!J733&lt;&gt;0,'Boletins Nuppa Site'!J733,"NULL")</f>
        <v>90</v>
      </c>
      <c r="H733" s="16" t="n">
        <f aca="false">IF('Boletins Nuppa Site'!K733&lt;&gt;0,'Boletins Nuppa Site'!K733,"NULL")</f>
        <v>90</v>
      </c>
      <c r="J733" s="1" t="str">
        <f aca="false">"INSERT INTO COTACAO (blt_id, pap_id, cot_prc_comum, cot_prc_min, cot_prc_max, cot_prc_med, cot_prc_mediana) VALUES ("&amp;B733&amp;", "&amp;C733&amp;", "&amp;D733&amp;", "&amp;E733&amp;", "&amp;F733&amp;", "&amp;G733&amp;", "&amp;H733&amp;");"</f>
        <v>INSERT INTO COTACAO (blt_id, pap_id, cot_prc_comum, cot_prc_min, cot_prc_max, cot_prc_med, cot_prc_mediana) VALUES (19, 20, NULL, 85, 95, 90, 90);</v>
      </c>
    </row>
    <row r="734" customFormat="false" ht="14.25" hidden="false" customHeight="false" outlineLevel="0" collapsed="false">
      <c r="A734" s="1" t="n">
        <v>733</v>
      </c>
      <c r="B734" s="1" t="n">
        <v>19</v>
      </c>
      <c r="C734" s="1" t="n">
        <v>21</v>
      </c>
      <c r="D734" s="16" t="n">
        <f aca="false">IF('Boletins Nuppa Site'!G734&lt;&gt;0,'Boletins Nuppa Site'!G734,"NULL")</f>
        <v>120</v>
      </c>
      <c r="E734" s="16" t="n">
        <f aca="false">IF('Boletins Nuppa Site'!H734&lt;&gt;0,'Boletins Nuppa Site'!H734,"NULL")</f>
        <v>100</v>
      </c>
      <c r="F734" s="16" t="n">
        <f aca="false">IF('Boletins Nuppa Site'!I734&lt;&gt;0,'Boletins Nuppa Site'!I734,"NULL")</f>
        <v>120</v>
      </c>
      <c r="G734" s="16" t="n">
        <f aca="false">IF('Boletins Nuppa Site'!J734&lt;&gt;0,'Boletins Nuppa Site'!J734,"NULL")</f>
        <v>116</v>
      </c>
      <c r="H734" s="16" t="n">
        <f aca="false">IF('Boletins Nuppa Site'!K734&lt;&gt;0,'Boletins Nuppa Site'!K734,"NULL")</f>
        <v>120</v>
      </c>
      <c r="J734" s="1" t="str">
        <f aca="false">"INSERT INTO COTACAO (blt_id, pap_id, cot_prc_comum, cot_prc_min, cot_prc_max, cot_prc_med, cot_prc_mediana) VALUES ("&amp;B734&amp;", "&amp;C734&amp;", "&amp;D734&amp;", "&amp;E734&amp;", "&amp;F734&amp;", "&amp;G734&amp;", "&amp;H734&amp;");"</f>
        <v>INSERT INTO COTACAO (blt_id, pap_id, cot_prc_comum, cot_prc_min, cot_prc_max, cot_prc_med, cot_prc_mediana) VALUES (19, 21, 120, 100, 120, 116, 120);</v>
      </c>
    </row>
    <row r="735" customFormat="false" ht="14.25" hidden="false" customHeight="false" outlineLevel="0" collapsed="false">
      <c r="A735" s="1" t="n">
        <v>734</v>
      </c>
      <c r="B735" s="1" t="n">
        <v>19</v>
      </c>
      <c r="C735" s="1" t="n">
        <v>22</v>
      </c>
      <c r="D735" s="16" t="n">
        <f aca="false">IF('Boletins Nuppa Site'!G735&lt;&gt;0,'Boletins Nuppa Site'!G735,"NULL")</f>
        <v>60</v>
      </c>
      <c r="E735" s="16" t="n">
        <f aca="false">IF('Boletins Nuppa Site'!H735&lt;&gt;0,'Boletins Nuppa Site'!H735,"NULL")</f>
        <v>40</v>
      </c>
      <c r="F735" s="16" t="n">
        <f aca="false">IF('Boletins Nuppa Site'!I735&lt;&gt;0,'Boletins Nuppa Site'!I735,"NULL")</f>
        <v>70</v>
      </c>
      <c r="G735" s="1" t="str">
        <f aca="false">IF('Boletins Nuppa Site'!J735&lt;&gt;0,'Boletins Nuppa Site'!J735,"NULL")</f>
        <v>57.5</v>
      </c>
      <c r="H735" s="16" t="n">
        <f aca="false">IF('Boletins Nuppa Site'!K735&lt;&gt;0,'Boletins Nuppa Site'!K735,"NULL")</f>
        <v>60</v>
      </c>
      <c r="J735" s="1" t="str">
        <f aca="false">"INSERT INTO COTACAO (blt_id, pap_id, cot_prc_comum, cot_prc_min, cot_prc_max, cot_prc_med, cot_prc_mediana) VALUES ("&amp;B735&amp;", "&amp;C735&amp;", "&amp;D735&amp;", "&amp;E735&amp;", "&amp;F735&amp;", "&amp;G735&amp;", "&amp;H735&amp;");"</f>
        <v>INSERT INTO COTACAO (blt_id, pap_id, cot_prc_comum, cot_prc_min, cot_prc_max, cot_prc_med, cot_prc_mediana) VALUES (19, 22, 60, 40, 70, 57.5, 60);</v>
      </c>
    </row>
    <row r="736" customFormat="false" ht="14.25" hidden="false" customHeight="false" outlineLevel="0" collapsed="false">
      <c r="A736" s="1" t="n">
        <v>735</v>
      </c>
      <c r="B736" s="1" t="n">
        <v>19</v>
      </c>
      <c r="C736" s="1" t="n">
        <v>23</v>
      </c>
      <c r="D736" s="16" t="n">
        <f aca="false">IF('Boletins Nuppa Site'!G736&lt;&gt;0,'Boletins Nuppa Site'!G736,"NULL")</f>
        <v>40</v>
      </c>
      <c r="E736" s="16" t="n">
        <f aca="false">IF('Boletins Nuppa Site'!H736&lt;&gt;0,'Boletins Nuppa Site'!H736,"NULL")</f>
        <v>35</v>
      </c>
      <c r="F736" s="16" t="n">
        <f aca="false">IF('Boletins Nuppa Site'!I736&lt;&gt;0,'Boletins Nuppa Site'!I736,"NULL")</f>
        <v>55</v>
      </c>
      <c r="G736" s="1" t="str">
        <f aca="false">IF('Boletins Nuppa Site'!J736&lt;&gt;0,'Boletins Nuppa Site'!J736,"NULL")</f>
        <v>42.5</v>
      </c>
      <c r="H736" s="16" t="n">
        <f aca="false">IF('Boletins Nuppa Site'!K736&lt;&gt;0,'Boletins Nuppa Site'!K736,"NULL")</f>
        <v>40</v>
      </c>
      <c r="J736" s="1" t="str">
        <f aca="false">"INSERT INTO COTACAO (blt_id, pap_id, cot_prc_comum, cot_prc_min, cot_prc_max, cot_prc_med, cot_prc_mediana) VALUES ("&amp;B736&amp;", "&amp;C736&amp;", "&amp;D736&amp;", "&amp;E736&amp;", "&amp;F736&amp;", "&amp;G736&amp;", "&amp;H736&amp;");"</f>
        <v>INSERT INTO COTACAO (blt_id, pap_id, cot_prc_comum, cot_prc_min, cot_prc_max, cot_prc_med, cot_prc_mediana) VALUES (19, 23, 40, 35, 55, 42.5, 40);</v>
      </c>
    </row>
    <row r="737" customFormat="false" ht="14.25" hidden="false" customHeight="false" outlineLevel="0" collapsed="false">
      <c r="A737" s="1" t="n">
        <v>736</v>
      </c>
      <c r="B737" s="1" t="n">
        <v>19</v>
      </c>
      <c r="C737" s="1" t="n">
        <v>24</v>
      </c>
      <c r="D737" s="1" t="str">
        <f aca="false">IF('Boletins Nuppa Site'!G737&lt;&gt;0,'Boletins Nuppa Site'!G737,"NULL")</f>
        <v>NULL</v>
      </c>
      <c r="E737" s="16" t="n">
        <f aca="false">IF('Boletins Nuppa Site'!H737&lt;&gt;0,'Boletins Nuppa Site'!H737,"NULL")</f>
        <v>90</v>
      </c>
      <c r="F737" s="16" t="n">
        <f aca="false">IF('Boletins Nuppa Site'!I737&lt;&gt;0,'Boletins Nuppa Site'!I737,"NULL")</f>
        <v>110</v>
      </c>
      <c r="G737" s="16" t="n">
        <f aca="false">IF('Boletins Nuppa Site'!J737&lt;&gt;0,'Boletins Nuppa Site'!J737,"NULL")</f>
        <v>100</v>
      </c>
      <c r="H737" s="16" t="n">
        <f aca="false">IF('Boletins Nuppa Site'!K737&lt;&gt;0,'Boletins Nuppa Site'!K737,"NULL")</f>
        <v>100</v>
      </c>
      <c r="J737" s="1" t="str">
        <f aca="false">"INSERT INTO COTACAO (blt_id, pap_id, cot_prc_comum, cot_prc_min, cot_prc_max, cot_prc_med, cot_prc_mediana) VALUES ("&amp;B737&amp;", "&amp;C737&amp;", "&amp;D737&amp;", "&amp;E737&amp;", "&amp;F737&amp;", "&amp;G737&amp;", "&amp;H737&amp;");"</f>
        <v>INSERT INTO COTACAO (blt_id, pap_id, cot_prc_comum, cot_prc_min, cot_prc_max, cot_prc_med, cot_prc_mediana) VALUES (19, 24, NULL, 90, 110, 100, 100);</v>
      </c>
    </row>
    <row r="738" customFormat="false" ht="14.25" hidden="false" customHeight="false" outlineLevel="0" collapsed="false">
      <c r="A738" s="1" t="n">
        <v>737</v>
      </c>
      <c r="B738" s="1" t="n">
        <v>19</v>
      </c>
      <c r="C738" s="1" t="n">
        <v>25</v>
      </c>
      <c r="D738" s="16" t="n">
        <f aca="false">IF('Boletins Nuppa Site'!G738&lt;&gt;0,'Boletins Nuppa Site'!G738,"NULL")</f>
        <v>120</v>
      </c>
      <c r="E738" s="16" t="n">
        <f aca="false">IF('Boletins Nuppa Site'!H738&lt;&gt;0,'Boletins Nuppa Site'!H738,"NULL")</f>
        <v>80</v>
      </c>
      <c r="F738" s="16" t="n">
        <f aca="false">IF('Boletins Nuppa Site'!I738&lt;&gt;0,'Boletins Nuppa Site'!I738,"NULL")</f>
        <v>120</v>
      </c>
      <c r="G738" s="16" t="n">
        <f aca="false">IF('Boletins Nuppa Site'!J738&lt;&gt;0,'Boletins Nuppa Site'!J738,"NULL")</f>
        <v>110</v>
      </c>
      <c r="H738" s="16" t="n">
        <f aca="false">IF('Boletins Nuppa Site'!K738&lt;&gt;0,'Boletins Nuppa Site'!K738,"NULL")</f>
        <v>120</v>
      </c>
      <c r="J738" s="1" t="str">
        <f aca="false">"INSERT INTO COTACAO (blt_id, pap_id, cot_prc_comum, cot_prc_min, cot_prc_max, cot_prc_med, cot_prc_mediana) VALUES ("&amp;B738&amp;", "&amp;C738&amp;", "&amp;D738&amp;", "&amp;E738&amp;", "&amp;F738&amp;", "&amp;G738&amp;", "&amp;H738&amp;");"</f>
        <v>INSERT INTO COTACAO (blt_id, pap_id, cot_prc_comum, cot_prc_min, cot_prc_max, cot_prc_med, cot_prc_mediana) VALUES (19, 25, 120, 80, 120, 110, 120);</v>
      </c>
    </row>
    <row r="739" customFormat="false" ht="14.25" hidden="false" customHeight="false" outlineLevel="0" collapsed="false">
      <c r="A739" s="1" t="n">
        <v>738</v>
      </c>
      <c r="B739" s="1" t="n">
        <v>19</v>
      </c>
      <c r="C739" s="1" t="n">
        <v>26</v>
      </c>
      <c r="D739" s="1" t="str">
        <f aca="false">IF('Boletins Nuppa Site'!G739&lt;&gt;0,'Boletins Nuppa Site'!G739,"NULL")</f>
        <v>NULL</v>
      </c>
      <c r="E739" s="16" t="n">
        <f aca="false">IF('Boletins Nuppa Site'!H739&lt;&gt;0,'Boletins Nuppa Site'!H739,"NULL")</f>
        <v>60</v>
      </c>
      <c r="F739" s="16" t="n">
        <f aca="false">IF('Boletins Nuppa Site'!I739&lt;&gt;0,'Boletins Nuppa Site'!I739,"NULL")</f>
        <v>160</v>
      </c>
      <c r="G739" s="16" t="n">
        <f aca="false">IF('Boletins Nuppa Site'!J739&lt;&gt;0,'Boletins Nuppa Site'!J739,"NULL")</f>
        <v>118</v>
      </c>
      <c r="H739" s="16" t="n">
        <f aca="false">IF('Boletins Nuppa Site'!K739&lt;&gt;0,'Boletins Nuppa Site'!K739,"NULL")</f>
        <v>130</v>
      </c>
      <c r="J739" s="1" t="str">
        <f aca="false">"INSERT INTO COTACAO (blt_id, pap_id, cot_prc_comum, cot_prc_min, cot_prc_max, cot_prc_med, cot_prc_mediana) VALUES ("&amp;B739&amp;", "&amp;C739&amp;", "&amp;D739&amp;", "&amp;E739&amp;", "&amp;F739&amp;", "&amp;G739&amp;", "&amp;H739&amp;");"</f>
        <v>INSERT INTO COTACAO (blt_id, pap_id, cot_prc_comum, cot_prc_min, cot_prc_max, cot_prc_med, cot_prc_mediana) VALUES (19, 26, NULL, 60, 160, 118, 130);</v>
      </c>
    </row>
    <row r="740" customFormat="false" ht="14.25" hidden="false" customHeight="false" outlineLevel="0" collapsed="false">
      <c r="A740" s="1" t="n">
        <v>739</v>
      </c>
      <c r="B740" s="1" t="n">
        <v>19</v>
      </c>
      <c r="C740" s="1" t="n">
        <v>27</v>
      </c>
      <c r="D740" s="16" t="n">
        <f aca="false">IF('Boletins Nuppa Site'!G740&lt;&gt;0,'Boletins Nuppa Site'!G740,"NULL")</f>
        <v>80</v>
      </c>
      <c r="E740" s="16" t="n">
        <f aca="false">IF('Boletins Nuppa Site'!H740&lt;&gt;0,'Boletins Nuppa Site'!H740,"NULL")</f>
        <v>75</v>
      </c>
      <c r="F740" s="16" t="n">
        <f aca="false">IF('Boletins Nuppa Site'!I740&lt;&gt;0,'Boletins Nuppa Site'!I740,"NULL")</f>
        <v>110</v>
      </c>
      <c r="G740" s="16" t="n">
        <f aca="false">IF('Boletins Nuppa Site'!J740&lt;&gt;0,'Boletins Nuppa Site'!J740,"NULL")</f>
        <v>90</v>
      </c>
      <c r="H740" s="16" t="n">
        <f aca="false">IF('Boletins Nuppa Site'!K740&lt;&gt;0,'Boletins Nuppa Site'!K740,"NULL")</f>
        <v>80</v>
      </c>
      <c r="J740" s="1" t="str">
        <f aca="false">"INSERT INTO COTACAO (blt_id, pap_id, cot_prc_comum, cot_prc_min, cot_prc_max, cot_prc_med, cot_prc_mediana) VALUES ("&amp;B740&amp;", "&amp;C740&amp;", "&amp;D740&amp;", "&amp;E740&amp;", "&amp;F740&amp;", "&amp;G740&amp;", "&amp;H740&amp;");"</f>
        <v>INSERT INTO COTACAO (blt_id, pap_id, cot_prc_comum, cot_prc_min, cot_prc_max, cot_prc_med, cot_prc_mediana) VALUES (19, 27, 80, 75, 110, 90, 80);</v>
      </c>
    </row>
    <row r="741" customFormat="false" ht="14.25" hidden="false" customHeight="false" outlineLevel="0" collapsed="false">
      <c r="A741" s="1" t="n">
        <v>740</v>
      </c>
      <c r="B741" s="1" t="n">
        <v>19</v>
      </c>
      <c r="C741" s="1" t="n">
        <v>28</v>
      </c>
      <c r="D741" s="16" t="n">
        <f aca="false">IF('Boletins Nuppa Site'!G741&lt;&gt;0,'Boletins Nuppa Site'!G741,"NULL")</f>
        <v>100</v>
      </c>
      <c r="E741" s="16" t="n">
        <f aca="false">IF('Boletins Nuppa Site'!H741&lt;&gt;0,'Boletins Nuppa Site'!H741,"NULL")</f>
        <v>70</v>
      </c>
      <c r="F741" s="16" t="n">
        <f aca="false">IF('Boletins Nuppa Site'!I741&lt;&gt;0,'Boletins Nuppa Site'!I741,"NULL")</f>
        <v>100</v>
      </c>
      <c r="G741" s="1" t="str">
        <f aca="false">IF('Boletins Nuppa Site'!J741&lt;&gt;0,'Boletins Nuppa Site'!J741,"NULL")</f>
        <v>87.5</v>
      </c>
      <c r="H741" s="16" t="n">
        <f aca="false">IF('Boletins Nuppa Site'!K741&lt;&gt;0,'Boletins Nuppa Site'!K741,"NULL")</f>
        <v>90</v>
      </c>
      <c r="J741" s="1" t="str">
        <f aca="false">"INSERT INTO COTACAO (blt_id, pap_id, cot_prc_comum, cot_prc_min, cot_prc_max, cot_prc_med, cot_prc_mediana) VALUES ("&amp;B741&amp;", "&amp;C741&amp;", "&amp;D741&amp;", "&amp;E741&amp;", "&amp;F741&amp;", "&amp;G741&amp;", "&amp;H741&amp;");"</f>
        <v>INSERT INTO COTACAO (blt_id, pap_id, cot_prc_comum, cot_prc_min, cot_prc_max, cot_prc_med, cot_prc_mediana) VALUES (19, 28, 100, 70, 100, 87.5, 90);</v>
      </c>
    </row>
    <row r="742" customFormat="false" ht="14.25" hidden="false" customHeight="false" outlineLevel="0" collapsed="false">
      <c r="A742" s="1" t="n">
        <v>741</v>
      </c>
      <c r="B742" s="1" t="n">
        <v>19</v>
      </c>
      <c r="C742" s="1" t="n">
        <v>29</v>
      </c>
      <c r="D742" s="1" t="str">
        <f aca="false">IF('Boletins Nuppa Site'!G742&lt;&gt;0,'Boletins Nuppa Site'!G742,"NULL")</f>
        <v>NULL</v>
      </c>
      <c r="E742" s="16" t="n">
        <f aca="false">IF('Boletins Nuppa Site'!H742&lt;&gt;0,'Boletins Nuppa Site'!H742,"NULL")</f>
        <v>40</v>
      </c>
      <c r="F742" s="16" t="n">
        <f aca="false">IF('Boletins Nuppa Site'!I742&lt;&gt;0,'Boletins Nuppa Site'!I742,"NULL")</f>
        <v>60</v>
      </c>
      <c r="G742" s="1" t="str">
        <f aca="false">IF('Boletins Nuppa Site'!J742&lt;&gt;0,'Boletins Nuppa Site'!J742,"NULL")</f>
        <v>51.25</v>
      </c>
      <c r="H742" s="1" t="str">
        <f aca="false">IF('Boletins Nuppa Site'!K742&lt;&gt;0,'Boletins Nuppa Site'!K742,"NULL")</f>
        <v>52.5</v>
      </c>
      <c r="J742" s="1" t="str">
        <f aca="false">"INSERT INTO COTACAO (blt_id, pap_id, cot_prc_comum, cot_prc_min, cot_prc_max, cot_prc_med, cot_prc_mediana) VALUES ("&amp;B742&amp;", "&amp;C742&amp;", "&amp;D742&amp;", "&amp;E742&amp;", "&amp;F742&amp;", "&amp;G742&amp;", "&amp;H742&amp;");"</f>
        <v>INSERT INTO COTACAO (blt_id, pap_id, cot_prc_comum, cot_prc_min, cot_prc_max, cot_prc_med, cot_prc_mediana) VALUES (19, 29, NULL, 40, 60, 51.25, 52.5);</v>
      </c>
    </row>
    <row r="743" customFormat="false" ht="14.25" hidden="false" customHeight="false" outlineLevel="0" collapsed="false">
      <c r="A743" s="1" t="n">
        <v>742</v>
      </c>
      <c r="B743" s="1" t="n">
        <v>19</v>
      </c>
      <c r="C743" s="1" t="n">
        <v>30</v>
      </c>
      <c r="D743" s="16" t="n">
        <f aca="false">IF('Boletins Nuppa Site'!G743&lt;&gt;0,'Boletins Nuppa Site'!G743,"NULL")</f>
        <v>70</v>
      </c>
      <c r="E743" s="16" t="n">
        <f aca="false">IF('Boletins Nuppa Site'!H743&lt;&gt;0,'Boletins Nuppa Site'!H743,"NULL")</f>
        <v>65</v>
      </c>
      <c r="F743" s="16" t="n">
        <f aca="false">IF('Boletins Nuppa Site'!I743&lt;&gt;0,'Boletins Nuppa Site'!I743,"NULL")</f>
        <v>70</v>
      </c>
      <c r="G743" s="1" t="str">
        <f aca="false">IF('Boletins Nuppa Site'!J743&lt;&gt;0,'Boletins Nuppa Site'!J743,"NULL")</f>
        <v>68.75</v>
      </c>
      <c r="H743" s="16" t="n">
        <f aca="false">IF('Boletins Nuppa Site'!K743&lt;&gt;0,'Boletins Nuppa Site'!K743,"NULL")</f>
        <v>70</v>
      </c>
      <c r="J743" s="1" t="str">
        <f aca="false">"INSERT INTO COTACAO (blt_id, pap_id, cot_prc_comum, cot_prc_min, cot_prc_max, cot_prc_med, cot_prc_mediana) VALUES ("&amp;B743&amp;", "&amp;C743&amp;", "&amp;D743&amp;", "&amp;E743&amp;", "&amp;F743&amp;", "&amp;G743&amp;", "&amp;H743&amp;");"</f>
        <v>INSERT INTO COTACAO (blt_id, pap_id, cot_prc_comum, cot_prc_min, cot_prc_max, cot_prc_med, cot_prc_mediana) VALUES (19, 30, 70, 65, 70, 68.75, 70);</v>
      </c>
    </row>
    <row r="744" customFormat="false" ht="14.25" hidden="false" customHeight="false" outlineLevel="0" collapsed="false">
      <c r="A744" s="1" t="n">
        <v>743</v>
      </c>
      <c r="B744" s="1" t="n">
        <v>19</v>
      </c>
      <c r="C744" s="1" t="n">
        <v>31</v>
      </c>
      <c r="D744" s="16" t="n">
        <f aca="false">IF('Boletins Nuppa Site'!G744&lt;&gt;0,'Boletins Nuppa Site'!G744,"NULL")</f>
        <v>120</v>
      </c>
      <c r="E744" s="16" t="n">
        <f aca="false">IF('Boletins Nuppa Site'!H744&lt;&gt;0,'Boletins Nuppa Site'!H744,"NULL")</f>
        <v>100</v>
      </c>
      <c r="F744" s="16" t="n">
        <f aca="false">IF('Boletins Nuppa Site'!I744&lt;&gt;0,'Boletins Nuppa Site'!I744,"NULL")</f>
        <v>125</v>
      </c>
      <c r="G744" s="1" t="str">
        <f aca="false">IF('Boletins Nuppa Site'!J744&lt;&gt;0,'Boletins Nuppa Site'!J744,"NULL")</f>
        <v>116.25</v>
      </c>
      <c r="H744" s="16" t="n">
        <f aca="false">IF('Boletins Nuppa Site'!K744&lt;&gt;0,'Boletins Nuppa Site'!K744,"NULL")</f>
        <v>120</v>
      </c>
      <c r="J744" s="1" t="str">
        <f aca="false">"INSERT INTO COTACAO (blt_id, pap_id, cot_prc_comum, cot_prc_min, cot_prc_max, cot_prc_med, cot_prc_mediana) VALUES ("&amp;B744&amp;", "&amp;C744&amp;", "&amp;D744&amp;", "&amp;E744&amp;", "&amp;F744&amp;", "&amp;G744&amp;", "&amp;H744&amp;");"</f>
        <v>INSERT INTO COTACAO (blt_id, pap_id, cot_prc_comum, cot_prc_min, cot_prc_max, cot_prc_med, cot_prc_mediana) VALUES (19, 31, 120, 100, 125, 116.25, 120);</v>
      </c>
    </row>
    <row r="745" customFormat="false" ht="14.25" hidden="false" customHeight="false" outlineLevel="0" collapsed="false">
      <c r="A745" s="1" t="n">
        <v>744</v>
      </c>
      <c r="B745" s="1" t="n">
        <v>19</v>
      </c>
      <c r="C745" s="1" t="n">
        <v>32</v>
      </c>
      <c r="D745" s="16" t="n">
        <f aca="false">IF('Boletins Nuppa Site'!G745&lt;&gt;0,'Boletins Nuppa Site'!G745,"NULL")</f>
        <v>50</v>
      </c>
      <c r="E745" s="16" t="n">
        <f aca="false">IF('Boletins Nuppa Site'!H745&lt;&gt;0,'Boletins Nuppa Site'!H745,"NULL")</f>
        <v>40</v>
      </c>
      <c r="F745" s="16" t="n">
        <f aca="false">IF('Boletins Nuppa Site'!I745&lt;&gt;0,'Boletins Nuppa Site'!I745,"NULL")</f>
        <v>80</v>
      </c>
      <c r="G745" s="1" t="str">
        <f aca="false">IF('Boletins Nuppa Site'!J745&lt;&gt;0,'Boletins Nuppa Site'!J745,"NULL")</f>
        <v>53.33</v>
      </c>
      <c r="H745" s="16" t="n">
        <f aca="false">IF('Boletins Nuppa Site'!K745&lt;&gt;0,'Boletins Nuppa Site'!K745,"NULL")</f>
        <v>50</v>
      </c>
      <c r="J745" s="1" t="str">
        <f aca="false">"INSERT INTO COTACAO (blt_id, pap_id, cot_prc_comum, cot_prc_min, cot_prc_max, cot_prc_med, cot_prc_mediana) VALUES ("&amp;B745&amp;", "&amp;C745&amp;", "&amp;D745&amp;", "&amp;E745&amp;", "&amp;F745&amp;", "&amp;G745&amp;", "&amp;H745&amp;");"</f>
        <v>INSERT INTO COTACAO (blt_id, pap_id, cot_prc_comum, cot_prc_min, cot_prc_max, cot_prc_med, cot_prc_mediana) VALUES (19, 32, 50, 40, 80, 53.33, 50);</v>
      </c>
    </row>
    <row r="746" customFormat="false" ht="14.25" hidden="false" customHeight="false" outlineLevel="0" collapsed="false">
      <c r="A746" s="1" t="n">
        <v>745</v>
      </c>
      <c r="B746" s="1" t="n">
        <v>19</v>
      </c>
      <c r="C746" s="1" t="n">
        <v>33</v>
      </c>
      <c r="D746" s="1" t="str">
        <f aca="false">IF('Boletins Nuppa Site'!G746&lt;&gt;0,'Boletins Nuppa Site'!G746,"NULL")</f>
        <v>NULL</v>
      </c>
      <c r="E746" s="16" t="n">
        <f aca="false">IF('Boletins Nuppa Site'!H746&lt;&gt;0,'Boletins Nuppa Site'!H746,"NULL")</f>
        <v>120</v>
      </c>
      <c r="F746" s="16" t="n">
        <f aca="false">IF('Boletins Nuppa Site'!I746&lt;&gt;0,'Boletins Nuppa Site'!I746,"NULL")</f>
        <v>200</v>
      </c>
      <c r="G746" s="16" t="n">
        <f aca="false">IF('Boletins Nuppa Site'!J746&lt;&gt;0,'Boletins Nuppa Site'!J746,"NULL")</f>
        <v>160</v>
      </c>
      <c r="H746" s="16" t="n">
        <f aca="false">IF('Boletins Nuppa Site'!K746&lt;&gt;0,'Boletins Nuppa Site'!K746,"NULL")</f>
        <v>160</v>
      </c>
      <c r="J746" s="1" t="str">
        <f aca="false">"INSERT INTO COTACAO (blt_id, pap_id, cot_prc_comum, cot_prc_min, cot_prc_max, cot_prc_med, cot_prc_mediana) VALUES ("&amp;B746&amp;", "&amp;C746&amp;", "&amp;D746&amp;", "&amp;E746&amp;", "&amp;F746&amp;", "&amp;G746&amp;", "&amp;H746&amp;");"</f>
        <v>INSERT INTO COTACAO (blt_id, pap_id, cot_prc_comum, cot_prc_min, cot_prc_max, cot_prc_med, cot_prc_mediana) VALUES (19, 33, NULL, 120, 200, 160, 160);</v>
      </c>
    </row>
    <row r="747" customFormat="false" ht="14.25" hidden="false" customHeight="false" outlineLevel="0" collapsed="false">
      <c r="A747" s="1" t="n">
        <v>746</v>
      </c>
      <c r="B747" s="1" t="n">
        <v>19</v>
      </c>
      <c r="C747" s="1" t="n">
        <v>34</v>
      </c>
      <c r="D747" s="16" t="n">
        <f aca="false">IF('Boletins Nuppa Site'!G747&lt;&gt;0,'Boletins Nuppa Site'!G747,"NULL")</f>
        <v>130</v>
      </c>
      <c r="E747" s="16" t="n">
        <f aca="false">IF('Boletins Nuppa Site'!H747&lt;&gt;0,'Boletins Nuppa Site'!H747,"NULL")</f>
        <v>100</v>
      </c>
      <c r="F747" s="16" t="n">
        <f aca="false">IF('Boletins Nuppa Site'!I747&lt;&gt;0,'Boletins Nuppa Site'!I747,"NULL")</f>
        <v>170</v>
      </c>
      <c r="G747" s="16" t="n">
        <f aca="false">IF('Boletins Nuppa Site'!J747&lt;&gt;0,'Boletins Nuppa Site'!J747,"NULL")</f>
        <v>140</v>
      </c>
      <c r="H747" s="16" t="n">
        <f aca="false">IF('Boletins Nuppa Site'!K747&lt;&gt;0,'Boletins Nuppa Site'!K747,"NULL")</f>
        <v>140</v>
      </c>
      <c r="J747" s="1" t="str">
        <f aca="false">"INSERT INTO COTACAO (blt_id, pap_id, cot_prc_comum, cot_prc_min, cot_prc_max, cot_prc_med, cot_prc_mediana) VALUES ("&amp;B747&amp;", "&amp;C747&amp;", "&amp;D747&amp;", "&amp;E747&amp;", "&amp;F747&amp;", "&amp;G747&amp;", "&amp;H747&amp;");"</f>
        <v>INSERT INTO COTACAO (blt_id, pap_id, cot_prc_comum, cot_prc_min, cot_prc_max, cot_prc_med, cot_prc_mediana) VALUES (19, 34, 130, 100, 170, 140, 140);</v>
      </c>
    </row>
    <row r="748" customFormat="false" ht="14.25" hidden="false" customHeight="false" outlineLevel="0" collapsed="false">
      <c r="A748" s="1" t="n">
        <v>747</v>
      </c>
      <c r="B748" s="1" t="n">
        <v>19</v>
      </c>
      <c r="C748" s="1" t="n">
        <v>35</v>
      </c>
      <c r="D748" s="1" t="str">
        <f aca="false">IF('Boletins Nuppa Site'!G748&lt;&gt;0,'Boletins Nuppa Site'!G748,"NULL")</f>
        <v>NULL</v>
      </c>
      <c r="E748" s="16" t="n">
        <f aca="false">IF('Boletins Nuppa Site'!H748&lt;&gt;0,'Boletins Nuppa Site'!H748,"NULL")</f>
        <v>120</v>
      </c>
      <c r="F748" s="16" t="n">
        <f aca="false">IF('Boletins Nuppa Site'!I748&lt;&gt;0,'Boletins Nuppa Site'!I748,"NULL")</f>
        <v>235</v>
      </c>
      <c r="G748" s="1" t="str">
        <f aca="false">IF('Boletins Nuppa Site'!J748&lt;&gt;0,'Boletins Nuppa Site'!J748,"NULL")</f>
        <v>193.75</v>
      </c>
      <c r="H748" s="16" t="n">
        <f aca="false">IF('Boletins Nuppa Site'!K748&lt;&gt;0,'Boletins Nuppa Site'!K748,"NULL")</f>
        <v>210</v>
      </c>
      <c r="J748" s="1" t="str">
        <f aca="false">"INSERT INTO COTACAO (blt_id, pap_id, cot_prc_comum, cot_prc_min, cot_prc_max, cot_prc_med, cot_prc_mediana) VALUES ("&amp;B748&amp;", "&amp;C748&amp;", "&amp;D748&amp;", "&amp;E748&amp;", "&amp;F748&amp;", "&amp;G748&amp;", "&amp;H748&amp;");"</f>
        <v>INSERT INTO COTACAO (blt_id, pap_id, cot_prc_comum, cot_prc_min, cot_prc_max, cot_prc_med, cot_prc_mediana) VALUES (19, 35, NULL, 120, 235, 193.75, 210);</v>
      </c>
    </row>
    <row r="749" customFormat="false" ht="14.25" hidden="false" customHeight="false" outlineLevel="0" collapsed="false">
      <c r="A749" s="1" t="n">
        <v>748</v>
      </c>
      <c r="B749" s="1" t="n">
        <v>19</v>
      </c>
      <c r="C749" s="1" t="n">
        <v>36</v>
      </c>
      <c r="D749" s="1" t="str">
        <f aca="false">IF('Boletins Nuppa Site'!G749&lt;&gt;0,'Boletins Nuppa Site'!G749,"NULL")</f>
        <v>NULL</v>
      </c>
      <c r="E749" s="1" t="str">
        <f aca="false">IF('Boletins Nuppa Site'!H749&lt;&gt;0,'Boletins Nuppa Site'!H749,"NULL")</f>
        <v>NULL</v>
      </c>
      <c r="F749" s="1" t="str">
        <f aca="false">IF('Boletins Nuppa Site'!I749&lt;&gt;0,'Boletins Nuppa Site'!I749,"NULL")</f>
        <v>NULL</v>
      </c>
      <c r="G749" s="1" t="str">
        <f aca="false">IF('Boletins Nuppa Site'!J749&lt;&gt;0,'Boletins Nuppa Site'!J749,"NULL")</f>
        <v>NULL</v>
      </c>
      <c r="H749" s="1" t="str">
        <f aca="false">IF('Boletins Nuppa Site'!K749&lt;&gt;0,'Boletins Nuppa Site'!K749,"NULL")</f>
        <v>NULL</v>
      </c>
      <c r="J749" s="1" t="str">
        <f aca="false">"INSERT INTO COTACAO (blt_id, pap_id, cot_prc_comum, cot_prc_min, cot_prc_max, cot_prc_med, cot_prc_mediana) VALUES ("&amp;B749&amp;", "&amp;C749&amp;", "&amp;D749&amp;", "&amp;E749&amp;", "&amp;F749&amp;", "&amp;G749&amp;", "&amp;H749&amp;");"</f>
        <v>INSERT INTO COTACAO (blt_id, pap_id, cot_prc_comum, cot_prc_min, cot_prc_max, cot_prc_med, cot_prc_mediana) VALUES (19, 36, NULL, NULL, NULL, NULL, NULL);</v>
      </c>
    </row>
    <row r="750" customFormat="false" ht="14.25" hidden="false" customHeight="false" outlineLevel="0" collapsed="false">
      <c r="A750" s="1" t="n">
        <v>749</v>
      </c>
      <c r="B750" s="1" t="n">
        <v>19</v>
      </c>
      <c r="C750" s="1" t="n">
        <v>37</v>
      </c>
      <c r="D750" s="1" t="str">
        <f aca="false">IF('Boletins Nuppa Site'!G750&lt;&gt;0,'Boletins Nuppa Site'!G750,"NULL")</f>
        <v>NULL</v>
      </c>
      <c r="E750" s="1" t="str">
        <f aca="false">IF('Boletins Nuppa Site'!H750&lt;&gt;0,'Boletins Nuppa Site'!H750,"NULL")</f>
        <v>NULL</v>
      </c>
      <c r="F750" s="1" t="str">
        <f aca="false">IF('Boletins Nuppa Site'!I750&lt;&gt;0,'Boletins Nuppa Site'!I750,"NULL")</f>
        <v>NULL</v>
      </c>
      <c r="G750" s="1" t="str">
        <f aca="false">IF('Boletins Nuppa Site'!J750&lt;&gt;0,'Boletins Nuppa Site'!J750,"NULL")</f>
        <v>NULL</v>
      </c>
      <c r="H750" s="1" t="str">
        <f aca="false">IF('Boletins Nuppa Site'!K750&lt;&gt;0,'Boletins Nuppa Site'!K750,"NULL")</f>
        <v>NULL</v>
      </c>
      <c r="J750" s="1" t="str">
        <f aca="false">"INSERT INTO COTACAO (blt_id, pap_id, cot_prc_comum, cot_prc_min, cot_prc_max, cot_prc_med, cot_prc_mediana) VALUES ("&amp;B750&amp;", "&amp;C750&amp;", "&amp;D750&amp;", "&amp;E750&amp;", "&amp;F750&amp;", "&amp;G750&amp;", "&amp;H750&amp;");"</f>
        <v>INSERT INTO COTACAO (blt_id, pap_id, cot_prc_comum, cot_prc_min, cot_prc_max, cot_prc_med, cot_prc_mediana) VALUES (19, 37, NULL, NULL, NULL, NULL, NULL);</v>
      </c>
    </row>
    <row r="751" customFormat="false" ht="14.25" hidden="false" customHeight="false" outlineLevel="0" collapsed="false">
      <c r="A751" s="1" t="n">
        <v>750</v>
      </c>
      <c r="B751" s="1" t="n">
        <v>19</v>
      </c>
      <c r="C751" s="1" t="n">
        <v>38</v>
      </c>
      <c r="D751" s="1" t="str">
        <f aca="false">IF('Boletins Nuppa Site'!G751&lt;&gt;0,'Boletins Nuppa Site'!G751,"NULL")</f>
        <v>NULL</v>
      </c>
      <c r="E751" s="1" t="str">
        <f aca="false">IF('Boletins Nuppa Site'!H751&lt;&gt;0,'Boletins Nuppa Site'!H751,"NULL")</f>
        <v>NULL</v>
      </c>
      <c r="F751" s="1" t="str">
        <f aca="false">IF('Boletins Nuppa Site'!I751&lt;&gt;0,'Boletins Nuppa Site'!I751,"NULL")</f>
        <v>NULL</v>
      </c>
      <c r="G751" s="1" t="str">
        <f aca="false">IF('Boletins Nuppa Site'!J751&lt;&gt;0,'Boletins Nuppa Site'!J751,"NULL")</f>
        <v>NULL</v>
      </c>
      <c r="H751" s="1" t="str">
        <f aca="false">IF('Boletins Nuppa Site'!K751&lt;&gt;0,'Boletins Nuppa Site'!K751,"NULL")</f>
        <v>NULL</v>
      </c>
      <c r="J751" s="1" t="str">
        <f aca="false">"INSERT INTO COTACAO (blt_id, pap_id, cot_prc_comum, cot_prc_min, cot_prc_max, cot_prc_med, cot_prc_mediana) VALUES ("&amp;B751&amp;", "&amp;C751&amp;", "&amp;D751&amp;", "&amp;E751&amp;", "&amp;F751&amp;", "&amp;G751&amp;", "&amp;H751&amp;");"</f>
        <v>INSERT INTO COTACAO (blt_id, pap_id, cot_prc_comum, cot_prc_min, cot_prc_max, cot_prc_med, cot_prc_mediana) VALUES (19, 38, NULL, NULL, NULL, NULL, NULL);</v>
      </c>
    </row>
    <row r="752" customFormat="false" ht="14.25" hidden="false" customHeight="false" outlineLevel="0" collapsed="false">
      <c r="A752" s="1" t="n">
        <v>751</v>
      </c>
      <c r="B752" s="1" t="n">
        <v>19</v>
      </c>
      <c r="C752" s="1" t="n">
        <v>39</v>
      </c>
      <c r="D752" s="1" t="str">
        <f aca="false">IF('Boletins Nuppa Site'!G752&lt;&gt;0,'Boletins Nuppa Site'!G752,"NULL")</f>
        <v>NULL</v>
      </c>
      <c r="E752" s="16" t="n">
        <f aca="false">IF('Boletins Nuppa Site'!H752&lt;&gt;0,'Boletins Nuppa Site'!H752,"NULL")</f>
        <v>50</v>
      </c>
      <c r="F752" s="16" t="n">
        <f aca="false">IF('Boletins Nuppa Site'!I752&lt;&gt;0,'Boletins Nuppa Site'!I752,"NULL")</f>
        <v>50</v>
      </c>
      <c r="G752" s="16" t="n">
        <f aca="false">IF('Boletins Nuppa Site'!J752&lt;&gt;0,'Boletins Nuppa Site'!J752,"NULL")</f>
        <v>50</v>
      </c>
      <c r="H752" s="16" t="n">
        <f aca="false">IF('Boletins Nuppa Site'!K752&lt;&gt;0,'Boletins Nuppa Site'!K752,"NULL")</f>
        <v>50</v>
      </c>
      <c r="J752" s="1" t="str">
        <f aca="false">"INSERT INTO COTACAO (blt_id, pap_id, cot_prc_comum, cot_prc_min, cot_prc_max, cot_prc_med, cot_prc_mediana) VALUES ("&amp;B752&amp;", "&amp;C752&amp;", "&amp;D752&amp;", "&amp;E752&amp;", "&amp;F752&amp;", "&amp;G752&amp;", "&amp;H752&amp;");"</f>
        <v>INSERT INTO COTACAO (blt_id, pap_id, cot_prc_comum, cot_prc_min, cot_prc_max, cot_prc_med, cot_prc_mediana) VALUES (19, 39, NULL, 50, 50, 50, 50);</v>
      </c>
    </row>
    <row r="753" customFormat="false" ht="14.25" hidden="false" customHeight="false" outlineLevel="0" collapsed="false">
      <c r="A753" s="1" t="n">
        <v>752</v>
      </c>
      <c r="B753" s="1" t="n">
        <v>19</v>
      </c>
      <c r="C753" s="1" t="n">
        <v>40</v>
      </c>
      <c r="D753" s="16" t="n">
        <f aca="false">IF('Boletins Nuppa Site'!G753&lt;&gt;0,'Boletins Nuppa Site'!G753,"NULL")</f>
        <v>60</v>
      </c>
      <c r="E753" s="16" t="n">
        <f aca="false">IF('Boletins Nuppa Site'!H753&lt;&gt;0,'Boletins Nuppa Site'!H753,"NULL")</f>
        <v>60</v>
      </c>
      <c r="F753" s="16" t="n">
        <f aca="false">IF('Boletins Nuppa Site'!I753&lt;&gt;0,'Boletins Nuppa Site'!I753,"NULL")</f>
        <v>60</v>
      </c>
      <c r="G753" s="16" t="n">
        <f aca="false">IF('Boletins Nuppa Site'!J753&lt;&gt;0,'Boletins Nuppa Site'!J753,"NULL")</f>
        <v>60</v>
      </c>
      <c r="H753" s="16" t="n">
        <f aca="false">IF('Boletins Nuppa Site'!K753&lt;&gt;0,'Boletins Nuppa Site'!K753,"NULL")</f>
        <v>60</v>
      </c>
      <c r="J753" s="1" t="str">
        <f aca="false">"INSERT INTO COTACAO (blt_id, pap_id, cot_prc_comum, cot_prc_min, cot_prc_max, cot_prc_med, cot_prc_mediana) VALUES ("&amp;B753&amp;", "&amp;C753&amp;", "&amp;D753&amp;", "&amp;E753&amp;", "&amp;F753&amp;", "&amp;G753&amp;", "&amp;H753&amp;");"</f>
        <v>INSERT INTO COTACAO (blt_id, pap_id, cot_prc_comum, cot_prc_min, cot_prc_max, cot_prc_med, cot_prc_mediana) VALUES (19, 40, 60, 60, 60, 60, 60);</v>
      </c>
    </row>
    <row r="754" customFormat="false" ht="14.25" hidden="false" customHeight="false" outlineLevel="0" collapsed="false">
      <c r="A754" s="1" t="n">
        <v>753</v>
      </c>
      <c r="B754" s="1" t="n">
        <v>20</v>
      </c>
      <c r="C754" s="1" t="n">
        <v>1</v>
      </c>
      <c r="D754" s="1" t="str">
        <f aca="false">IF('Boletins Nuppa Site'!G754&lt;&gt;0,'Boletins Nuppa Site'!G754,"NULL")</f>
        <v>NULL</v>
      </c>
      <c r="E754" s="1" t="str">
        <f aca="false">IF('Boletins Nuppa Site'!H754&lt;&gt;0,'Boletins Nuppa Site'!H754,"NULL")</f>
        <v>NULL</v>
      </c>
      <c r="F754" s="1" t="str">
        <f aca="false">IF('Boletins Nuppa Site'!I754&lt;&gt;0,'Boletins Nuppa Site'!I754,"NULL")</f>
        <v>NULL</v>
      </c>
      <c r="G754" s="1" t="str">
        <f aca="false">IF('Boletins Nuppa Site'!J754&lt;&gt;0,'Boletins Nuppa Site'!J754,"NULL")</f>
        <v>NULL</v>
      </c>
      <c r="H754" s="1" t="str">
        <f aca="false">IF('Boletins Nuppa Site'!K754&lt;&gt;0,'Boletins Nuppa Site'!K754,"NULL")</f>
        <v>NULL</v>
      </c>
      <c r="J754" s="1" t="str">
        <f aca="false">"INSERT INTO COTACAO (blt_id, pap_id, cot_prc_comum, cot_prc_min, cot_prc_max, cot_prc_med, cot_prc_mediana) VALUES ("&amp;B754&amp;", "&amp;C754&amp;", "&amp;D754&amp;", "&amp;E754&amp;", "&amp;F754&amp;", "&amp;G754&amp;", "&amp;H754&amp;");"</f>
        <v>INSERT INTO COTACAO (blt_id, pap_id, cot_prc_comum, cot_prc_min, cot_prc_max, cot_prc_med, cot_prc_mediana) VALUES (20, 1, NULL, NULL, NULL, NULL, NULL);</v>
      </c>
    </row>
    <row r="755" customFormat="false" ht="14.25" hidden="false" customHeight="false" outlineLevel="0" collapsed="false">
      <c r="A755" s="1" t="n">
        <v>754</v>
      </c>
      <c r="B755" s="1" t="n">
        <v>20</v>
      </c>
      <c r="C755" s="1" t="n">
        <v>2</v>
      </c>
      <c r="D755" s="1" t="str">
        <f aca="false">IF('Boletins Nuppa Site'!G755&lt;&gt;0,'Boletins Nuppa Site'!G755,"NULL")</f>
        <v>NULL</v>
      </c>
      <c r="E755" s="16" t="n">
        <f aca="false">IF('Boletins Nuppa Site'!H755&lt;&gt;0,'Boletins Nuppa Site'!H755,"NULL")</f>
        <v>60</v>
      </c>
      <c r="F755" s="16" t="n">
        <f aca="false">IF('Boletins Nuppa Site'!I755&lt;&gt;0,'Boletins Nuppa Site'!I755,"NULL")</f>
        <v>72</v>
      </c>
      <c r="G755" s="16" t="n">
        <f aca="false">IF('Boletins Nuppa Site'!J755&lt;&gt;0,'Boletins Nuppa Site'!J755,"NULL")</f>
        <v>66</v>
      </c>
      <c r="H755" s="16" t="n">
        <f aca="false">IF('Boletins Nuppa Site'!K755&lt;&gt;0,'Boletins Nuppa Site'!K755,"NULL")</f>
        <v>66</v>
      </c>
      <c r="J755" s="1" t="str">
        <f aca="false">"INSERT INTO COTACAO (blt_id, pap_id, cot_prc_comum, cot_prc_min, cot_prc_max, cot_prc_med, cot_prc_mediana) VALUES ("&amp;B755&amp;", "&amp;C755&amp;", "&amp;D755&amp;", "&amp;E755&amp;", "&amp;F755&amp;", "&amp;G755&amp;", "&amp;H755&amp;");"</f>
        <v>INSERT INTO COTACAO (blt_id, pap_id, cot_prc_comum, cot_prc_min, cot_prc_max, cot_prc_med, cot_prc_mediana) VALUES (20, 2, NULL, 60, 72, 66, 66);</v>
      </c>
    </row>
    <row r="756" customFormat="false" ht="14.25" hidden="false" customHeight="false" outlineLevel="0" collapsed="false">
      <c r="A756" s="1" t="n">
        <v>755</v>
      </c>
      <c r="B756" s="1" t="n">
        <v>20</v>
      </c>
      <c r="C756" s="1" t="n">
        <v>3</v>
      </c>
      <c r="D756" s="1" t="str">
        <f aca="false">IF('Boletins Nuppa Site'!G756&lt;&gt;0,'Boletins Nuppa Site'!G756,"NULL")</f>
        <v>NULL</v>
      </c>
      <c r="E756" s="16" t="n">
        <f aca="false">IF('Boletins Nuppa Site'!H756&lt;&gt;0,'Boletins Nuppa Site'!H756,"NULL")</f>
        <v>72</v>
      </c>
      <c r="F756" s="16" t="n">
        <f aca="false">IF('Boletins Nuppa Site'!I756&lt;&gt;0,'Boletins Nuppa Site'!I756,"NULL")</f>
        <v>84</v>
      </c>
      <c r="G756" s="16" t="n">
        <f aca="false">IF('Boletins Nuppa Site'!J756&lt;&gt;0,'Boletins Nuppa Site'!J756,"NULL")</f>
        <v>78</v>
      </c>
      <c r="H756" s="16" t="n">
        <f aca="false">IF('Boletins Nuppa Site'!K756&lt;&gt;0,'Boletins Nuppa Site'!K756,"NULL")</f>
        <v>78</v>
      </c>
      <c r="J756" s="1" t="str">
        <f aca="false">"INSERT INTO COTACAO (blt_id, pap_id, cot_prc_comum, cot_prc_min, cot_prc_max, cot_prc_med, cot_prc_mediana) VALUES ("&amp;B756&amp;", "&amp;C756&amp;", "&amp;D756&amp;", "&amp;E756&amp;", "&amp;F756&amp;", "&amp;G756&amp;", "&amp;H756&amp;");"</f>
        <v>INSERT INTO COTACAO (blt_id, pap_id, cot_prc_comum, cot_prc_min, cot_prc_max, cot_prc_med, cot_prc_mediana) VALUES (20, 3, NULL, 72, 84, 78, 78);</v>
      </c>
    </row>
    <row r="757" customFormat="false" ht="14.25" hidden="false" customHeight="false" outlineLevel="0" collapsed="false">
      <c r="A757" s="1" t="n">
        <v>756</v>
      </c>
      <c r="B757" s="1" t="n">
        <v>20</v>
      </c>
      <c r="C757" s="1" t="n">
        <v>4</v>
      </c>
      <c r="D757" s="1" t="str">
        <f aca="false">IF('Boletins Nuppa Site'!G757&lt;&gt;0,'Boletins Nuppa Site'!G757,"NULL")</f>
        <v>NULL</v>
      </c>
      <c r="E757" s="16" t="n">
        <f aca="false">IF('Boletins Nuppa Site'!H757&lt;&gt;0,'Boletins Nuppa Site'!H757,"NULL")</f>
        <v>42</v>
      </c>
      <c r="F757" s="16" t="n">
        <f aca="false">IF('Boletins Nuppa Site'!I757&lt;&gt;0,'Boletins Nuppa Site'!I757,"NULL")</f>
        <v>54</v>
      </c>
      <c r="G757" s="16" t="n">
        <f aca="false">IF('Boletins Nuppa Site'!J757&lt;&gt;0,'Boletins Nuppa Site'!J757,"NULL")</f>
        <v>48</v>
      </c>
      <c r="H757" s="16" t="n">
        <f aca="false">IF('Boletins Nuppa Site'!K757&lt;&gt;0,'Boletins Nuppa Site'!K757,"NULL")</f>
        <v>48</v>
      </c>
      <c r="J757" s="1" t="str">
        <f aca="false">"INSERT INTO COTACAO (blt_id, pap_id, cot_prc_comum, cot_prc_min, cot_prc_max, cot_prc_med, cot_prc_mediana) VALUES ("&amp;B757&amp;", "&amp;C757&amp;", "&amp;D757&amp;", "&amp;E757&amp;", "&amp;F757&amp;", "&amp;G757&amp;", "&amp;H757&amp;");"</f>
        <v>INSERT INTO COTACAO (blt_id, pap_id, cot_prc_comum, cot_prc_min, cot_prc_max, cot_prc_med, cot_prc_mediana) VALUES (20, 4, NULL, 42, 54, 48, 48);</v>
      </c>
    </row>
    <row r="758" customFormat="false" ht="14.25" hidden="false" customHeight="false" outlineLevel="0" collapsed="false">
      <c r="A758" s="1" t="n">
        <v>757</v>
      </c>
      <c r="B758" s="1" t="n">
        <v>20</v>
      </c>
      <c r="C758" s="1" t="n">
        <v>5</v>
      </c>
      <c r="D758" s="16" t="n">
        <f aca="false">IF('Boletins Nuppa Site'!G758&lt;&gt;0,'Boletins Nuppa Site'!G758,"NULL")</f>
        <v>30</v>
      </c>
      <c r="E758" s="16" t="n">
        <f aca="false">IF('Boletins Nuppa Site'!H758&lt;&gt;0,'Boletins Nuppa Site'!H758,"NULL")</f>
        <v>30</v>
      </c>
      <c r="F758" s="16" t="n">
        <f aca="false">IF('Boletins Nuppa Site'!I758&lt;&gt;0,'Boletins Nuppa Site'!I758,"NULL")</f>
        <v>30</v>
      </c>
      <c r="G758" s="16" t="n">
        <f aca="false">IF('Boletins Nuppa Site'!J758&lt;&gt;0,'Boletins Nuppa Site'!J758,"NULL")</f>
        <v>30</v>
      </c>
      <c r="H758" s="16" t="n">
        <f aca="false">IF('Boletins Nuppa Site'!K758&lt;&gt;0,'Boletins Nuppa Site'!K758,"NULL")</f>
        <v>30</v>
      </c>
      <c r="J758" s="1" t="str">
        <f aca="false">"INSERT INTO COTACAO (blt_id, pap_id, cot_prc_comum, cot_prc_min, cot_prc_max, cot_prc_med, cot_prc_mediana) VALUES ("&amp;B758&amp;", "&amp;C758&amp;", "&amp;D758&amp;", "&amp;E758&amp;", "&amp;F758&amp;", "&amp;G758&amp;", "&amp;H758&amp;");"</f>
        <v>INSERT INTO COTACAO (blt_id, pap_id, cot_prc_comum, cot_prc_min, cot_prc_max, cot_prc_med, cot_prc_mediana) VALUES (20, 5, 30, 30, 30, 30, 30);</v>
      </c>
    </row>
    <row r="759" customFormat="false" ht="14.25" hidden="false" customHeight="false" outlineLevel="0" collapsed="false">
      <c r="A759" s="1" t="n">
        <v>758</v>
      </c>
      <c r="B759" s="1" t="n">
        <v>20</v>
      </c>
      <c r="C759" s="1" t="n">
        <v>6</v>
      </c>
      <c r="D759" s="16" t="n">
        <f aca="false">IF('Boletins Nuppa Site'!G759&lt;&gt;0,'Boletins Nuppa Site'!G759,"NULL")</f>
        <v>30</v>
      </c>
      <c r="E759" s="16" t="n">
        <f aca="false">IF('Boletins Nuppa Site'!H759&lt;&gt;0,'Boletins Nuppa Site'!H759,"NULL")</f>
        <v>30</v>
      </c>
      <c r="F759" s="16" t="n">
        <f aca="false">IF('Boletins Nuppa Site'!I759&lt;&gt;0,'Boletins Nuppa Site'!I759,"NULL")</f>
        <v>30</v>
      </c>
      <c r="G759" s="16" t="n">
        <f aca="false">IF('Boletins Nuppa Site'!J759&lt;&gt;0,'Boletins Nuppa Site'!J759,"NULL")</f>
        <v>30</v>
      </c>
      <c r="H759" s="16" t="n">
        <f aca="false">IF('Boletins Nuppa Site'!K759&lt;&gt;0,'Boletins Nuppa Site'!K759,"NULL")</f>
        <v>30</v>
      </c>
      <c r="J759" s="1" t="str">
        <f aca="false">"INSERT INTO COTACAO (blt_id, pap_id, cot_prc_comum, cot_prc_min, cot_prc_max, cot_prc_med, cot_prc_mediana) VALUES ("&amp;B759&amp;", "&amp;C759&amp;", "&amp;D759&amp;", "&amp;E759&amp;", "&amp;F759&amp;", "&amp;G759&amp;", "&amp;H759&amp;");"</f>
        <v>INSERT INTO COTACAO (blt_id, pap_id, cot_prc_comum, cot_prc_min, cot_prc_max, cot_prc_med, cot_prc_mediana) VALUES (20, 6, 30, 30, 30, 30, 30);</v>
      </c>
    </row>
    <row r="760" customFormat="false" ht="14.25" hidden="false" customHeight="false" outlineLevel="0" collapsed="false">
      <c r="A760" s="1" t="n">
        <v>759</v>
      </c>
      <c r="B760" s="1" t="n">
        <v>20</v>
      </c>
      <c r="C760" s="1" t="n">
        <v>7</v>
      </c>
      <c r="D760" s="16" t="n">
        <f aca="false">IF('Boletins Nuppa Site'!G760&lt;&gt;0,'Boletins Nuppa Site'!G760,"NULL")</f>
        <v>60</v>
      </c>
      <c r="E760" s="16" t="n">
        <f aca="false">IF('Boletins Nuppa Site'!H760&lt;&gt;0,'Boletins Nuppa Site'!H760,"NULL")</f>
        <v>60</v>
      </c>
      <c r="F760" s="16" t="n">
        <f aca="false">IF('Boletins Nuppa Site'!I760&lt;&gt;0,'Boletins Nuppa Site'!I760,"NULL")</f>
        <v>60</v>
      </c>
      <c r="G760" s="16" t="n">
        <f aca="false">IF('Boletins Nuppa Site'!J760&lt;&gt;0,'Boletins Nuppa Site'!J760,"NULL")</f>
        <v>60</v>
      </c>
      <c r="H760" s="16" t="n">
        <f aca="false">IF('Boletins Nuppa Site'!K760&lt;&gt;0,'Boletins Nuppa Site'!K760,"NULL")</f>
        <v>60</v>
      </c>
      <c r="J760" s="1" t="str">
        <f aca="false">"INSERT INTO COTACAO (blt_id, pap_id, cot_prc_comum, cot_prc_min, cot_prc_max, cot_prc_med, cot_prc_mediana) VALUES ("&amp;B760&amp;", "&amp;C760&amp;", "&amp;D760&amp;", "&amp;E760&amp;", "&amp;F760&amp;", "&amp;G760&amp;", "&amp;H760&amp;");"</f>
        <v>INSERT INTO COTACAO (blt_id, pap_id, cot_prc_comum, cot_prc_min, cot_prc_max, cot_prc_med, cot_prc_mediana) VALUES (20, 7, 60, 60, 60, 60, 60);</v>
      </c>
    </row>
    <row r="761" customFormat="false" ht="14.25" hidden="false" customHeight="false" outlineLevel="0" collapsed="false">
      <c r="A761" s="1" t="n">
        <v>760</v>
      </c>
      <c r="B761" s="1" t="n">
        <v>20</v>
      </c>
      <c r="C761" s="1" t="n">
        <v>8</v>
      </c>
      <c r="D761" s="16" t="n">
        <f aca="false">IF('Boletins Nuppa Site'!G761&lt;&gt;0,'Boletins Nuppa Site'!G761,"NULL")</f>
        <v>96</v>
      </c>
      <c r="E761" s="16" t="n">
        <f aca="false">IF('Boletins Nuppa Site'!H761&lt;&gt;0,'Boletins Nuppa Site'!H761,"NULL")</f>
        <v>96</v>
      </c>
      <c r="F761" s="16" t="n">
        <f aca="false">IF('Boletins Nuppa Site'!I761&lt;&gt;0,'Boletins Nuppa Site'!I761,"NULL")</f>
        <v>96</v>
      </c>
      <c r="G761" s="16" t="n">
        <f aca="false">IF('Boletins Nuppa Site'!J761&lt;&gt;0,'Boletins Nuppa Site'!J761,"NULL")</f>
        <v>96</v>
      </c>
      <c r="H761" s="16" t="n">
        <f aca="false">IF('Boletins Nuppa Site'!K761&lt;&gt;0,'Boletins Nuppa Site'!K761,"NULL")</f>
        <v>96</v>
      </c>
      <c r="J761" s="1" t="str">
        <f aca="false">"INSERT INTO COTACAO (blt_id, pap_id, cot_prc_comum, cot_prc_min, cot_prc_max, cot_prc_med, cot_prc_mediana) VALUES ("&amp;B761&amp;", "&amp;C761&amp;", "&amp;D761&amp;", "&amp;E761&amp;", "&amp;F761&amp;", "&amp;G761&amp;", "&amp;H761&amp;");"</f>
        <v>INSERT INTO COTACAO (blt_id, pap_id, cot_prc_comum, cot_prc_min, cot_prc_max, cot_prc_med, cot_prc_mediana) VALUES (20, 8, 96, 96, 96, 96, 96);</v>
      </c>
    </row>
    <row r="762" customFormat="false" ht="14.25" hidden="false" customHeight="false" outlineLevel="0" collapsed="false">
      <c r="A762" s="1" t="n">
        <v>761</v>
      </c>
      <c r="B762" s="1" t="n">
        <v>20</v>
      </c>
      <c r="C762" s="1" t="n">
        <v>9</v>
      </c>
      <c r="D762" s="1" t="str">
        <f aca="false">IF('Boletins Nuppa Site'!G762&lt;&gt;0,'Boletins Nuppa Site'!G762,"NULL")</f>
        <v>NULL</v>
      </c>
      <c r="E762" s="16" t="n">
        <f aca="false">IF('Boletins Nuppa Site'!H762&lt;&gt;0,'Boletins Nuppa Site'!H762,"NULL")</f>
        <v>80</v>
      </c>
      <c r="F762" s="16" t="n">
        <f aca="false">IF('Boletins Nuppa Site'!I762&lt;&gt;0,'Boletins Nuppa Site'!I762,"NULL")</f>
        <v>84</v>
      </c>
      <c r="G762" s="16" t="n">
        <f aca="false">IF('Boletins Nuppa Site'!J762&lt;&gt;0,'Boletins Nuppa Site'!J762,"NULL")</f>
        <v>82</v>
      </c>
      <c r="H762" s="16" t="n">
        <f aca="false">IF('Boletins Nuppa Site'!K762&lt;&gt;0,'Boletins Nuppa Site'!K762,"NULL")</f>
        <v>82</v>
      </c>
      <c r="J762" s="1" t="str">
        <f aca="false">"INSERT INTO COTACAO (blt_id, pap_id, cot_prc_comum, cot_prc_min, cot_prc_max, cot_prc_med, cot_prc_mediana) VALUES ("&amp;B762&amp;", "&amp;C762&amp;", "&amp;D762&amp;", "&amp;E762&amp;", "&amp;F762&amp;", "&amp;G762&amp;", "&amp;H762&amp;");"</f>
        <v>INSERT INTO COTACAO (blt_id, pap_id, cot_prc_comum, cot_prc_min, cot_prc_max, cot_prc_med, cot_prc_mediana) VALUES (20, 9, NULL, 80, 84, 82, 82);</v>
      </c>
    </row>
    <row r="763" customFormat="false" ht="14.25" hidden="false" customHeight="false" outlineLevel="0" collapsed="false">
      <c r="A763" s="1" t="n">
        <v>762</v>
      </c>
      <c r="B763" s="1" t="n">
        <v>20</v>
      </c>
      <c r="C763" s="1" t="n">
        <v>10</v>
      </c>
      <c r="D763" s="1" t="str">
        <f aca="false">IF('Boletins Nuppa Site'!G763&lt;&gt;0,'Boletins Nuppa Site'!G763,"NULL")</f>
        <v>NULL</v>
      </c>
      <c r="E763" s="16" t="n">
        <f aca="false">IF('Boletins Nuppa Site'!H763&lt;&gt;0,'Boletins Nuppa Site'!H763,"NULL")</f>
        <v>25</v>
      </c>
      <c r="F763" s="16" t="n">
        <f aca="false">IF('Boletins Nuppa Site'!I763&lt;&gt;0,'Boletins Nuppa Site'!I763,"NULL")</f>
        <v>30</v>
      </c>
      <c r="G763" s="1" t="str">
        <f aca="false">IF('Boletins Nuppa Site'!J763&lt;&gt;0,'Boletins Nuppa Site'!J763,"NULL")</f>
        <v>27.5</v>
      </c>
      <c r="H763" s="1" t="str">
        <f aca="false">IF('Boletins Nuppa Site'!K763&lt;&gt;0,'Boletins Nuppa Site'!K763,"NULL")</f>
        <v>27.5</v>
      </c>
      <c r="J763" s="1" t="str">
        <f aca="false">"INSERT INTO COTACAO (blt_id, pap_id, cot_prc_comum, cot_prc_min, cot_prc_max, cot_prc_med, cot_prc_mediana) VALUES ("&amp;B763&amp;", "&amp;C763&amp;", "&amp;D763&amp;", "&amp;E763&amp;", "&amp;F763&amp;", "&amp;G763&amp;", "&amp;H763&amp;");"</f>
        <v>INSERT INTO COTACAO (blt_id, pap_id, cot_prc_comum, cot_prc_min, cot_prc_max, cot_prc_med, cot_prc_mediana) VALUES (20, 10, NULL, 25, 30, 27.5, 27.5);</v>
      </c>
    </row>
    <row r="764" customFormat="false" ht="14.25" hidden="false" customHeight="false" outlineLevel="0" collapsed="false">
      <c r="A764" s="1" t="n">
        <v>763</v>
      </c>
      <c r="B764" s="1" t="n">
        <v>20</v>
      </c>
      <c r="C764" s="1" t="n">
        <v>11</v>
      </c>
      <c r="D764" s="1" t="str">
        <f aca="false">IF('Boletins Nuppa Site'!G764&lt;&gt;0,'Boletins Nuppa Site'!G764,"NULL")</f>
        <v>NULL</v>
      </c>
      <c r="E764" s="16" t="n">
        <f aca="false">IF('Boletins Nuppa Site'!H764&lt;&gt;0,'Boletins Nuppa Site'!H764,"NULL")</f>
        <v>100</v>
      </c>
      <c r="F764" s="16" t="n">
        <f aca="false">IF('Boletins Nuppa Site'!I764&lt;&gt;0,'Boletins Nuppa Site'!I764,"NULL")</f>
        <v>108</v>
      </c>
      <c r="G764" s="16" t="n">
        <f aca="false">IF('Boletins Nuppa Site'!J764&lt;&gt;0,'Boletins Nuppa Site'!J764,"NULL")</f>
        <v>104</v>
      </c>
      <c r="H764" s="16" t="n">
        <f aca="false">IF('Boletins Nuppa Site'!K764&lt;&gt;0,'Boletins Nuppa Site'!K764,"NULL")</f>
        <v>104</v>
      </c>
      <c r="J764" s="1" t="str">
        <f aca="false">"INSERT INTO COTACAO (blt_id, pap_id, cot_prc_comum, cot_prc_min, cot_prc_max, cot_prc_med, cot_prc_mediana) VALUES ("&amp;B764&amp;", "&amp;C764&amp;", "&amp;D764&amp;", "&amp;E764&amp;", "&amp;F764&amp;", "&amp;G764&amp;", "&amp;H764&amp;");"</f>
        <v>INSERT INTO COTACAO (blt_id, pap_id, cot_prc_comum, cot_prc_min, cot_prc_max, cot_prc_med, cot_prc_mediana) VALUES (20, 11, NULL, 100, 108, 104, 104);</v>
      </c>
    </row>
    <row r="765" customFormat="false" ht="14.25" hidden="false" customHeight="false" outlineLevel="0" collapsed="false">
      <c r="A765" s="1" t="n">
        <v>764</v>
      </c>
      <c r="B765" s="1" t="n">
        <v>20</v>
      </c>
      <c r="C765" s="1" t="n">
        <v>12</v>
      </c>
      <c r="D765" s="16" t="n">
        <f aca="false">IF('Boletins Nuppa Site'!G765&lt;&gt;0,'Boletins Nuppa Site'!G765,"NULL")</f>
        <v>30</v>
      </c>
      <c r="E765" s="16" t="n">
        <f aca="false">IF('Boletins Nuppa Site'!H765&lt;&gt;0,'Boletins Nuppa Site'!H765,"NULL")</f>
        <v>30</v>
      </c>
      <c r="F765" s="16" t="n">
        <f aca="false">IF('Boletins Nuppa Site'!I765&lt;&gt;0,'Boletins Nuppa Site'!I765,"NULL")</f>
        <v>30</v>
      </c>
      <c r="G765" s="16" t="n">
        <f aca="false">IF('Boletins Nuppa Site'!J765&lt;&gt;0,'Boletins Nuppa Site'!J765,"NULL")</f>
        <v>30</v>
      </c>
      <c r="H765" s="16" t="n">
        <f aca="false">IF('Boletins Nuppa Site'!K765&lt;&gt;0,'Boletins Nuppa Site'!K765,"NULL")</f>
        <v>30</v>
      </c>
      <c r="J765" s="1" t="str">
        <f aca="false">"INSERT INTO COTACAO (blt_id, pap_id, cot_prc_comum, cot_prc_min, cot_prc_max, cot_prc_med, cot_prc_mediana) VALUES ("&amp;B765&amp;", "&amp;C765&amp;", "&amp;D765&amp;", "&amp;E765&amp;", "&amp;F765&amp;", "&amp;G765&amp;", "&amp;H765&amp;");"</f>
        <v>INSERT INTO COTACAO (blt_id, pap_id, cot_prc_comum, cot_prc_min, cot_prc_max, cot_prc_med, cot_prc_mediana) VALUES (20, 12, 30, 30, 30, 30, 30);</v>
      </c>
    </row>
    <row r="766" customFormat="false" ht="14.25" hidden="false" customHeight="false" outlineLevel="0" collapsed="false">
      <c r="A766" s="1" t="n">
        <v>765</v>
      </c>
      <c r="B766" s="1" t="n">
        <v>20</v>
      </c>
      <c r="C766" s="1" t="n">
        <v>13</v>
      </c>
      <c r="D766" s="16" t="n">
        <f aca="false">IF('Boletins Nuppa Site'!G766&lt;&gt;0,'Boletins Nuppa Site'!G766,"NULL")</f>
        <v>72</v>
      </c>
      <c r="E766" s="16" t="n">
        <f aca="false">IF('Boletins Nuppa Site'!H766&lt;&gt;0,'Boletins Nuppa Site'!H766,"NULL")</f>
        <v>72</v>
      </c>
      <c r="F766" s="16" t="n">
        <f aca="false">IF('Boletins Nuppa Site'!I766&lt;&gt;0,'Boletins Nuppa Site'!I766,"NULL")</f>
        <v>72</v>
      </c>
      <c r="G766" s="16" t="n">
        <f aca="false">IF('Boletins Nuppa Site'!J766&lt;&gt;0,'Boletins Nuppa Site'!J766,"NULL")</f>
        <v>72</v>
      </c>
      <c r="H766" s="16" t="n">
        <f aca="false">IF('Boletins Nuppa Site'!K766&lt;&gt;0,'Boletins Nuppa Site'!K766,"NULL")</f>
        <v>72</v>
      </c>
      <c r="J766" s="1" t="str">
        <f aca="false">"INSERT INTO COTACAO (blt_id, pap_id, cot_prc_comum, cot_prc_min, cot_prc_max, cot_prc_med, cot_prc_mediana) VALUES ("&amp;B766&amp;", "&amp;C766&amp;", "&amp;D766&amp;", "&amp;E766&amp;", "&amp;F766&amp;", "&amp;G766&amp;", "&amp;H766&amp;");"</f>
        <v>INSERT INTO COTACAO (blt_id, pap_id, cot_prc_comum, cot_prc_min, cot_prc_max, cot_prc_med, cot_prc_mediana) VALUES (20, 13, 72, 72, 72, 72, 72);</v>
      </c>
    </row>
    <row r="767" customFormat="false" ht="14.25" hidden="false" customHeight="false" outlineLevel="0" collapsed="false">
      <c r="A767" s="1" t="n">
        <v>766</v>
      </c>
      <c r="B767" s="1" t="n">
        <v>20</v>
      </c>
      <c r="C767" s="1" t="n">
        <v>14</v>
      </c>
      <c r="D767" s="1" t="str">
        <f aca="false">IF('Boletins Nuppa Site'!G767&lt;&gt;0,'Boletins Nuppa Site'!G767,"NULL")</f>
        <v>NULL</v>
      </c>
      <c r="E767" s="16" t="n">
        <f aca="false">IF('Boletins Nuppa Site'!H767&lt;&gt;0,'Boletins Nuppa Site'!H767,"NULL")</f>
        <v>60</v>
      </c>
      <c r="F767" s="16" t="n">
        <f aca="false">IF('Boletins Nuppa Site'!I767&lt;&gt;0,'Boletins Nuppa Site'!I767,"NULL")</f>
        <v>72</v>
      </c>
      <c r="G767" s="16" t="n">
        <f aca="false">IF('Boletins Nuppa Site'!J767&lt;&gt;0,'Boletins Nuppa Site'!J767,"NULL")</f>
        <v>66</v>
      </c>
      <c r="H767" s="16" t="n">
        <f aca="false">IF('Boletins Nuppa Site'!K767&lt;&gt;0,'Boletins Nuppa Site'!K767,"NULL")</f>
        <v>66</v>
      </c>
      <c r="J767" s="1" t="str">
        <f aca="false">"INSERT INTO COTACAO (blt_id, pap_id, cot_prc_comum, cot_prc_min, cot_prc_max, cot_prc_med, cot_prc_mediana) VALUES ("&amp;B767&amp;", "&amp;C767&amp;", "&amp;D767&amp;", "&amp;E767&amp;", "&amp;F767&amp;", "&amp;G767&amp;", "&amp;H767&amp;");"</f>
        <v>INSERT INTO COTACAO (blt_id, pap_id, cot_prc_comum, cot_prc_min, cot_prc_max, cot_prc_med, cot_prc_mediana) VALUES (20, 14, NULL, 60, 72, 66, 66);</v>
      </c>
    </row>
    <row r="768" customFormat="false" ht="14.25" hidden="false" customHeight="false" outlineLevel="0" collapsed="false">
      <c r="A768" s="1" t="n">
        <v>767</v>
      </c>
      <c r="B768" s="1" t="n">
        <v>20</v>
      </c>
      <c r="C768" s="1" t="n">
        <v>15</v>
      </c>
      <c r="D768" s="16" t="n">
        <f aca="false">IF('Boletins Nuppa Site'!G768&lt;&gt;0,'Boletins Nuppa Site'!G768,"NULL")</f>
        <v>96</v>
      </c>
      <c r="E768" s="16" t="n">
        <f aca="false">IF('Boletins Nuppa Site'!H768&lt;&gt;0,'Boletins Nuppa Site'!H768,"NULL")</f>
        <v>60</v>
      </c>
      <c r="F768" s="16" t="n">
        <f aca="false">IF('Boletins Nuppa Site'!I768&lt;&gt;0,'Boletins Nuppa Site'!I768,"NULL")</f>
        <v>96</v>
      </c>
      <c r="G768" s="16" t="n">
        <f aca="false">IF('Boletins Nuppa Site'!J768&lt;&gt;0,'Boletins Nuppa Site'!J768,"NULL")</f>
        <v>84</v>
      </c>
      <c r="H768" s="16" t="n">
        <f aca="false">IF('Boletins Nuppa Site'!K768&lt;&gt;0,'Boletins Nuppa Site'!K768,"NULL")</f>
        <v>96</v>
      </c>
      <c r="J768" s="1" t="str">
        <f aca="false">"INSERT INTO COTACAO (blt_id, pap_id, cot_prc_comum, cot_prc_min, cot_prc_max, cot_prc_med, cot_prc_mediana) VALUES ("&amp;B768&amp;", "&amp;C768&amp;", "&amp;D768&amp;", "&amp;E768&amp;", "&amp;F768&amp;", "&amp;G768&amp;", "&amp;H768&amp;");"</f>
        <v>INSERT INTO COTACAO (blt_id, pap_id, cot_prc_comum, cot_prc_min, cot_prc_max, cot_prc_med, cot_prc_mediana) VALUES (20, 15, 96, 60, 96, 84, 96);</v>
      </c>
    </row>
    <row r="769" customFormat="false" ht="14.25" hidden="false" customHeight="false" outlineLevel="0" collapsed="false">
      <c r="A769" s="1" t="n">
        <v>768</v>
      </c>
      <c r="B769" s="1" t="n">
        <v>20</v>
      </c>
      <c r="C769" s="1" t="n">
        <v>16</v>
      </c>
      <c r="D769" s="1" t="str">
        <f aca="false">IF('Boletins Nuppa Site'!G769&lt;&gt;0,'Boletins Nuppa Site'!G769,"NULL")</f>
        <v>NULL</v>
      </c>
      <c r="E769" s="16" t="n">
        <f aca="false">IF('Boletins Nuppa Site'!H769&lt;&gt;0,'Boletins Nuppa Site'!H769,"NULL")</f>
        <v>50</v>
      </c>
      <c r="F769" s="16" t="n">
        <f aca="false">IF('Boletins Nuppa Site'!I769&lt;&gt;0,'Boletins Nuppa Site'!I769,"NULL")</f>
        <v>65</v>
      </c>
      <c r="G769" s="1" t="str">
        <f aca="false">IF('Boletins Nuppa Site'!J769&lt;&gt;0,'Boletins Nuppa Site'!J769,"NULL")</f>
        <v>58.33</v>
      </c>
      <c r="H769" s="16" t="n">
        <f aca="false">IF('Boletins Nuppa Site'!K769&lt;&gt;0,'Boletins Nuppa Site'!K769,"NULL")</f>
        <v>60</v>
      </c>
      <c r="J769" s="1" t="str">
        <f aca="false">"INSERT INTO COTACAO (blt_id, pap_id, cot_prc_comum, cot_prc_min, cot_prc_max, cot_prc_med, cot_prc_mediana) VALUES ("&amp;B769&amp;", "&amp;C769&amp;", "&amp;D769&amp;", "&amp;E769&amp;", "&amp;F769&amp;", "&amp;G769&amp;", "&amp;H769&amp;");"</f>
        <v>INSERT INTO COTACAO (blt_id, pap_id, cot_prc_comum, cot_prc_min, cot_prc_max, cot_prc_med, cot_prc_mediana) VALUES (20, 16, NULL, 50, 65, 58.33, 60);</v>
      </c>
    </row>
    <row r="770" customFormat="false" ht="14.25" hidden="false" customHeight="false" outlineLevel="0" collapsed="false">
      <c r="A770" s="1" t="n">
        <v>769</v>
      </c>
      <c r="B770" s="1" t="n">
        <v>20</v>
      </c>
      <c r="C770" s="1" t="n">
        <v>17</v>
      </c>
      <c r="D770" s="16" t="n">
        <f aca="false">IF('Boletins Nuppa Site'!G770&lt;&gt;0,'Boletins Nuppa Site'!G770,"NULL")</f>
        <v>5</v>
      </c>
      <c r="E770" s="16" t="n">
        <f aca="false">IF('Boletins Nuppa Site'!H770&lt;&gt;0,'Boletins Nuppa Site'!H770,"NULL")</f>
        <v>5</v>
      </c>
      <c r="F770" s="16" t="n">
        <f aca="false">IF('Boletins Nuppa Site'!I770&lt;&gt;0,'Boletins Nuppa Site'!I770,"NULL")</f>
        <v>5</v>
      </c>
      <c r="G770" s="16" t="n">
        <f aca="false">IF('Boletins Nuppa Site'!J770&lt;&gt;0,'Boletins Nuppa Site'!J770,"NULL")</f>
        <v>5</v>
      </c>
      <c r="H770" s="16" t="n">
        <f aca="false">IF('Boletins Nuppa Site'!K770&lt;&gt;0,'Boletins Nuppa Site'!K770,"NULL")</f>
        <v>5</v>
      </c>
      <c r="J770" s="1" t="str">
        <f aca="false">"INSERT INTO COTACAO (blt_id, pap_id, cot_prc_comum, cot_prc_min, cot_prc_max, cot_prc_med, cot_prc_mediana) VALUES ("&amp;B770&amp;", "&amp;C770&amp;", "&amp;D770&amp;", "&amp;E770&amp;", "&amp;F770&amp;", "&amp;G770&amp;", "&amp;H770&amp;");"</f>
        <v>INSERT INTO COTACAO (blt_id, pap_id, cot_prc_comum, cot_prc_min, cot_prc_max, cot_prc_med, cot_prc_mediana) VALUES (20, 17, 5, 5, 5, 5, 5);</v>
      </c>
    </row>
    <row r="771" customFormat="false" ht="14.25" hidden="false" customHeight="false" outlineLevel="0" collapsed="false">
      <c r="A771" s="1" t="n">
        <v>770</v>
      </c>
      <c r="B771" s="1" t="n">
        <v>20</v>
      </c>
      <c r="C771" s="1" t="n">
        <v>18</v>
      </c>
      <c r="D771" s="16" t="n">
        <f aca="false">IF('Boletins Nuppa Site'!G771&lt;&gt;0,'Boletins Nuppa Site'!G771,"NULL")</f>
        <v>25</v>
      </c>
      <c r="E771" s="16" t="n">
        <f aca="false">IF('Boletins Nuppa Site'!H771&lt;&gt;0,'Boletins Nuppa Site'!H771,"NULL")</f>
        <v>25</v>
      </c>
      <c r="F771" s="16" t="n">
        <f aca="false">IF('Boletins Nuppa Site'!I771&lt;&gt;0,'Boletins Nuppa Site'!I771,"NULL")</f>
        <v>25</v>
      </c>
      <c r="G771" s="16" t="n">
        <f aca="false">IF('Boletins Nuppa Site'!J771&lt;&gt;0,'Boletins Nuppa Site'!J771,"NULL")</f>
        <v>25</v>
      </c>
      <c r="H771" s="16" t="n">
        <f aca="false">IF('Boletins Nuppa Site'!K771&lt;&gt;0,'Boletins Nuppa Site'!K771,"NULL")</f>
        <v>25</v>
      </c>
      <c r="J771" s="1" t="str">
        <f aca="false">"INSERT INTO COTACAO (blt_id, pap_id, cot_prc_comum, cot_prc_min, cot_prc_max, cot_prc_med, cot_prc_mediana) VALUES ("&amp;B771&amp;", "&amp;C771&amp;", "&amp;D771&amp;", "&amp;E771&amp;", "&amp;F771&amp;", "&amp;G771&amp;", "&amp;H771&amp;");"</f>
        <v>INSERT INTO COTACAO (blt_id, pap_id, cot_prc_comum, cot_prc_min, cot_prc_max, cot_prc_med, cot_prc_mediana) VALUES (20, 18, 25, 25, 25, 25, 25);</v>
      </c>
    </row>
    <row r="772" customFormat="false" ht="14.25" hidden="false" customHeight="false" outlineLevel="0" collapsed="false">
      <c r="A772" s="1" t="n">
        <v>771</v>
      </c>
      <c r="B772" s="1" t="n">
        <v>20</v>
      </c>
      <c r="C772" s="1" t="n">
        <v>19</v>
      </c>
      <c r="D772" s="16" t="n">
        <f aca="false">IF('Boletins Nuppa Site'!G772&lt;&gt;0,'Boletins Nuppa Site'!G772,"NULL")</f>
        <v>30</v>
      </c>
      <c r="E772" s="16" t="n">
        <f aca="false">IF('Boletins Nuppa Site'!H772&lt;&gt;0,'Boletins Nuppa Site'!H772,"NULL")</f>
        <v>30</v>
      </c>
      <c r="F772" s="16" t="n">
        <f aca="false">IF('Boletins Nuppa Site'!I772&lt;&gt;0,'Boletins Nuppa Site'!I772,"NULL")</f>
        <v>30</v>
      </c>
      <c r="G772" s="16" t="n">
        <f aca="false">IF('Boletins Nuppa Site'!J772&lt;&gt;0,'Boletins Nuppa Site'!J772,"NULL")</f>
        <v>30</v>
      </c>
      <c r="H772" s="16" t="n">
        <f aca="false">IF('Boletins Nuppa Site'!K772&lt;&gt;0,'Boletins Nuppa Site'!K772,"NULL")</f>
        <v>30</v>
      </c>
      <c r="J772" s="1" t="str">
        <f aca="false">"INSERT INTO COTACAO (blt_id, pap_id, cot_prc_comum, cot_prc_min, cot_prc_max, cot_prc_med, cot_prc_mediana) VALUES ("&amp;B772&amp;", "&amp;C772&amp;", "&amp;D772&amp;", "&amp;E772&amp;", "&amp;F772&amp;", "&amp;G772&amp;", "&amp;H772&amp;");"</f>
        <v>INSERT INTO COTACAO (blt_id, pap_id, cot_prc_comum, cot_prc_min, cot_prc_max, cot_prc_med, cot_prc_mediana) VALUES (20, 19, 30, 30, 30, 30, 30);</v>
      </c>
    </row>
    <row r="773" customFormat="false" ht="14.25" hidden="false" customHeight="false" outlineLevel="0" collapsed="false">
      <c r="A773" s="1" t="n">
        <v>772</v>
      </c>
      <c r="B773" s="1" t="n">
        <v>20</v>
      </c>
      <c r="C773" s="1" t="n">
        <v>20</v>
      </c>
      <c r="D773" s="1" t="str">
        <f aca="false">IF('Boletins Nuppa Site'!G773&lt;&gt;0,'Boletins Nuppa Site'!G773,"NULL")</f>
        <v>NULL</v>
      </c>
      <c r="E773" s="16" t="n">
        <f aca="false">IF('Boletins Nuppa Site'!H773&lt;&gt;0,'Boletins Nuppa Site'!H773,"NULL")</f>
        <v>90</v>
      </c>
      <c r="F773" s="16" t="n">
        <f aca="false">IF('Boletins Nuppa Site'!I773&lt;&gt;0,'Boletins Nuppa Site'!I773,"NULL")</f>
        <v>110</v>
      </c>
      <c r="G773" s="1" t="str">
        <f aca="false">IF('Boletins Nuppa Site'!J773&lt;&gt;0,'Boletins Nuppa Site'!J773,"NULL")</f>
        <v>98.33</v>
      </c>
      <c r="H773" s="16" t="n">
        <f aca="false">IF('Boletins Nuppa Site'!K773&lt;&gt;0,'Boletins Nuppa Site'!K773,"NULL")</f>
        <v>95</v>
      </c>
      <c r="J773" s="1" t="str">
        <f aca="false">"INSERT INTO COTACAO (blt_id, pap_id, cot_prc_comum, cot_prc_min, cot_prc_max, cot_prc_med, cot_prc_mediana) VALUES ("&amp;B773&amp;", "&amp;C773&amp;", "&amp;D773&amp;", "&amp;E773&amp;", "&amp;F773&amp;", "&amp;G773&amp;", "&amp;H773&amp;");"</f>
        <v>INSERT INTO COTACAO (blt_id, pap_id, cot_prc_comum, cot_prc_min, cot_prc_max, cot_prc_med, cot_prc_mediana) VALUES (20, 20, NULL, 90, 110, 98.33, 95);</v>
      </c>
    </row>
    <row r="774" customFormat="false" ht="14.25" hidden="false" customHeight="false" outlineLevel="0" collapsed="false">
      <c r="A774" s="1" t="n">
        <v>773</v>
      </c>
      <c r="B774" s="1" t="n">
        <v>20</v>
      </c>
      <c r="C774" s="1" t="n">
        <v>21</v>
      </c>
      <c r="D774" s="16" t="n">
        <f aca="false">IF('Boletins Nuppa Site'!G774&lt;&gt;0,'Boletins Nuppa Site'!G774,"NULL")</f>
        <v>90</v>
      </c>
      <c r="E774" s="16" t="n">
        <f aca="false">IF('Boletins Nuppa Site'!H774&lt;&gt;0,'Boletins Nuppa Site'!H774,"NULL")</f>
        <v>80</v>
      </c>
      <c r="F774" s="16" t="n">
        <f aca="false">IF('Boletins Nuppa Site'!I774&lt;&gt;0,'Boletins Nuppa Site'!I774,"NULL")</f>
        <v>100</v>
      </c>
      <c r="G774" s="16" t="n">
        <f aca="false">IF('Boletins Nuppa Site'!J774&lt;&gt;0,'Boletins Nuppa Site'!J774,"NULL")</f>
        <v>92</v>
      </c>
      <c r="H774" s="16" t="n">
        <f aca="false">IF('Boletins Nuppa Site'!K774&lt;&gt;0,'Boletins Nuppa Site'!K774,"NULL")</f>
        <v>90</v>
      </c>
      <c r="J774" s="1" t="str">
        <f aca="false">"INSERT INTO COTACAO (blt_id, pap_id, cot_prc_comum, cot_prc_min, cot_prc_max, cot_prc_med, cot_prc_mediana) VALUES ("&amp;B774&amp;", "&amp;C774&amp;", "&amp;D774&amp;", "&amp;E774&amp;", "&amp;F774&amp;", "&amp;G774&amp;", "&amp;H774&amp;");"</f>
        <v>INSERT INTO COTACAO (blt_id, pap_id, cot_prc_comum, cot_prc_min, cot_prc_max, cot_prc_med, cot_prc_mediana) VALUES (20, 21, 90, 80, 100, 92, 90);</v>
      </c>
    </row>
    <row r="775" customFormat="false" ht="14.25" hidden="false" customHeight="false" outlineLevel="0" collapsed="false">
      <c r="A775" s="1" t="n">
        <v>774</v>
      </c>
      <c r="B775" s="1" t="n">
        <v>20</v>
      </c>
      <c r="C775" s="1" t="n">
        <v>22</v>
      </c>
      <c r="D775" s="16" t="n">
        <f aca="false">IF('Boletins Nuppa Site'!G775&lt;&gt;0,'Boletins Nuppa Site'!G775,"NULL")</f>
        <v>65</v>
      </c>
      <c r="E775" s="16" t="n">
        <f aca="false">IF('Boletins Nuppa Site'!H775&lt;&gt;0,'Boletins Nuppa Site'!H775,"NULL")</f>
        <v>48</v>
      </c>
      <c r="F775" s="16" t="n">
        <f aca="false">IF('Boletins Nuppa Site'!I775&lt;&gt;0,'Boletins Nuppa Site'!I775,"NULL")</f>
        <v>70</v>
      </c>
      <c r="G775" s="16" t="n">
        <f aca="false">IF('Boletins Nuppa Site'!J775&lt;&gt;0,'Boletins Nuppa Site'!J775,"NULL")</f>
        <v>63</v>
      </c>
      <c r="H775" s="16" t="n">
        <f aca="false">IF('Boletins Nuppa Site'!K775&lt;&gt;0,'Boletins Nuppa Site'!K775,"NULL")</f>
        <v>65</v>
      </c>
      <c r="J775" s="1" t="str">
        <f aca="false">"INSERT INTO COTACAO (blt_id, pap_id, cot_prc_comum, cot_prc_min, cot_prc_max, cot_prc_med, cot_prc_mediana) VALUES ("&amp;B775&amp;", "&amp;C775&amp;", "&amp;D775&amp;", "&amp;E775&amp;", "&amp;F775&amp;", "&amp;G775&amp;", "&amp;H775&amp;");"</f>
        <v>INSERT INTO COTACAO (blt_id, pap_id, cot_prc_comum, cot_prc_min, cot_prc_max, cot_prc_med, cot_prc_mediana) VALUES (20, 22, 65, 48, 70, 63, 65);</v>
      </c>
    </row>
    <row r="776" customFormat="false" ht="14.25" hidden="false" customHeight="false" outlineLevel="0" collapsed="false">
      <c r="A776" s="1" t="n">
        <v>775</v>
      </c>
      <c r="B776" s="1" t="n">
        <v>20</v>
      </c>
      <c r="C776" s="1" t="n">
        <v>23</v>
      </c>
      <c r="D776" s="16" t="n">
        <f aca="false">IF('Boletins Nuppa Site'!G776&lt;&gt;0,'Boletins Nuppa Site'!G776,"NULL")</f>
        <v>40</v>
      </c>
      <c r="E776" s="16" t="n">
        <f aca="false">IF('Boletins Nuppa Site'!H776&lt;&gt;0,'Boletins Nuppa Site'!H776,"NULL")</f>
        <v>35</v>
      </c>
      <c r="F776" s="16" t="n">
        <f aca="false">IF('Boletins Nuppa Site'!I776&lt;&gt;0,'Boletins Nuppa Site'!I776,"NULL")</f>
        <v>60</v>
      </c>
      <c r="G776" s="16" t="n">
        <f aca="false">IF('Boletins Nuppa Site'!J776&lt;&gt;0,'Boletins Nuppa Site'!J776,"NULL")</f>
        <v>45</v>
      </c>
      <c r="H776" s="1" t="str">
        <f aca="false">IF('Boletins Nuppa Site'!K776&lt;&gt;0,'Boletins Nuppa Site'!K776,"NULL")</f>
        <v>42.5</v>
      </c>
      <c r="J776" s="1" t="str">
        <f aca="false">"INSERT INTO COTACAO (blt_id, pap_id, cot_prc_comum, cot_prc_min, cot_prc_max, cot_prc_med, cot_prc_mediana) VALUES ("&amp;B776&amp;", "&amp;C776&amp;", "&amp;D776&amp;", "&amp;E776&amp;", "&amp;F776&amp;", "&amp;G776&amp;", "&amp;H776&amp;");"</f>
        <v>INSERT INTO COTACAO (blt_id, pap_id, cot_prc_comum, cot_prc_min, cot_prc_max, cot_prc_med, cot_prc_mediana) VALUES (20, 23, 40, 35, 60, 45, 42.5);</v>
      </c>
    </row>
    <row r="777" customFormat="false" ht="14.25" hidden="false" customHeight="false" outlineLevel="0" collapsed="false">
      <c r="A777" s="1" t="n">
        <v>776</v>
      </c>
      <c r="B777" s="1" t="n">
        <v>20</v>
      </c>
      <c r="C777" s="1" t="n">
        <v>24</v>
      </c>
      <c r="D777" s="1" t="str">
        <f aca="false">IF('Boletins Nuppa Site'!G777&lt;&gt;0,'Boletins Nuppa Site'!G777,"NULL")</f>
        <v>NULL</v>
      </c>
      <c r="E777" s="16" t="n">
        <f aca="false">IF('Boletins Nuppa Site'!H777&lt;&gt;0,'Boletins Nuppa Site'!H777,"NULL")</f>
        <v>100</v>
      </c>
      <c r="F777" s="16" t="n">
        <f aca="false">IF('Boletins Nuppa Site'!I777&lt;&gt;0,'Boletins Nuppa Site'!I777,"NULL")</f>
        <v>115</v>
      </c>
      <c r="G777" s="1" t="str">
        <f aca="false">IF('Boletins Nuppa Site'!J777&lt;&gt;0,'Boletins Nuppa Site'!J777,"NULL")</f>
        <v>108.33</v>
      </c>
      <c r="H777" s="16" t="n">
        <f aca="false">IF('Boletins Nuppa Site'!K777&lt;&gt;0,'Boletins Nuppa Site'!K777,"NULL")</f>
        <v>110</v>
      </c>
      <c r="J777" s="1" t="str">
        <f aca="false">"INSERT INTO COTACAO (blt_id, pap_id, cot_prc_comum, cot_prc_min, cot_prc_max, cot_prc_med, cot_prc_mediana) VALUES ("&amp;B777&amp;", "&amp;C777&amp;", "&amp;D777&amp;", "&amp;E777&amp;", "&amp;F777&amp;", "&amp;G777&amp;", "&amp;H777&amp;");"</f>
        <v>INSERT INTO COTACAO (blt_id, pap_id, cot_prc_comum, cot_prc_min, cot_prc_max, cot_prc_med, cot_prc_mediana) VALUES (20, 24, NULL, 100, 115, 108.33, 110);</v>
      </c>
    </row>
    <row r="778" customFormat="false" ht="14.25" hidden="false" customHeight="false" outlineLevel="0" collapsed="false">
      <c r="A778" s="1" t="n">
        <v>777</v>
      </c>
      <c r="B778" s="1" t="n">
        <v>20</v>
      </c>
      <c r="C778" s="1" t="n">
        <v>25</v>
      </c>
      <c r="D778" s="16" t="n">
        <f aca="false">IF('Boletins Nuppa Site'!G778&lt;&gt;0,'Boletins Nuppa Site'!G778,"NULL")</f>
        <v>120</v>
      </c>
      <c r="E778" s="16" t="n">
        <f aca="false">IF('Boletins Nuppa Site'!H778&lt;&gt;0,'Boletins Nuppa Site'!H778,"NULL")</f>
        <v>100</v>
      </c>
      <c r="F778" s="16" t="n">
        <f aca="false">IF('Boletins Nuppa Site'!I778&lt;&gt;0,'Boletins Nuppa Site'!I778,"NULL")</f>
        <v>120</v>
      </c>
      <c r="G778" s="16" t="n">
        <f aca="false">IF('Boletins Nuppa Site'!J778&lt;&gt;0,'Boletins Nuppa Site'!J778,"NULL")</f>
        <v>110</v>
      </c>
      <c r="H778" s="16" t="n">
        <f aca="false">IF('Boletins Nuppa Site'!K778&lt;&gt;0,'Boletins Nuppa Site'!K778,"NULL")</f>
        <v>110</v>
      </c>
      <c r="J778" s="1" t="str">
        <f aca="false">"INSERT INTO COTACAO (blt_id, pap_id, cot_prc_comum, cot_prc_min, cot_prc_max, cot_prc_med, cot_prc_mediana) VALUES ("&amp;B778&amp;", "&amp;C778&amp;", "&amp;D778&amp;", "&amp;E778&amp;", "&amp;F778&amp;", "&amp;G778&amp;", "&amp;H778&amp;");"</f>
        <v>INSERT INTO COTACAO (blt_id, pap_id, cot_prc_comum, cot_prc_min, cot_prc_max, cot_prc_med, cot_prc_mediana) VALUES (20, 25, 120, 100, 120, 110, 110);</v>
      </c>
    </row>
    <row r="779" customFormat="false" ht="14.25" hidden="false" customHeight="false" outlineLevel="0" collapsed="false">
      <c r="A779" s="1" t="n">
        <v>778</v>
      </c>
      <c r="B779" s="1" t="n">
        <v>20</v>
      </c>
      <c r="C779" s="1" t="n">
        <v>26</v>
      </c>
      <c r="D779" s="1" t="str">
        <f aca="false">IF('Boletins Nuppa Site'!G779&lt;&gt;0,'Boletins Nuppa Site'!G779,"NULL")</f>
        <v>NULL</v>
      </c>
      <c r="E779" s="16" t="n">
        <f aca="false">IF('Boletins Nuppa Site'!H779&lt;&gt;0,'Boletins Nuppa Site'!H779,"NULL")</f>
        <v>90</v>
      </c>
      <c r="F779" s="16" t="n">
        <f aca="false">IF('Boletins Nuppa Site'!I779&lt;&gt;0,'Boletins Nuppa Site'!I779,"NULL")</f>
        <v>145</v>
      </c>
      <c r="G779" s="1" t="str">
        <f aca="false">IF('Boletins Nuppa Site'!J779&lt;&gt;0,'Boletins Nuppa Site'!J779,"NULL")</f>
        <v>120.83</v>
      </c>
      <c r="H779" s="16" t="n">
        <f aca="false">IF('Boletins Nuppa Site'!K779&lt;&gt;0,'Boletins Nuppa Site'!K779,"NULL")</f>
        <v>125</v>
      </c>
      <c r="J779" s="1" t="str">
        <f aca="false">"INSERT INTO COTACAO (blt_id, pap_id, cot_prc_comum, cot_prc_min, cot_prc_max, cot_prc_med, cot_prc_mediana) VALUES ("&amp;B779&amp;", "&amp;C779&amp;", "&amp;D779&amp;", "&amp;E779&amp;", "&amp;F779&amp;", "&amp;G779&amp;", "&amp;H779&amp;");"</f>
        <v>INSERT INTO COTACAO (blt_id, pap_id, cot_prc_comum, cot_prc_min, cot_prc_max, cot_prc_med, cot_prc_mediana) VALUES (20, 26, NULL, 90, 145, 120.83, 125);</v>
      </c>
    </row>
    <row r="780" customFormat="false" ht="14.25" hidden="false" customHeight="false" outlineLevel="0" collapsed="false">
      <c r="A780" s="1" t="n">
        <v>779</v>
      </c>
      <c r="B780" s="1" t="n">
        <v>20</v>
      </c>
      <c r="C780" s="1" t="n">
        <v>27</v>
      </c>
      <c r="D780" s="16" t="n">
        <f aca="false">IF('Boletins Nuppa Site'!G780&lt;&gt;0,'Boletins Nuppa Site'!G780,"NULL")</f>
        <v>80</v>
      </c>
      <c r="E780" s="16" t="n">
        <f aca="false">IF('Boletins Nuppa Site'!H780&lt;&gt;0,'Boletins Nuppa Site'!H780,"NULL")</f>
        <v>60</v>
      </c>
      <c r="F780" s="16" t="n">
        <f aca="false">IF('Boletins Nuppa Site'!I780&lt;&gt;0,'Boletins Nuppa Site'!I780,"NULL")</f>
        <v>80</v>
      </c>
      <c r="G780" s="16" t="n">
        <f aca="false">IF('Boletins Nuppa Site'!J780&lt;&gt;0,'Boletins Nuppa Site'!J780,"NULL")</f>
        <v>74</v>
      </c>
      <c r="H780" s="16" t="n">
        <f aca="false">IF('Boletins Nuppa Site'!K780&lt;&gt;0,'Boletins Nuppa Site'!K780,"NULL")</f>
        <v>75</v>
      </c>
      <c r="J780" s="1" t="str">
        <f aca="false">"INSERT INTO COTACAO (blt_id, pap_id, cot_prc_comum, cot_prc_min, cot_prc_max, cot_prc_med, cot_prc_mediana) VALUES ("&amp;B780&amp;", "&amp;C780&amp;", "&amp;D780&amp;", "&amp;E780&amp;", "&amp;F780&amp;", "&amp;G780&amp;", "&amp;H780&amp;");"</f>
        <v>INSERT INTO COTACAO (blt_id, pap_id, cot_prc_comum, cot_prc_min, cot_prc_max, cot_prc_med, cot_prc_mediana) VALUES (20, 27, 80, 60, 80, 74, 75);</v>
      </c>
    </row>
    <row r="781" customFormat="false" ht="14.25" hidden="false" customHeight="false" outlineLevel="0" collapsed="false">
      <c r="A781" s="1" t="n">
        <v>780</v>
      </c>
      <c r="B781" s="1" t="n">
        <v>20</v>
      </c>
      <c r="C781" s="1" t="n">
        <v>28</v>
      </c>
      <c r="D781" s="1" t="str">
        <f aca="false">IF('Boletins Nuppa Site'!G781&lt;&gt;0,'Boletins Nuppa Site'!G781,"NULL")</f>
        <v>NULL</v>
      </c>
      <c r="E781" s="16" t="n">
        <f aca="false">IF('Boletins Nuppa Site'!H781&lt;&gt;0,'Boletins Nuppa Site'!H781,"NULL")</f>
        <v>90</v>
      </c>
      <c r="F781" s="16" t="n">
        <f aca="false">IF('Boletins Nuppa Site'!I781&lt;&gt;0,'Boletins Nuppa Site'!I781,"NULL")</f>
        <v>130</v>
      </c>
      <c r="G781" s="16" t="n">
        <f aca="false">IF('Boletins Nuppa Site'!J781&lt;&gt;0,'Boletins Nuppa Site'!J781,"NULL")</f>
        <v>110</v>
      </c>
      <c r="H781" s="16" t="n">
        <f aca="false">IF('Boletins Nuppa Site'!K781&lt;&gt;0,'Boletins Nuppa Site'!K781,"NULL")</f>
        <v>110</v>
      </c>
      <c r="J781" s="1" t="str">
        <f aca="false">"INSERT INTO COTACAO (blt_id, pap_id, cot_prc_comum, cot_prc_min, cot_prc_max, cot_prc_med, cot_prc_mediana) VALUES ("&amp;B781&amp;", "&amp;C781&amp;", "&amp;D781&amp;", "&amp;E781&amp;", "&amp;F781&amp;", "&amp;G781&amp;", "&amp;H781&amp;");"</f>
        <v>INSERT INTO COTACAO (blt_id, pap_id, cot_prc_comum, cot_prc_min, cot_prc_max, cot_prc_med, cot_prc_mediana) VALUES (20, 28, NULL, 90, 130, 110, 110);</v>
      </c>
    </row>
    <row r="782" customFormat="false" ht="14.25" hidden="false" customHeight="false" outlineLevel="0" collapsed="false">
      <c r="A782" s="1" t="n">
        <v>781</v>
      </c>
      <c r="B782" s="1" t="n">
        <v>20</v>
      </c>
      <c r="C782" s="1" t="n">
        <v>29</v>
      </c>
      <c r="D782" s="16" t="n">
        <f aca="false">IF('Boletins Nuppa Site'!G782&lt;&gt;0,'Boletins Nuppa Site'!G782,"NULL")</f>
        <v>70</v>
      </c>
      <c r="E782" s="16" t="n">
        <f aca="false">IF('Boletins Nuppa Site'!H782&lt;&gt;0,'Boletins Nuppa Site'!H782,"NULL")</f>
        <v>35</v>
      </c>
      <c r="F782" s="16" t="n">
        <f aca="false">IF('Boletins Nuppa Site'!I782&lt;&gt;0,'Boletins Nuppa Site'!I782,"NULL")</f>
        <v>70</v>
      </c>
      <c r="G782" s="1" t="str">
        <f aca="false">IF('Boletins Nuppa Site'!J782&lt;&gt;0,'Boletins Nuppa Site'!J782,"NULL")</f>
        <v>53.75</v>
      </c>
      <c r="H782" s="16" t="n">
        <f aca="false">IF('Boletins Nuppa Site'!K782&lt;&gt;0,'Boletins Nuppa Site'!K782,"NULL")</f>
        <v>55</v>
      </c>
      <c r="J782" s="1" t="str">
        <f aca="false">"INSERT INTO COTACAO (blt_id, pap_id, cot_prc_comum, cot_prc_min, cot_prc_max, cot_prc_med, cot_prc_mediana) VALUES ("&amp;B782&amp;", "&amp;C782&amp;", "&amp;D782&amp;", "&amp;E782&amp;", "&amp;F782&amp;", "&amp;G782&amp;", "&amp;H782&amp;");"</f>
        <v>INSERT INTO COTACAO (blt_id, pap_id, cot_prc_comum, cot_prc_min, cot_prc_max, cot_prc_med, cot_prc_mediana) VALUES (20, 29, 70, 35, 70, 53.75, 55);</v>
      </c>
    </row>
    <row r="783" customFormat="false" ht="14.25" hidden="false" customHeight="false" outlineLevel="0" collapsed="false">
      <c r="A783" s="1" t="n">
        <v>782</v>
      </c>
      <c r="B783" s="1" t="n">
        <v>20</v>
      </c>
      <c r="C783" s="1" t="n">
        <v>30</v>
      </c>
      <c r="D783" s="1" t="str">
        <f aca="false">IF('Boletins Nuppa Site'!G783&lt;&gt;0,'Boletins Nuppa Site'!G783,"NULL")</f>
        <v>NULL</v>
      </c>
      <c r="E783" s="16" t="n">
        <f aca="false">IF('Boletins Nuppa Site'!H783&lt;&gt;0,'Boletins Nuppa Site'!H783,"NULL")</f>
        <v>70</v>
      </c>
      <c r="F783" s="16" t="n">
        <f aca="false">IF('Boletins Nuppa Site'!I783&lt;&gt;0,'Boletins Nuppa Site'!I783,"NULL")</f>
        <v>90</v>
      </c>
      <c r="G783" s="1" t="str">
        <f aca="false">IF('Boletins Nuppa Site'!J783&lt;&gt;0,'Boletins Nuppa Site'!J783,"NULL")</f>
        <v>78.33</v>
      </c>
      <c r="H783" s="16" t="n">
        <f aca="false">IF('Boletins Nuppa Site'!K783&lt;&gt;0,'Boletins Nuppa Site'!K783,"NULL")</f>
        <v>75</v>
      </c>
      <c r="J783" s="1" t="str">
        <f aca="false">"INSERT INTO COTACAO (blt_id, pap_id, cot_prc_comum, cot_prc_min, cot_prc_max, cot_prc_med, cot_prc_mediana) VALUES ("&amp;B783&amp;", "&amp;C783&amp;", "&amp;D783&amp;", "&amp;E783&amp;", "&amp;F783&amp;", "&amp;G783&amp;", "&amp;H783&amp;");"</f>
        <v>INSERT INTO COTACAO (blt_id, pap_id, cot_prc_comum, cot_prc_min, cot_prc_max, cot_prc_med, cot_prc_mediana) VALUES (20, 30, NULL, 70, 90, 78.33, 75);</v>
      </c>
    </row>
    <row r="784" customFormat="false" ht="14.25" hidden="false" customHeight="false" outlineLevel="0" collapsed="false">
      <c r="A784" s="1" t="n">
        <v>783</v>
      </c>
      <c r="B784" s="1" t="n">
        <v>20</v>
      </c>
      <c r="C784" s="1" t="n">
        <v>31</v>
      </c>
      <c r="D784" s="16" t="n">
        <f aca="false">IF('Boletins Nuppa Site'!G784&lt;&gt;0,'Boletins Nuppa Site'!G784,"NULL")</f>
        <v>110</v>
      </c>
      <c r="E784" s="16" t="n">
        <f aca="false">IF('Boletins Nuppa Site'!H784&lt;&gt;0,'Boletins Nuppa Site'!H784,"NULL")</f>
        <v>90</v>
      </c>
      <c r="F784" s="16" t="n">
        <f aca="false">IF('Boletins Nuppa Site'!I784&lt;&gt;0,'Boletins Nuppa Site'!I784,"NULL")</f>
        <v>130</v>
      </c>
      <c r="G784" s="1" t="str">
        <f aca="false">IF('Boletins Nuppa Site'!J784&lt;&gt;0,'Boletins Nuppa Site'!J784,"NULL")</f>
        <v>106.67</v>
      </c>
      <c r="H784" s="16" t="n">
        <f aca="false">IF('Boletins Nuppa Site'!K784&lt;&gt;0,'Boletins Nuppa Site'!K784,"NULL")</f>
        <v>105</v>
      </c>
      <c r="J784" s="1" t="str">
        <f aca="false">"INSERT INTO COTACAO (blt_id, pap_id, cot_prc_comum, cot_prc_min, cot_prc_max, cot_prc_med, cot_prc_mediana) VALUES ("&amp;B784&amp;", "&amp;C784&amp;", "&amp;D784&amp;", "&amp;E784&amp;", "&amp;F784&amp;", "&amp;G784&amp;", "&amp;H784&amp;");"</f>
        <v>INSERT INTO COTACAO (blt_id, pap_id, cot_prc_comum, cot_prc_min, cot_prc_max, cot_prc_med, cot_prc_mediana) VALUES (20, 31, 110, 90, 130, 106.67, 105);</v>
      </c>
    </row>
    <row r="785" customFormat="false" ht="14.25" hidden="false" customHeight="false" outlineLevel="0" collapsed="false">
      <c r="A785" s="1" t="n">
        <v>784</v>
      </c>
      <c r="B785" s="1" t="n">
        <v>20</v>
      </c>
      <c r="C785" s="1" t="n">
        <v>32</v>
      </c>
      <c r="D785" s="16" t="n">
        <f aca="false">IF('Boletins Nuppa Site'!G785&lt;&gt;0,'Boletins Nuppa Site'!G785,"NULL")</f>
        <v>60</v>
      </c>
      <c r="E785" s="16" t="n">
        <f aca="false">IF('Boletins Nuppa Site'!H785&lt;&gt;0,'Boletins Nuppa Site'!H785,"NULL")</f>
        <v>45</v>
      </c>
      <c r="F785" s="16" t="n">
        <f aca="false">IF('Boletins Nuppa Site'!I785&lt;&gt;0,'Boletins Nuppa Site'!I785,"NULL")</f>
        <v>60</v>
      </c>
      <c r="G785" s="16" t="n">
        <f aca="false">IF('Boletins Nuppa Site'!J785&lt;&gt;0,'Boletins Nuppa Site'!J785,"NULL")</f>
        <v>54</v>
      </c>
      <c r="H785" s="16" t="n">
        <f aca="false">IF('Boletins Nuppa Site'!K785&lt;&gt;0,'Boletins Nuppa Site'!K785,"NULL")</f>
        <v>55</v>
      </c>
      <c r="J785" s="1" t="str">
        <f aca="false">"INSERT INTO COTACAO (blt_id, pap_id, cot_prc_comum, cot_prc_min, cot_prc_max, cot_prc_med, cot_prc_mediana) VALUES ("&amp;B785&amp;", "&amp;C785&amp;", "&amp;D785&amp;", "&amp;E785&amp;", "&amp;F785&amp;", "&amp;G785&amp;", "&amp;H785&amp;");"</f>
        <v>INSERT INTO COTACAO (blt_id, pap_id, cot_prc_comum, cot_prc_min, cot_prc_max, cot_prc_med, cot_prc_mediana) VALUES (20, 32, 60, 45, 60, 54, 55);</v>
      </c>
    </row>
    <row r="786" customFormat="false" ht="14.25" hidden="false" customHeight="false" outlineLevel="0" collapsed="false">
      <c r="A786" s="1" t="n">
        <v>785</v>
      </c>
      <c r="B786" s="1" t="n">
        <v>20</v>
      </c>
      <c r="C786" s="1" t="n">
        <v>33</v>
      </c>
      <c r="D786" s="16" t="n">
        <f aca="false">IF('Boletins Nuppa Site'!G786&lt;&gt;0,'Boletins Nuppa Site'!G786,"NULL")</f>
        <v>200</v>
      </c>
      <c r="E786" s="16" t="n">
        <f aca="false">IF('Boletins Nuppa Site'!H786&lt;&gt;0,'Boletins Nuppa Site'!H786,"NULL")</f>
        <v>100</v>
      </c>
      <c r="F786" s="16" t="n">
        <f aca="false">IF('Boletins Nuppa Site'!I786&lt;&gt;0,'Boletins Nuppa Site'!I786,"NULL")</f>
        <v>200</v>
      </c>
      <c r="G786" s="16" t="n">
        <f aca="false">IF('Boletins Nuppa Site'!J786&lt;&gt;0,'Boletins Nuppa Site'!J786,"NULL")</f>
        <v>160</v>
      </c>
      <c r="H786" s="16" t="n">
        <f aca="false">IF('Boletins Nuppa Site'!K786&lt;&gt;0,'Boletins Nuppa Site'!K786,"NULL")</f>
        <v>160</v>
      </c>
      <c r="J786" s="1" t="str">
        <f aca="false">"INSERT INTO COTACAO (blt_id, pap_id, cot_prc_comum, cot_prc_min, cot_prc_max, cot_prc_med, cot_prc_mediana) VALUES ("&amp;B786&amp;", "&amp;C786&amp;", "&amp;D786&amp;", "&amp;E786&amp;", "&amp;F786&amp;", "&amp;G786&amp;", "&amp;H786&amp;");"</f>
        <v>INSERT INTO COTACAO (blt_id, pap_id, cot_prc_comum, cot_prc_min, cot_prc_max, cot_prc_med, cot_prc_mediana) VALUES (20, 33, 200, 100, 200, 160, 160);</v>
      </c>
    </row>
    <row r="787" customFormat="false" ht="14.25" hidden="false" customHeight="false" outlineLevel="0" collapsed="false">
      <c r="A787" s="1" t="n">
        <v>786</v>
      </c>
      <c r="B787" s="1" t="n">
        <v>20</v>
      </c>
      <c r="C787" s="1" t="n">
        <v>34</v>
      </c>
      <c r="D787" s="16" t="n">
        <f aca="false">IF('Boletins Nuppa Site'!G787&lt;&gt;0,'Boletins Nuppa Site'!G787,"NULL")</f>
        <v>180</v>
      </c>
      <c r="E787" s="16" t="n">
        <f aca="false">IF('Boletins Nuppa Site'!H787&lt;&gt;0,'Boletins Nuppa Site'!H787,"NULL")</f>
        <v>120</v>
      </c>
      <c r="F787" s="16" t="n">
        <f aca="false">IF('Boletins Nuppa Site'!I787&lt;&gt;0,'Boletins Nuppa Site'!I787,"NULL")</f>
        <v>180</v>
      </c>
      <c r="G787" s="16" t="n">
        <f aca="false">IF('Boletins Nuppa Site'!J787&lt;&gt;0,'Boletins Nuppa Site'!J787,"NULL")</f>
        <v>158</v>
      </c>
      <c r="H787" s="16" t="n">
        <f aca="false">IF('Boletins Nuppa Site'!K787&lt;&gt;0,'Boletins Nuppa Site'!K787,"NULL")</f>
        <v>160</v>
      </c>
      <c r="J787" s="1" t="str">
        <f aca="false">"INSERT INTO COTACAO (blt_id, pap_id, cot_prc_comum, cot_prc_min, cot_prc_max, cot_prc_med, cot_prc_mediana) VALUES ("&amp;B787&amp;", "&amp;C787&amp;", "&amp;D787&amp;", "&amp;E787&amp;", "&amp;F787&amp;", "&amp;G787&amp;", "&amp;H787&amp;");"</f>
        <v>INSERT INTO COTACAO (blt_id, pap_id, cot_prc_comum, cot_prc_min, cot_prc_max, cot_prc_med, cot_prc_mediana) VALUES (20, 34, 180, 120, 180, 158, 160);</v>
      </c>
    </row>
    <row r="788" customFormat="false" ht="14.25" hidden="false" customHeight="false" outlineLevel="0" collapsed="false">
      <c r="A788" s="1" t="n">
        <v>787</v>
      </c>
      <c r="B788" s="1" t="n">
        <v>20</v>
      </c>
      <c r="C788" s="1" t="n">
        <v>35</v>
      </c>
      <c r="D788" s="1" t="str">
        <f aca="false">IF('Boletins Nuppa Site'!G788&lt;&gt;0,'Boletins Nuppa Site'!G788,"NULL")</f>
        <v>NULL</v>
      </c>
      <c r="E788" s="16" t="n">
        <f aca="false">IF('Boletins Nuppa Site'!H788&lt;&gt;0,'Boletins Nuppa Site'!H788,"NULL")</f>
        <v>200</v>
      </c>
      <c r="F788" s="16" t="n">
        <f aca="false">IF('Boletins Nuppa Site'!I788&lt;&gt;0,'Boletins Nuppa Site'!I788,"NULL")</f>
        <v>250</v>
      </c>
      <c r="G788" s="1" t="str">
        <f aca="false">IF('Boletins Nuppa Site'!J788&lt;&gt;0,'Boletins Nuppa Site'!J788,"NULL")</f>
        <v>223.33</v>
      </c>
      <c r="H788" s="16" t="n">
        <f aca="false">IF('Boletins Nuppa Site'!K788&lt;&gt;0,'Boletins Nuppa Site'!K788,"NULL")</f>
        <v>220</v>
      </c>
      <c r="J788" s="1" t="str">
        <f aca="false">"INSERT INTO COTACAO (blt_id, pap_id, cot_prc_comum, cot_prc_min, cot_prc_max, cot_prc_med, cot_prc_mediana) VALUES ("&amp;B788&amp;", "&amp;C788&amp;", "&amp;D788&amp;", "&amp;E788&amp;", "&amp;F788&amp;", "&amp;G788&amp;", "&amp;H788&amp;");"</f>
        <v>INSERT INTO COTACAO (blt_id, pap_id, cot_prc_comum, cot_prc_min, cot_prc_max, cot_prc_med, cot_prc_mediana) VALUES (20, 35, NULL, 200, 250, 223.33, 220);</v>
      </c>
    </row>
    <row r="789" customFormat="false" ht="14.25" hidden="false" customHeight="false" outlineLevel="0" collapsed="false">
      <c r="A789" s="1" t="n">
        <v>788</v>
      </c>
      <c r="B789" s="1" t="n">
        <v>20</v>
      </c>
      <c r="C789" s="1" t="n">
        <v>36</v>
      </c>
      <c r="D789" s="1" t="str">
        <f aca="false">IF('Boletins Nuppa Site'!G789&lt;&gt;0,'Boletins Nuppa Site'!G789,"NULL")</f>
        <v>NULL</v>
      </c>
      <c r="E789" s="16" t="n">
        <f aca="false">IF('Boletins Nuppa Site'!H789&lt;&gt;0,'Boletins Nuppa Site'!H789,"NULL")</f>
        <v>110</v>
      </c>
      <c r="F789" s="16" t="n">
        <f aca="false">IF('Boletins Nuppa Site'!I789&lt;&gt;0,'Boletins Nuppa Site'!I789,"NULL")</f>
        <v>110</v>
      </c>
      <c r="G789" s="16" t="n">
        <f aca="false">IF('Boletins Nuppa Site'!J789&lt;&gt;0,'Boletins Nuppa Site'!J789,"NULL")</f>
        <v>110</v>
      </c>
      <c r="H789" s="16" t="n">
        <f aca="false">IF('Boletins Nuppa Site'!K789&lt;&gt;0,'Boletins Nuppa Site'!K789,"NULL")</f>
        <v>110</v>
      </c>
      <c r="J789" s="1" t="str">
        <f aca="false">"INSERT INTO COTACAO (blt_id, pap_id, cot_prc_comum, cot_prc_min, cot_prc_max, cot_prc_med, cot_prc_mediana) VALUES ("&amp;B789&amp;", "&amp;C789&amp;", "&amp;D789&amp;", "&amp;E789&amp;", "&amp;F789&amp;", "&amp;G789&amp;", "&amp;H789&amp;");"</f>
        <v>INSERT INTO COTACAO (blt_id, pap_id, cot_prc_comum, cot_prc_min, cot_prc_max, cot_prc_med, cot_prc_mediana) VALUES (20, 36, NULL, 110, 110, 110, 110);</v>
      </c>
    </row>
    <row r="790" customFormat="false" ht="14.25" hidden="false" customHeight="false" outlineLevel="0" collapsed="false">
      <c r="A790" s="1" t="n">
        <v>789</v>
      </c>
      <c r="B790" s="1" t="n">
        <v>20</v>
      </c>
      <c r="C790" s="1" t="n">
        <v>37</v>
      </c>
      <c r="D790" s="1" t="str">
        <f aca="false">IF('Boletins Nuppa Site'!G790&lt;&gt;0,'Boletins Nuppa Site'!G790,"NULL")</f>
        <v>NULL</v>
      </c>
      <c r="E790" s="16" t="n">
        <f aca="false">IF('Boletins Nuppa Site'!H790&lt;&gt;0,'Boletins Nuppa Site'!H790,"NULL")</f>
        <v>110</v>
      </c>
      <c r="F790" s="16" t="n">
        <f aca="false">IF('Boletins Nuppa Site'!I790&lt;&gt;0,'Boletins Nuppa Site'!I790,"NULL")</f>
        <v>110</v>
      </c>
      <c r="G790" s="16" t="n">
        <f aca="false">IF('Boletins Nuppa Site'!J790&lt;&gt;0,'Boletins Nuppa Site'!J790,"NULL")</f>
        <v>110</v>
      </c>
      <c r="H790" s="16" t="n">
        <f aca="false">IF('Boletins Nuppa Site'!K790&lt;&gt;0,'Boletins Nuppa Site'!K790,"NULL")</f>
        <v>110</v>
      </c>
      <c r="J790" s="1" t="str">
        <f aca="false">"INSERT INTO COTACAO (blt_id, pap_id, cot_prc_comum, cot_prc_min, cot_prc_max, cot_prc_med, cot_prc_mediana) VALUES ("&amp;B790&amp;", "&amp;C790&amp;", "&amp;D790&amp;", "&amp;E790&amp;", "&amp;F790&amp;", "&amp;G790&amp;", "&amp;H790&amp;");"</f>
        <v>INSERT INTO COTACAO (blt_id, pap_id, cot_prc_comum, cot_prc_min, cot_prc_max, cot_prc_med, cot_prc_mediana) VALUES (20, 37, NULL, 110, 110, 110, 110);</v>
      </c>
    </row>
    <row r="791" customFormat="false" ht="14.25" hidden="false" customHeight="false" outlineLevel="0" collapsed="false">
      <c r="A791" s="1" t="n">
        <v>790</v>
      </c>
      <c r="B791" s="1" t="n">
        <v>20</v>
      </c>
      <c r="C791" s="1" t="n">
        <v>38</v>
      </c>
      <c r="D791" s="1" t="str">
        <f aca="false">IF('Boletins Nuppa Site'!G791&lt;&gt;0,'Boletins Nuppa Site'!G791,"NULL")</f>
        <v>NULL</v>
      </c>
      <c r="E791" s="1" t="str">
        <f aca="false">IF('Boletins Nuppa Site'!H791&lt;&gt;0,'Boletins Nuppa Site'!H791,"NULL")</f>
        <v>NULL</v>
      </c>
      <c r="F791" s="1" t="str">
        <f aca="false">IF('Boletins Nuppa Site'!I791&lt;&gt;0,'Boletins Nuppa Site'!I791,"NULL")</f>
        <v>NULL</v>
      </c>
      <c r="G791" s="1" t="str">
        <f aca="false">IF('Boletins Nuppa Site'!J791&lt;&gt;0,'Boletins Nuppa Site'!J791,"NULL")</f>
        <v>NULL</v>
      </c>
      <c r="H791" s="1" t="str">
        <f aca="false">IF('Boletins Nuppa Site'!K791&lt;&gt;0,'Boletins Nuppa Site'!K791,"NULL")</f>
        <v>NULL</v>
      </c>
      <c r="J791" s="1" t="str">
        <f aca="false">"INSERT INTO COTACAO (blt_id, pap_id, cot_prc_comum, cot_prc_min, cot_prc_max, cot_prc_med, cot_prc_mediana) VALUES ("&amp;B791&amp;", "&amp;C791&amp;", "&amp;D791&amp;", "&amp;E791&amp;", "&amp;F791&amp;", "&amp;G791&amp;", "&amp;H791&amp;");"</f>
        <v>INSERT INTO COTACAO (blt_id, pap_id, cot_prc_comum, cot_prc_min, cot_prc_max, cot_prc_med, cot_prc_mediana) VALUES (20, 38, NULL, NULL, NULL, NULL, NULL);</v>
      </c>
    </row>
    <row r="792" customFormat="false" ht="14.25" hidden="false" customHeight="false" outlineLevel="0" collapsed="false">
      <c r="A792" s="1" t="n">
        <v>791</v>
      </c>
      <c r="B792" s="1" t="n">
        <v>20</v>
      </c>
      <c r="C792" s="1" t="n">
        <v>39</v>
      </c>
      <c r="D792" s="1" t="str">
        <f aca="false">IF('Boletins Nuppa Site'!G792&lt;&gt;0,'Boletins Nuppa Site'!G792,"NULL")</f>
        <v>NULL</v>
      </c>
      <c r="E792" s="16" t="n">
        <f aca="false">IF('Boletins Nuppa Site'!H792&lt;&gt;0,'Boletins Nuppa Site'!H792,"NULL")</f>
        <v>48</v>
      </c>
      <c r="F792" s="16" t="n">
        <f aca="false">IF('Boletins Nuppa Site'!I792&lt;&gt;0,'Boletins Nuppa Site'!I792,"NULL")</f>
        <v>48</v>
      </c>
      <c r="G792" s="16" t="n">
        <f aca="false">IF('Boletins Nuppa Site'!J792&lt;&gt;0,'Boletins Nuppa Site'!J792,"NULL")</f>
        <v>48</v>
      </c>
      <c r="H792" s="16" t="n">
        <f aca="false">IF('Boletins Nuppa Site'!K792&lt;&gt;0,'Boletins Nuppa Site'!K792,"NULL")</f>
        <v>48</v>
      </c>
      <c r="J792" s="1" t="str">
        <f aca="false">"INSERT INTO COTACAO (blt_id, pap_id, cot_prc_comum, cot_prc_min, cot_prc_max, cot_prc_med, cot_prc_mediana) VALUES ("&amp;B792&amp;", "&amp;C792&amp;", "&amp;D792&amp;", "&amp;E792&amp;", "&amp;F792&amp;", "&amp;G792&amp;", "&amp;H792&amp;");"</f>
        <v>INSERT INTO COTACAO (blt_id, pap_id, cot_prc_comum, cot_prc_min, cot_prc_max, cot_prc_med, cot_prc_mediana) VALUES (20, 39, NULL, 48, 48, 48, 48);</v>
      </c>
    </row>
    <row r="793" customFormat="false" ht="14.25" hidden="false" customHeight="false" outlineLevel="0" collapsed="false">
      <c r="A793" s="1" t="n">
        <v>792</v>
      </c>
      <c r="B793" s="1" t="n">
        <v>20</v>
      </c>
      <c r="C793" s="1" t="n">
        <v>40</v>
      </c>
      <c r="D793" s="1" t="str">
        <f aca="false">IF('Boletins Nuppa Site'!G793&lt;&gt;0,'Boletins Nuppa Site'!G793,"NULL")</f>
        <v>NULL</v>
      </c>
      <c r="E793" s="16" t="n">
        <f aca="false">IF('Boletins Nuppa Site'!H793&lt;&gt;0,'Boletins Nuppa Site'!H793,"NULL")</f>
        <v>65</v>
      </c>
      <c r="F793" s="16" t="n">
        <f aca="false">IF('Boletins Nuppa Site'!I793&lt;&gt;0,'Boletins Nuppa Site'!I793,"NULL")</f>
        <v>65</v>
      </c>
      <c r="G793" s="16" t="n">
        <f aca="false">IF('Boletins Nuppa Site'!J793&lt;&gt;0,'Boletins Nuppa Site'!J793,"NULL")</f>
        <v>65</v>
      </c>
      <c r="H793" s="16" t="n">
        <f aca="false">IF('Boletins Nuppa Site'!K793&lt;&gt;0,'Boletins Nuppa Site'!K793,"NULL")</f>
        <v>65</v>
      </c>
      <c r="J793" s="1" t="str">
        <f aca="false">"INSERT INTO COTACAO (blt_id, pap_id, cot_prc_comum, cot_prc_min, cot_prc_max, cot_prc_med, cot_prc_mediana) VALUES ("&amp;B793&amp;", "&amp;C793&amp;", "&amp;D793&amp;", "&amp;E793&amp;", "&amp;F793&amp;", "&amp;G793&amp;", "&amp;H793&amp;");"</f>
        <v>INSERT INTO COTACAO (blt_id, pap_id, cot_prc_comum, cot_prc_min, cot_prc_max, cot_prc_med, cot_prc_mediana) VALUES (20, 40, NULL, 65, 65, 65, 65);</v>
      </c>
    </row>
    <row r="794" customFormat="false" ht="14.25" hidden="false" customHeight="false" outlineLevel="0" collapsed="false">
      <c r="A794" s="1" t="n">
        <v>793</v>
      </c>
      <c r="B794" s="1" t="n">
        <v>21</v>
      </c>
      <c r="C794" s="1" t="n">
        <v>1</v>
      </c>
      <c r="D794" s="1" t="str">
        <f aca="false">IF('Boletins Nuppa Site'!G794&lt;&gt;0,'Boletins Nuppa Site'!G794,"NULL")</f>
        <v>NULL</v>
      </c>
      <c r="E794" s="16" t="n">
        <f aca="false">IF('Boletins Nuppa Site'!H794&lt;&gt;0,'Boletins Nuppa Site'!H794,"NULL")</f>
        <v>48</v>
      </c>
      <c r="F794" s="16" t="n">
        <f aca="false">IF('Boletins Nuppa Site'!I794&lt;&gt;0,'Boletins Nuppa Site'!I794,"NULL")</f>
        <v>60</v>
      </c>
      <c r="G794" s="16" t="n">
        <f aca="false">IF('Boletins Nuppa Site'!J794&lt;&gt;0,'Boletins Nuppa Site'!J794,"NULL")</f>
        <v>54</v>
      </c>
      <c r="H794" s="16" t="n">
        <f aca="false">IF('Boletins Nuppa Site'!K794&lt;&gt;0,'Boletins Nuppa Site'!K794,"NULL")</f>
        <v>54</v>
      </c>
      <c r="J794" s="1" t="str">
        <f aca="false">"INSERT INTO COTACAO (blt_id, pap_id, cot_prc_comum, cot_prc_min, cot_prc_max, cot_prc_med, cot_prc_mediana) VALUES ("&amp;B794&amp;", "&amp;C794&amp;", "&amp;D794&amp;", "&amp;E794&amp;", "&amp;F794&amp;", "&amp;G794&amp;", "&amp;H794&amp;");"</f>
        <v>INSERT INTO COTACAO (blt_id, pap_id, cot_prc_comum, cot_prc_min, cot_prc_max, cot_prc_med, cot_prc_mediana) VALUES (21, 1, NULL, 48, 60, 54, 54);</v>
      </c>
    </row>
    <row r="795" customFormat="false" ht="14.25" hidden="false" customHeight="false" outlineLevel="0" collapsed="false">
      <c r="A795" s="1" t="n">
        <v>794</v>
      </c>
      <c r="B795" s="1" t="n">
        <v>21</v>
      </c>
      <c r="C795" s="1" t="n">
        <v>2</v>
      </c>
      <c r="D795" s="16" t="n">
        <f aca="false">IF('Boletins Nuppa Site'!G795&lt;&gt;0,'Boletins Nuppa Site'!G795,"NULL")</f>
        <v>84</v>
      </c>
      <c r="E795" s="16" t="n">
        <f aca="false">IF('Boletins Nuppa Site'!H795&lt;&gt;0,'Boletins Nuppa Site'!H795,"NULL")</f>
        <v>84</v>
      </c>
      <c r="F795" s="16" t="n">
        <f aca="false">IF('Boletins Nuppa Site'!I795&lt;&gt;0,'Boletins Nuppa Site'!I795,"NULL")</f>
        <v>84</v>
      </c>
      <c r="G795" s="16" t="n">
        <f aca="false">IF('Boletins Nuppa Site'!J795&lt;&gt;0,'Boletins Nuppa Site'!J795,"NULL")</f>
        <v>84</v>
      </c>
      <c r="H795" s="16" t="n">
        <f aca="false">IF('Boletins Nuppa Site'!K795&lt;&gt;0,'Boletins Nuppa Site'!K795,"NULL")</f>
        <v>84</v>
      </c>
      <c r="J795" s="1" t="str">
        <f aca="false">"INSERT INTO COTACAO (blt_id, pap_id, cot_prc_comum, cot_prc_min, cot_prc_max, cot_prc_med, cot_prc_mediana) VALUES ("&amp;B795&amp;", "&amp;C795&amp;", "&amp;D795&amp;", "&amp;E795&amp;", "&amp;F795&amp;", "&amp;G795&amp;", "&amp;H795&amp;");"</f>
        <v>INSERT INTO COTACAO (blt_id, pap_id, cot_prc_comum, cot_prc_min, cot_prc_max, cot_prc_med, cot_prc_mediana) VALUES (21, 2, 84, 84, 84, 84, 84);</v>
      </c>
    </row>
    <row r="796" customFormat="false" ht="14.25" hidden="false" customHeight="false" outlineLevel="0" collapsed="false">
      <c r="A796" s="1" t="n">
        <v>795</v>
      </c>
      <c r="B796" s="1" t="n">
        <v>21</v>
      </c>
      <c r="C796" s="1" t="n">
        <v>3</v>
      </c>
      <c r="D796" s="1" t="str">
        <f aca="false">IF('Boletins Nuppa Site'!G796&lt;&gt;0,'Boletins Nuppa Site'!G796,"NULL")</f>
        <v>NULL</v>
      </c>
      <c r="E796" s="16" t="n">
        <f aca="false">IF('Boletins Nuppa Site'!H796&lt;&gt;0,'Boletins Nuppa Site'!H796,"NULL")</f>
        <v>36</v>
      </c>
      <c r="F796" s="16" t="n">
        <f aca="false">IF('Boletins Nuppa Site'!I796&lt;&gt;0,'Boletins Nuppa Site'!I796,"NULL")</f>
        <v>42</v>
      </c>
      <c r="G796" s="16" t="n">
        <f aca="false">IF('Boletins Nuppa Site'!J796&lt;&gt;0,'Boletins Nuppa Site'!J796,"NULL")</f>
        <v>39</v>
      </c>
      <c r="H796" s="16" t="n">
        <f aca="false">IF('Boletins Nuppa Site'!K796&lt;&gt;0,'Boletins Nuppa Site'!K796,"NULL")</f>
        <v>39</v>
      </c>
      <c r="J796" s="1" t="str">
        <f aca="false">"INSERT INTO COTACAO (blt_id, pap_id, cot_prc_comum, cot_prc_min, cot_prc_max, cot_prc_med, cot_prc_mediana) VALUES ("&amp;B796&amp;", "&amp;C796&amp;", "&amp;D796&amp;", "&amp;E796&amp;", "&amp;F796&amp;", "&amp;G796&amp;", "&amp;H796&amp;");"</f>
        <v>INSERT INTO COTACAO (blt_id, pap_id, cot_prc_comum, cot_prc_min, cot_prc_max, cot_prc_med, cot_prc_mediana) VALUES (21, 3, NULL, 36, 42, 39, 39);</v>
      </c>
    </row>
    <row r="797" customFormat="false" ht="14.25" hidden="false" customHeight="false" outlineLevel="0" collapsed="false">
      <c r="A797" s="1" t="n">
        <v>796</v>
      </c>
      <c r="B797" s="1" t="n">
        <v>21</v>
      </c>
      <c r="C797" s="1" t="n">
        <v>4</v>
      </c>
      <c r="D797" s="1" t="str">
        <f aca="false">IF('Boletins Nuppa Site'!G797&lt;&gt;0,'Boletins Nuppa Site'!G797,"NULL")</f>
        <v>NULL</v>
      </c>
      <c r="E797" s="16" t="n">
        <f aca="false">IF('Boletins Nuppa Site'!H797&lt;&gt;0,'Boletins Nuppa Site'!H797,"NULL")</f>
        <v>20</v>
      </c>
      <c r="F797" s="16" t="n">
        <f aca="false">IF('Boletins Nuppa Site'!I797&lt;&gt;0,'Boletins Nuppa Site'!I797,"NULL")</f>
        <v>24</v>
      </c>
      <c r="G797" s="16" t="n">
        <f aca="false">IF('Boletins Nuppa Site'!J797&lt;&gt;0,'Boletins Nuppa Site'!J797,"NULL")</f>
        <v>22</v>
      </c>
      <c r="H797" s="16" t="n">
        <f aca="false">IF('Boletins Nuppa Site'!K797&lt;&gt;0,'Boletins Nuppa Site'!K797,"NULL")</f>
        <v>22</v>
      </c>
      <c r="J797" s="1" t="str">
        <f aca="false">"INSERT INTO COTACAO (blt_id, pap_id, cot_prc_comum, cot_prc_min, cot_prc_max, cot_prc_med, cot_prc_mediana) VALUES ("&amp;B797&amp;", "&amp;C797&amp;", "&amp;D797&amp;", "&amp;E797&amp;", "&amp;F797&amp;", "&amp;G797&amp;", "&amp;H797&amp;");"</f>
        <v>INSERT INTO COTACAO (blt_id, pap_id, cot_prc_comum, cot_prc_min, cot_prc_max, cot_prc_med, cot_prc_mediana) VALUES (21, 4, NULL, 20, 24, 22, 22);</v>
      </c>
    </row>
    <row r="798" customFormat="false" ht="14.25" hidden="false" customHeight="false" outlineLevel="0" collapsed="false">
      <c r="A798" s="1" t="n">
        <v>797</v>
      </c>
      <c r="B798" s="1" t="n">
        <v>21</v>
      </c>
      <c r="C798" s="1" t="n">
        <v>5</v>
      </c>
      <c r="D798" s="1" t="str">
        <f aca="false">IF('Boletins Nuppa Site'!G798&lt;&gt;0,'Boletins Nuppa Site'!G798,"NULL")</f>
        <v>NULL</v>
      </c>
      <c r="E798" s="16" t="n">
        <f aca="false">IF('Boletins Nuppa Site'!H798&lt;&gt;0,'Boletins Nuppa Site'!H798,"NULL")</f>
        <v>20</v>
      </c>
      <c r="F798" s="16" t="n">
        <f aca="false">IF('Boletins Nuppa Site'!I798&lt;&gt;0,'Boletins Nuppa Site'!I798,"NULL")</f>
        <v>24</v>
      </c>
      <c r="G798" s="16" t="n">
        <f aca="false">IF('Boletins Nuppa Site'!J798&lt;&gt;0,'Boletins Nuppa Site'!J798,"NULL")</f>
        <v>22</v>
      </c>
      <c r="H798" s="16" t="n">
        <f aca="false">IF('Boletins Nuppa Site'!K798&lt;&gt;0,'Boletins Nuppa Site'!K798,"NULL")</f>
        <v>22</v>
      </c>
      <c r="J798" s="1" t="str">
        <f aca="false">"INSERT INTO COTACAO (blt_id, pap_id, cot_prc_comum, cot_prc_min, cot_prc_max, cot_prc_med, cot_prc_mediana) VALUES ("&amp;B798&amp;", "&amp;C798&amp;", "&amp;D798&amp;", "&amp;E798&amp;", "&amp;F798&amp;", "&amp;G798&amp;", "&amp;H798&amp;");"</f>
        <v>INSERT INTO COTACAO (blt_id, pap_id, cot_prc_comum, cot_prc_min, cot_prc_max, cot_prc_med, cot_prc_mediana) VALUES (21, 5, NULL, 20, 24, 22, 22);</v>
      </c>
    </row>
    <row r="799" customFormat="false" ht="14.25" hidden="false" customHeight="false" outlineLevel="0" collapsed="false">
      <c r="A799" s="1" t="n">
        <v>798</v>
      </c>
      <c r="B799" s="1" t="n">
        <v>21</v>
      </c>
      <c r="C799" s="1" t="n">
        <v>6</v>
      </c>
      <c r="D799" s="16" t="n">
        <f aca="false">IF('Boletins Nuppa Site'!G799&lt;&gt;0,'Boletins Nuppa Site'!G799,"NULL")</f>
        <v>60</v>
      </c>
      <c r="E799" s="16" t="n">
        <f aca="false">IF('Boletins Nuppa Site'!H799&lt;&gt;0,'Boletins Nuppa Site'!H799,"NULL")</f>
        <v>60</v>
      </c>
      <c r="F799" s="16" t="n">
        <f aca="false">IF('Boletins Nuppa Site'!I799&lt;&gt;0,'Boletins Nuppa Site'!I799,"NULL")</f>
        <v>60</v>
      </c>
      <c r="G799" s="16" t="n">
        <f aca="false">IF('Boletins Nuppa Site'!J799&lt;&gt;0,'Boletins Nuppa Site'!J799,"NULL")</f>
        <v>60</v>
      </c>
      <c r="H799" s="16" t="n">
        <f aca="false">IF('Boletins Nuppa Site'!K799&lt;&gt;0,'Boletins Nuppa Site'!K799,"NULL")</f>
        <v>60</v>
      </c>
      <c r="J799" s="1" t="str">
        <f aca="false">"INSERT INTO COTACAO (blt_id, pap_id, cot_prc_comum, cot_prc_min, cot_prc_max, cot_prc_med, cot_prc_mediana) VALUES ("&amp;B799&amp;", "&amp;C799&amp;", "&amp;D799&amp;", "&amp;E799&amp;", "&amp;F799&amp;", "&amp;G799&amp;", "&amp;H799&amp;");"</f>
        <v>INSERT INTO COTACAO (blt_id, pap_id, cot_prc_comum, cot_prc_min, cot_prc_max, cot_prc_med, cot_prc_mediana) VALUES (21, 6, 60, 60, 60, 60, 60);</v>
      </c>
    </row>
    <row r="800" customFormat="false" ht="14.25" hidden="false" customHeight="false" outlineLevel="0" collapsed="false">
      <c r="A800" s="1" t="n">
        <v>799</v>
      </c>
      <c r="B800" s="1" t="n">
        <v>21</v>
      </c>
      <c r="C800" s="1" t="n">
        <v>7</v>
      </c>
      <c r="D800" s="1" t="str">
        <f aca="false">IF('Boletins Nuppa Site'!G800&lt;&gt;0,'Boletins Nuppa Site'!G800,"NULL")</f>
        <v>NULL</v>
      </c>
      <c r="E800" s="16" t="n">
        <f aca="false">IF('Boletins Nuppa Site'!H800&lt;&gt;0,'Boletins Nuppa Site'!H800,"NULL")</f>
        <v>90</v>
      </c>
      <c r="F800" s="16" t="n">
        <f aca="false">IF('Boletins Nuppa Site'!I800&lt;&gt;0,'Boletins Nuppa Site'!I800,"NULL")</f>
        <v>96</v>
      </c>
      <c r="G800" s="16" t="n">
        <f aca="false">IF('Boletins Nuppa Site'!J800&lt;&gt;0,'Boletins Nuppa Site'!J800,"NULL")</f>
        <v>93</v>
      </c>
      <c r="H800" s="16" t="n">
        <f aca="false">IF('Boletins Nuppa Site'!K800&lt;&gt;0,'Boletins Nuppa Site'!K800,"NULL")</f>
        <v>93</v>
      </c>
      <c r="J800" s="1" t="str">
        <f aca="false">"INSERT INTO COTACAO (blt_id, pap_id, cot_prc_comum, cot_prc_min, cot_prc_max, cot_prc_med, cot_prc_mediana) VALUES ("&amp;B800&amp;", "&amp;C800&amp;", "&amp;D800&amp;", "&amp;E800&amp;", "&amp;F800&amp;", "&amp;G800&amp;", "&amp;H800&amp;");"</f>
        <v>INSERT INTO COTACAO (blt_id, pap_id, cot_prc_comum, cot_prc_min, cot_prc_max, cot_prc_med, cot_prc_mediana) VALUES (21, 7, NULL, 90, 96, 93, 93);</v>
      </c>
    </row>
    <row r="801" customFormat="false" ht="14.25" hidden="false" customHeight="false" outlineLevel="0" collapsed="false">
      <c r="A801" s="1" t="n">
        <v>800</v>
      </c>
      <c r="B801" s="1" t="n">
        <v>21</v>
      </c>
      <c r="C801" s="1" t="n">
        <v>8</v>
      </c>
      <c r="D801" s="16" t="n">
        <f aca="false">IF('Boletins Nuppa Site'!G801&lt;&gt;0,'Boletins Nuppa Site'!G801,"NULL")</f>
        <v>84</v>
      </c>
      <c r="E801" s="16" t="n">
        <f aca="false">IF('Boletins Nuppa Site'!H801&lt;&gt;0,'Boletins Nuppa Site'!H801,"NULL")</f>
        <v>84</v>
      </c>
      <c r="F801" s="16" t="n">
        <f aca="false">IF('Boletins Nuppa Site'!I801&lt;&gt;0,'Boletins Nuppa Site'!I801,"NULL")</f>
        <v>84</v>
      </c>
      <c r="G801" s="16" t="n">
        <f aca="false">IF('Boletins Nuppa Site'!J801&lt;&gt;0,'Boletins Nuppa Site'!J801,"NULL")</f>
        <v>84</v>
      </c>
      <c r="H801" s="16" t="n">
        <f aca="false">IF('Boletins Nuppa Site'!K801&lt;&gt;0,'Boletins Nuppa Site'!K801,"NULL")</f>
        <v>84</v>
      </c>
      <c r="J801" s="1" t="str">
        <f aca="false">"INSERT INTO COTACAO (blt_id, pap_id, cot_prc_comum, cot_prc_min, cot_prc_max, cot_prc_med, cot_prc_mediana) VALUES ("&amp;B801&amp;", "&amp;C801&amp;", "&amp;D801&amp;", "&amp;E801&amp;", "&amp;F801&amp;", "&amp;G801&amp;", "&amp;H801&amp;");"</f>
        <v>INSERT INTO COTACAO (blt_id, pap_id, cot_prc_comum, cot_prc_min, cot_prc_max, cot_prc_med, cot_prc_mediana) VALUES (21, 8, 84, 84, 84, 84, 84);</v>
      </c>
    </row>
    <row r="802" customFormat="false" ht="14.25" hidden="false" customHeight="false" outlineLevel="0" collapsed="false">
      <c r="A802" s="1" t="n">
        <v>801</v>
      </c>
      <c r="B802" s="1" t="n">
        <v>21</v>
      </c>
      <c r="C802" s="1" t="n">
        <v>9</v>
      </c>
      <c r="D802" s="1" t="str">
        <f aca="false">IF('Boletins Nuppa Site'!G802&lt;&gt;0,'Boletins Nuppa Site'!G802,"NULL")</f>
        <v>NULL</v>
      </c>
      <c r="E802" s="16" t="n">
        <f aca="false">IF('Boletins Nuppa Site'!H802&lt;&gt;0,'Boletins Nuppa Site'!H802,"NULL")</f>
        <v>24</v>
      </c>
      <c r="F802" s="16" t="n">
        <f aca="false">IF('Boletins Nuppa Site'!I802&lt;&gt;0,'Boletins Nuppa Site'!I802,"NULL")</f>
        <v>30</v>
      </c>
      <c r="G802" s="16" t="n">
        <f aca="false">IF('Boletins Nuppa Site'!J802&lt;&gt;0,'Boletins Nuppa Site'!J802,"NULL")</f>
        <v>27</v>
      </c>
      <c r="H802" s="16" t="n">
        <f aca="false">IF('Boletins Nuppa Site'!K802&lt;&gt;0,'Boletins Nuppa Site'!K802,"NULL")</f>
        <v>27</v>
      </c>
      <c r="J802" s="1" t="str">
        <f aca="false">"INSERT INTO COTACAO (blt_id, pap_id, cot_prc_comum, cot_prc_min, cot_prc_max, cot_prc_med, cot_prc_mediana) VALUES ("&amp;B802&amp;", "&amp;C802&amp;", "&amp;D802&amp;", "&amp;E802&amp;", "&amp;F802&amp;", "&amp;G802&amp;", "&amp;H802&amp;");"</f>
        <v>INSERT INTO COTACAO (blt_id, pap_id, cot_prc_comum, cot_prc_min, cot_prc_max, cot_prc_med, cot_prc_mediana) VALUES (21, 9, NULL, 24, 30, 27, 27);</v>
      </c>
    </row>
    <row r="803" customFormat="false" ht="14.25" hidden="false" customHeight="false" outlineLevel="0" collapsed="false">
      <c r="A803" s="1" t="n">
        <v>802</v>
      </c>
      <c r="B803" s="1" t="n">
        <v>21</v>
      </c>
      <c r="C803" s="1" t="n">
        <v>10</v>
      </c>
      <c r="D803" s="1" t="str">
        <f aca="false">IF('Boletins Nuppa Site'!G803&lt;&gt;0,'Boletins Nuppa Site'!G803,"NULL")</f>
        <v>NULL</v>
      </c>
      <c r="E803" s="16" t="n">
        <f aca="false">IF('Boletins Nuppa Site'!H803&lt;&gt;0,'Boletins Nuppa Site'!H803,"NULL")</f>
        <v>96</v>
      </c>
      <c r="F803" s="16" t="n">
        <f aca="false">IF('Boletins Nuppa Site'!I803&lt;&gt;0,'Boletins Nuppa Site'!I803,"NULL")</f>
        <v>108</v>
      </c>
      <c r="G803" s="16" t="n">
        <f aca="false">IF('Boletins Nuppa Site'!J803&lt;&gt;0,'Boletins Nuppa Site'!J803,"NULL")</f>
        <v>102</v>
      </c>
      <c r="H803" s="16" t="n">
        <f aca="false">IF('Boletins Nuppa Site'!K803&lt;&gt;0,'Boletins Nuppa Site'!K803,"NULL")</f>
        <v>102</v>
      </c>
      <c r="J803" s="1" t="str">
        <f aca="false">"INSERT INTO COTACAO (blt_id, pap_id, cot_prc_comum, cot_prc_min, cot_prc_max, cot_prc_med, cot_prc_mediana) VALUES ("&amp;B803&amp;", "&amp;C803&amp;", "&amp;D803&amp;", "&amp;E803&amp;", "&amp;F803&amp;", "&amp;G803&amp;", "&amp;H803&amp;");"</f>
        <v>INSERT INTO COTACAO (blt_id, pap_id, cot_prc_comum, cot_prc_min, cot_prc_max, cot_prc_med, cot_prc_mediana) VALUES (21, 10, NULL, 96, 108, 102, 102);</v>
      </c>
    </row>
    <row r="804" customFormat="false" ht="14.25" hidden="false" customHeight="false" outlineLevel="0" collapsed="false">
      <c r="A804" s="1" t="n">
        <v>803</v>
      </c>
      <c r="B804" s="1" t="n">
        <v>21</v>
      </c>
      <c r="C804" s="1" t="n">
        <v>11</v>
      </c>
      <c r="D804" s="1" t="str">
        <f aca="false">IF('Boletins Nuppa Site'!G804&lt;&gt;0,'Boletins Nuppa Site'!G804,"NULL")</f>
        <v>NULL</v>
      </c>
      <c r="E804" s="16" t="n">
        <f aca="false">IF('Boletins Nuppa Site'!H804&lt;&gt;0,'Boletins Nuppa Site'!H804,"NULL")</f>
        <v>20</v>
      </c>
      <c r="F804" s="16" t="n">
        <f aca="false">IF('Boletins Nuppa Site'!I804&lt;&gt;0,'Boletins Nuppa Site'!I804,"NULL")</f>
        <v>24</v>
      </c>
      <c r="G804" s="16" t="n">
        <f aca="false">IF('Boletins Nuppa Site'!J804&lt;&gt;0,'Boletins Nuppa Site'!J804,"NULL")</f>
        <v>22</v>
      </c>
      <c r="H804" s="16" t="n">
        <f aca="false">IF('Boletins Nuppa Site'!K804&lt;&gt;0,'Boletins Nuppa Site'!K804,"NULL")</f>
        <v>22</v>
      </c>
      <c r="J804" s="1" t="str">
        <f aca="false">"INSERT INTO COTACAO (blt_id, pap_id, cot_prc_comum, cot_prc_min, cot_prc_max, cot_prc_med, cot_prc_mediana) VALUES ("&amp;B804&amp;", "&amp;C804&amp;", "&amp;D804&amp;", "&amp;E804&amp;", "&amp;F804&amp;", "&amp;G804&amp;", "&amp;H804&amp;");"</f>
        <v>INSERT INTO COTACAO (blt_id, pap_id, cot_prc_comum, cot_prc_min, cot_prc_max, cot_prc_med, cot_prc_mediana) VALUES (21, 11, NULL, 20, 24, 22, 22);</v>
      </c>
    </row>
    <row r="805" customFormat="false" ht="14.25" hidden="false" customHeight="false" outlineLevel="0" collapsed="false">
      <c r="A805" s="1" t="n">
        <v>804</v>
      </c>
      <c r="B805" s="1" t="n">
        <v>21</v>
      </c>
      <c r="C805" s="1" t="n">
        <v>12</v>
      </c>
      <c r="D805" s="1" t="str">
        <f aca="false">IF('Boletins Nuppa Site'!G805&lt;&gt;0,'Boletins Nuppa Site'!G805,"NULL")</f>
        <v>NULL</v>
      </c>
      <c r="E805" s="16" t="n">
        <f aca="false">IF('Boletins Nuppa Site'!H805&lt;&gt;0,'Boletins Nuppa Site'!H805,"NULL")</f>
        <v>72</v>
      </c>
      <c r="F805" s="16" t="n">
        <f aca="false">IF('Boletins Nuppa Site'!I805&lt;&gt;0,'Boletins Nuppa Site'!I805,"NULL")</f>
        <v>78</v>
      </c>
      <c r="G805" s="16" t="n">
        <f aca="false">IF('Boletins Nuppa Site'!J805&lt;&gt;0,'Boletins Nuppa Site'!J805,"NULL")</f>
        <v>75</v>
      </c>
      <c r="H805" s="16" t="n">
        <f aca="false">IF('Boletins Nuppa Site'!K805&lt;&gt;0,'Boletins Nuppa Site'!K805,"NULL")</f>
        <v>75</v>
      </c>
      <c r="J805" s="1" t="str">
        <f aca="false">"INSERT INTO COTACAO (blt_id, pap_id, cot_prc_comum, cot_prc_min, cot_prc_max, cot_prc_med, cot_prc_mediana) VALUES ("&amp;B805&amp;", "&amp;C805&amp;", "&amp;D805&amp;", "&amp;E805&amp;", "&amp;F805&amp;", "&amp;G805&amp;", "&amp;H805&amp;");"</f>
        <v>INSERT INTO COTACAO (blt_id, pap_id, cot_prc_comum, cot_prc_min, cot_prc_max, cot_prc_med, cot_prc_mediana) VALUES (21, 12, NULL, 72, 78, 75, 75);</v>
      </c>
    </row>
    <row r="806" customFormat="false" ht="14.25" hidden="false" customHeight="false" outlineLevel="0" collapsed="false">
      <c r="A806" s="1" t="n">
        <v>805</v>
      </c>
      <c r="B806" s="1" t="n">
        <v>21</v>
      </c>
      <c r="C806" s="1" t="n">
        <v>13</v>
      </c>
      <c r="D806" s="16" t="n">
        <f aca="false">IF('Boletins Nuppa Site'!G806&lt;&gt;0,'Boletins Nuppa Site'!G806,"NULL")</f>
        <v>60</v>
      </c>
      <c r="E806" s="16" t="n">
        <f aca="false">IF('Boletins Nuppa Site'!H806&lt;&gt;0,'Boletins Nuppa Site'!H806,"NULL")</f>
        <v>60</v>
      </c>
      <c r="F806" s="16" t="n">
        <f aca="false">IF('Boletins Nuppa Site'!I806&lt;&gt;0,'Boletins Nuppa Site'!I806,"NULL")</f>
        <v>60</v>
      </c>
      <c r="G806" s="16" t="n">
        <f aca="false">IF('Boletins Nuppa Site'!J806&lt;&gt;0,'Boletins Nuppa Site'!J806,"NULL")</f>
        <v>60</v>
      </c>
      <c r="H806" s="16" t="n">
        <f aca="false">IF('Boletins Nuppa Site'!K806&lt;&gt;0,'Boletins Nuppa Site'!K806,"NULL")</f>
        <v>60</v>
      </c>
      <c r="J806" s="1" t="str">
        <f aca="false">"INSERT INTO COTACAO (blt_id, pap_id, cot_prc_comum, cot_prc_min, cot_prc_max, cot_prc_med, cot_prc_mediana) VALUES ("&amp;B806&amp;", "&amp;C806&amp;", "&amp;D806&amp;", "&amp;E806&amp;", "&amp;F806&amp;", "&amp;G806&amp;", "&amp;H806&amp;");"</f>
        <v>INSERT INTO COTACAO (blt_id, pap_id, cot_prc_comum, cot_prc_min, cot_prc_max, cot_prc_med, cot_prc_mediana) VALUES (21, 13, 60, 60, 60, 60, 60);</v>
      </c>
    </row>
    <row r="807" customFormat="false" ht="14.25" hidden="false" customHeight="false" outlineLevel="0" collapsed="false">
      <c r="A807" s="1" t="n">
        <v>806</v>
      </c>
      <c r="B807" s="1" t="n">
        <v>21</v>
      </c>
      <c r="C807" s="1" t="n">
        <v>14</v>
      </c>
      <c r="D807" s="1" t="str">
        <f aca="false">IF('Boletins Nuppa Site'!G807&lt;&gt;0,'Boletins Nuppa Site'!G807,"NULL")</f>
        <v>NULL</v>
      </c>
      <c r="E807" s="16" t="n">
        <f aca="false">IF('Boletins Nuppa Site'!H807&lt;&gt;0,'Boletins Nuppa Site'!H807,"NULL")</f>
        <v>66</v>
      </c>
      <c r="F807" s="16" t="n">
        <f aca="false">IF('Boletins Nuppa Site'!I807&lt;&gt;0,'Boletins Nuppa Site'!I807,"NULL")</f>
        <v>72</v>
      </c>
      <c r="G807" s="16" t="n">
        <f aca="false">IF('Boletins Nuppa Site'!J807&lt;&gt;0,'Boletins Nuppa Site'!J807,"NULL")</f>
        <v>69</v>
      </c>
      <c r="H807" s="16" t="n">
        <f aca="false">IF('Boletins Nuppa Site'!K807&lt;&gt;0,'Boletins Nuppa Site'!K807,"NULL")</f>
        <v>69</v>
      </c>
      <c r="J807" s="1" t="str">
        <f aca="false">"INSERT INTO COTACAO (blt_id, pap_id, cot_prc_comum, cot_prc_min, cot_prc_max, cot_prc_med, cot_prc_mediana) VALUES ("&amp;B807&amp;", "&amp;C807&amp;", "&amp;D807&amp;", "&amp;E807&amp;", "&amp;F807&amp;", "&amp;G807&amp;", "&amp;H807&amp;");"</f>
        <v>INSERT INTO COTACAO (blt_id, pap_id, cot_prc_comum, cot_prc_min, cot_prc_max, cot_prc_med, cot_prc_mediana) VALUES (21, 14, NULL, 66, 72, 69, 69);</v>
      </c>
    </row>
    <row r="808" customFormat="false" ht="14.25" hidden="false" customHeight="false" outlineLevel="0" collapsed="false">
      <c r="A808" s="1" t="n">
        <v>807</v>
      </c>
      <c r="B808" s="1" t="n">
        <v>21</v>
      </c>
      <c r="C808" s="1" t="n">
        <v>15</v>
      </c>
      <c r="D808" s="1" t="str">
        <f aca="false">IF('Boletins Nuppa Site'!G808&lt;&gt;0,'Boletins Nuppa Site'!G808,"NULL")</f>
        <v>NULL</v>
      </c>
      <c r="E808" s="16" t="n">
        <f aca="false">IF('Boletins Nuppa Site'!H808&lt;&gt;0,'Boletins Nuppa Site'!H808,"NULL")</f>
        <v>45</v>
      </c>
      <c r="F808" s="16" t="n">
        <f aca="false">IF('Boletins Nuppa Site'!I808&lt;&gt;0,'Boletins Nuppa Site'!I808,"NULL")</f>
        <v>48</v>
      </c>
      <c r="G808" s="1" t="str">
        <f aca="false">IF('Boletins Nuppa Site'!J808&lt;&gt;0,'Boletins Nuppa Site'!J808,"NULL")</f>
        <v>46.5</v>
      </c>
      <c r="H808" s="1" t="str">
        <f aca="false">IF('Boletins Nuppa Site'!K808&lt;&gt;0,'Boletins Nuppa Site'!K808,"NULL")</f>
        <v>46.5</v>
      </c>
      <c r="J808" s="1" t="str">
        <f aca="false">"INSERT INTO COTACAO (blt_id, pap_id, cot_prc_comum, cot_prc_min, cot_prc_max, cot_prc_med, cot_prc_mediana) VALUES ("&amp;B808&amp;", "&amp;C808&amp;", "&amp;D808&amp;", "&amp;E808&amp;", "&amp;F808&amp;", "&amp;G808&amp;", "&amp;H808&amp;");"</f>
        <v>INSERT INTO COTACAO (blt_id, pap_id, cot_prc_comum, cot_prc_min, cot_prc_max, cot_prc_med, cot_prc_mediana) VALUES (21, 15, NULL, 45, 48, 46.5, 46.5);</v>
      </c>
    </row>
    <row r="809" customFormat="false" ht="14.25" hidden="false" customHeight="false" outlineLevel="0" collapsed="false">
      <c r="A809" s="1" t="n">
        <v>808</v>
      </c>
      <c r="B809" s="1" t="n">
        <v>21</v>
      </c>
      <c r="C809" s="1" t="n">
        <v>16</v>
      </c>
      <c r="D809" s="1" t="str">
        <f aca="false">IF('Boletins Nuppa Site'!G809&lt;&gt;0,'Boletins Nuppa Site'!G809,"NULL")</f>
        <v>NULL</v>
      </c>
      <c r="E809" s="16" t="n">
        <f aca="false">IF('Boletins Nuppa Site'!H809&lt;&gt;0,'Boletins Nuppa Site'!H809,"NULL")</f>
        <v>48</v>
      </c>
      <c r="F809" s="16" t="n">
        <f aca="false">IF('Boletins Nuppa Site'!I809&lt;&gt;0,'Boletins Nuppa Site'!I809,"NULL")</f>
        <v>54</v>
      </c>
      <c r="G809" s="16" t="n">
        <f aca="false">IF('Boletins Nuppa Site'!J809&lt;&gt;0,'Boletins Nuppa Site'!J809,"NULL")</f>
        <v>51</v>
      </c>
      <c r="H809" s="16" t="n">
        <f aca="false">IF('Boletins Nuppa Site'!K809&lt;&gt;0,'Boletins Nuppa Site'!K809,"NULL")</f>
        <v>51</v>
      </c>
      <c r="J809" s="1" t="str">
        <f aca="false">"INSERT INTO COTACAO (blt_id, pap_id, cot_prc_comum, cot_prc_min, cot_prc_max, cot_prc_med, cot_prc_mediana) VALUES ("&amp;B809&amp;", "&amp;C809&amp;", "&amp;D809&amp;", "&amp;E809&amp;", "&amp;F809&amp;", "&amp;G809&amp;", "&amp;H809&amp;");"</f>
        <v>INSERT INTO COTACAO (blt_id, pap_id, cot_prc_comum, cot_prc_min, cot_prc_max, cot_prc_med, cot_prc_mediana) VALUES (21, 16, NULL, 48, 54, 51, 51);</v>
      </c>
    </row>
    <row r="810" customFormat="false" ht="14.25" hidden="false" customHeight="false" outlineLevel="0" collapsed="false">
      <c r="A810" s="1" t="n">
        <v>809</v>
      </c>
      <c r="B810" s="1" t="n">
        <v>21</v>
      </c>
      <c r="C810" s="1" t="n">
        <v>17</v>
      </c>
      <c r="D810" s="16" t="n">
        <f aca="false">IF('Boletins Nuppa Site'!G810&lt;&gt;0,'Boletins Nuppa Site'!G810,"NULL")</f>
        <v>5</v>
      </c>
      <c r="E810" s="16" t="n">
        <f aca="false">IF('Boletins Nuppa Site'!H810&lt;&gt;0,'Boletins Nuppa Site'!H810,"NULL")</f>
        <v>5</v>
      </c>
      <c r="F810" s="16" t="n">
        <f aca="false">IF('Boletins Nuppa Site'!I810&lt;&gt;0,'Boletins Nuppa Site'!I810,"NULL")</f>
        <v>5</v>
      </c>
      <c r="G810" s="16" t="n">
        <f aca="false">IF('Boletins Nuppa Site'!J810&lt;&gt;0,'Boletins Nuppa Site'!J810,"NULL")</f>
        <v>5</v>
      </c>
      <c r="H810" s="16" t="n">
        <f aca="false">IF('Boletins Nuppa Site'!K810&lt;&gt;0,'Boletins Nuppa Site'!K810,"NULL")</f>
        <v>5</v>
      </c>
      <c r="J810" s="1" t="str">
        <f aca="false">"INSERT INTO COTACAO (blt_id, pap_id, cot_prc_comum, cot_prc_min, cot_prc_max, cot_prc_med, cot_prc_mediana) VALUES ("&amp;B810&amp;", "&amp;C810&amp;", "&amp;D810&amp;", "&amp;E810&amp;", "&amp;F810&amp;", "&amp;G810&amp;", "&amp;H810&amp;");"</f>
        <v>INSERT INTO COTACAO (blt_id, pap_id, cot_prc_comum, cot_prc_min, cot_prc_max, cot_prc_med, cot_prc_mediana) VALUES (21, 17, 5, 5, 5, 5, 5);</v>
      </c>
    </row>
    <row r="811" customFormat="false" ht="14.25" hidden="false" customHeight="false" outlineLevel="0" collapsed="false">
      <c r="A811" s="1" t="n">
        <v>810</v>
      </c>
      <c r="B811" s="1" t="n">
        <v>21</v>
      </c>
      <c r="C811" s="1" t="n">
        <v>18</v>
      </c>
      <c r="D811" s="16" t="n">
        <f aca="false">IF('Boletins Nuppa Site'!G811&lt;&gt;0,'Boletins Nuppa Site'!G811,"NULL")</f>
        <v>20</v>
      </c>
      <c r="E811" s="16" t="n">
        <f aca="false">IF('Boletins Nuppa Site'!H811&lt;&gt;0,'Boletins Nuppa Site'!H811,"NULL")</f>
        <v>20</v>
      </c>
      <c r="F811" s="16" t="n">
        <f aca="false">IF('Boletins Nuppa Site'!I811&lt;&gt;0,'Boletins Nuppa Site'!I811,"NULL")</f>
        <v>20</v>
      </c>
      <c r="G811" s="16" t="n">
        <f aca="false">IF('Boletins Nuppa Site'!J811&lt;&gt;0,'Boletins Nuppa Site'!J811,"NULL")</f>
        <v>20</v>
      </c>
      <c r="H811" s="16" t="n">
        <f aca="false">IF('Boletins Nuppa Site'!K811&lt;&gt;0,'Boletins Nuppa Site'!K811,"NULL")</f>
        <v>20</v>
      </c>
      <c r="J811" s="1" t="str">
        <f aca="false">"INSERT INTO COTACAO (blt_id, pap_id, cot_prc_comum, cot_prc_min, cot_prc_max, cot_prc_med, cot_prc_mediana) VALUES ("&amp;B811&amp;", "&amp;C811&amp;", "&amp;D811&amp;", "&amp;E811&amp;", "&amp;F811&amp;", "&amp;G811&amp;", "&amp;H811&amp;");"</f>
        <v>INSERT INTO COTACAO (blt_id, pap_id, cot_prc_comum, cot_prc_min, cot_prc_max, cot_prc_med, cot_prc_mediana) VALUES (21, 18, 20, 20, 20, 20, 20);</v>
      </c>
    </row>
    <row r="812" customFormat="false" ht="14.25" hidden="false" customHeight="false" outlineLevel="0" collapsed="false">
      <c r="A812" s="1" t="n">
        <v>811</v>
      </c>
      <c r="B812" s="1" t="n">
        <v>21</v>
      </c>
      <c r="C812" s="1" t="n">
        <v>19</v>
      </c>
      <c r="D812" s="1" t="str">
        <f aca="false">IF('Boletins Nuppa Site'!G812&lt;&gt;0,'Boletins Nuppa Site'!G812,"NULL")</f>
        <v>NULL</v>
      </c>
      <c r="E812" s="16" t="n">
        <f aca="false">IF('Boletins Nuppa Site'!H812&lt;&gt;0,'Boletins Nuppa Site'!H812,"NULL")</f>
        <v>25</v>
      </c>
      <c r="F812" s="16" t="n">
        <f aca="false">IF('Boletins Nuppa Site'!I812&lt;&gt;0,'Boletins Nuppa Site'!I812,"NULL")</f>
        <v>35</v>
      </c>
      <c r="G812" s="16" t="n">
        <f aca="false">IF('Boletins Nuppa Site'!J812&lt;&gt;0,'Boletins Nuppa Site'!J812,"NULL")</f>
        <v>30</v>
      </c>
      <c r="H812" s="16" t="n">
        <f aca="false">IF('Boletins Nuppa Site'!K812&lt;&gt;0,'Boletins Nuppa Site'!K812,"NULL")</f>
        <v>30</v>
      </c>
      <c r="J812" s="1" t="str">
        <f aca="false">"INSERT INTO COTACAO (blt_id, pap_id, cot_prc_comum, cot_prc_min, cot_prc_max, cot_prc_med, cot_prc_mediana) VALUES ("&amp;B812&amp;", "&amp;C812&amp;", "&amp;D812&amp;", "&amp;E812&amp;", "&amp;F812&amp;", "&amp;G812&amp;", "&amp;H812&amp;");"</f>
        <v>INSERT INTO COTACAO (blt_id, pap_id, cot_prc_comum, cot_prc_min, cot_prc_max, cot_prc_med, cot_prc_mediana) VALUES (21, 19, NULL, 25, 35, 30, 30);</v>
      </c>
    </row>
    <row r="813" customFormat="false" ht="14.25" hidden="false" customHeight="false" outlineLevel="0" collapsed="false">
      <c r="A813" s="1" t="n">
        <v>812</v>
      </c>
      <c r="B813" s="1" t="n">
        <v>21</v>
      </c>
      <c r="C813" s="1" t="n">
        <v>20</v>
      </c>
      <c r="D813" s="1" t="str">
        <f aca="false">IF('Boletins Nuppa Site'!G813&lt;&gt;0,'Boletins Nuppa Site'!G813,"NULL")</f>
        <v>NULL</v>
      </c>
      <c r="E813" s="16" t="n">
        <f aca="false">IF('Boletins Nuppa Site'!H813&lt;&gt;0,'Boletins Nuppa Site'!H813,"NULL")</f>
        <v>80</v>
      </c>
      <c r="F813" s="16" t="n">
        <f aca="false">IF('Boletins Nuppa Site'!I813&lt;&gt;0,'Boletins Nuppa Site'!I813,"NULL")</f>
        <v>95</v>
      </c>
      <c r="G813" s="1" t="str">
        <f aca="false">IF('Boletins Nuppa Site'!J813&lt;&gt;0,'Boletins Nuppa Site'!J813,"NULL")</f>
        <v>87.5</v>
      </c>
      <c r="H813" s="1" t="str">
        <f aca="false">IF('Boletins Nuppa Site'!K813&lt;&gt;0,'Boletins Nuppa Site'!K813,"NULL")</f>
        <v>87.5</v>
      </c>
      <c r="J813" s="1" t="str">
        <f aca="false">"INSERT INTO COTACAO (blt_id, pap_id, cot_prc_comum, cot_prc_min, cot_prc_max, cot_prc_med, cot_prc_mediana) VALUES ("&amp;B813&amp;", "&amp;C813&amp;", "&amp;D813&amp;", "&amp;E813&amp;", "&amp;F813&amp;", "&amp;G813&amp;", "&amp;H813&amp;");"</f>
        <v>INSERT INTO COTACAO (blt_id, pap_id, cot_prc_comum, cot_prc_min, cot_prc_max, cot_prc_med, cot_prc_mediana) VALUES (21, 20, NULL, 80, 95, 87.5, 87.5);</v>
      </c>
    </row>
    <row r="814" customFormat="false" ht="14.25" hidden="false" customHeight="false" outlineLevel="0" collapsed="false">
      <c r="A814" s="1" t="n">
        <v>813</v>
      </c>
      <c r="B814" s="1" t="n">
        <v>21</v>
      </c>
      <c r="C814" s="1" t="n">
        <v>21</v>
      </c>
      <c r="D814" s="16" t="n">
        <f aca="false">IF('Boletins Nuppa Site'!G814&lt;&gt;0,'Boletins Nuppa Site'!G814,"NULL")</f>
        <v>50</v>
      </c>
      <c r="E814" s="16" t="n">
        <f aca="false">IF('Boletins Nuppa Site'!H814&lt;&gt;0,'Boletins Nuppa Site'!H814,"NULL")</f>
        <v>50</v>
      </c>
      <c r="F814" s="16" t="n">
        <f aca="false">IF('Boletins Nuppa Site'!I814&lt;&gt;0,'Boletins Nuppa Site'!I814,"NULL")</f>
        <v>60</v>
      </c>
      <c r="G814" s="16" t="n">
        <f aca="false">IF('Boletins Nuppa Site'!J814&lt;&gt;0,'Boletins Nuppa Site'!J814,"NULL")</f>
        <v>54</v>
      </c>
      <c r="H814" s="16" t="n">
        <f aca="false">IF('Boletins Nuppa Site'!K814&lt;&gt;0,'Boletins Nuppa Site'!K814,"NULL")</f>
        <v>50</v>
      </c>
      <c r="J814" s="1" t="str">
        <f aca="false">"INSERT INTO COTACAO (blt_id, pap_id, cot_prc_comum, cot_prc_min, cot_prc_max, cot_prc_med, cot_prc_mediana) VALUES ("&amp;B814&amp;", "&amp;C814&amp;", "&amp;D814&amp;", "&amp;E814&amp;", "&amp;F814&amp;", "&amp;G814&amp;", "&amp;H814&amp;");"</f>
        <v>INSERT INTO COTACAO (blt_id, pap_id, cot_prc_comum, cot_prc_min, cot_prc_max, cot_prc_med, cot_prc_mediana) VALUES (21, 21, 50, 50, 60, 54, 50);</v>
      </c>
    </row>
    <row r="815" customFormat="false" ht="14.25" hidden="false" customHeight="false" outlineLevel="0" collapsed="false">
      <c r="A815" s="1" t="n">
        <v>814</v>
      </c>
      <c r="B815" s="1" t="n">
        <v>21</v>
      </c>
      <c r="C815" s="1" t="n">
        <v>22</v>
      </c>
      <c r="D815" s="16" t="n">
        <f aca="false">IF('Boletins Nuppa Site'!G815&lt;&gt;0,'Boletins Nuppa Site'!G815,"NULL")</f>
        <v>65</v>
      </c>
      <c r="E815" s="16" t="n">
        <f aca="false">IF('Boletins Nuppa Site'!H815&lt;&gt;0,'Boletins Nuppa Site'!H815,"NULL")</f>
        <v>45</v>
      </c>
      <c r="F815" s="16" t="n">
        <f aca="false">IF('Boletins Nuppa Site'!I815&lt;&gt;0,'Boletins Nuppa Site'!I815,"NULL")</f>
        <v>65</v>
      </c>
      <c r="G815" s="16" t="n">
        <f aca="false">IF('Boletins Nuppa Site'!J815&lt;&gt;0,'Boletins Nuppa Site'!J815,"NULL")</f>
        <v>57</v>
      </c>
      <c r="H815" s="16" t="n">
        <f aca="false">IF('Boletins Nuppa Site'!K815&lt;&gt;0,'Boletins Nuppa Site'!K815,"NULL")</f>
        <v>60</v>
      </c>
      <c r="J815" s="1" t="str">
        <f aca="false">"INSERT INTO COTACAO (blt_id, pap_id, cot_prc_comum, cot_prc_min, cot_prc_max, cot_prc_med, cot_prc_mediana) VALUES ("&amp;B815&amp;", "&amp;C815&amp;", "&amp;D815&amp;", "&amp;E815&amp;", "&amp;F815&amp;", "&amp;G815&amp;", "&amp;H815&amp;");"</f>
        <v>INSERT INTO COTACAO (blt_id, pap_id, cot_prc_comum, cot_prc_min, cot_prc_max, cot_prc_med, cot_prc_mediana) VALUES (21, 22, 65, 45, 65, 57, 60);</v>
      </c>
    </row>
    <row r="816" customFormat="false" ht="14.25" hidden="false" customHeight="false" outlineLevel="0" collapsed="false">
      <c r="A816" s="1" t="n">
        <v>815</v>
      </c>
      <c r="B816" s="1" t="n">
        <v>21</v>
      </c>
      <c r="C816" s="1" t="n">
        <v>23</v>
      </c>
      <c r="D816" s="1" t="str">
        <f aca="false">IF('Boletins Nuppa Site'!G816&lt;&gt;0,'Boletins Nuppa Site'!G816,"NULL")</f>
        <v>NULL</v>
      </c>
      <c r="E816" s="16" t="n">
        <f aca="false">IF('Boletins Nuppa Site'!H816&lt;&gt;0,'Boletins Nuppa Site'!H816,"NULL")</f>
        <v>40</v>
      </c>
      <c r="F816" s="16" t="n">
        <f aca="false">IF('Boletins Nuppa Site'!I816&lt;&gt;0,'Boletins Nuppa Site'!I816,"NULL")</f>
        <v>55</v>
      </c>
      <c r="G816" s="1" t="str">
        <f aca="false">IF('Boletins Nuppa Site'!J816&lt;&gt;0,'Boletins Nuppa Site'!J816,"NULL")</f>
        <v>47.5</v>
      </c>
      <c r="H816" s="1" t="str">
        <f aca="false">IF('Boletins Nuppa Site'!K816&lt;&gt;0,'Boletins Nuppa Site'!K816,"NULL")</f>
        <v>47.5</v>
      </c>
      <c r="J816" s="1" t="str">
        <f aca="false">"INSERT INTO COTACAO (blt_id, pap_id, cot_prc_comum, cot_prc_min, cot_prc_max, cot_prc_med, cot_prc_mediana) VALUES ("&amp;B816&amp;", "&amp;C816&amp;", "&amp;D816&amp;", "&amp;E816&amp;", "&amp;F816&amp;", "&amp;G816&amp;", "&amp;H816&amp;");"</f>
        <v>INSERT INTO COTACAO (blt_id, pap_id, cot_prc_comum, cot_prc_min, cot_prc_max, cot_prc_med, cot_prc_mediana) VALUES (21, 23, NULL, 40, 55, 47.5, 47.5);</v>
      </c>
    </row>
    <row r="817" customFormat="false" ht="14.25" hidden="false" customHeight="false" outlineLevel="0" collapsed="false">
      <c r="A817" s="1" t="n">
        <v>816</v>
      </c>
      <c r="B817" s="1" t="n">
        <v>21</v>
      </c>
      <c r="C817" s="1" t="n">
        <v>24</v>
      </c>
      <c r="D817" s="1" t="str">
        <f aca="false">IF('Boletins Nuppa Site'!G817&lt;&gt;0,'Boletins Nuppa Site'!G817,"NULL")</f>
        <v>NULL</v>
      </c>
      <c r="E817" s="16" t="n">
        <f aca="false">IF('Boletins Nuppa Site'!H817&lt;&gt;0,'Boletins Nuppa Site'!H817,"NULL")</f>
        <v>90</v>
      </c>
      <c r="F817" s="16" t="n">
        <f aca="false">IF('Boletins Nuppa Site'!I817&lt;&gt;0,'Boletins Nuppa Site'!I817,"NULL")</f>
        <v>110</v>
      </c>
      <c r="G817" s="16" t="n">
        <f aca="false">IF('Boletins Nuppa Site'!J817&lt;&gt;0,'Boletins Nuppa Site'!J817,"NULL")</f>
        <v>100</v>
      </c>
      <c r="H817" s="16" t="n">
        <f aca="false">IF('Boletins Nuppa Site'!K817&lt;&gt;0,'Boletins Nuppa Site'!K817,"NULL")</f>
        <v>100</v>
      </c>
      <c r="J817" s="1" t="str">
        <f aca="false">"INSERT INTO COTACAO (blt_id, pap_id, cot_prc_comum, cot_prc_min, cot_prc_max, cot_prc_med, cot_prc_mediana) VALUES ("&amp;B817&amp;", "&amp;C817&amp;", "&amp;D817&amp;", "&amp;E817&amp;", "&amp;F817&amp;", "&amp;G817&amp;", "&amp;H817&amp;");"</f>
        <v>INSERT INTO COTACAO (blt_id, pap_id, cot_prc_comum, cot_prc_min, cot_prc_max, cot_prc_med, cot_prc_mediana) VALUES (21, 24, NULL, 90, 110, 100, 100);</v>
      </c>
    </row>
    <row r="818" customFormat="false" ht="14.25" hidden="false" customHeight="false" outlineLevel="0" collapsed="false">
      <c r="A818" s="1" t="n">
        <v>817</v>
      </c>
      <c r="B818" s="1" t="n">
        <v>21</v>
      </c>
      <c r="C818" s="1" t="n">
        <v>25</v>
      </c>
      <c r="D818" s="16" t="n">
        <f aca="false">IF('Boletins Nuppa Site'!G818&lt;&gt;0,'Boletins Nuppa Site'!G818,"NULL")</f>
        <v>110</v>
      </c>
      <c r="E818" s="16" t="n">
        <f aca="false">IF('Boletins Nuppa Site'!H818&lt;&gt;0,'Boletins Nuppa Site'!H818,"NULL")</f>
        <v>90</v>
      </c>
      <c r="F818" s="16" t="n">
        <f aca="false">IF('Boletins Nuppa Site'!I818&lt;&gt;0,'Boletins Nuppa Site'!I818,"NULL")</f>
        <v>110</v>
      </c>
      <c r="G818" s="1" t="str">
        <f aca="false">IF('Boletins Nuppa Site'!J818&lt;&gt;0,'Boletins Nuppa Site'!J818,"NULL")</f>
        <v>102.5</v>
      </c>
      <c r="H818" s="16" t="n">
        <f aca="false">IF('Boletins Nuppa Site'!K818&lt;&gt;0,'Boletins Nuppa Site'!K818,"NULL")</f>
        <v>105</v>
      </c>
      <c r="J818" s="1" t="str">
        <f aca="false">"INSERT INTO COTACAO (blt_id, pap_id, cot_prc_comum, cot_prc_min, cot_prc_max, cot_prc_med, cot_prc_mediana) VALUES ("&amp;B818&amp;", "&amp;C818&amp;", "&amp;D818&amp;", "&amp;E818&amp;", "&amp;F818&amp;", "&amp;G818&amp;", "&amp;H818&amp;");"</f>
        <v>INSERT INTO COTACAO (blt_id, pap_id, cot_prc_comum, cot_prc_min, cot_prc_max, cot_prc_med, cot_prc_mediana) VALUES (21, 25, 110, 90, 110, 102.5, 105);</v>
      </c>
    </row>
    <row r="819" customFormat="false" ht="14.25" hidden="false" customHeight="false" outlineLevel="0" collapsed="false">
      <c r="A819" s="1" t="n">
        <v>818</v>
      </c>
      <c r="B819" s="1" t="n">
        <v>21</v>
      </c>
      <c r="C819" s="1" t="n">
        <v>26</v>
      </c>
      <c r="D819" s="16" t="n">
        <f aca="false">IF('Boletins Nuppa Site'!G819&lt;&gt;0,'Boletins Nuppa Site'!G819,"NULL")</f>
        <v>80</v>
      </c>
      <c r="E819" s="16" t="n">
        <f aca="false">IF('Boletins Nuppa Site'!H819&lt;&gt;0,'Boletins Nuppa Site'!H819,"NULL")</f>
        <v>70</v>
      </c>
      <c r="F819" s="16" t="n">
        <f aca="false">IF('Boletins Nuppa Site'!I819&lt;&gt;0,'Boletins Nuppa Site'!I819,"NULL")</f>
        <v>100</v>
      </c>
      <c r="G819" s="16" t="n">
        <f aca="false">IF('Boletins Nuppa Site'!J819&lt;&gt;0,'Boletins Nuppa Site'!J819,"NULL")</f>
        <v>84</v>
      </c>
      <c r="H819" s="16" t="n">
        <f aca="false">IF('Boletins Nuppa Site'!K819&lt;&gt;0,'Boletins Nuppa Site'!K819,"NULL")</f>
        <v>80</v>
      </c>
      <c r="J819" s="1" t="str">
        <f aca="false">"INSERT INTO COTACAO (blt_id, pap_id, cot_prc_comum, cot_prc_min, cot_prc_max, cot_prc_med, cot_prc_mediana) VALUES ("&amp;B819&amp;", "&amp;C819&amp;", "&amp;D819&amp;", "&amp;E819&amp;", "&amp;F819&amp;", "&amp;G819&amp;", "&amp;H819&amp;");"</f>
        <v>INSERT INTO COTACAO (blt_id, pap_id, cot_prc_comum, cot_prc_min, cot_prc_max, cot_prc_med, cot_prc_mediana) VALUES (21, 26, 80, 70, 100, 84, 80);</v>
      </c>
    </row>
    <row r="820" customFormat="false" ht="14.25" hidden="false" customHeight="false" outlineLevel="0" collapsed="false">
      <c r="A820" s="1" t="n">
        <v>819</v>
      </c>
      <c r="B820" s="1" t="n">
        <v>21</v>
      </c>
      <c r="C820" s="1" t="n">
        <v>27</v>
      </c>
      <c r="D820" s="1" t="str">
        <f aca="false">IF('Boletins Nuppa Site'!G820&lt;&gt;0,'Boletins Nuppa Site'!G820,"NULL")</f>
        <v>NULL</v>
      </c>
      <c r="E820" s="16" t="n">
        <f aca="false">IF('Boletins Nuppa Site'!H820&lt;&gt;0,'Boletins Nuppa Site'!H820,"NULL")</f>
        <v>50</v>
      </c>
      <c r="F820" s="16" t="n">
        <f aca="false">IF('Boletins Nuppa Site'!I820&lt;&gt;0,'Boletins Nuppa Site'!I820,"NULL")</f>
        <v>85</v>
      </c>
      <c r="G820" s="1" t="str">
        <f aca="false">IF('Boletins Nuppa Site'!J820&lt;&gt;0,'Boletins Nuppa Site'!J820,"NULL")</f>
        <v>66.25</v>
      </c>
      <c r="H820" s="16" t="n">
        <f aca="false">IF('Boletins Nuppa Site'!K820&lt;&gt;0,'Boletins Nuppa Site'!K820,"NULL")</f>
        <v>65</v>
      </c>
      <c r="J820" s="1" t="str">
        <f aca="false">"INSERT INTO COTACAO (blt_id, pap_id, cot_prc_comum, cot_prc_min, cot_prc_max, cot_prc_med, cot_prc_mediana) VALUES ("&amp;B820&amp;", "&amp;C820&amp;", "&amp;D820&amp;", "&amp;E820&amp;", "&amp;F820&amp;", "&amp;G820&amp;", "&amp;H820&amp;");"</f>
        <v>INSERT INTO COTACAO (blt_id, pap_id, cot_prc_comum, cot_prc_min, cot_prc_max, cot_prc_med, cot_prc_mediana) VALUES (21, 27, NULL, 50, 85, 66.25, 65);</v>
      </c>
    </row>
    <row r="821" customFormat="false" ht="14.25" hidden="false" customHeight="false" outlineLevel="0" collapsed="false">
      <c r="A821" s="1" t="n">
        <v>820</v>
      </c>
      <c r="B821" s="1" t="n">
        <v>21</v>
      </c>
      <c r="C821" s="1" t="n">
        <v>28</v>
      </c>
      <c r="D821" s="16" t="n">
        <f aca="false">IF('Boletins Nuppa Site'!G821&lt;&gt;0,'Boletins Nuppa Site'!G821,"NULL")</f>
        <v>100</v>
      </c>
      <c r="E821" s="16" t="n">
        <f aca="false">IF('Boletins Nuppa Site'!H821&lt;&gt;0,'Boletins Nuppa Site'!H821,"NULL")</f>
        <v>100</v>
      </c>
      <c r="F821" s="16" t="n">
        <f aca="false">IF('Boletins Nuppa Site'!I821&lt;&gt;0,'Boletins Nuppa Site'!I821,"NULL")</f>
        <v>100</v>
      </c>
      <c r="G821" s="16" t="n">
        <f aca="false">IF('Boletins Nuppa Site'!J821&lt;&gt;0,'Boletins Nuppa Site'!J821,"NULL")</f>
        <v>100</v>
      </c>
      <c r="H821" s="16" t="n">
        <f aca="false">IF('Boletins Nuppa Site'!K821&lt;&gt;0,'Boletins Nuppa Site'!K821,"NULL")</f>
        <v>100</v>
      </c>
      <c r="J821" s="1" t="str">
        <f aca="false">"INSERT INTO COTACAO (blt_id, pap_id, cot_prc_comum, cot_prc_min, cot_prc_max, cot_prc_med, cot_prc_mediana) VALUES ("&amp;B821&amp;", "&amp;C821&amp;", "&amp;D821&amp;", "&amp;E821&amp;", "&amp;F821&amp;", "&amp;G821&amp;", "&amp;H821&amp;");"</f>
        <v>INSERT INTO COTACAO (blt_id, pap_id, cot_prc_comum, cot_prc_min, cot_prc_max, cot_prc_med, cot_prc_mediana) VALUES (21, 28, 100, 100, 100, 100, 100);</v>
      </c>
    </row>
    <row r="822" customFormat="false" ht="14.25" hidden="false" customHeight="false" outlineLevel="0" collapsed="false">
      <c r="A822" s="1" t="n">
        <v>821</v>
      </c>
      <c r="B822" s="1" t="n">
        <v>21</v>
      </c>
      <c r="C822" s="1" t="n">
        <v>29</v>
      </c>
      <c r="D822" s="1" t="str">
        <f aca="false">IF('Boletins Nuppa Site'!G822&lt;&gt;0,'Boletins Nuppa Site'!G822,"NULL")</f>
        <v>NULL</v>
      </c>
      <c r="E822" s="16" t="n">
        <f aca="false">IF('Boletins Nuppa Site'!H822&lt;&gt;0,'Boletins Nuppa Site'!H822,"NULL")</f>
        <v>60</v>
      </c>
      <c r="F822" s="16" t="n">
        <f aca="false">IF('Boletins Nuppa Site'!I822&lt;&gt;0,'Boletins Nuppa Site'!I822,"NULL")</f>
        <v>70</v>
      </c>
      <c r="G822" s="16" t="n">
        <f aca="false">IF('Boletins Nuppa Site'!J822&lt;&gt;0,'Boletins Nuppa Site'!J822,"NULL")</f>
        <v>65</v>
      </c>
      <c r="H822" s="16" t="n">
        <f aca="false">IF('Boletins Nuppa Site'!K822&lt;&gt;0,'Boletins Nuppa Site'!K822,"NULL")</f>
        <v>65</v>
      </c>
      <c r="J822" s="1" t="str">
        <f aca="false">"INSERT INTO COTACAO (blt_id, pap_id, cot_prc_comum, cot_prc_min, cot_prc_max, cot_prc_med, cot_prc_mediana) VALUES ("&amp;B822&amp;", "&amp;C822&amp;", "&amp;D822&amp;", "&amp;E822&amp;", "&amp;F822&amp;", "&amp;G822&amp;", "&amp;H822&amp;");"</f>
        <v>INSERT INTO COTACAO (blt_id, pap_id, cot_prc_comum, cot_prc_min, cot_prc_max, cot_prc_med, cot_prc_mediana) VALUES (21, 29, NULL, 60, 70, 65, 65);</v>
      </c>
    </row>
    <row r="823" customFormat="false" ht="14.25" hidden="false" customHeight="false" outlineLevel="0" collapsed="false">
      <c r="A823" s="1" t="n">
        <v>822</v>
      </c>
      <c r="B823" s="1" t="n">
        <v>21</v>
      </c>
      <c r="C823" s="1" t="n">
        <v>30</v>
      </c>
      <c r="D823" s="16" t="n">
        <f aca="false">IF('Boletins Nuppa Site'!G823&lt;&gt;0,'Boletins Nuppa Site'!G823,"NULL")</f>
        <v>80</v>
      </c>
      <c r="E823" s="16" t="n">
        <f aca="false">IF('Boletins Nuppa Site'!H823&lt;&gt;0,'Boletins Nuppa Site'!H823,"NULL")</f>
        <v>80</v>
      </c>
      <c r="F823" s="16" t="n">
        <f aca="false">IF('Boletins Nuppa Site'!I823&lt;&gt;0,'Boletins Nuppa Site'!I823,"NULL")</f>
        <v>80</v>
      </c>
      <c r="G823" s="16" t="n">
        <f aca="false">IF('Boletins Nuppa Site'!J823&lt;&gt;0,'Boletins Nuppa Site'!J823,"NULL")</f>
        <v>80</v>
      </c>
      <c r="H823" s="16" t="n">
        <f aca="false">IF('Boletins Nuppa Site'!K823&lt;&gt;0,'Boletins Nuppa Site'!K823,"NULL")</f>
        <v>80</v>
      </c>
      <c r="J823" s="1" t="str">
        <f aca="false">"INSERT INTO COTACAO (blt_id, pap_id, cot_prc_comum, cot_prc_min, cot_prc_max, cot_prc_med, cot_prc_mediana) VALUES ("&amp;B823&amp;", "&amp;C823&amp;", "&amp;D823&amp;", "&amp;E823&amp;", "&amp;F823&amp;", "&amp;G823&amp;", "&amp;H823&amp;");"</f>
        <v>INSERT INTO COTACAO (blt_id, pap_id, cot_prc_comum, cot_prc_min, cot_prc_max, cot_prc_med, cot_prc_mediana) VALUES (21, 30, 80, 80, 80, 80, 80);</v>
      </c>
    </row>
    <row r="824" customFormat="false" ht="14.25" hidden="false" customHeight="false" outlineLevel="0" collapsed="false">
      <c r="A824" s="1" t="n">
        <v>823</v>
      </c>
      <c r="B824" s="1" t="n">
        <v>21</v>
      </c>
      <c r="C824" s="1" t="n">
        <v>31</v>
      </c>
      <c r="D824" s="16" t="n">
        <f aca="false">IF('Boletins Nuppa Site'!G824&lt;&gt;0,'Boletins Nuppa Site'!G824,"NULL")</f>
        <v>80</v>
      </c>
      <c r="E824" s="16" t="n">
        <f aca="false">IF('Boletins Nuppa Site'!H824&lt;&gt;0,'Boletins Nuppa Site'!H824,"NULL")</f>
        <v>65</v>
      </c>
      <c r="F824" s="16" t="n">
        <f aca="false">IF('Boletins Nuppa Site'!I824&lt;&gt;0,'Boletins Nuppa Site'!I824,"NULL")</f>
        <v>80</v>
      </c>
      <c r="G824" s="16" t="n">
        <f aca="false">IF('Boletins Nuppa Site'!J824&lt;&gt;0,'Boletins Nuppa Site'!J824,"NULL")</f>
        <v>75</v>
      </c>
      <c r="H824" s="16" t="n">
        <f aca="false">IF('Boletins Nuppa Site'!K824&lt;&gt;0,'Boletins Nuppa Site'!K824,"NULL")</f>
        <v>80</v>
      </c>
      <c r="J824" s="1" t="str">
        <f aca="false">"INSERT INTO COTACAO (blt_id, pap_id, cot_prc_comum, cot_prc_min, cot_prc_max, cot_prc_med, cot_prc_mediana) VALUES ("&amp;B824&amp;", "&amp;C824&amp;", "&amp;D824&amp;", "&amp;E824&amp;", "&amp;F824&amp;", "&amp;G824&amp;", "&amp;H824&amp;");"</f>
        <v>INSERT INTO COTACAO (blt_id, pap_id, cot_prc_comum, cot_prc_min, cot_prc_max, cot_prc_med, cot_prc_mediana) VALUES (21, 31, 80, 65, 80, 75, 80);</v>
      </c>
    </row>
    <row r="825" customFormat="false" ht="14.25" hidden="false" customHeight="false" outlineLevel="0" collapsed="false">
      <c r="A825" s="1" t="n">
        <v>824</v>
      </c>
      <c r="B825" s="1" t="n">
        <v>21</v>
      </c>
      <c r="C825" s="1" t="n">
        <v>32</v>
      </c>
      <c r="D825" s="16" t="n">
        <f aca="false">IF('Boletins Nuppa Site'!G825&lt;&gt;0,'Boletins Nuppa Site'!G825,"NULL")</f>
        <v>60</v>
      </c>
      <c r="E825" s="16" t="n">
        <f aca="false">IF('Boletins Nuppa Site'!H825&lt;&gt;0,'Boletins Nuppa Site'!H825,"NULL")</f>
        <v>50</v>
      </c>
      <c r="F825" s="16" t="n">
        <f aca="false">IF('Boletins Nuppa Site'!I825&lt;&gt;0,'Boletins Nuppa Site'!I825,"NULL")</f>
        <v>60</v>
      </c>
      <c r="G825" s="1" t="str">
        <f aca="false">IF('Boletins Nuppa Site'!J825&lt;&gt;0,'Boletins Nuppa Site'!J825,"NULL")</f>
        <v>56.25</v>
      </c>
      <c r="H825" s="1" t="str">
        <f aca="false">IF('Boletins Nuppa Site'!K825&lt;&gt;0,'Boletins Nuppa Site'!K825,"NULL")</f>
        <v>57.5</v>
      </c>
      <c r="J825" s="1" t="str">
        <f aca="false">"INSERT INTO COTACAO (blt_id, pap_id, cot_prc_comum, cot_prc_min, cot_prc_max, cot_prc_med, cot_prc_mediana) VALUES ("&amp;B825&amp;", "&amp;C825&amp;", "&amp;D825&amp;", "&amp;E825&amp;", "&amp;F825&amp;", "&amp;G825&amp;", "&amp;H825&amp;");"</f>
        <v>INSERT INTO COTACAO (blt_id, pap_id, cot_prc_comum, cot_prc_min, cot_prc_max, cot_prc_med, cot_prc_mediana) VALUES (21, 32, 60, 50, 60, 56.25, 57.5);</v>
      </c>
    </row>
    <row r="826" customFormat="false" ht="14.25" hidden="false" customHeight="false" outlineLevel="0" collapsed="false">
      <c r="A826" s="1" t="n">
        <v>825</v>
      </c>
      <c r="B826" s="1" t="n">
        <v>21</v>
      </c>
      <c r="C826" s="1" t="n">
        <v>33</v>
      </c>
      <c r="D826" s="16" t="n">
        <f aca="false">IF('Boletins Nuppa Site'!G826&lt;&gt;0,'Boletins Nuppa Site'!G826,"NULL")</f>
        <v>180</v>
      </c>
      <c r="E826" s="16" t="n">
        <f aca="false">IF('Boletins Nuppa Site'!H826&lt;&gt;0,'Boletins Nuppa Site'!H826,"NULL")</f>
        <v>180</v>
      </c>
      <c r="F826" s="16" t="n">
        <f aca="false">IF('Boletins Nuppa Site'!I826&lt;&gt;0,'Boletins Nuppa Site'!I826,"NULL")</f>
        <v>180</v>
      </c>
      <c r="G826" s="16" t="n">
        <f aca="false">IF('Boletins Nuppa Site'!J826&lt;&gt;0,'Boletins Nuppa Site'!J826,"NULL")</f>
        <v>180</v>
      </c>
      <c r="H826" s="16" t="n">
        <f aca="false">IF('Boletins Nuppa Site'!K826&lt;&gt;0,'Boletins Nuppa Site'!K826,"NULL")</f>
        <v>180</v>
      </c>
      <c r="J826" s="1" t="str">
        <f aca="false">"INSERT INTO COTACAO (blt_id, pap_id, cot_prc_comum, cot_prc_min, cot_prc_max, cot_prc_med, cot_prc_mediana) VALUES ("&amp;B826&amp;", "&amp;C826&amp;", "&amp;D826&amp;", "&amp;E826&amp;", "&amp;F826&amp;", "&amp;G826&amp;", "&amp;H826&amp;");"</f>
        <v>INSERT INTO COTACAO (blt_id, pap_id, cot_prc_comum, cot_prc_min, cot_prc_max, cot_prc_med, cot_prc_mediana) VALUES (21, 33, 180, 180, 180, 180, 180);</v>
      </c>
    </row>
    <row r="827" customFormat="false" ht="14.25" hidden="false" customHeight="false" outlineLevel="0" collapsed="false">
      <c r="A827" s="1" t="n">
        <v>826</v>
      </c>
      <c r="B827" s="1" t="n">
        <v>21</v>
      </c>
      <c r="C827" s="1" t="n">
        <v>34</v>
      </c>
      <c r="D827" s="16" t="n">
        <f aca="false">IF('Boletins Nuppa Site'!G827&lt;&gt;0,'Boletins Nuppa Site'!G827,"NULL")</f>
        <v>90</v>
      </c>
      <c r="E827" s="16" t="n">
        <f aca="false">IF('Boletins Nuppa Site'!H827&lt;&gt;0,'Boletins Nuppa Site'!H827,"NULL")</f>
        <v>80</v>
      </c>
      <c r="F827" s="16" t="n">
        <f aca="false">IF('Boletins Nuppa Site'!I827&lt;&gt;0,'Boletins Nuppa Site'!I827,"NULL")</f>
        <v>100</v>
      </c>
      <c r="G827" s="16" t="n">
        <f aca="false">IF('Boletins Nuppa Site'!J827&lt;&gt;0,'Boletins Nuppa Site'!J827,"NULL")</f>
        <v>92</v>
      </c>
      <c r="H827" s="16" t="n">
        <f aca="false">IF('Boletins Nuppa Site'!K827&lt;&gt;0,'Boletins Nuppa Site'!K827,"NULL")</f>
        <v>90</v>
      </c>
      <c r="J827" s="1" t="str">
        <f aca="false">"INSERT INTO COTACAO (blt_id, pap_id, cot_prc_comum, cot_prc_min, cot_prc_max, cot_prc_med, cot_prc_mediana) VALUES ("&amp;B827&amp;", "&amp;C827&amp;", "&amp;D827&amp;", "&amp;E827&amp;", "&amp;F827&amp;", "&amp;G827&amp;", "&amp;H827&amp;");"</f>
        <v>INSERT INTO COTACAO (blt_id, pap_id, cot_prc_comum, cot_prc_min, cot_prc_max, cot_prc_med, cot_prc_mediana) VALUES (21, 34, 90, 80, 100, 92, 90);</v>
      </c>
    </row>
    <row r="828" customFormat="false" ht="14.25" hidden="false" customHeight="false" outlineLevel="0" collapsed="false">
      <c r="A828" s="1" t="n">
        <v>827</v>
      </c>
      <c r="B828" s="1" t="n">
        <v>21</v>
      </c>
      <c r="C828" s="1" t="n">
        <v>35</v>
      </c>
      <c r="D828" s="1" t="str">
        <f aca="false">IF('Boletins Nuppa Site'!G828&lt;&gt;0,'Boletins Nuppa Site'!G828,"NULL")</f>
        <v>NULL</v>
      </c>
      <c r="E828" s="16" t="n">
        <f aca="false">IF('Boletins Nuppa Site'!H828&lt;&gt;0,'Boletins Nuppa Site'!H828,"NULL")</f>
        <v>150</v>
      </c>
      <c r="F828" s="16" t="n">
        <f aca="false">IF('Boletins Nuppa Site'!I828&lt;&gt;0,'Boletins Nuppa Site'!I828,"NULL")</f>
        <v>220</v>
      </c>
      <c r="G828" s="1" t="str">
        <f aca="false">IF('Boletins Nuppa Site'!J828&lt;&gt;0,'Boletins Nuppa Site'!J828,"NULL")</f>
        <v>176.67</v>
      </c>
      <c r="H828" s="16" t="n">
        <f aca="false">IF('Boletins Nuppa Site'!K828&lt;&gt;0,'Boletins Nuppa Site'!K828,"NULL")</f>
        <v>160</v>
      </c>
      <c r="J828" s="1" t="str">
        <f aca="false">"INSERT INTO COTACAO (blt_id, pap_id, cot_prc_comum, cot_prc_min, cot_prc_max, cot_prc_med, cot_prc_mediana) VALUES ("&amp;B828&amp;", "&amp;C828&amp;", "&amp;D828&amp;", "&amp;E828&amp;", "&amp;F828&amp;", "&amp;G828&amp;", "&amp;H828&amp;");"</f>
        <v>INSERT INTO COTACAO (blt_id, pap_id, cot_prc_comum, cot_prc_min, cot_prc_max, cot_prc_med, cot_prc_mediana) VALUES (21, 35, NULL, 150, 220, 176.67, 160);</v>
      </c>
    </row>
    <row r="829" customFormat="false" ht="14.25" hidden="false" customHeight="false" outlineLevel="0" collapsed="false">
      <c r="A829" s="1" t="n">
        <v>828</v>
      </c>
      <c r="B829" s="1" t="n">
        <v>21</v>
      </c>
      <c r="C829" s="1" t="n">
        <v>36</v>
      </c>
      <c r="D829" s="1" t="str">
        <f aca="false">IF('Boletins Nuppa Site'!G829&lt;&gt;0,'Boletins Nuppa Site'!G829,"NULL")</f>
        <v>NULL</v>
      </c>
      <c r="E829" s="16" t="n">
        <f aca="false">IF('Boletins Nuppa Site'!H829&lt;&gt;0,'Boletins Nuppa Site'!H829,"NULL")</f>
        <v>120</v>
      </c>
      <c r="F829" s="16" t="n">
        <f aca="false">IF('Boletins Nuppa Site'!I829&lt;&gt;0,'Boletins Nuppa Site'!I829,"NULL")</f>
        <v>120</v>
      </c>
      <c r="G829" s="16" t="n">
        <f aca="false">IF('Boletins Nuppa Site'!J829&lt;&gt;0,'Boletins Nuppa Site'!J829,"NULL")</f>
        <v>120</v>
      </c>
      <c r="H829" s="16" t="n">
        <f aca="false">IF('Boletins Nuppa Site'!K829&lt;&gt;0,'Boletins Nuppa Site'!K829,"NULL")</f>
        <v>120</v>
      </c>
      <c r="J829" s="1" t="str">
        <f aca="false">"INSERT INTO COTACAO (blt_id, pap_id, cot_prc_comum, cot_prc_min, cot_prc_max, cot_prc_med, cot_prc_mediana) VALUES ("&amp;B829&amp;", "&amp;C829&amp;", "&amp;D829&amp;", "&amp;E829&amp;", "&amp;F829&amp;", "&amp;G829&amp;", "&amp;H829&amp;");"</f>
        <v>INSERT INTO COTACAO (blt_id, pap_id, cot_prc_comum, cot_prc_min, cot_prc_max, cot_prc_med, cot_prc_mediana) VALUES (21, 36, NULL, 120, 120, 120, 120);</v>
      </c>
    </row>
    <row r="830" customFormat="false" ht="14.25" hidden="false" customHeight="false" outlineLevel="0" collapsed="false">
      <c r="A830" s="1" t="n">
        <v>829</v>
      </c>
      <c r="B830" s="1" t="n">
        <v>21</v>
      </c>
      <c r="C830" s="1" t="n">
        <v>37</v>
      </c>
      <c r="D830" s="1" t="str">
        <f aca="false">IF('Boletins Nuppa Site'!G830&lt;&gt;0,'Boletins Nuppa Site'!G830,"NULL")</f>
        <v>NULL</v>
      </c>
      <c r="E830" s="1" t="str">
        <f aca="false">IF('Boletins Nuppa Site'!H830&lt;&gt;0,'Boletins Nuppa Site'!H830,"NULL")</f>
        <v>NULL</v>
      </c>
      <c r="F830" s="1" t="str">
        <f aca="false">IF('Boletins Nuppa Site'!I830&lt;&gt;0,'Boletins Nuppa Site'!I830,"NULL")</f>
        <v>NULL</v>
      </c>
      <c r="G830" s="1" t="str">
        <f aca="false">IF('Boletins Nuppa Site'!J830&lt;&gt;0,'Boletins Nuppa Site'!J830,"NULL")</f>
        <v>NULL</v>
      </c>
      <c r="H830" s="1" t="str">
        <f aca="false">IF('Boletins Nuppa Site'!K830&lt;&gt;0,'Boletins Nuppa Site'!K830,"NULL")</f>
        <v>NULL</v>
      </c>
      <c r="J830" s="1" t="str">
        <f aca="false">"INSERT INTO COTACAO (blt_id, pap_id, cot_prc_comum, cot_prc_min, cot_prc_max, cot_prc_med, cot_prc_mediana) VALUES ("&amp;B830&amp;", "&amp;C830&amp;", "&amp;D830&amp;", "&amp;E830&amp;", "&amp;F830&amp;", "&amp;G830&amp;", "&amp;H830&amp;");"</f>
        <v>INSERT INTO COTACAO (blt_id, pap_id, cot_prc_comum, cot_prc_min, cot_prc_max, cot_prc_med, cot_prc_mediana) VALUES (21, 37, NULL, NULL, NULL, NULL, NULL);</v>
      </c>
    </row>
    <row r="831" customFormat="false" ht="14.25" hidden="false" customHeight="false" outlineLevel="0" collapsed="false">
      <c r="A831" s="1" t="n">
        <v>830</v>
      </c>
      <c r="B831" s="1" t="n">
        <v>21</v>
      </c>
      <c r="C831" s="1" t="n">
        <v>38</v>
      </c>
      <c r="D831" s="1" t="str">
        <f aca="false">IF('Boletins Nuppa Site'!G831&lt;&gt;0,'Boletins Nuppa Site'!G831,"NULL")</f>
        <v>NULL</v>
      </c>
      <c r="E831" s="1" t="str">
        <f aca="false">IF('Boletins Nuppa Site'!H831&lt;&gt;0,'Boletins Nuppa Site'!H831,"NULL")</f>
        <v>NULL</v>
      </c>
      <c r="F831" s="1" t="str">
        <f aca="false">IF('Boletins Nuppa Site'!I831&lt;&gt;0,'Boletins Nuppa Site'!I831,"NULL")</f>
        <v>NULL</v>
      </c>
      <c r="G831" s="1" t="str">
        <f aca="false">IF('Boletins Nuppa Site'!J831&lt;&gt;0,'Boletins Nuppa Site'!J831,"NULL")</f>
        <v>NULL</v>
      </c>
      <c r="H831" s="1" t="str">
        <f aca="false">IF('Boletins Nuppa Site'!K831&lt;&gt;0,'Boletins Nuppa Site'!K831,"NULL")</f>
        <v>NULL</v>
      </c>
      <c r="J831" s="1" t="str">
        <f aca="false">"INSERT INTO COTACAO (blt_id, pap_id, cot_prc_comum, cot_prc_min, cot_prc_max, cot_prc_med, cot_prc_mediana) VALUES ("&amp;B831&amp;", "&amp;C831&amp;", "&amp;D831&amp;", "&amp;E831&amp;", "&amp;F831&amp;", "&amp;G831&amp;", "&amp;H831&amp;");"</f>
        <v>INSERT INTO COTACAO (blt_id, pap_id, cot_prc_comum, cot_prc_min, cot_prc_max, cot_prc_med, cot_prc_mediana) VALUES (21, 38, NULL, NULL, NULL, NULL, NULL);</v>
      </c>
    </row>
    <row r="832" customFormat="false" ht="14.25" hidden="false" customHeight="false" outlineLevel="0" collapsed="false">
      <c r="A832" s="1" t="n">
        <v>831</v>
      </c>
      <c r="B832" s="1" t="n">
        <v>21</v>
      </c>
      <c r="C832" s="1" t="n">
        <v>39</v>
      </c>
      <c r="D832" s="1" t="str">
        <f aca="false">IF('Boletins Nuppa Site'!G832&lt;&gt;0,'Boletins Nuppa Site'!G832,"NULL")</f>
        <v>NULL</v>
      </c>
      <c r="E832" s="16" t="n">
        <f aca="false">IF('Boletins Nuppa Site'!H832&lt;&gt;0,'Boletins Nuppa Site'!H832,"NULL")</f>
        <v>50</v>
      </c>
      <c r="F832" s="16" t="n">
        <f aca="false">IF('Boletins Nuppa Site'!I832&lt;&gt;0,'Boletins Nuppa Site'!I832,"NULL")</f>
        <v>50</v>
      </c>
      <c r="G832" s="16" t="n">
        <f aca="false">IF('Boletins Nuppa Site'!J832&lt;&gt;0,'Boletins Nuppa Site'!J832,"NULL")</f>
        <v>50</v>
      </c>
      <c r="H832" s="16" t="n">
        <f aca="false">IF('Boletins Nuppa Site'!K832&lt;&gt;0,'Boletins Nuppa Site'!K832,"NULL")</f>
        <v>50</v>
      </c>
      <c r="J832" s="1" t="str">
        <f aca="false">"INSERT INTO COTACAO (blt_id, pap_id, cot_prc_comum, cot_prc_min, cot_prc_max, cot_prc_med, cot_prc_mediana) VALUES ("&amp;B832&amp;", "&amp;C832&amp;", "&amp;D832&amp;", "&amp;E832&amp;", "&amp;F832&amp;", "&amp;G832&amp;", "&amp;H832&amp;");"</f>
        <v>INSERT INTO COTACAO (blt_id, pap_id, cot_prc_comum, cot_prc_min, cot_prc_max, cot_prc_med, cot_prc_mediana) VALUES (21, 39, NULL, 50, 50, 50, 50);</v>
      </c>
    </row>
    <row r="833" customFormat="false" ht="14.25" hidden="false" customHeight="false" outlineLevel="0" collapsed="false">
      <c r="A833" s="1" t="n">
        <v>832</v>
      </c>
      <c r="B833" s="1" t="n">
        <v>21</v>
      </c>
      <c r="C833" s="1" t="n">
        <v>40</v>
      </c>
      <c r="D833" s="1" t="str">
        <f aca="false">IF('Boletins Nuppa Site'!G833&lt;&gt;0,'Boletins Nuppa Site'!G833,"NULL")</f>
        <v>NULL</v>
      </c>
      <c r="E833" s="16" t="n">
        <f aca="false">IF('Boletins Nuppa Site'!H833&lt;&gt;0,'Boletins Nuppa Site'!H833,"NULL")</f>
        <v>60</v>
      </c>
      <c r="F833" s="16" t="n">
        <f aca="false">IF('Boletins Nuppa Site'!I833&lt;&gt;0,'Boletins Nuppa Site'!I833,"NULL")</f>
        <v>60</v>
      </c>
      <c r="G833" s="16" t="n">
        <f aca="false">IF('Boletins Nuppa Site'!J833&lt;&gt;0,'Boletins Nuppa Site'!J833,"NULL")</f>
        <v>60</v>
      </c>
      <c r="H833" s="16" t="n">
        <f aca="false">IF('Boletins Nuppa Site'!K833&lt;&gt;0,'Boletins Nuppa Site'!K833,"NULL")</f>
        <v>60</v>
      </c>
      <c r="J833" s="1" t="str">
        <f aca="false">"INSERT INTO COTACAO (blt_id, pap_id, cot_prc_comum, cot_prc_min, cot_prc_max, cot_prc_med, cot_prc_mediana) VALUES ("&amp;B833&amp;", "&amp;C833&amp;", "&amp;D833&amp;", "&amp;E833&amp;", "&amp;F833&amp;", "&amp;G833&amp;", "&amp;H833&amp;");"</f>
        <v>INSERT INTO COTACAO (blt_id, pap_id, cot_prc_comum, cot_prc_min, cot_prc_max, cot_prc_med, cot_prc_mediana) VALUES (21, 40, NULL, 60, 60, 60, 60);</v>
      </c>
    </row>
    <row r="834" customFormat="false" ht="14.25" hidden="false" customHeight="false" outlineLevel="0" collapsed="false">
      <c r="A834" s="1" t="n">
        <v>833</v>
      </c>
      <c r="B834" s="1" t="n">
        <v>22</v>
      </c>
      <c r="C834" s="1" t="n">
        <v>1</v>
      </c>
      <c r="D834" s="16" t="n">
        <f aca="false">IF('Boletins Nuppa Site'!G834&lt;&gt;0,'Boletins Nuppa Site'!G834,"NULL")</f>
        <v>60</v>
      </c>
      <c r="E834" s="16" t="n">
        <f aca="false">IF('Boletins Nuppa Site'!H834&lt;&gt;0,'Boletins Nuppa Site'!H834,"NULL")</f>
        <v>60</v>
      </c>
      <c r="F834" s="16" t="n">
        <f aca="false">IF('Boletins Nuppa Site'!I834&lt;&gt;0,'Boletins Nuppa Site'!I834,"NULL")</f>
        <v>60</v>
      </c>
      <c r="G834" s="16" t="n">
        <f aca="false">IF('Boletins Nuppa Site'!J834&lt;&gt;0,'Boletins Nuppa Site'!J834,"NULL")</f>
        <v>60</v>
      </c>
      <c r="H834" s="16" t="n">
        <f aca="false">IF('Boletins Nuppa Site'!K834&lt;&gt;0,'Boletins Nuppa Site'!K834,"NULL")</f>
        <v>60</v>
      </c>
      <c r="J834" s="1" t="str">
        <f aca="false">"INSERT INTO COTACAO (blt_id, pap_id, cot_prc_comum, cot_prc_min, cot_prc_max, cot_prc_med, cot_prc_mediana) VALUES ("&amp;B834&amp;", "&amp;C834&amp;", "&amp;D834&amp;", "&amp;E834&amp;", "&amp;F834&amp;", "&amp;G834&amp;", "&amp;H834&amp;");"</f>
        <v>INSERT INTO COTACAO (blt_id, pap_id, cot_prc_comum, cot_prc_min, cot_prc_max, cot_prc_med, cot_prc_mediana) VALUES (22, 1, 60, 60, 60, 60, 60);</v>
      </c>
    </row>
    <row r="835" customFormat="false" ht="14.25" hidden="false" customHeight="false" outlineLevel="0" collapsed="false">
      <c r="A835" s="1" t="n">
        <v>834</v>
      </c>
      <c r="B835" s="1" t="n">
        <v>22</v>
      </c>
      <c r="C835" s="1" t="n">
        <v>2</v>
      </c>
      <c r="D835" s="16" t="n">
        <f aca="false">IF('Boletins Nuppa Site'!G835&lt;&gt;0,'Boletins Nuppa Site'!G835,"NULL")</f>
        <v>84</v>
      </c>
      <c r="E835" s="16" t="n">
        <f aca="false">IF('Boletins Nuppa Site'!H835&lt;&gt;0,'Boletins Nuppa Site'!H835,"NULL")</f>
        <v>84</v>
      </c>
      <c r="F835" s="16" t="n">
        <f aca="false">IF('Boletins Nuppa Site'!I835&lt;&gt;0,'Boletins Nuppa Site'!I835,"NULL")</f>
        <v>84</v>
      </c>
      <c r="G835" s="16" t="n">
        <f aca="false">IF('Boletins Nuppa Site'!J835&lt;&gt;0,'Boletins Nuppa Site'!J835,"NULL")</f>
        <v>84</v>
      </c>
      <c r="H835" s="16" t="n">
        <f aca="false">IF('Boletins Nuppa Site'!K835&lt;&gt;0,'Boletins Nuppa Site'!K835,"NULL")</f>
        <v>84</v>
      </c>
      <c r="J835" s="1" t="str">
        <f aca="false">"INSERT INTO COTACAO (blt_id, pap_id, cot_prc_comum, cot_prc_min, cot_prc_max, cot_prc_med, cot_prc_mediana) VALUES ("&amp;B835&amp;", "&amp;C835&amp;", "&amp;D835&amp;", "&amp;E835&amp;", "&amp;F835&amp;", "&amp;G835&amp;", "&amp;H835&amp;");"</f>
        <v>INSERT INTO COTACAO (blt_id, pap_id, cot_prc_comum, cot_prc_min, cot_prc_max, cot_prc_med, cot_prc_mediana) VALUES (22, 2, 84, 84, 84, 84, 84);</v>
      </c>
    </row>
    <row r="836" customFormat="false" ht="14.25" hidden="false" customHeight="false" outlineLevel="0" collapsed="false">
      <c r="A836" s="1" t="n">
        <v>835</v>
      </c>
      <c r="B836" s="1" t="n">
        <v>22</v>
      </c>
      <c r="C836" s="1" t="n">
        <v>3</v>
      </c>
      <c r="D836" s="1" t="str">
        <f aca="false">IF('Boletins Nuppa Site'!G836&lt;&gt;0,'Boletins Nuppa Site'!G836,"NULL")</f>
        <v>NULL</v>
      </c>
      <c r="E836" s="16" t="n">
        <f aca="false">IF('Boletins Nuppa Site'!H836&lt;&gt;0,'Boletins Nuppa Site'!H836,"NULL")</f>
        <v>36</v>
      </c>
      <c r="F836" s="16" t="n">
        <f aca="false">IF('Boletins Nuppa Site'!I836&lt;&gt;0,'Boletins Nuppa Site'!I836,"NULL")</f>
        <v>40</v>
      </c>
      <c r="G836" s="16" t="n">
        <f aca="false">IF('Boletins Nuppa Site'!J836&lt;&gt;0,'Boletins Nuppa Site'!J836,"NULL")</f>
        <v>38</v>
      </c>
      <c r="H836" s="16" t="n">
        <f aca="false">IF('Boletins Nuppa Site'!K836&lt;&gt;0,'Boletins Nuppa Site'!K836,"NULL")</f>
        <v>38</v>
      </c>
      <c r="J836" s="1" t="str">
        <f aca="false">"INSERT INTO COTACAO (blt_id, pap_id, cot_prc_comum, cot_prc_min, cot_prc_max, cot_prc_med, cot_prc_mediana) VALUES ("&amp;B836&amp;", "&amp;C836&amp;", "&amp;D836&amp;", "&amp;E836&amp;", "&amp;F836&amp;", "&amp;G836&amp;", "&amp;H836&amp;");"</f>
        <v>INSERT INTO COTACAO (blt_id, pap_id, cot_prc_comum, cot_prc_min, cot_prc_max, cot_prc_med, cot_prc_mediana) VALUES (22, 3, NULL, 36, 40, 38, 38);</v>
      </c>
    </row>
    <row r="837" customFormat="false" ht="14.25" hidden="false" customHeight="false" outlineLevel="0" collapsed="false">
      <c r="A837" s="1" t="n">
        <v>836</v>
      </c>
      <c r="B837" s="1" t="n">
        <v>22</v>
      </c>
      <c r="C837" s="1" t="n">
        <v>4</v>
      </c>
      <c r="D837" s="1" t="str">
        <f aca="false">IF('Boletins Nuppa Site'!G837&lt;&gt;0,'Boletins Nuppa Site'!G837,"NULL")</f>
        <v>NULL</v>
      </c>
      <c r="E837" s="16" t="n">
        <f aca="false">IF('Boletins Nuppa Site'!H837&lt;&gt;0,'Boletins Nuppa Site'!H837,"NULL")</f>
        <v>20</v>
      </c>
      <c r="F837" s="16" t="n">
        <f aca="false">IF('Boletins Nuppa Site'!I837&lt;&gt;0,'Boletins Nuppa Site'!I837,"NULL")</f>
        <v>24</v>
      </c>
      <c r="G837" s="16" t="n">
        <f aca="false">IF('Boletins Nuppa Site'!J837&lt;&gt;0,'Boletins Nuppa Site'!J837,"NULL")</f>
        <v>22</v>
      </c>
      <c r="H837" s="16" t="n">
        <f aca="false">IF('Boletins Nuppa Site'!K837&lt;&gt;0,'Boletins Nuppa Site'!K837,"NULL")</f>
        <v>22</v>
      </c>
      <c r="J837" s="1" t="str">
        <f aca="false">"INSERT INTO COTACAO (blt_id, pap_id, cot_prc_comum, cot_prc_min, cot_prc_max, cot_prc_med, cot_prc_mediana) VALUES ("&amp;B837&amp;", "&amp;C837&amp;", "&amp;D837&amp;", "&amp;E837&amp;", "&amp;F837&amp;", "&amp;G837&amp;", "&amp;H837&amp;");"</f>
        <v>INSERT INTO COTACAO (blt_id, pap_id, cot_prc_comum, cot_prc_min, cot_prc_max, cot_prc_med, cot_prc_mediana) VALUES (22, 4, NULL, 20, 24, 22, 22);</v>
      </c>
    </row>
    <row r="838" customFormat="false" ht="14.25" hidden="false" customHeight="false" outlineLevel="0" collapsed="false">
      <c r="A838" s="1" t="n">
        <v>837</v>
      </c>
      <c r="B838" s="1" t="n">
        <v>22</v>
      </c>
      <c r="C838" s="1" t="n">
        <v>5</v>
      </c>
      <c r="D838" s="1" t="str">
        <f aca="false">IF('Boletins Nuppa Site'!G838&lt;&gt;0,'Boletins Nuppa Site'!G838,"NULL")</f>
        <v>NULL</v>
      </c>
      <c r="E838" s="16" t="n">
        <f aca="false">IF('Boletins Nuppa Site'!H838&lt;&gt;0,'Boletins Nuppa Site'!H838,"NULL")</f>
        <v>20</v>
      </c>
      <c r="F838" s="16" t="n">
        <f aca="false">IF('Boletins Nuppa Site'!I838&lt;&gt;0,'Boletins Nuppa Site'!I838,"NULL")</f>
        <v>24</v>
      </c>
      <c r="G838" s="16" t="n">
        <f aca="false">IF('Boletins Nuppa Site'!J838&lt;&gt;0,'Boletins Nuppa Site'!J838,"NULL")</f>
        <v>22</v>
      </c>
      <c r="H838" s="16" t="n">
        <f aca="false">IF('Boletins Nuppa Site'!K838&lt;&gt;0,'Boletins Nuppa Site'!K838,"NULL")</f>
        <v>22</v>
      </c>
      <c r="J838" s="1" t="str">
        <f aca="false">"INSERT INTO COTACAO (blt_id, pap_id, cot_prc_comum, cot_prc_min, cot_prc_max, cot_prc_med, cot_prc_mediana) VALUES ("&amp;B838&amp;", "&amp;C838&amp;", "&amp;D838&amp;", "&amp;E838&amp;", "&amp;F838&amp;", "&amp;G838&amp;", "&amp;H838&amp;");"</f>
        <v>INSERT INTO COTACAO (blt_id, pap_id, cot_prc_comum, cot_prc_min, cot_prc_max, cot_prc_med, cot_prc_mediana) VALUES (22, 5, NULL, 20, 24, 22, 22);</v>
      </c>
    </row>
    <row r="839" customFormat="false" ht="14.25" hidden="false" customHeight="false" outlineLevel="0" collapsed="false">
      <c r="A839" s="1" t="n">
        <v>838</v>
      </c>
      <c r="B839" s="1" t="n">
        <v>22</v>
      </c>
      <c r="C839" s="1" t="n">
        <v>6</v>
      </c>
      <c r="D839" s="16" t="n">
        <f aca="false">IF('Boletins Nuppa Site'!G839&lt;&gt;0,'Boletins Nuppa Site'!G839,"NULL")</f>
        <v>60</v>
      </c>
      <c r="E839" s="16" t="n">
        <f aca="false">IF('Boletins Nuppa Site'!H839&lt;&gt;0,'Boletins Nuppa Site'!H839,"NULL")</f>
        <v>60</v>
      </c>
      <c r="F839" s="16" t="n">
        <f aca="false">IF('Boletins Nuppa Site'!I839&lt;&gt;0,'Boletins Nuppa Site'!I839,"NULL")</f>
        <v>60</v>
      </c>
      <c r="G839" s="16" t="n">
        <f aca="false">IF('Boletins Nuppa Site'!J839&lt;&gt;0,'Boletins Nuppa Site'!J839,"NULL")</f>
        <v>60</v>
      </c>
      <c r="H839" s="16" t="n">
        <f aca="false">IF('Boletins Nuppa Site'!K839&lt;&gt;0,'Boletins Nuppa Site'!K839,"NULL")</f>
        <v>60</v>
      </c>
      <c r="J839" s="1" t="str">
        <f aca="false">"INSERT INTO COTACAO (blt_id, pap_id, cot_prc_comum, cot_prc_min, cot_prc_max, cot_prc_med, cot_prc_mediana) VALUES ("&amp;B839&amp;", "&amp;C839&amp;", "&amp;D839&amp;", "&amp;E839&amp;", "&amp;F839&amp;", "&amp;G839&amp;", "&amp;H839&amp;");"</f>
        <v>INSERT INTO COTACAO (blt_id, pap_id, cot_prc_comum, cot_prc_min, cot_prc_max, cot_prc_med, cot_prc_mediana) VALUES (22, 6, 60, 60, 60, 60, 60);</v>
      </c>
    </row>
    <row r="840" customFormat="false" ht="14.25" hidden="false" customHeight="false" outlineLevel="0" collapsed="false">
      <c r="A840" s="1" t="n">
        <v>839</v>
      </c>
      <c r="B840" s="1" t="n">
        <v>22</v>
      </c>
      <c r="C840" s="1" t="n">
        <v>7</v>
      </c>
      <c r="D840" s="16" t="n">
        <f aca="false">IF('Boletins Nuppa Site'!G840&lt;&gt;0,'Boletins Nuppa Site'!G840,"NULL")</f>
        <v>84</v>
      </c>
      <c r="E840" s="16" t="n">
        <f aca="false">IF('Boletins Nuppa Site'!H840&lt;&gt;0,'Boletins Nuppa Site'!H840,"NULL")</f>
        <v>60</v>
      </c>
      <c r="F840" s="16" t="n">
        <f aca="false">IF('Boletins Nuppa Site'!I840&lt;&gt;0,'Boletins Nuppa Site'!I840,"NULL")</f>
        <v>84</v>
      </c>
      <c r="G840" s="16" t="n">
        <f aca="false">IF('Boletins Nuppa Site'!J840&lt;&gt;0,'Boletins Nuppa Site'!J840,"NULL")</f>
        <v>76</v>
      </c>
      <c r="H840" s="16" t="n">
        <f aca="false">IF('Boletins Nuppa Site'!K840&lt;&gt;0,'Boletins Nuppa Site'!K840,"NULL")</f>
        <v>84</v>
      </c>
      <c r="J840" s="1" t="str">
        <f aca="false">"INSERT INTO COTACAO (blt_id, pap_id, cot_prc_comum, cot_prc_min, cot_prc_max, cot_prc_med, cot_prc_mediana) VALUES ("&amp;B840&amp;", "&amp;C840&amp;", "&amp;D840&amp;", "&amp;E840&amp;", "&amp;F840&amp;", "&amp;G840&amp;", "&amp;H840&amp;");"</f>
        <v>INSERT INTO COTACAO (blt_id, pap_id, cot_prc_comum, cot_prc_min, cot_prc_max, cot_prc_med, cot_prc_mediana) VALUES (22, 7, 84, 60, 84, 76, 84);</v>
      </c>
    </row>
    <row r="841" customFormat="false" ht="14.25" hidden="false" customHeight="false" outlineLevel="0" collapsed="false">
      <c r="A841" s="1" t="n">
        <v>840</v>
      </c>
      <c r="B841" s="1" t="n">
        <v>22</v>
      </c>
      <c r="C841" s="1" t="n">
        <v>8</v>
      </c>
      <c r="D841" s="1" t="str">
        <f aca="false">IF('Boletins Nuppa Site'!G841&lt;&gt;0,'Boletins Nuppa Site'!G841,"NULL")</f>
        <v>NULL</v>
      </c>
      <c r="E841" s="16" t="n">
        <f aca="false">IF('Boletins Nuppa Site'!H841&lt;&gt;0,'Boletins Nuppa Site'!H841,"NULL")</f>
        <v>84</v>
      </c>
      <c r="F841" s="16" t="n">
        <f aca="false">IF('Boletins Nuppa Site'!I841&lt;&gt;0,'Boletins Nuppa Site'!I841,"NULL")</f>
        <v>96</v>
      </c>
      <c r="G841" s="16" t="n">
        <f aca="false">IF('Boletins Nuppa Site'!J841&lt;&gt;0,'Boletins Nuppa Site'!J841,"NULL")</f>
        <v>90</v>
      </c>
      <c r="H841" s="16" t="n">
        <f aca="false">IF('Boletins Nuppa Site'!K841&lt;&gt;0,'Boletins Nuppa Site'!K841,"NULL")</f>
        <v>90</v>
      </c>
      <c r="J841" s="1" t="str">
        <f aca="false">"INSERT INTO COTACAO (blt_id, pap_id, cot_prc_comum, cot_prc_min, cot_prc_max, cot_prc_med, cot_prc_mediana) VALUES ("&amp;B841&amp;", "&amp;C841&amp;", "&amp;D841&amp;", "&amp;E841&amp;", "&amp;F841&amp;", "&amp;G841&amp;", "&amp;H841&amp;");"</f>
        <v>INSERT INTO COTACAO (blt_id, pap_id, cot_prc_comum, cot_prc_min, cot_prc_max, cot_prc_med, cot_prc_mediana) VALUES (22, 8, NULL, 84, 96, 90, 90);</v>
      </c>
    </row>
    <row r="842" customFormat="false" ht="14.25" hidden="false" customHeight="false" outlineLevel="0" collapsed="false">
      <c r="A842" s="1" t="n">
        <v>841</v>
      </c>
      <c r="B842" s="1" t="n">
        <v>22</v>
      </c>
      <c r="C842" s="1" t="n">
        <v>9</v>
      </c>
      <c r="D842" s="16" t="n">
        <f aca="false">IF('Boletins Nuppa Site'!G842&lt;&gt;0,'Boletins Nuppa Site'!G842,"NULL")</f>
        <v>24</v>
      </c>
      <c r="E842" s="16" t="n">
        <f aca="false">IF('Boletins Nuppa Site'!H842&lt;&gt;0,'Boletins Nuppa Site'!H842,"NULL")</f>
        <v>24</v>
      </c>
      <c r="F842" s="16" t="n">
        <f aca="false">IF('Boletins Nuppa Site'!I842&lt;&gt;0,'Boletins Nuppa Site'!I842,"NULL")</f>
        <v>30</v>
      </c>
      <c r="G842" s="16" t="n">
        <f aca="false">IF('Boletins Nuppa Site'!J842&lt;&gt;0,'Boletins Nuppa Site'!J842,"NULL")</f>
        <v>26</v>
      </c>
      <c r="H842" s="16" t="n">
        <f aca="false">IF('Boletins Nuppa Site'!K842&lt;&gt;0,'Boletins Nuppa Site'!K842,"NULL")</f>
        <v>24</v>
      </c>
      <c r="J842" s="1" t="str">
        <f aca="false">"INSERT INTO COTACAO (blt_id, pap_id, cot_prc_comum, cot_prc_min, cot_prc_max, cot_prc_med, cot_prc_mediana) VALUES ("&amp;B842&amp;", "&amp;C842&amp;", "&amp;D842&amp;", "&amp;E842&amp;", "&amp;F842&amp;", "&amp;G842&amp;", "&amp;H842&amp;");"</f>
        <v>INSERT INTO COTACAO (blt_id, pap_id, cot_prc_comum, cot_prc_min, cot_prc_max, cot_prc_med, cot_prc_mediana) VALUES (22, 9, 24, 24, 30, 26, 24);</v>
      </c>
    </row>
    <row r="843" customFormat="false" ht="14.25" hidden="false" customHeight="false" outlineLevel="0" collapsed="false">
      <c r="A843" s="1" t="n">
        <v>842</v>
      </c>
      <c r="B843" s="1" t="n">
        <v>22</v>
      </c>
      <c r="C843" s="1" t="n">
        <v>10</v>
      </c>
      <c r="D843" s="1" t="str">
        <f aca="false">IF('Boletins Nuppa Site'!G843&lt;&gt;0,'Boletins Nuppa Site'!G843,"NULL")</f>
        <v>NULL</v>
      </c>
      <c r="E843" s="16" t="n">
        <f aca="false">IF('Boletins Nuppa Site'!H843&lt;&gt;0,'Boletins Nuppa Site'!H843,"NULL")</f>
        <v>84</v>
      </c>
      <c r="F843" s="16" t="n">
        <f aca="false">IF('Boletins Nuppa Site'!I843&lt;&gt;0,'Boletins Nuppa Site'!I843,"NULL")</f>
        <v>96</v>
      </c>
      <c r="G843" s="16" t="n">
        <f aca="false">IF('Boletins Nuppa Site'!J843&lt;&gt;0,'Boletins Nuppa Site'!J843,"NULL")</f>
        <v>90</v>
      </c>
      <c r="H843" s="16" t="n">
        <f aca="false">IF('Boletins Nuppa Site'!K843&lt;&gt;0,'Boletins Nuppa Site'!K843,"NULL")</f>
        <v>90</v>
      </c>
      <c r="J843" s="1" t="str">
        <f aca="false">"INSERT INTO COTACAO (blt_id, pap_id, cot_prc_comum, cot_prc_min, cot_prc_max, cot_prc_med, cot_prc_mediana) VALUES ("&amp;B843&amp;", "&amp;C843&amp;", "&amp;D843&amp;", "&amp;E843&amp;", "&amp;F843&amp;", "&amp;G843&amp;", "&amp;H843&amp;");"</f>
        <v>INSERT INTO COTACAO (blt_id, pap_id, cot_prc_comum, cot_prc_min, cot_prc_max, cot_prc_med, cot_prc_mediana) VALUES (22, 10, NULL, 84, 96, 90, 90);</v>
      </c>
    </row>
    <row r="844" customFormat="false" ht="14.25" hidden="false" customHeight="false" outlineLevel="0" collapsed="false">
      <c r="A844" s="1" t="n">
        <v>843</v>
      </c>
      <c r="B844" s="1" t="n">
        <v>22</v>
      </c>
      <c r="C844" s="1" t="n">
        <v>11</v>
      </c>
      <c r="D844" s="1" t="str">
        <f aca="false">IF('Boletins Nuppa Site'!G844&lt;&gt;0,'Boletins Nuppa Site'!G844,"NULL")</f>
        <v>NULL</v>
      </c>
      <c r="E844" s="16" t="n">
        <f aca="false">IF('Boletins Nuppa Site'!H844&lt;&gt;0,'Boletins Nuppa Site'!H844,"NULL")</f>
        <v>20</v>
      </c>
      <c r="F844" s="16" t="n">
        <f aca="false">IF('Boletins Nuppa Site'!I844&lt;&gt;0,'Boletins Nuppa Site'!I844,"NULL")</f>
        <v>24</v>
      </c>
      <c r="G844" s="16" t="n">
        <f aca="false">IF('Boletins Nuppa Site'!J844&lt;&gt;0,'Boletins Nuppa Site'!J844,"NULL")</f>
        <v>22</v>
      </c>
      <c r="H844" s="16" t="n">
        <f aca="false">IF('Boletins Nuppa Site'!K844&lt;&gt;0,'Boletins Nuppa Site'!K844,"NULL")</f>
        <v>22</v>
      </c>
      <c r="J844" s="1" t="str">
        <f aca="false">"INSERT INTO COTACAO (blt_id, pap_id, cot_prc_comum, cot_prc_min, cot_prc_max, cot_prc_med, cot_prc_mediana) VALUES ("&amp;B844&amp;", "&amp;C844&amp;", "&amp;D844&amp;", "&amp;E844&amp;", "&amp;F844&amp;", "&amp;G844&amp;", "&amp;H844&amp;");"</f>
        <v>INSERT INTO COTACAO (blt_id, pap_id, cot_prc_comum, cot_prc_min, cot_prc_max, cot_prc_med, cot_prc_mediana) VALUES (22, 11, NULL, 20, 24, 22, 22);</v>
      </c>
    </row>
    <row r="845" customFormat="false" ht="14.25" hidden="false" customHeight="false" outlineLevel="0" collapsed="false">
      <c r="A845" s="1" t="n">
        <v>844</v>
      </c>
      <c r="B845" s="1" t="n">
        <v>22</v>
      </c>
      <c r="C845" s="1" t="n">
        <v>12</v>
      </c>
      <c r="D845" s="16" t="n">
        <f aca="false">IF('Boletins Nuppa Site'!G845&lt;&gt;0,'Boletins Nuppa Site'!G845,"NULL")</f>
        <v>72</v>
      </c>
      <c r="E845" s="16" t="n">
        <f aca="false">IF('Boletins Nuppa Site'!H845&lt;&gt;0,'Boletins Nuppa Site'!H845,"NULL")</f>
        <v>72</v>
      </c>
      <c r="F845" s="16" t="n">
        <f aca="false">IF('Boletins Nuppa Site'!I845&lt;&gt;0,'Boletins Nuppa Site'!I845,"NULL")</f>
        <v>72</v>
      </c>
      <c r="G845" s="16" t="n">
        <f aca="false">IF('Boletins Nuppa Site'!J845&lt;&gt;0,'Boletins Nuppa Site'!J845,"NULL")</f>
        <v>72</v>
      </c>
      <c r="H845" s="16" t="n">
        <f aca="false">IF('Boletins Nuppa Site'!K845&lt;&gt;0,'Boletins Nuppa Site'!K845,"NULL")</f>
        <v>72</v>
      </c>
      <c r="J845" s="1" t="str">
        <f aca="false">"INSERT INTO COTACAO (blt_id, pap_id, cot_prc_comum, cot_prc_min, cot_prc_max, cot_prc_med, cot_prc_mediana) VALUES ("&amp;B845&amp;", "&amp;C845&amp;", "&amp;D845&amp;", "&amp;E845&amp;", "&amp;F845&amp;", "&amp;G845&amp;", "&amp;H845&amp;");"</f>
        <v>INSERT INTO COTACAO (blt_id, pap_id, cot_prc_comum, cot_prc_min, cot_prc_max, cot_prc_med, cot_prc_mediana) VALUES (22, 12, 72, 72, 72, 72, 72);</v>
      </c>
    </row>
    <row r="846" customFormat="false" ht="14.25" hidden="false" customHeight="false" outlineLevel="0" collapsed="false">
      <c r="A846" s="1" t="n">
        <v>845</v>
      </c>
      <c r="B846" s="1" t="n">
        <v>22</v>
      </c>
      <c r="C846" s="1" t="n">
        <v>13</v>
      </c>
      <c r="D846" s="1" t="str">
        <f aca="false">IF('Boletins Nuppa Site'!G846&lt;&gt;0,'Boletins Nuppa Site'!G846,"NULL")</f>
        <v>NULL</v>
      </c>
      <c r="E846" s="16" t="n">
        <f aca="false">IF('Boletins Nuppa Site'!H846&lt;&gt;0,'Boletins Nuppa Site'!H846,"NULL")</f>
        <v>60</v>
      </c>
      <c r="F846" s="16" t="n">
        <f aca="false">IF('Boletins Nuppa Site'!I846&lt;&gt;0,'Boletins Nuppa Site'!I846,"NULL")</f>
        <v>72</v>
      </c>
      <c r="G846" s="16" t="n">
        <f aca="false">IF('Boletins Nuppa Site'!J846&lt;&gt;0,'Boletins Nuppa Site'!J846,"NULL")</f>
        <v>66</v>
      </c>
      <c r="H846" s="16" t="n">
        <f aca="false">IF('Boletins Nuppa Site'!K846&lt;&gt;0,'Boletins Nuppa Site'!K846,"NULL")</f>
        <v>66</v>
      </c>
      <c r="J846" s="1" t="str">
        <f aca="false">"INSERT INTO COTACAO (blt_id, pap_id, cot_prc_comum, cot_prc_min, cot_prc_max, cot_prc_med, cot_prc_mediana) VALUES ("&amp;B846&amp;", "&amp;C846&amp;", "&amp;D846&amp;", "&amp;E846&amp;", "&amp;F846&amp;", "&amp;G846&amp;", "&amp;H846&amp;");"</f>
        <v>INSERT INTO COTACAO (blt_id, pap_id, cot_prc_comum, cot_prc_min, cot_prc_max, cot_prc_med, cot_prc_mediana) VALUES (22, 13, NULL, 60, 72, 66, 66);</v>
      </c>
    </row>
    <row r="847" customFormat="false" ht="14.25" hidden="false" customHeight="false" outlineLevel="0" collapsed="false">
      <c r="A847" s="1" t="n">
        <v>846</v>
      </c>
      <c r="B847" s="1" t="n">
        <v>22</v>
      </c>
      <c r="C847" s="1" t="n">
        <v>14</v>
      </c>
      <c r="D847" s="1" t="str">
        <f aca="false">IF('Boletins Nuppa Site'!G847&lt;&gt;0,'Boletins Nuppa Site'!G847,"NULL")</f>
        <v>NULL</v>
      </c>
      <c r="E847" s="16" t="n">
        <f aca="false">IF('Boletins Nuppa Site'!H847&lt;&gt;0,'Boletins Nuppa Site'!H847,"NULL")</f>
        <v>65</v>
      </c>
      <c r="F847" s="16" t="n">
        <f aca="false">IF('Boletins Nuppa Site'!I847&lt;&gt;0,'Boletins Nuppa Site'!I847,"NULL")</f>
        <v>72</v>
      </c>
      <c r="G847" s="1" t="str">
        <f aca="false">IF('Boletins Nuppa Site'!J847&lt;&gt;0,'Boletins Nuppa Site'!J847,"NULL")</f>
        <v>68.5</v>
      </c>
      <c r="H847" s="1" t="str">
        <f aca="false">IF('Boletins Nuppa Site'!K847&lt;&gt;0,'Boletins Nuppa Site'!K847,"NULL")</f>
        <v>68.5</v>
      </c>
      <c r="J847" s="1" t="str">
        <f aca="false">"INSERT INTO COTACAO (blt_id, pap_id, cot_prc_comum, cot_prc_min, cot_prc_max, cot_prc_med, cot_prc_mediana) VALUES ("&amp;B847&amp;", "&amp;C847&amp;", "&amp;D847&amp;", "&amp;E847&amp;", "&amp;F847&amp;", "&amp;G847&amp;", "&amp;H847&amp;");"</f>
        <v>INSERT INTO COTACAO (blt_id, pap_id, cot_prc_comum, cot_prc_min, cot_prc_max, cot_prc_med, cot_prc_mediana) VALUES (22, 14, NULL, 65, 72, 68.5, 68.5);</v>
      </c>
    </row>
    <row r="848" customFormat="false" ht="14.25" hidden="false" customHeight="false" outlineLevel="0" collapsed="false">
      <c r="A848" s="1" t="n">
        <v>847</v>
      </c>
      <c r="B848" s="1" t="n">
        <v>22</v>
      </c>
      <c r="C848" s="1" t="n">
        <v>15</v>
      </c>
      <c r="D848" s="16" t="n">
        <f aca="false">IF('Boletins Nuppa Site'!G848&lt;&gt;0,'Boletins Nuppa Site'!G848,"NULL")</f>
        <v>60</v>
      </c>
      <c r="E848" s="16" t="n">
        <f aca="false">IF('Boletins Nuppa Site'!H848&lt;&gt;0,'Boletins Nuppa Site'!H848,"NULL")</f>
        <v>50</v>
      </c>
      <c r="F848" s="16" t="n">
        <f aca="false">IF('Boletins Nuppa Site'!I848&lt;&gt;0,'Boletins Nuppa Site'!I848,"NULL")</f>
        <v>60</v>
      </c>
      <c r="G848" s="1" t="str">
        <f aca="false">IF('Boletins Nuppa Site'!J848&lt;&gt;0,'Boletins Nuppa Site'!J848,"NULL")</f>
        <v>56.67</v>
      </c>
      <c r="H848" s="16" t="n">
        <f aca="false">IF('Boletins Nuppa Site'!K848&lt;&gt;0,'Boletins Nuppa Site'!K848,"NULL")</f>
        <v>60</v>
      </c>
      <c r="J848" s="1" t="str">
        <f aca="false">"INSERT INTO COTACAO (blt_id, pap_id, cot_prc_comum, cot_prc_min, cot_prc_max, cot_prc_med, cot_prc_mediana) VALUES ("&amp;B848&amp;", "&amp;C848&amp;", "&amp;D848&amp;", "&amp;E848&amp;", "&amp;F848&amp;", "&amp;G848&amp;", "&amp;H848&amp;");"</f>
        <v>INSERT INTO COTACAO (blt_id, pap_id, cot_prc_comum, cot_prc_min, cot_prc_max, cot_prc_med, cot_prc_mediana) VALUES (22, 15, 60, 50, 60, 56.67, 60);</v>
      </c>
    </row>
    <row r="849" customFormat="false" ht="14.25" hidden="false" customHeight="false" outlineLevel="0" collapsed="false">
      <c r="A849" s="1" t="n">
        <v>848</v>
      </c>
      <c r="B849" s="1" t="n">
        <v>22</v>
      </c>
      <c r="C849" s="1" t="n">
        <v>16</v>
      </c>
      <c r="D849" s="1" t="str">
        <f aca="false">IF('Boletins Nuppa Site'!G849&lt;&gt;0,'Boletins Nuppa Site'!G849,"NULL")</f>
        <v>NULL</v>
      </c>
      <c r="E849" s="16" t="n">
        <f aca="false">IF('Boletins Nuppa Site'!H849&lt;&gt;0,'Boletins Nuppa Site'!H849,"NULL")</f>
        <v>54</v>
      </c>
      <c r="F849" s="16" t="n">
        <f aca="false">IF('Boletins Nuppa Site'!I849&lt;&gt;0,'Boletins Nuppa Site'!I849,"NULL")</f>
        <v>72</v>
      </c>
      <c r="G849" s="16" t="n">
        <f aca="false">IF('Boletins Nuppa Site'!J849&lt;&gt;0,'Boletins Nuppa Site'!J849,"NULL")</f>
        <v>62</v>
      </c>
      <c r="H849" s="16" t="n">
        <f aca="false">IF('Boletins Nuppa Site'!K849&lt;&gt;0,'Boletins Nuppa Site'!K849,"NULL")</f>
        <v>60</v>
      </c>
      <c r="J849" s="1" t="str">
        <f aca="false">"INSERT INTO COTACAO (blt_id, pap_id, cot_prc_comum, cot_prc_min, cot_prc_max, cot_prc_med, cot_prc_mediana) VALUES ("&amp;B849&amp;", "&amp;C849&amp;", "&amp;D849&amp;", "&amp;E849&amp;", "&amp;F849&amp;", "&amp;G849&amp;", "&amp;H849&amp;");"</f>
        <v>INSERT INTO COTACAO (blt_id, pap_id, cot_prc_comum, cot_prc_min, cot_prc_max, cot_prc_med, cot_prc_mediana) VALUES (22, 16, NULL, 54, 72, 62, 60);</v>
      </c>
    </row>
    <row r="850" customFormat="false" ht="14.25" hidden="false" customHeight="false" outlineLevel="0" collapsed="false">
      <c r="A850" s="1" t="n">
        <v>849</v>
      </c>
      <c r="B850" s="1" t="n">
        <v>22</v>
      </c>
      <c r="C850" s="1" t="n">
        <v>17</v>
      </c>
      <c r="D850" s="16" t="n">
        <f aca="false">IF('Boletins Nuppa Site'!G850&lt;&gt;0,'Boletins Nuppa Site'!G850,"NULL")</f>
        <v>5</v>
      </c>
      <c r="E850" s="16" t="n">
        <f aca="false">IF('Boletins Nuppa Site'!H850&lt;&gt;0,'Boletins Nuppa Site'!H850,"NULL")</f>
        <v>5</v>
      </c>
      <c r="F850" s="16" t="n">
        <f aca="false">IF('Boletins Nuppa Site'!I850&lt;&gt;0,'Boletins Nuppa Site'!I850,"NULL")</f>
        <v>5</v>
      </c>
      <c r="G850" s="16" t="n">
        <f aca="false">IF('Boletins Nuppa Site'!J850&lt;&gt;0,'Boletins Nuppa Site'!J850,"NULL")</f>
        <v>5</v>
      </c>
      <c r="H850" s="16" t="n">
        <f aca="false">IF('Boletins Nuppa Site'!K850&lt;&gt;0,'Boletins Nuppa Site'!K850,"NULL")</f>
        <v>5</v>
      </c>
      <c r="J850" s="1" t="str">
        <f aca="false">"INSERT INTO COTACAO (blt_id, pap_id, cot_prc_comum, cot_prc_min, cot_prc_max, cot_prc_med, cot_prc_mediana) VALUES ("&amp;B850&amp;", "&amp;C850&amp;", "&amp;D850&amp;", "&amp;E850&amp;", "&amp;F850&amp;", "&amp;G850&amp;", "&amp;H850&amp;");"</f>
        <v>INSERT INTO COTACAO (blt_id, pap_id, cot_prc_comum, cot_prc_min, cot_prc_max, cot_prc_med, cot_prc_mediana) VALUES (22, 17, 5, 5, 5, 5, 5);</v>
      </c>
    </row>
    <row r="851" customFormat="false" ht="14.25" hidden="false" customHeight="false" outlineLevel="0" collapsed="false">
      <c r="A851" s="1" t="n">
        <v>850</v>
      </c>
      <c r="B851" s="1" t="n">
        <v>22</v>
      </c>
      <c r="C851" s="1" t="n">
        <v>18</v>
      </c>
      <c r="D851" s="16" t="n">
        <f aca="false">IF('Boletins Nuppa Site'!G851&lt;&gt;0,'Boletins Nuppa Site'!G851,"NULL")</f>
        <v>20</v>
      </c>
      <c r="E851" s="16" t="n">
        <f aca="false">IF('Boletins Nuppa Site'!H851&lt;&gt;0,'Boletins Nuppa Site'!H851,"NULL")</f>
        <v>20</v>
      </c>
      <c r="F851" s="16" t="n">
        <f aca="false">IF('Boletins Nuppa Site'!I851&lt;&gt;0,'Boletins Nuppa Site'!I851,"NULL")</f>
        <v>20</v>
      </c>
      <c r="G851" s="16" t="n">
        <f aca="false">IF('Boletins Nuppa Site'!J851&lt;&gt;0,'Boletins Nuppa Site'!J851,"NULL")</f>
        <v>20</v>
      </c>
      <c r="H851" s="16" t="n">
        <f aca="false">IF('Boletins Nuppa Site'!K851&lt;&gt;0,'Boletins Nuppa Site'!K851,"NULL")</f>
        <v>20</v>
      </c>
      <c r="J851" s="1" t="str">
        <f aca="false">"INSERT INTO COTACAO (blt_id, pap_id, cot_prc_comum, cot_prc_min, cot_prc_max, cot_prc_med, cot_prc_mediana) VALUES ("&amp;B851&amp;", "&amp;C851&amp;", "&amp;D851&amp;", "&amp;E851&amp;", "&amp;F851&amp;", "&amp;G851&amp;", "&amp;H851&amp;");"</f>
        <v>INSERT INTO COTACAO (blt_id, pap_id, cot_prc_comum, cot_prc_min, cot_prc_max, cot_prc_med, cot_prc_mediana) VALUES (22, 18, 20, 20, 20, 20, 20);</v>
      </c>
    </row>
    <row r="852" customFormat="false" ht="14.25" hidden="false" customHeight="false" outlineLevel="0" collapsed="false">
      <c r="A852" s="1" t="n">
        <v>851</v>
      </c>
      <c r="B852" s="1" t="n">
        <v>22</v>
      </c>
      <c r="C852" s="1" t="n">
        <v>19</v>
      </c>
      <c r="D852" s="1" t="str">
        <f aca="false">IF('Boletins Nuppa Site'!G852&lt;&gt;0,'Boletins Nuppa Site'!G852,"NULL")</f>
        <v>NULL</v>
      </c>
      <c r="E852" s="16" t="n">
        <f aca="false">IF('Boletins Nuppa Site'!H852&lt;&gt;0,'Boletins Nuppa Site'!H852,"NULL")</f>
        <v>15</v>
      </c>
      <c r="F852" s="16" t="n">
        <f aca="false">IF('Boletins Nuppa Site'!I852&lt;&gt;0,'Boletins Nuppa Site'!I852,"NULL")</f>
        <v>35</v>
      </c>
      <c r="G852" s="16" t="n">
        <f aca="false">IF('Boletins Nuppa Site'!J852&lt;&gt;0,'Boletins Nuppa Site'!J852,"NULL")</f>
        <v>25</v>
      </c>
      <c r="H852" s="16" t="n">
        <f aca="false">IF('Boletins Nuppa Site'!K852&lt;&gt;0,'Boletins Nuppa Site'!K852,"NULL")</f>
        <v>25</v>
      </c>
      <c r="J852" s="1" t="str">
        <f aca="false">"INSERT INTO COTACAO (blt_id, pap_id, cot_prc_comum, cot_prc_min, cot_prc_max, cot_prc_med, cot_prc_mediana) VALUES ("&amp;B852&amp;", "&amp;C852&amp;", "&amp;D852&amp;", "&amp;E852&amp;", "&amp;F852&amp;", "&amp;G852&amp;", "&amp;H852&amp;");"</f>
        <v>INSERT INTO COTACAO (blt_id, pap_id, cot_prc_comum, cot_prc_min, cot_prc_max, cot_prc_med, cot_prc_mediana) VALUES (22, 19, NULL, 15, 35, 25, 25);</v>
      </c>
    </row>
    <row r="853" customFormat="false" ht="14.25" hidden="false" customHeight="false" outlineLevel="0" collapsed="false">
      <c r="A853" s="1" t="n">
        <v>852</v>
      </c>
      <c r="B853" s="1" t="n">
        <v>22</v>
      </c>
      <c r="C853" s="1" t="n">
        <v>20</v>
      </c>
      <c r="D853" s="1" t="str">
        <f aca="false">IF('Boletins Nuppa Site'!G853&lt;&gt;0,'Boletins Nuppa Site'!G853,"NULL")</f>
        <v>NULL</v>
      </c>
      <c r="E853" s="16" t="n">
        <f aca="false">IF('Boletins Nuppa Site'!H853&lt;&gt;0,'Boletins Nuppa Site'!H853,"NULL")</f>
        <v>70</v>
      </c>
      <c r="F853" s="16" t="n">
        <f aca="false">IF('Boletins Nuppa Site'!I853&lt;&gt;0,'Boletins Nuppa Site'!I853,"NULL")</f>
        <v>90</v>
      </c>
      <c r="G853" s="16" t="n">
        <f aca="false">IF('Boletins Nuppa Site'!J853&lt;&gt;0,'Boletins Nuppa Site'!J853,"NULL")</f>
        <v>80</v>
      </c>
      <c r="H853" s="16" t="n">
        <f aca="false">IF('Boletins Nuppa Site'!K853&lt;&gt;0,'Boletins Nuppa Site'!K853,"NULL")</f>
        <v>80</v>
      </c>
      <c r="J853" s="1" t="str">
        <f aca="false">"INSERT INTO COTACAO (blt_id, pap_id, cot_prc_comum, cot_prc_min, cot_prc_max, cot_prc_med, cot_prc_mediana) VALUES ("&amp;B853&amp;", "&amp;C853&amp;", "&amp;D853&amp;", "&amp;E853&amp;", "&amp;F853&amp;", "&amp;G853&amp;", "&amp;H853&amp;");"</f>
        <v>INSERT INTO COTACAO (blt_id, pap_id, cot_prc_comum, cot_prc_min, cot_prc_max, cot_prc_med, cot_prc_mediana) VALUES (22, 20, NULL, 70, 90, 80, 80);</v>
      </c>
    </row>
    <row r="854" customFormat="false" ht="14.25" hidden="false" customHeight="false" outlineLevel="0" collapsed="false">
      <c r="A854" s="1" t="n">
        <v>853</v>
      </c>
      <c r="B854" s="1" t="n">
        <v>22</v>
      </c>
      <c r="C854" s="1" t="n">
        <v>21</v>
      </c>
      <c r="D854" s="16" t="n">
        <f aca="false">IF('Boletins Nuppa Site'!G854&lt;&gt;0,'Boletins Nuppa Site'!G854,"NULL")</f>
        <v>45</v>
      </c>
      <c r="E854" s="16" t="n">
        <f aca="false">IF('Boletins Nuppa Site'!H854&lt;&gt;0,'Boletins Nuppa Site'!H854,"NULL")</f>
        <v>40</v>
      </c>
      <c r="F854" s="16" t="n">
        <f aca="false">IF('Boletins Nuppa Site'!I854&lt;&gt;0,'Boletins Nuppa Site'!I854,"NULL")</f>
        <v>100</v>
      </c>
      <c r="G854" s="1" t="str">
        <f aca="false">IF('Boletins Nuppa Site'!J854&lt;&gt;0,'Boletins Nuppa Site'!J854,"NULL")</f>
        <v>53.33</v>
      </c>
      <c r="H854" s="16" t="n">
        <f aca="false">IF('Boletins Nuppa Site'!K854&lt;&gt;0,'Boletins Nuppa Site'!K854,"NULL")</f>
        <v>45</v>
      </c>
      <c r="J854" s="1" t="str">
        <f aca="false">"INSERT INTO COTACAO (blt_id, pap_id, cot_prc_comum, cot_prc_min, cot_prc_max, cot_prc_med, cot_prc_mediana) VALUES ("&amp;B854&amp;", "&amp;C854&amp;", "&amp;D854&amp;", "&amp;E854&amp;", "&amp;F854&amp;", "&amp;G854&amp;", "&amp;H854&amp;");"</f>
        <v>INSERT INTO COTACAO (blt_id, pap_id, cot_prc_comum, cot_prc_min, cot_prc_max, cot_prc_med, cot_prc_mediana) VALUES (22, 21, 45, 40, 100, 53.33, 45);</v>
      </c>
    </row>
    <row r="855" customFormat="false" ht="14.25" hidden="false" customHeight="false" outlineLevel="0" collapsed="false">
      <c r="A855" s="1" t="n">
        <v>854</v>
      </c>
      <c r="B855" s="1" t="n">
        <v>22</v>
      </c>
      <c r="C855" s="1" t="n">
        <v>22</v>
      </c>
      <c r="D855" s="16" t="n">
        <f aca="false">IF('Boletins Nuppa Site'!G855&lt;&gt;0,'Boletins Nuppa Site'!G855,"NULL")</f>
        <v>65</v>
      </c>
      <c r="E855" s="16" t="n">
        <f aca="false">IF('Boletins Nuppa Site'!H855&lt;&gt;0,'Boletins Nuppa Site'!H855,"NULL")</f>
        <v>45</v>
      </c>
      <c r="F855" s="16" t="n">
        <f aca="false">IF('Boletins Nuppa Site'!I855&lt;&gt;0,'Boletins Nuppa Site'!I855,"NULL")</f>
        <v>70</v>
      </c>
      <c r="G855" s="1" t="str">
        <f aca="false">IF('Boletins Nuppa Site'!J855&lt;&gt;0,'Boletins Nuppa Site'!J855,"NULL")</f>
        <v>60.83</v>
      </c>
      <c r="H855" s="1" t="str">
        <f aca="false">IF('Boletins Nuppa Site'!K855&lt;&gt;0,'Boletins Nuppa Site'!K855,"NULL")</f>
        <v>62.5</v>
      </c>
      <c r="J855" s="1" t="str">
        <f aca="false">"INSERT INTO COTACAO (blt_id, pap_id, cot_prc_comum, cot_prc_min, cot_prc_max, cot_prc_med, cot_prc_mediana) VALUES ("&amp;B855&amp;", "&amp;C855&amp;", "&amp;D855&amp;", "&amp;E855&amp;", "&amp;F855&amp;", "&amp;G855&amp;", "&amp;H855&amp;");"</f>
        <v>INSERT INTO COTACAO (blt_id, pap_id, cot_prc_comum, cot_prc_min, cot_prc_max, cot_prc_med, cot_prc_mediana) VALUES (22, 22, 65, 45, 70, 60.83, 62.5);</v>
      </c>
    </row>
    <row r="856" customFormat="false" ht="14.25" hidden="false" customHeight="false" outlineLevel="0" collapsed="false">
      <c r="A856" s="1" t="n">
        <v>855</v>
      </c>
      <c r="B856" s="1" t="n">
        <v>22</v>
      </c>
      <c r="C856" s="1" t="n">
        <v>23</v>
      </c>
      <c r="D856" s="16" t="n">
        <f aca="false">IF('Boletins Nuppa Site'!G856&lt;&gt;0,'Boletins Nuppa Site'!G856,"NULL")</f>
        <v>40</v>
      </c>
      <c r="E856" s="16" t="n">
        <f aca="false">IF('Boletins Nuppa Site'!H856&lt;&gt;0,'Boletins Nuppa Site'!H856,"NULL")</f>
        <v>40</v>
      </c>
      <c r="F856" s="16" t="n">
        <f aca="false">IF('Boletins Nuppa Site'!I856&lt;&gt;0,'Boletins Nuppa Site'!I856,"NULL")</f>
        <v>55</v>
      </c>
      <c r="G856" s="1" t="str">
        <f aca="false">IF('Boletins Nuppa Site'!J856&lt;&gt;0,'Boletins Nuppa Site'!J856,"NULL")</f>
        <v>45.83</v>
      </c>
      <c r="H856" s="16" t="n">
        <f aca="false">IF('Boletins Nuppa Site'!K856&lt;&gt;0,'Boletins Nuppa Site'!K856,"NULL")</f>
        <v>45</v>
      </c>
      <c r="J856" s="1" t="str">
        <f aca="false">"INSERT INTO COTACAO (blt_id, pap_id, cot_prc_comum, cot_prc_min, cot_prc_max, cot_prc_med, cot_prc_mediana) VALUES ("&amp;B856&amp;", "&amp;C856&amp;", "&amp;D856&amp;", "&amp;E856&amp;", "&amp;F856&amp;", "&amp;G856&amp;", "&amp;H856&amp;");"</f>
        <v>INSERT INTO COTACAO (blt_id, pap_id, cot_prc_comum, cot_prc_min, cot_prc_max, cot_prc_med, cot_prc_mediana) VALUES (22, 23, 40, 40, 55, 45.83, 45);</v>
      </c>
    </row>
    <row r="857" customFormat="false" ht="14.25" hidden="false" customHeight="false" outlineLevel="0" collapsed="false">
      <c r="A857" s="1" t="n">
        <v>856</v>
      </c>
      <c r="B857" s="1" t="n">
        <v>22</v>
      </c>
      <c r="C857" s="1" t="n">
        <v>24</v>
      </c>
      <c r="D857" s="1" t="str">
        <f aca="false">IF('Boletins Nuppa Site'!G857&lt;&gt;0,'Boletins Nuppa Site'!G857,"NULL")</f>
        <v>NULL</v>
      </c>
      <c r="E857" s="16" t="n">
        <f aca="false">IF('Boletins Nuppa Site'!H857&lt;&gt;0,'Boletins Nuppa Site'!H857,"NULL")</f>
        <v>45</v>
      </c>
      <c r="F857" s="16" t="n">
        <f aca="false">IF('Boletins Nuppa Site'!I857&lt;&gt;0,'Boletins Nuppa Site'!I857,"NULL")</f>
        <v>115</v>
      </c>
      <c r="G857" s="1" t="str">
        <f aca="false">IF('Boletins Nuppa Site'!J857&lt;&gt;0,'Boletins Nuppa Site'!J857,"NULL")</f>
        <v>78.75</v>
      </c>
      <c r="H857" s="1" t="str">
        <f aca="false">IF('Boletins Nuppa Site'!K857&lt;&gt;0,'Boletins Nuppa Site'!K857,"NULL")</f>
        <v>77.5</v>
      </c>
      <c r="J857" s="1" t="str">
        <f aca="false">"INSERT INTO COTACAO (blt_id, pap_id, cot_prc_comum, cot_prc_min, cot_prc_max, cot_prc_med, cot_prc_mediana) VALUES ("&amp;B857&amp;", "&amp;C857&amp;", "&amp;D857&amp;", "&amp;E857&amp;", "&amp;F857&amp;", "&amp;G857&amp;", "&amp;H857&amp;");"</f>
        <v>INSERT INTO COTACAO (blt_id, pap_id, cot_prc_comum, cot_prc_min, cot_prc_max, cot_prc_med, cot_prc_mediana) VALUES (22, 24, NULL, 45, 115, 78.75, 77.5);</v>
      </c>
    </row>
    <row r="858" customFormat="false" ht="14.25" hidden="false" customHeight="false" outlineLevel="0" collapsed="false">
      <c r="A858" s="1" t="n">
        <v>857</v>
      </c>
      <c r="B858" s="1" t="n">
        <v>22</v>
      </c>
      <c r="C858" s="1" t="n">
        <v>25</v>
      </c>
      <c r="D858" s="16" t="n">
        <f aca="false">IF('Boletins Nuppa Site'!G858&lt;&gt;0,'Boletins Nuppa Site'!G858,"NULL")</f>
        <v>80</v>
      </c>
      <c r="E858" s="16" t="n">
        <f aca="false">IF('Boletins Nuppa Site'!H858&lt;&gt;0,'Boletins Nuppa Site'!H858,"NULL")</f>
        <v>70</v>
      </c>
      <c r="F858" s="16" t="n">
        <f aca="false">IF('Boletins Nuppa Site'!I858&lt;&gt;0,'Boletins Nuppa Site'!I858,"NULL")</f>
        <v>100</v>
      </c>
      <c r="G858" s="16" t="n">
        <f aca="false">IF('Boletins Nuppa Site'!J858&lt;&gt;0,'Boletins Nuppa Site'!J858,"NULL")</f>
        <v>85</v>
      </c>
      <c r="H858" s="16" t="n">
        <f aca="false">IF('Boletins Nuppa Site'!K858&lt;&gt;0,'Boletins Nuppa Site'!K858,"NULL")</f>
        <v>80</v>
      </c>
      <c r="J858" s="1" t="str">
        <f aca="false">"INSERT INTO COTACAO (blt_id, pap_id, cot_prc_comum, cot_prc_min, cot_prc_max, cot_prc_med, cot_prc_mediana) VALUES ("&amp;B858&amp;", "&amp;C858&amp;", "&amp;D858&amp;", "&amp;E858&amp;", "&amp;F858&amp;", "&amp;G858&amp;", "&amp;H858&amp;");"</f>
        <v>INSERT INTO COTACAO (blt_id, pap_id, cot_prc_comum, cot_prc_min, cot_prc_max, cot_prc_med, cot_prc_mediana) VALUES (22, 25, 80, 70, 100, 85, 80);</v>
      </c>
    </row>
    <row r="859" customFormat="false" ht="14.25" hidden="false" customHeight="false" outlineLevel="0" collapsed="false">
      <c r="A859" s="1" t="n">
        <v>858</v>
      </c>
      <c r="B859" s="1" t="n">
        <v>22</v>
      </c>
      <c r="C859" s="1" t="n">
        <v>26</v>
      </c>
      <c r="D859" s="16" t="n">
        <f aca="false">IF('Boletins Nuppa Site'!G859&lt;&gt;0,'Boletins Nuppa Site'!G859,"NULL")</f>
        <v>90</v>
      </c>
      <c r="E859" s="16" t="n">
        <f aca="false">IF('Boletins Nuppa Site'!H859&lt;&gt;0,'Boletins Nuppa Site'!H859,"NULL")</f>
        <v>65</v>
      </c>
      <c r="F859" s="16" t="n">
        <f aca="false">IF('Boletins Nuppa Site'!I859&lt;&gt;0,'Boletins Nuppa Site'!I859,"NULL")</f>
        <v>90</v>
      </c>
      <c r="G859" s="16" t="n">
        <f aca="false">IF('Boletins Nuppa Site'!J859&lt;&gt;0,'Boletins Nuppa Site'!J859,"NULL")</f>
        <v>81</v>
      </c>
      <c r="H859" s="16" t="n">
        <f aca="false">IF('Boletins Nuppa Site'!K859&lt;&gt;0,'Boletins Nuppa Site'!K859,"NULL")</f>
        <v>90</v>
      </c>
      <c r="J859" s="1" t="str">
        <f aca="false">"INSERT INTO COTACAO (blt_id, pap_id, cot_prc_comum, cot_prc_min, cot_prc_max, cot_prc_med, cot_prc_mediana) VALUES ("&amp;B859&amp;", "&amp;C859&amp;", "&amp;D859&amp;", "&amp;E859&amp;", "&amp;F859&amp;", "&amp;G859&amp;", "&amp;H859&amp;");"</f>
        <v>INSERT INTO COTACAO (blt_id, pap_id, cot_prc_comum, cot_prc_min, cot_prc_max, cot_prc_med, cot_prc_mediana) VALUES (22, 26, 90, 65, 90, 81, 90);</v>
      </c>
    </row>
    <row r="860" customFormat="false" ht="14.25" hidden="false" customHeight="false" outlineLevel="0" collapsed="false">
      <c r="A860" s="1" t="n">
        <v>859</v>
      </c>
      <c r="B860" s="1" t="n">
        <v>22</v>
      </c>
      <c r="C860" s="1" t="n">
        <v>27</v>
      </c>
      <c r="D860" s="1" t="str">
        <f aca="false">IF('Boletins Nuppa Site'!G860&lt;&gt;0,'Boletins Nuppa Site'!G860,"NULL")</f>
        <v>NULL</v>
      </c>
      <c r="E860" s="16" t="n">
        <f aca="false">IF('Boletins Nuppa Site'!H860&lt;&gt;0,'Boletins Nuppa Site'!H860,"NULL")</f>
        <v>55</v>
      </c>
      <c r="F860" s="16" t="n">
        <f aca="false">IF('Boletins Nuppa Site'!I860&lt;&gt;0,'Boletins Nuppa Site'!I860,"NULL")</f>
        <v>80</v>
      </c>
      <c r="G860" s="1" t="str">
        <f aca="false">IF('Boletins Nuppa Site'!J860&lt;&gt;0,'Boletins Nuppa Site'!J860,"NULL")</f>
        <v>66.25</v>
      </c>
      <c r="H860" s="16" t="n">
        <f aca="false">IF('Boletins Nuppa Site'!K860&lt;&gt;0,'Boletins Nuppa Site'!K860,"NULL")</f>
        <v>65</v>
      </c>
      <c r="J860" s="1" t="str">
        <f aca="false">"INSERT INTO COTACAO (blt_id, pap_id, cot_prc_comum, cot_prc_min, cot_prc_max, cot_prc_med, cot_prc_mediana) VALUES ("&amp;B860&amp;", "&amp;C860&amp;", "&amp;D860&amp;", "&amp;E860&amp;", "&amp;F860&amp;", "&amp;G860&amp;", "&amp;H860&amp;");"</f>
        <v>INSERT INTO COTACAO (blt_id, pap_id, cot_prc_comum, cot_prc_min, cot_prc_max, cot_prc_med, cot_prc_mediana) VALUES (22, 27, NULL, 55, 80, 66.25, 65);</v>
      </c>
    </row>
    <row r="861" customFormat="false" ht="14.25" hidden="false" customHeight="false" outlineLevel="0" collapsed="false">
      <c r="A861" s="1" t="n">
        <v>860</v>
      </c>
      <c r="B861" s="1" t="n">
        <v>22</v>
      </c>
      <c r="C861" s="1" t="n">
        <v>28</v>
      </c>
      <c r="D861" s="16" t="n">
        <f aca="false">IF('Boletins Nuppa Site'!G861&lt;&gt;0,'Boletins Nuppa Site'!G861,"NULL")</f>
        <v>100</v>
      </c>
      <c r="E861" s="16" t="n">
        <f aca="false">IF('Boletins Nuppa Site'!H861&lt;&gt;0,'Boletins Nuppa Site'!H861,"NULL")</f>
        <v>80</v>
      </c>
      <c r="F861" s="16" t="n">
        <f aca="false">IF('Boletins Nuppa Site'!I861&lt;&gt;0,'Boletins Nuppa Site'!I861,"NULL")</f>
        <v>100</v>
      </c>
      <c r="G861" s="16" t="n">
        <f aca="false">IF('Boletins Nuppa Site'!J861&lt;&gt;0,'Boletins Nuppa Site'!J861,"NULL")</f>
        <v>95</v>
      </c>
      <c r="H861" s="16" t="n">
        <f aca="false">IF('Boletins Nuppa Site'!K861&lt;&gt;0,'Boletins Nuppa Site'!K861,"NULL")</f>
        <v>100</v>
      </c>
      <c r="J861" s="1" t="str">
        <f aca="false">"INSERT INTO COTACAO (blt_id, pap_id, cot_prc_comum, cot_prc_min, cot_prc_max, cot_prc_med, cot_prc_mediana) VALUES ("&amp;B861&amp;", "&amp;C861&amp;", "&amp;D861&amp;", "&amp;E861&amp;", "&amp;F861&amp;", "&amp;G861&amp;", "&amp;H861&amp;");"</f>
        <v>INSERT INTO COTACAO (blt_id, pap_id, cot_prc_comum, cot_prc_min, cot_prc_max, cot_prc_med, cot_prc_mediana) VALUES (22, 28, 100, 80, 100, 95, 100);</v>
      </c>
    </row>
    <row r="862" customFormat="false" ht="14.25" hidden="false" customHeight="false" outlineLevel="0" collapsed="false">
      <c r="A862" s="1" t="n">
        <v>861</v>
      </c>
      <c r="B862" s="1" t="n">
        <v>22</v>
      </c>
      <c r="C862" s="1" t="n">
        <v>29</v>
      </c>
      <c r="D862" s="1" t="str">
        <f aca="false">IF('Boletins Nuppa Site'!G862&lt;&gt;0,'Boletins Nuppa Site'!G862,"NULL")</f>
        <v>NULL</v>
      </c>
      <c r="E862" s="16" t="n">
        <f aca="false">IF('Boletins Nuppa Site'!H862&lt;&gt;0,'Boletins Nuppa Site'!H862,"NULL")</f>
        <v>40</v>
      </c>
      <c r="F862" s="16" t="n">
        <f aca="false">IF('Boletins Nuppa Site'!I862&lt;&gt;0,'Boletins Nuppa Site'!I862,"NULL")</f>
        <v>60</v>
      </c>
      <c r="G862" s="1" t="str">
        <f aca="false">IF('Boletins Nuppa Site'!J862&lt;&gt;0,'Boletins Nuppa Site'!J862,"NULL")</f>
        <v>51.25</v>
      </c>
      <c r="H862" s="1" t="str">
        <f aca="false">IF('Boletins Nuppa Site'!K862&lt;&gt;0,'Boletins Nuppa Site'!K862,"NULL")</f>
        <v>52.5</v>
      </c>
      <c r="J862" s="1" t="str">
        <f aca="false">"INSERT INTO COTACAO (blt_id, pap_id, cot_prc_comum, cot_prc_min, cot_prc_max, cot_prc_med, cot_prc_mediana) VALUES ("&amp;B862&amp;", "&amp;C862&amp;", "&amp;D862&amp;", "&amp;E862&amp;", "&amp;F862&amp;", "&amp;G862&amp;", "&amp;H862&amp;");"</f>
        <v>INSERT INTO COTACAO (blt_id, pap_id, cot_prc_comum, cot_prc_min, cot_prc_max, cot_prc_med, cot_prc_mediana) VALUES (22, 29, NULL, 40, 60, 51.25, 52.5);</v>
      </c>
    </row>
    <row r="863" customFormat="false" ht="14.25" hidden="false" customHeight="false" outlineLevel="0" collapsed="false">
      <c r="A863" s="1" t="n">
        <v>862</v>
      </c>
      <c r="B863" s="1" t="n">
        <v>22</v>
      </c>
      <c r="C863" s="1" t="n">
        <v>30</v>
      </c>
      <c r="D863" s="1" t="str">
        <f aca="false">IF('Boletins Nuppa Site'!G863&lt;&gt;0,'Boletins Nuppa Site'!G863,"NULL")</f>
        <v>NULL</v>
      </c>
      <c r="E863" s="16" t="n">
        <f aca="false">IF('Boletins Nuppa Site'!H863&lt;&gt;0,'Boletins Nuppa Site'!H863,"NULL")</f>
        <v>50</v>
      </c>
      <c r="F863" s="16" t="n">
        <f aca="false">IF('Boletins Nuppa Site'!I863&lt;&gt;0,'Boletins Nuppa Site'!I863,"NULL")</f>
        <v>70</v>
      </c>
      <c r="G863" s="1" t="str">
        <f aca="false">IF('Boletins Nuppa Site'!J863&lt;&gt;0,'Boletins Nuppa Site'!J863,"NULL")</f>
        <v>61.67</v>
      </c>
      <c r="H863" s="16" t="n">
        <f aca="false">IF('Boletins Nuppa Site'!K863&lt;&gt;0,'Boletins Nuppa Site'!K863,"NULL")</f>
        <v>65</v>
      </c>
      <c r="J863" s="1" t="str">
        <f aca="false">"INSERT INTO COTACAO (blt_id, pap_id, cot_prc_comum, cot_prc_min, cot_prc_max, cot_prc_med, cot_prc_mediana) VALUES ("&amp;B863&amp;", "&amp;C863&amp;", "&amp;D863&amp;", "&amp;E863&amp;", "&amp;F863&amp;", "&amp;G863&amp;", "&amp;H863&amp;");"</f>
        <v>INSERT INTO COTACAO (blt_id, pap_id, cot_prc_comum, cot_prc_min, cot_prc_max, cot_prc_med, cot_prc_mediana) VALUES (22, 30, NULL, 50, 70, 61.67, 65);</v>
      </c>
    </row>
    <row r="864" customFormat="false" ht="14.25" hidden="false" customHeight="false" outlineLevel="0" collapsed="false">
      <c r="A864" s="1" t="n">
        <v>863</v>
      </c>
      <c r="B864" s="1" t="n">
        <v>22</v>
      </c>
      <c r="C864" s="1" t="n">
        <v>31</v>
      </c>
      <c r="D864" s="16" t="n">
        <f aca="false">IF('Boletins Nuppa Site'!G864&lt;&gt;0,'Boletins Nuppa Site'!G864,"NULL")</f>
        <v>60</v>
      </c>
      <c r="E864" s="16" t="n">
        <f aca="false">IF('Boletins Nuppa Site'!H864&lt;&gt;0,'Boletins Nuppa Site'!H864,"NULL")</f>
        <v>60</v>
      </c>
      <c r="F864" s="16" t="n">
        <f aca="false">IF('Boletins Nuppa Site'!I864&lt;&gt;0,'Boletins Nuppa Site'!I864,"NULL")</f>
        <v>70</v>
      </c>
      <c r="G864" s="16" t="n">
        <f aca="false">IF('Boletins Nuppa Site'!J864&lt;&gt;0,'Boletins Nuppa Site'!J864,"NULL")</f>
        <v>65</v>
      </c>
      <c r="H864" s="16" t="n">
        <f aca="false">IF('Boletins Nuppa Site'!K864&lt;&gt;0,'Boletins Nuppa Site'!K864,"NULL")</f>
        <v>65</v>
      </c>
      <c r="J864" s="1" t="str">
        <f aca="false">"INSERT INTO COTACAO (blt_id, pap_id, cot_prc_comum, cot_prc_min, cot_prc_max, cot_prc_med, cot_prc_mediana) VALUES ("&amp;B864&amp;", "&amp;C864&amp;", "&amp;D864&amp;", "&amp;E864&amp;", "&amp;F864&amp;", "&amp;G864&amp;", "&amp;H864&amp;");"</f>
        <v>INSERT INTO COTACAO (blt_id, pap_id, cot_prc_comum, cot_prc_min, cot_prc_max, cot_prc_med, cot_prc_mediana) VALUES (22, 31, 60, 60, 70, 65, 65);</v>
      </c>
    </row>
    <row r="865" customFormat="false" ht="14.25" hidden="false" customHeight="false" outlineLevel="0" collapsed="false">
      <c r="A865" s="1" t="n">
        <v>864</v>
      </c>
      <c r="B865" s="1" t="n">
        <v>22</v>
      </c>
      <c r="C865" s="1" t="n">
        <v>32</v>
      </c>
      <c r="D865" s="16" t="n">
        <f aca="false">IF('Boletins Nuppa Site'!G865&lt;&gt;0,'Boletins Nuppa Site'!G865,"NULL")</f>
        <v>45</v>
      </c>
      <c r="E865" s="16" t="n">
        <f aca="false">IF('Boletins Nuppa Site'!H865&lt;&gt;0,'Boletins Nuppa Site'!H865,"NULL")</f>
        <v>40</v>
      </c>
      <c r="F865" s="16" t="n">
        <f aca="false">IF('Boletins Nuppa Site'!I865&lt;&gt;0,'Boletins Nuppa Site'!I865,"NULL")</f>
        <v>60</v>
      </c>
      <c r="G865" s="1" t="str">
        <f aca="false">IF('Boletins Nuppa Site'!J865&lt;&gt;0,'Boletins Nuppa Site'!J865,"NULL")</f>
        <v>49.29</v>
      </c>
      <c r="H865" s="16" t="n">
        <f aca="false">IF('Boletins Nuppa Site'!K865&lt;&gt;0,'Boletins Nuppa Site'!K865,"NULL")</f>
        <v>50</v>
      </c>
      <c r="J865" s="1" t="str">
        <f aca="false">"INSERT INTO COTACAO (blt_id, pap_id, cot_prc_comum, cot_prc_min, cot_prc_max, cot_prc_med, cot_prc_mediana) VALUES ("&amp;B865&amp;", "&amp;C865&amp;", "&amp;D865&amp;", "&amp;E865&amp;", "&amp;F865&amp;", "&amp;G865&amp;", "&amp;H865&amp;");"</f>
        <v>INSERT INTO COTACAO (blt_id, pap_id, cot_prc_comum, cot_prc_min, cot_prc_max, cot_prc_med, cot_prc_mediana) VALUES (22, 32, 45, 40, 60, 49.29, 50);</v>
      </c>
    </row>
    <row r="866" customFormat="false" ht="14.25" hidden="false" customHeight="false" outlineLevel="0" collapsed="false">
      <c r="A866" s="1" t="n">
        <v>865</v>
      </c>
      <c r="B866" s="1" t="n">
        <v>22</v>
      </c>
      <c r="C866" s="1" t="n">
        <v>33</v>
      </c>
      <c r="D866" s="1" t="str">
        <f aca="false">IF('Boletins Nuppa Site'!G866&lt;&gt;0,'Boletins Nuppa Site'!G866,"NULL")</f>
        <v>NULL</v>
      </c>
      <c r="E866" s="16" t="n">
        <f aca="false">IF('Boletins Nuppa Site'!H866&lt;&gt;0,'Boletins Nuppa Site'!H866,"NULL")</f>
        <v>120</v>
      </c>
      <c r="F866" s="16" t="n">
        <f aca="false">IF('Boletins Nuppa Site'!I866&lt;&gt;0,'Boletins Nuppa Site'!I866,"NULL")</f>
        <v>180</v>
      </c>
      <c r="G866" s="1" t="str">
        <f aca="false">IF('Boletins Nuppa Site'!J866&lt;&gt;0,'Boletins Nuppa Site'!J866,"NULL")</f>
        <v>143.33</v>
      </c>
      <c r="H866" s="16" t="n">
        <f aca="false">IF('Boletins Nuppa Site'!K866&lt;&gt;0,'Boletins Nuppa Site'!K866,"NULL")</f>
        <v>130</v>
      </c>
      <c r="J866" s="1" t="str">
        <f aca="false">"INSERT INTO COTACAO (blt_id, pap_id, cot_prc_comum, cot_prc_min, cot_prc_max, cot_prc_med, cot_prc_mediana) VALUES ("&amp;B866&amp;", "&amp;C866&amp;", "&amp;D866&amp;", "&amp;E866&amp;", "&amp;F866&amp;", "&amp;G866&amp;", "&amp;H866&amp;");"</f>
        <v>INSERT INTO COTACAO (blt_id, pap_id, cot_prc_comum, cot_prc_min, cot_prc_max, cot_prc_med, cot_prc_mediana) VALUES (22, 33, NULL, 120, 180, 143.33, 130);</v>
      </c>
    </row>
    <row r="867" customFormat="false" ht="14.25" hidden="false" customHeight="false" outlineLevel="0" collapsed="false">
      <c r="A867" s="1" t="n">
        <v>866</v>
      </c>
      <c r="B867" s="1" t="n">
        <v>22</v>
      </c>
      <c r="C867" s="1" t="n">
        <v>34</v>
      </c>
      <c r="D867" s="16" t="n">
        <f aca="false">IF('Boletins Nuppa Site'!G867&lt;&gt;0,'Boletins Nuppa Site'!G867,"NULL")</f>
        <v>70</v>
      </c>
      <c r="E867" s="16" t="n">
        <f aca="false">IF('Boletins Nuppa Site'!H867&lt;&gt;0,'Boletins Nuppa Site'!H867,"NULL")</f>
        <v>70</v>
      </c>
      <c r="F867" s="16" t="n">
        <f aca="false">IF('Boletins Nuppa Site'!I867&lt;&gt;0,'Boletins Nuppa Site'!I867,"NULL")</f>
        <v>100</v>
      </c>
      <c r="G867" s="1" t="str">
        <f aca="false">IF('Boletins Nuppa Site'!J867&lt;&gt;0,'Boletins Nuppa Site'!J867,"NULL")</f>
        <v>83.33</v>
      </c>
      <c r="H867" s="16" t="n">
        <f aca="false">IF('Boletins Nuppa Site'!K867&lt;&gt;0,'Boletins Nuppa Site'!K867,"NULL")</f>
        <v>80</v>
      </c>
      <c r="J867" s="1" t="str">
        <f aca="false">"INSERT INTO COTACAO (blt_id, pap_id, cot_prc_comum, cot_prc_min, cot_prc_max, cot_prc_med, cot_prc_mediana) VALUES ("&amp;B867&amp;", "&amp;C867&amp;", "&amp;D867&amp;", "&amp;E867&amp;", "&amp;F867&amp;", "&amp;G867&amp;", "&amp;H867&amp;");"</f>
        <v>INSERT INTO COTACAO (blt_id, pap_id, cot_prc_comum, cot_prc_min, cot_prc_max, cot_prc_med, cot_prc_mediana) VALUES (22, 34, 70, 70, 100, 83.33, 80);</v>
      </c>
    </row>
    <row r="868" customFormat="false" ht="14.25" hidden="false" customHeight="false" outlineLevel="0" collapsed="false">
      <c r="A868" s="1" t="n">
        <v>867</v>
      </c>
      <c r="B868" s="1" t="n">
        <v>22</v>
      </c>
      <c r="C868" s="1" t="n">
        <v>35</v>
      </c>
      <c r="D868" s="16" t="n">
        <f aca="false">IF('Boletins Nuppa Site'!G868&lt;&gt;0,'Boletins Nuppa Site'!G868,"NULL")</f>
        <v>120</v>
      </c>
      <c r="E868" s="16" t="n">
        <f aca="false">IF('Boletins Nuppa Site'!H868&lt;&gt;0,'Boletins Nuppa Site'!H868,"NULL")</f>
        <v>100</v>
      </c>
      <c r="F868" s="16" t="n">
        <f aca="false">IF('Boletins Nuppa Site'!I868&lt;&gt;0,'Boletins Nuppa Site'!I868,"NULL")</f>
        <v>200</v>
      </c>
      <c r="G868" s="16" t="n">
        <f aca="false">IF('Boletins Nuppa Site'!J868&lt;&gt;0,'Boletins Nuppa Site'!J868,"NULL")</f>
        <v>135</v>
      </c>
      <c r="H868" s="16" t="n">
        <f aca="false">IF('Boletins Nuppa Site'!K868&lt;&gt;0,'Boletins Nuppa Site'!K868,"NULL")</f>
        <v>120</v>
      </c>
      <c r="J868" s="1" t="str">
        <f aca="false">"INSERT INTO COTACAO (blt_id, pap_id, cot_prc_comum, cot_prc_min, cot_prc_max, cot_prc_med, cot_prc_mediana) VALUES ("&amp;B868&amp;", "&amp;C868&amp;", "&amp;D868&amp;", "&amp;E868&amp;", "&amp;F868&amp;", "&amp;G868&amp;", "&amp;H868&amp;");"</f>
        <v>INSERT INTO COTACAO (blt_id, pap_id, cot_prc_comum, cot_prc_min, cot_prc_max, cot_prc_med, cot_prc_mediana) VALUES (22, 35, 120, 100, 200, 135, 120);</v>
      </c>
    </row>
    <row r="869" customFormat="false" ht="14.25" hidden="false" customHeight="false" outlineLevel="0" collapsed="false">
      <c r="A869" s="1" t="n">
        <v>868</v>
      </c>
      <c r="B869" s="1" t="n">
        <v>22</v>
      </c>
      <c r="C869" s="1" t="n">
        <v>36</v>
      </c>
      <c r="D869" s="1" t="str">
        <f aca="false">IF('Boletins Nuppa Site'!G869&lt;&gt;0,'Boletins Nuppa Site'!G869,"NULL")</f>
        <v>NULL</v>
      </c>
      <c r="E869" s="16" t="n">
        <f aca="false">IF('Boletins Nuppa Site'!H869&lt;&gt;0,'Boletins Nuppa Site'!H869,"NULL")</f>
        <v>130</v>
      </c>
      <c r="F869" s="16" t="n">
        <f aca="false">IF('Boletins Nuppa Site'!I869&lt;&gt;0,'Boletins Nuppa Site'!I869,"NULL")</f>
        <v>130</v>
      </c>
      <c r="G869" s="16" t="n">
        <f aca="false">IF('Boletins Nuppa Site'!J869&lt;&gt;0,'Boletins Nuppa Site'!J869,"NULL")</f>
        <v>130</v>
      </c>
      <c r="H869" s="16" t="n">
        <f aca="false">IF('Boletins Nuppa Site'!K869&lt;&gt;0,'Boletins Nuppa Site'!K869,"NULL")</f>
        <v>130</v>
      </c>
      <c r="J869" s="1" t="str">
        <f aca="false">"INSERT INTO COTACAO (blt_id, pap_id, cot_prc_comum, cot_prc_min, cot_prc_max, cot_prc_med, cot_prc_mediana) VALUES ("&amp;B869&amp;", "&amp;C869&amp;", "&amp;D869&amp;", "&amp;E869&amp;", "&amp;F869&amp;", "&amp;G869&amp;", "&amp;H869&amp;");"</f>
        <v>INSERT INTO COTACAO (blt_id, pap_id, cot_prc_comum, cot_prc_min, cot_prc_max, cot_prc_med, cot_prc_mediana) VALUES (22, 36, NULL, 130, 130, 130, 130);</v>
      </c>
    </row>
    <row r="870" customFormat="false" ht="14.25" hidden="false" customHeight="false" outlineLevel="0" collapsed="false">
      <c r="A870" s="1" t="n">
        <v>869</v>
      </c>
      <c r="B870" s="1" t="n">
        <v>22</v>
      </c>
      <c r="C870" s="1" t="n">
        <v>37</v>
      </c>
      <c r="D870" s="1" t="str">
        <f aca="false">IF('Boletins Nuppa Site'!G870&lt;&gt;0,'Boletins Nuppa Site'!G870,"NULL")</f>
        <v>NULL</v>
      </c>
      <c r="E870" s="1" t="str">
        <f aca="false">IF('Boletins Nuppa Site'!H870&lt;&gt;0,'Boletins Nuppa Site'!H870,"NULL")</f>
        <v>NULL</v>
      </c>
      <c r="F870" s="1" t="str">
        <f aca="false">IF('Boletins Nuppa Site'!I870&lt;&gt;0,'Boletins Nuppa Site'!I870,"NULL")</f>
        <v>NULL</v>
      </c>
      <c r="G870" s="1" t="str">
        <f aca="false">IF('Boletins Nuppa Site'!J870&lt;&gt;0,'Boletins Nuppa Site'!J870,"NULL")</f>
        <v>NULL</v>
      </c>
      <c r="H870" s="1" t="str">
        <f aca="false">IF('Boletins Nuppa Site'!K870&lt;&gt;0,'Boletins Nuppa Site'!K870,"NULL")</f>
        <v>NULL</v>
      </c>
      <c r="J870" s="1" t="str">
        <f aca="false">"INSERT INTO COTACAO (blt_id, pap_id, cot_prc_comum, cot_prc_min, cot_prc_max, cot_prc_med, cot_prc_mediana) VALUES ("&amp;B870&amp;", "&amp;C870&amp;", "&amp;D870&amp;", "&amp;E870&amp;", "&amp;F870&amp;", "&amp;G870&amp;", "&amp;H870&amp;");"</f>
        <v>INSERT INTO COTACAO (blt_id, pap_id, cot_prc_comum, cot_prc_min, cot_prc_max, cot_prc_med, cot_prc_mediana) VALUES (22, 37, NULL, NULL, NULL, NULL, NULL);</v>
      </c>
    </row>
    <row r="871" customFormat="false" ht="14.25" hidden="false" customHeight="false" outlineLevel="0" collapsed="false">
      <c r="A871" s="1" t="n">
        <v>870</v>
      </c>
      <c r="B871" s="1" t="n">
        <v>22</v>
      </c>
      <c r="C871" s="1" t="n">
        <v>38</v>
      </c>
      <c r="D871" s="1" t="str">
        <f aca="false">IF('Boletins Nuppa Site'!G871&lt;&gt;0,'Boletins Nuppa Site'!G871,"NULL")</f>
        <v>NULL</v>
      </c>
      <c r="E871" s="1" t="str">
        <f aca="false">IF('Boletins Nuppa Site'!H871&lt;&gt;0,'Boletins Nuppa Site'!H871,"NULL")</f>
        <v>NULL</v>
      </c>
      <c r="F871" s="1" t="str">
        <f aca="false">IF('Boletins Nuppa Site'!I871&lt;&gt;0,'Boletins Nuppa Site'!I871,"NULL")</f>
        <v>NULL</v>
      </c>
      <c r="G871" s="1" t="str">
        <f aca="false">IF('Boletins Nuppa Site'!J871&lt;&gt;0,'Boletins Nuppa Site'!J871,"NULL")</f>
        <v>NULL</v>
      </c>
      <c r="H871" s="1" t="str">
        <f aca="false">IF('Boletins Nuppa Site'!K871&lt;&gt;0,'Boletins Nuppa Site'!K871,"NULL")</f>
        <v>NULL</v>
      </c>
      <c r="J871" s="1" t="str">
        <f aca="false">"INSERT INTO COTACAO (blt_id, pap_id, cot_prc_comum, cot_prc_min, cot_prc_max, cot_prc_med, cot_prc_mediana) VALUES ("&amp;B871&amp;", "&amp;C871&amp;", "&amp;D871&amp;", "&amp;E871&amp;", "&amp;F871&amp;", "&amp;G871&amp;", "&amp;H871&amp;");"</f>
        <v>INSERT INTO COTACAO (blt_id, pap_id, cot_prc_comum, cot_prc_min, cot_prc_max, cot_prc_med, cot_prc_mediana) VALUES (22, 38, NULL, NULL, NULL, NULL, NULL);</v>
      </c>
    </row>
    <row r="872" customFormat="false" ht="14.25" hidden="false" customHeight="false" outlineLevel="0" collapsed="false">
      <c r="A872" s="1" t="n">
        <v>871</v>
      </c>
      <c r="B872" s="1" t="n">
        <v>22</v>
      </c>
      <c r="C872" s="1" t="n">
        <v>39</v>
      </c>
      <c r="D872" s="1" t="str">
        <f aca="false">IF('Boletins Nuppa Site'!G872&lt;&gt;0,'Boletins Nuppa Site'!G872,"NULL")</f>
        <v>NULL</v>
      </c>
      <c r="E872" s="16" t="n">
        <f aca="false">IF('Boletins Nuppa Site'!H872&lt;&gt;0,'Boletins Nuppa Site'!H872,"NULL")</f>
        <v>50</v>
      </c>
      <c r="F872" s="16" t="n">
        <f aca="false">IF('Boletins Nuppa Site'!I872&lt;&gt;0,'Boletins Nuppa Site'!I872,"NULL")</f>
        <v>50</v>
      </c>
      <c r="G872" s="16" t="n">
        <f aca="false">IF('Boletins Nuppa Site'!J872&lt;&gt;0,'Boletins Nuppa Site'!J872,"NULL")</f>
        <v>50</v>
      </c>
      <c r="H872" s="16" t="n">
        <f aca="false">IF('Boletins Nuppa Site'!K872&lt;&gt;0,'Boletins Nuppa Site'!K872,"NULL")</f>
        <v>50</v>
      </c>
      <c r="J872" s="1" t="str">
        <f aca="false">"INSERT INTO COTACAO (blt_id, pap_id, cot_prc_comum, cot_prc_min, cot_prc_max, cot_prc_med, cot_prc_mediana) VALUES ("&amp;B872&amp;", "&amp;C872&amp;", "&amp;D872&amp;", "&amp;E872&amp;", "&amp;F872&amp;", "&amp;G872&amp;", "&amp;H872&amp;");"</f>
        <v>INSERT INTO COTACAO (blt_id, pap_id, cot_prc_comum, cot_prc_min, cot_prc_max, cot_prc_med, cot_prc_mediana) VALUES (22, 39, NULL, 50, 50, 50, 50);</v>
      </c>
    </row>
    <row r="873" customFormat="false" ht="14.25" hidden="false" customHeight="false" outlineLevel="0" collapsed="false">
      <c r="A873" s="1" t="n">
        <v>872</v>
      </c>
      <c r="B873" s="1" t="n">
        <v>22</v>
      </c>
      <c r="C873" s="1" t="n">
        <v>40</v>
      </c>
      <c r="D873" s="1" t="str">
        <f aca="false">IF('Boletins Nuppa Site'!G873&lt;&gt;0,'Boletins Nuppa Site'!G873,"NULL")</f>
        <v>NULL</v>
      </c>
      <c r="E873" s="16" t="n">
        <f aca="false">IF('Boletins Nuppa Site'!H873&lt;&gt;0,'Boletins Nuppa Site'!H873,"NULL")</f>
        <v>60</v>
      </c>
      <c r="F873" s="16" t="n">
        <f aca="false">IF('Boletins Nuppa Site'!I873&lt;&gt;0,'Boletins Nuppa Site'!I873,"NULL")</f>
        <v>65</v>
      </c>
      <c r="G873" s="1" t="str">
        <f aca="false">IF('Boletins Nuppa Site'!J873&lt;&gt;0,'Boletins Nuppa Site'!J873,"NULL")</f>
        <v>62.5</v>
      </c>
      <c r="H873" s="1" t="str">
        <f aca="false">IF('Boletins Nuppa Site'!K873&lt;&gt;0,'Boletins Nuppa Site'!K873,"NULL")</f>
        <v>62.5</v>
      </c>
      <c r="J873" s="1" t="str">
        <f aca="false">"INSERT INTO COTACAO (blt_id, pap_id, cot_prc_comum, cot_prc_min, cot_prc_max, cot_prc_med, cot_prc_mediana) VALUES ("&amp;B873&amp;", "&amp;C873&amp;", "&amp;D873&amp;", "&amp;E873&amp;", "&amp;F873&amp;", "&amp;G873&amp;", "&amp;H873&amp;");"</f>
        <v>INSERT INTO COTACAO (blt_id, pap_id, cot_prc_comum, cot_prc_min, cot_prc_max, cot_prc_med, cot_prc_mediana) VALUES (22, 40, NULL, 60, 65, 62.5, 62.5);</v>
      </c>
    </row>
    <row r="874" customFormat="false" ht="14.25" hidden="false" customHeight="false" outlineLevel="0" collapsed="false">
      <c r="A874" s="1" t="n">
        <v>873</v>
      </c>
      <c r="B874" s="1" t="n">
        <v>23</v>
      </c>
      <c r="C874" s="1" t="n">
        <v>1</v>
      </c>
      <c r="D874" s="16" t="n">
        <f aca="false">IF('Boletins Nuppa Site'!G874&lt;&gt;0,'Boletins Nuppa Site'!G874,"NULL")</f>
        <v>60</v>
      </c>
      <c r="E874" s="16" t="n">
        <f aca="false">IF('Boletins Nuppa Site'!H874&lt;&gt;0,'Boletins Nuppa Site'!H874,"NULL")</f>
        <v>48</v>
      </c>
      <c r="F874" s="16" t="n">
        <f aca="false">IF('Boletins Nuppa Site'!I874&lt;&gt;0,'Boletins Nuppa Site'!I874,"NULL")</f>
        <v>60</v>
      </c>
      <c r="G874" s="16" t="n">
        <f aca="false">IF('Boletins Nuppa Site'!J874&lt;&gt;0,'Boletins Nuppa Site'!J874,"NULL")</f>
        <v>57</v>
      </c>
      <c r="H874" s="16" t="n">
        <f aca="false">IF('Boletins Nuppa Site'!K874&lt;&gt;0,'Boletins Nuppa Site'!K874,"NULL")</f>
        <v>60</v>
      </c>
      <c r="J874" s="1" t="str">
        <f aca="false">"INSERT INTO COTACAO (blt_id, pap_id, cot_prc_comum, cot_prc_min, cot_prc_max, cot_prc_med, cot_prc_mediana) VALUES ("&amp;B874&amp;", "&amp;C874&amp;", "&amp;D874&amp;", "&amp;E874&amp;", "&amp;F874&amp;", "&amp;G874&amp;", "&amp;H874&amp;");"</f>
        <v>INSERT INTO COTACAO (blt_id, pap_id, cot_prc_comum, cot_prc_min, cot_prc_max, cot_prc_med, cot_prc_mediana) VALUES (23, 1, 60, 48, 60, 57, 60);</v>
      </c>
    </row>
    <row r="875" customFormat="false" ht="14.25" hidden="false" customHeight="false" outlineLevel="0" collapsed="false">
      <c r="A875" s="1" t="n">
        <v>874</v>
      </c>
      <c r="B875" s="1" t="n">
        <v>23</v>
      </c>
      <c r="C875" s="1" t="n">
        <v>2</v>
      </c>
      <c r="D875" s="16" t="n">
        <f aca="false">IF('Boletins Nuppa Site'!G875&lt;&gt;0,'Boletins Nuppa Site'!G875,"NULL")</f>
        <v>72</v>
      </c>
      <c r="E875" s="16" t="n">
        <f aca="false">IF('Boletins Nuppa Site'!H875&lt;&gt;0,'Boletins Nuppa Site'!H875,"NULL")</f>
        <v>72</v>
      </c>
      <c r="F875" s="16" t="n">
        <f aca="false">IF('Boletins Nuppa Site'!I875&lt;&gt;0,'Boletins Nuppa Site'!I875,"NULL")</f>
        <v>84</v>
      </c>
      <c r="G875" s="16" t="n">
        <f aca="false">IF('Boletins Nuppa Site'!J875&lt;&gt;0,'Boletins Nuppa Site'!J875,"NULL")</f>
        <v>75</v>
      </c>
      <c r="H875" s="16" t="n">
        <f aca="false">IF('Boletins Nuppa Site'!K875&lt;&gt;0,'Boletins Nuppa Site'!K875,"NULL")</f>
        <v>72</v>
      </c>
      <c r="J875" s="1" t="str">
        <f aca="false">"INSERT INTO COTACAO (blt_id, pap_id, cot_prc_comum, cot_prc_min, cot_prc_max, cot_prc_med, cot_prc_mediana) VALUES ("&amp;B875&amp;", "&amp;C875&amp;", "&amp;D875&amp;", "&amp;E875&amp;", "&amp;F875&amp;", "&amp;G875&amp;", "&amp;H875&amp;");"</f>
        <v>INSERT INTO COTACAO (blt_id, pap_id, cot_prc_comum, cot_prc_min, cot_prc_max, cot_prc_med, cot_prc_mediana) VALUES (23, 2, 72, 72, 84, 75, 72);</v>
      </c>
    </row>
    <row r="876" customFormat="false" ht="14.25" hidden="false" customHeight="false" outlineLevel="0" collapsed="false">
      <c r="A876" s="1" t="n">
        <v>875</v>
      </c>
      <c r="B876" s="1" t="n">
        <v>23</v>
      </c>
      <c r="C876" s="1" t="n">
        <v>3</v>
      </c>
      <c r="D876" s="1" t="str">
        <f aca="false">IF('Boletins Nuppa Site'!G876&lt;&gt;0,'Boletins Nuppa Site'!G876,"NULL")</f>
        <v>NULL</v>
      </c>
      <c r="E876" s="16" t="n">
        <f aca="false">IF('Boletins Nuppa Site'!H876&lt;&gt;0,'Boletins Nuppa Site'!H876,"NULL")</f>
        <v>30</v>
      </c>
      <c r="F876" s="16" t="n">
        <f aca="false">IF('Boletins Nuppa Site'!I876&lt;&gt;0,'Boletins Nuppa Site'!I876,"NULL")</f>
        <v>48</v>
      </c>
      <c r="G876" s="16" t="n">
        <f aca="false">IF('Boletins Nuppa Site'!J876&lt;&gt;0,'Boletins Nuppa Site'!J876,"NULL")</f>
        <v>39</v>
      </c>
      <c r="H876" s="16" t="n">
        <f aca="false">IF('Boletins Nuppa Site'!K876&lt;&gt;0,'Boletins Nuppa Site'!K876,"NULL")</f>
        <v>39</v>
      </c>
      <c r="J876" s="1" t="str">
        <f aca="false">"INSERT INTO COTACAO (blt_id, pap_id, cot_prc_comum, cot_prc_min, cot_prc_max, cot_prc_med, cot_prc_mediana) VALUES ("&amp;B876&amp;", "&amp;C876&amp;", "&amp;D876&amp;", "&amp;E876&amp;", "&amp;F876&amp;", "&amp;G876&amp;", "&amp;H876&amp;");"</f>
        <v>INSERT INTO COTACAO (blt_id, pap_id, cot_prc_comum, cot_prc_min, cot_prc_max, cot_prc_med, cot_prc_mediana) VALUES (23, 3, NULL, 30, 48, 39, 39);</v>
      </c>
    </row>
    <row r="877" customFormat="false" ht="14.25" hidden="false" customHeight="false" outlineLevel="0" collapsed="false">
      <c r="A877" s="1" t="n">
        <v>876</v>
      </c>
      <c r="B877" s="1" t="n">
        <v>23</v>
      </c>
      <c r="C877" s="1" t="n">
        <v>4</v>
      </c>
      <c r="D877" s="16" t="n">
        <f aca="false">IF('Boletins Nuppa Site'!G877&lt;&gt;0,'Boletins Nuppa Site'!G877,"NULL")</f>
        <v>30</v>
      </c>
      <c r="E877" s="16" t="n">
        <f aca="false">IF('Boletins Nuppa Site'!H877&lt;&gt;0,'Boletins Nuppa Site'!H877,"NULL")</f>
        <v>20</v>
      </c>
      <c r="F877" s="16" t="n">
        <f aca="false">IF('Boletins Nuppa Site'!I877&lt;&gt;0,'Boletins Nuppa Site'!I877,"NULL")</f>
        <v>30</v>
      </c>
      <c r="G877" s="16" t="n">
        <f aca="false">IF('Boletins Nuppa Site'!J877&lt;&gt;0,'Boletins Nuppa Site'!J877,"NULL")</f>
        <v>26</v>
      </c>
      <c r="H877" s="16" t="n">
        <f aca="false">IF('Boletins Nuppa Site'!K877&lt;&gt;0,'Boletins Nuppa Site'!K877,"NULL")</f>
        <v>27</v>
      </c>
      <c r="J877" s="1" t="str">
        <f aca="false">"INSERT INTO COTACAO (blt_id, pap_id, cot_prc_comum, cot_prc_min, cot_prc_max, cot_prc_med, cot_prc_mediana) VALUES ("&amp;B877&amp;", "&amp;C877&amp;", "&amp;D877&amp;", "&amp;E877&amp;", "&amp;F877&amp;", "&amp;G877&amp;", "&amp;H877&amp;");"</f>
        <v>INSERT INTO COTACAO (blt_id, pap_id, cot_prc_comum, cot_prc_min, cot_prc_max, cot_prc_med, cot_prc_mediana) VALUES (23, 4, 30, 20, 30, 26, 27);</v>
      </c>
    </row>
    <row r="878" customFormat="false" ht="14.25" hidden="false" customHeight="false" outlineLevel="0" collapsed="false">
      <c r="A878" s="1" t="n">
        <v>877</v>
      </c>
      <c r="B878" s="1" t="n">
        <v>23</v>
      </c>
      <c r="C878" s="1" t="n">
        <v>5</v>
      </c>
      <c r="D878" s="16" t="n">
        <f aca="false">IF('Boletins Nuppa Site'!G878&lt;&gt;0,'Boletins Nuppa Site'!G878,"NULL")</f>
        <v>30</v>
      </c>
      <c r="E878" s="16" t="n">
        <f aca="false">IF('Boletins Nuppa Site'!H878&lt;&gt;0,'Boletins Nuppa Site'!H878,"NULL")</f>
        <v>18</v>
      </c>
      <c r="F878" s="16" t="n">
        <f aca="false">IF('Boletins Nuppa Site'!I878&lt;&gt;0,'Boletins Nuppa Site'!I878,"NULL")</f>
        <v>30</v>
      </c>
      <c r="G878" s="1" t="str">
        <f aca="false">IF('Boletins Nuppa Site'!J878&lt;&gt;0,'Boletins Nuppa Site'!J878,"NULL")</f>
        <v>24.5</v>
      </c>
      <c r="H878" s="16" t="n">
        <f aca="false">IF('Boletins Nuppa Site'!K878&lt;&gt;0,'Boletins Nuppa Site'!K878,"NULL")</f>
        <v>25</v>
      </c>
      <c r="J878" s="1" t="str">
        <f aca="false">"INSERT INTO COTACAO (blt_id, pap_id, cot_prc_comum, cot_prc_min, cot_prc_max, cot_prc_med, cot_prc_mediana) VALUES ("&amp;B878&amp;", "&amp;C878&amp;", "&amp;D878&amp;", "&amp;E878&amp;", "&amp;F878&amp;", "&amp;G878&amp;", "&amp;H878&amp;");"</f>
        <v>INSERT INTO COTACAO (blt_id, pap_id, cot_prc_comum, cot_prc_min, cot_prc_max, cot_prc_med, cot_prc_mediana) VALUES (23, 5, 30, 18, 30, 24.5, 25);</v>
      </c>
    </row>
    <row r="879" customFormat="false" ht="14.25" hidden="false" customHeight="false" outlineLevel="0" collapsed="false">
      <c r="A879" s="1" t="n">
        <v>878</v>
      </c>
      <c r="B879" s="1" t="n">
        <v>23</v>
      </c>
      <c r="C879" s="1" t="n">
        <v>6</v>
      </c>
      <c r="D879" s="16" t="n">
        <f aca="false">IF('Boletins Nuppa Site'!G879&lt;&gt;0,'Boletins Nuppa Site'!G879,"NULL")</f>
        <v>60</v>
      </c>
      <c r="E879" s="16" t="n">
        <f aca="false">IF('Boletins Nuppa Site'!H879&lt;&gt;0,'Boletins Nuppa Site'!H879,"NULL")</f>
        <v>48</v>
      </c>
      <c r="F879" s="16" t="n">
        <f aca="false">IF('Boletins Nuppa Site'!I879&lt;&gt;0,'Boletins Nuppa Site'!I879,"NULL")</f>
        <v>60</v>
      </c>
      <c r="G879" s="16" t="n">
        <f aca="false">IF('Boletins Nuppa Site'!J879&lt;&gt;0,'Boletins Nuppa Site'!J879,"NULL")</f>
        <v>57</v>
      </c>
      <c r="H879" s="16" t="n">
        <f aca="false">IF('Boletins Nuppa Site'!K879&lt;&gt;0,'Boletins Nuppa Site'!K879,"NULL")</f>
        <v>60</v>
      </c>
      <c r="J879" s="1" t="str">
        <f aca="false">"INSERT INTO COTACAO (blt_id, pap_id, cot_prc_comum, cot_prc_min, cot_prc_max, cot_prc_med, cot_prc_mediana) VALUES ("&amp;B879&amp;", "&amp;C879&amp;", "&amp;D879&amp;", "&amp;E879&amp;", "&amp;F879&amp;", "&amp;G879&amp;", "&amp;H879&amp;");"</f>
        <v>INSERT INTO COTACAO (blt_id, pap_id, cot_prc_comum, cot_prc_min, cot_prc_max, cot_prc_med, cot_prc_mediana) VALUES (23, 6, 60, 48, 60, 57, 60);</v>
      </c>
    </row>
    <row r="880" customFormat="false" ht="14.25" hidden="false" customHeight="false" outlineLevel="0" collapsed="false">
      <c r="A880" s="1" t="n">
        <v>879</v>
      </c>
      <c r="B880" s="1" t="n">
        <v>23</v>
      </c>
      <c r="C880" s="1" t="n">
        <v>7</v>
      </c>
      <c r="D880" s="16" t="n">
        <f aca="false">IF('Boletins Nuppa Site'!G880&lt;&gt;0,'Boletins Nuppa Site'!G880,"NULL")</f>
        <v>60</v>
      </c>
      <c r="E880" s="16" t="n">
        <f aca="false">IF('Boletins Nuppa Site'!H880&lt;&gt;0,'Boletins Nuppa Site'!H880,"NULL")</f>
        <v>60</v>
      </c>
      <c r="F880" s="16" t="n">
        <f aca="false">IF('Boletins Nuppa Site'!I880&lt;&gt;0,'Boletins Nuppa Site'!I880,"NULL")</f>
        <v>76</v>
      </c>
      <c r="G880" s="16" t="n">
        <f aca="false">IF('Boletins Nuppa Site'!J880&lt;&gt;0,'Boletins Nuppa Site'!J880,"NULL")</f>
        <v>64</v>
      </c>
      <c r="H880" s="16" t="n">
        <f aca="false">IF('Boletins Nuppa Site'!K880&lt;&gt;0,'Boletins Nuppa Site'!K880,"NULL")</f>
        <v>60</v>
      </c>
      <c r="J880" s="1" t="str">
        <f aca="false">"INSERT INTO COTACAO (blt_id, pap_id, cot_prc_comum, cot_prc_min, cot_prc_max, cot_prc_med, cot_prc_mediana) VALUES ("&amp;B880&amp;", "&amp;C880&amp;", "&amp;D880&amp;", "&amp;E880&amp;", "&amp;F880&amp;", "&amp;G880&amp;", "&amp;H880&amp;");"</f>
        <v>INSERT INTO COTACAO (blt_id, pap_id, cot_prc_comum, cot_prc_min, cot_prc_max, cot_prc_med, cot_prc_mediana) VALUES (23, 7, 60, 60, 76, 64, 60);</v>
      </c>
    </row>
    <row r="881" customFormat="false" ht="14.25" hidden="false" customHeight="false" outlineLevel="0" collapsed="false">
      <c r="A881" s="1" t="n">
        <v>880</v>
      </c>
      <c r="B881" s="1" t="n">
        <v>23</v>
      </c>
      <c r="C881" s="1" t="n">
        <v>8</v>
      </c>
      <c r="D881" s="16" t="n">
        <f aca="false">IF('Boletins Nuppa Site'!G881&lt;&gt;0,'Boletins Nuppa Site'!G881,"NULL")</f>
        <v>84</v>
      </c>
      <c r="E881" s="16" t="n">
        <f aca="false">IF('Boletins Nuppa Site'!H881&lt;&gt;0,'Boletins Nuppa Site'!H881,"NULL")</f>
        <v>72</v>
      </c>
      <c r="F881" s="16" t="n">
        <f aca="false">IF('Boletins Nuppa Site'!I881&lt;&gt;0,'Boletins Nuppa Site'!I881,"NULL")</f>
        <v>84</v>
      </c>
      <c r="G881" s="16" t="n">
        <f aca="false">IF('Boletins Nuppa Site'!J881&lt;&gt;0,'Boletins Nuppa Site'!J881,"NULL")</f>
        <v>80</v>
      </c>
      <c r="H881" s="16" t="n">
        <f aca="false">IF('Boletins Nuppa Site'!K881&lt;&gt;0,'Boletins Nuppa Site'!K881,"NULL")</f>
        <v>82</v>
      </c>
      <c r="J881" s="1" t="str">
        <f aca="false">"INSERT INTO COTACAO (blt_id, pap_id, cot_prc_comum, cot_prc_min, cot_prc_max, cot_prc_med, cot_prc_mediana) VALUES ("&amp;B881&amp;", "&amp;C881&amp;", "&amp;D881&amp;", "&amp;E881&amp;", "&amp;F881&amp;", "&amp;G881&amp;", "&amp;H881&amp;");"</f>
        <v>INSERT INTO COTACAO (blt_id, pap_id, cot_prc_comum, cot_prc_min, cot_prc_max, cot_prc_med, cot_prc_mediana) VALUES (23, 8, 84, 72, 84, 80, 82);</v>
      </c>
    </row>
    <row r="882" customFormat="false" ht="14.25" hidden="false" customHeight="false" outlineLevel="0" collapsed="false">
      <c r="A882" s="1" t="n">
        <v>881</v>
      </c>
      <c r="B882" s="1" t="n">
        <v>23</v>
      </c>
      <c r="C882" s="1" t="n">
        <v>9</v>
      </c>
      <c r="D882" s="16" t="n">
        <f aca="false">IF('Boletins Nuppa Site'!G882&lt;&gt;0,'Boletins Nuppa Site'!G882,"NULL")</f>
        <v>24</v>
      </c>
      <c r="E882" s="16" t="n">
        <f aca="false">IF('Boletins Nuppa Site'!H882&lt;&gt;0,'Boletins Nuppa Site'!H882,"NULL")</f>
        <v>20</v>
      </c>
      <c r="F882" s="16" t="n">
        <f aca="false">IF('Boletins Nuppa Site'!I882&lt;&gt;0,'Boletins Nuppa Site'!I882,"NULL")</f>
        <v>30</v>
      </c>
      <c r="G882" s="1" t="str">
        <f aca="false">IF('Boletins Nuppa Site'!J882&lt;&gt;0,'Boletins Nuppa Site'!J882,"NULL")</f>
        <v>24.5</v>
      </c>
      <c r="H882" s="16" t="n">
        <f aca="false">IF('Boletins Nuppa Site'!K882&lt;&gt;0,'Boletins Nuppa Site'!K882,"NULL")</f>
        <v>24</v>
      </c>
      <c r="J882" s="1" t="str">
        <f aca="false">"INSERT INTO COTACAO (blt_id, pap_id, cot_prc_comum, cot_prc_min, cot_prc_max, cot_prc_med, cot_prc_mediana) VALUES ("&amp;B882&amp;", "&amp;C882&amp;", "&amp;D882&amp;", "&amp;E882&amp;", "&amp;F882&amp;", "&amp;G882&amp;", "&amp;H882&amp;");"</f>
        <v>INSERT INTO COTACAO (blt_id, pap_id, cot_prc_comum, cot_prc_min, cot_prc_max, cot_prc_med, cot_prc_mediana) VALUES (23, 9, 24, 20, 30, 24.5, 24);</v>
      </c>
    </row>
    <row r="883" customFormat="false" ht="14.25" hidden="false" customHeight="false" outlineLevel="0" collapsed="false">
      <c r="A883" s="1" t="n">
        <v>882</v>
      </c>
      <c r="B883" s="1" t="n">
        <v>23</v>
      </c>
      <c r="C883" s="1" t="n">
        <v>10</v>
      </c>
      <c r="D883" s="1" t="str">
        <f aca="false">IF('Boletins Nuppa Site'!G883&lt;&gt;0,'Boletins Nuppa Site'!G883,"NULL")</f>
        <v>NULL</v>
      </c>
      <c r="E883" s="16" t="n">
        <f aca="false">IF('Boletins Nuppa Site'!H883&lt;&gt;0,'Boletins Nuppa Site'!H883,"NULL")</f>
        <v>60</v>
      </c>
      <c r="F883" s="16" t="n">
        <f aca="false">IF('Boletins Nuppa Site'!I883&lt;&gt;0,'Boletins Nuppa Site'!I883,"NULL")</f>
        <v>84</v>
      </c>
      <c r="G883" s="1" t="str">
        <f aca="false">IF('Boletins Nuppa Site'!J883&lt;&gt;0,'Boletins Nuppa Site'!J883,"NULL")</f>
        <v>71.5</v>
      </c>
      <c r="H883" s="16" t="n">
        <f aca="false">IF('Boletins Nuppa Site'!K883&lt;&gt;0,'Boletins Nuppa Site'!K883,"NULL")</f>
        <v>71</v>
      </c>
      <c r="J883" s="1" t="str">
        <f aca="false">"INSERT INTO COTACAO (blt_id, pap_id, cot_prc_comum, cot_prc_min, cot_prc_max, cot_prc_med, cot_prc_mediana) VALUES ("&amp;B883&amp;", "&amp;C883&amp;", "&amp;D883&amp;", "&amp;E883&amp;", "&amp;F883&amp;", "&amp;G883&amp;", "&amp;H883&amp;");"</f>
        <v>INSERT INTO COTACAO (blt_id, pap_id, cot_prc_comum, cot_prc_min, cot_prc_max, cot_prc_med, cot_prc_mediana) VALUES (23, 10, NULL, 60, 84, 71.5, 71);</v>
      </c>
    </row>
    <row r="884" customFormat="false" ht="14.25" hidden="false" customHeight="false" outlineLevel="0" collapsed="false">
      <c r="A884" s="1" t="n">
        <v>883</v>
      </c>
      <c r="B884" s="1" t="n">
        <v>23</v>
      </c>
      <c r="C884" s="1" t="n">
        <v>11</v>
      </c>
      <c r="D884" s="16" t="n">
        <f aca="false">IF('Boletins Nuppa Site'!G884&lt;&gt;0,'Boletins Nuppa Site'!G884,"NULL")</f>
        <v>24</v>
      </c>
      <c r="E884" s="16" t="n">
        <f aca="false">IF('Boletins Nuppa Site'!H884&lt;&gt;0,'Boletins Nuppa Site'!H884,"NULL")</f>
        <v>24</v>
      </c>
      <c r="F884" s="16" t="n">
        <f aca="false">IF('Boletins Nuppa Site'!I884&lt;&gt;0,'Boletins Nuppa Site'!I884,"NULL")</f>
        <v>30</v>
      </c>
      <c r="G884" s="16" t="n">
        <f aca="false">IF('Boletins Nuppa Site'!J884&lt;&gt;0,'Boletins Nuppa Site'!J884,"NULL")</f>
        <v>27</v>
      </c>
      <c r="H884" s="16" t="n">
        <f aca="false">IF('Boletins Nuppa Site'!K884&lt;&gt;0,'Boletins Nuppa Site'!K884,"NULL")</f>
        <v>27</v>
      </c>
      <c r="J884" s="1" t="str">
        <f aca="false">"INSERT INTO COTACAO (blt_id, pap_id, cot_prc_comum, cot_prc_min, cot_prc_max, cot_prc_med, cot_prc_mediana) VALUES ("&amp;B884&amp;", "&amp;C884&amp;", "&amp;D884&amp;", "&amp;E884&amp;", "&amp;F884&amp;", "&amp;G884&amp;", "&amp;H884&amp;");"</f>
        <v>INSERT INTO COTACAO (blt_id, pap_id, cot_prc_comum, cot_prc_min, cot_prc_max, cot_prc_med, cot_prc_mediana) VALUES (23, 11, 24, 24, 30, 27, 27);</v>
      </c>
    </row>
    <row r="885" customFormat="false" ht="14.25" hidden="false" customHeight="false" outlineLevel="0" collapsed="false">
      <c r="A885" s="1" t="n">
        <v>884</v>
      </c>
      <c r="B885" s="1" t="n">
        <v>23</v>
      </c>
      <c r="C885" s="1" t="n">
        <v>12</v>
      </c>
      <c r="D885" s="16" t="n">
        <f aca="false">IF('Boletins Nuppa Site'!G885&lt;&gt;0,'Boletins Nuppa Site'!G885,"NULL")</f>
        <v>72</v>
      </c>
      <c r="E885" s="16" t="n">
        <f aca="false">IF('Boletins Nuppa Site'!H885&lt;&gt;0,'Boletins Nuppa Site'!H885,"NULL")</f>
        <v>60</v>
      </c>
      <c r="F885" s="16" t="n">
        <f aca="false">IF('Boletins Nuppa Site'!I885&lt;&gt;0,'Boletins Nuppa Site'!I885,"NULL")</f>
        <v>72</v>
      </c>
      <c r="G885" s="16" t="n">
        <f aca="false">IF('Boletins Nuppa Site'!J885&lt;&gt;0,'Boletins Nuppa Site'!J885,"NULL")</f>
        <v>69</v>
      </c>
      <c r="H885" s="16" t="n">
        <f aca="false">IF('Boletins Nuppa Site'!K885&lt;&gt;0,'Boletins Nuppa Site'!K885,"NULL")</f>
        <v>72</v>
      </c>
      <c r="J885" s="1" t="str">
        <f aca="false">"INSERT INTO COTACAO (blt_id, pap_id, cot_prc_comum, cot_prc_min, cot_prc_max, cot_prc_med, cot_prc_mediana) VALUES ("&amp;B885&amp;", "&amp;C885&amp;", "&amp;D885&amp;", "&amp;E885&amp;", "&amp;F885&amp;", "&amp;G885&amp;", "&amp;H885&amp;");"</f>
        <v>INSERT INTO COTACAO (blt_id, pap_id, cot_prc_comum, cot_prc_min, cot_prc_max, cot_prc_med, cot_prc_mediana) VALUES (23, 12, 72, 60, 72, 69, 72);</v>
      </c>
    </row>
    <row r="886" customFormat="false" ht="14.25" hidden="false" customHeight="false" outlineLevel="0" collapsed="false">
      <c r="A886" s="1" t="n">
        <v>885</v>
      </c>
      <c r="B886" s="1" t="n">
        <v>23</v>
      </c>
      <c r="C886" s="1" t="n">
        <v>13</v>
      </c>
      <c r="D886" s="16" t="n">
        <f aca="false">IF('Boletins Nuppa Site'!G886&lt;&gt;0,'Boletins Nuppa Site'!G886,"NULL")</f>
        <v>60</v>
      </c>
      <c r="E886" s="16" t="n">
        <f aca="false">IF('Boletins Nuppa Site'!H886&lt;&gt;0,'Boletins Nuppa Site'!H886,"NULL")</f>
        <v>60</v>
      </c>
      <c r="F886" s="16" t="n">
        <f aca="false">IF('Boletins Nuppa Site'!I886&lt;&gt;0,'Boletins Nuppa Site'!I886,"NULL")</f>
        <v>60</v>
      </c>
      <c r="G886" s="16" t="n">
        <f aca="false">IF('Boletins Nuppa Site'!J886&lt;&gt;0,'Boletins Nuppa Site'!J886,"NULL")</f>
        <v>60</v>
      </c>
      <c r="H886" s="16" t="n">
        <f aca="false">IF('Boletins Nuppa Site'!K886&lt;&gt;0,'Boletins Nuppa Site'!K886,"NULL")</f>
        <v>60</v>
      </c>
      <c r="J886" s="1" t="str">
        <f aca="false">"INSERT INTO COTACAO (blt_id, pap_id, cot_prc_comum, cot_prc_min, cot_prc_max, cot_prc_med, cot_prc_mediana) VALUES ("&amp;B886&amp;", "&amp;C886&amp;", "&amp;D886&amp;", "&amp;E886&amp;", "&amp;F886&amp;", "&amp;G886&amp;", "&amp;H886&amp;");"</f>
        <v>INSERT INTO COTACAO (blt_id, pap_id, cot_prc_comum, cot_prc_min, cot_prc_max, cot_prc_med, cot_prc_mediana) VALUES (23, 13, 60, 60, 60, 60, 60);</v>
      </c>
    </row>
    <row r="887" customFormat="false" ht="14.25" hidden="false" customHeight="false" outlineLevel="0" collapsed="false">
      <c r="A887" s="1" t="n">
        <v>886</v>
      </c>
      <c r="B887" s="1" t="n">
        <v>23</v>
      </c>
      <c r="C887" s="1" t="n">
        <v>14</v>
      </c>
      <c r="D887" s="1" t="str">
        <f aca="false">IF('Boletins Nuppa Site'!G887&lt;&gt;0,'Boletins Nuppa Site'!G887,"NULL")</f>
        <v>NULL</v>
      </c>
      <c r="E887" s="16" t="n">
        <f aca="false">IF('Boletins Nuppa Site'!H887&lt;&gt;0,'Boletins Nuppa Site'!H887,"NULL")</f>
        <v>60</v>
      </c>
      <c r="F887" s="16" t="n">
        <f aca="false">IF('Boletins Nuppa Site'!I887&lt;&gt;0,'Boletins Nuppa Site'!I887,"NULL")</f>
        <v>84</v>
      </c>
      <c r="G887" s="16" t="n">
        <f aca="false">IF('Boletins Nuppa Site'!J887&lt;&gt;0,'Boletins Nuppa Site'!J887,"NULL")</f>
        <v>72</v>
      </c>
      <c r="H887" s="16" t="n">
        <f aca="false">IF('Boletins Nuppa Site'!K887&lt;&gt;0,'Boletins Nuppa Site'!K887,"NULL")</f>
        <v>72</v>
      </c>
      <c r="J887" s="1" t="str">
        <f aca="false">"INSERT INTO COTACAO (blt_id, pap_id, cot_prc_comum, cot_prc_min, cot_prc_max, cot_prc_med, cot_prc_mediana) VALUES ("&amp;B887&amp;", "&amp;C887&amp;", "&amp;D887&amp;", "&amp;E887&amp;", "&amp;F887&amp;", "&amp;G887&amp;", "&amp;H887&amp;");"</f>
        <v>INSERT INTO COTACAO (blt_id, pap_id, cot_prc_comum, cot_prc_min, cot_prc_max, cot_prc_med, cot_prc_mediana) VALUES (23, 14, NULL, 60, 84, 72, 72);</v>
      </c>
    </row>
    <row r="888" customFormat="false" ht="14.25" hidden="false" customHeight="false" outlineLevel="0" collapsed="false">
      <c r="A888" s="1" t="n">
        <v>887</v>
      </c>
      <c r="B888" s="1" t="n">
        <v>23</v>
      </c>
      <c r="C888" s="1" t="n">
        <v>15</v>
      </c>
      <c r="D888" s="1" t="str">
        <f aca="false">IF('Boletins Nuppa Site'!G888&lt;&gt;0,'Boletins Nuppa Site'!G888,"NULL")</f>
        <v>NULL</v>
      </c>
      <c r="E888" s="16" t="n">
        <f aca="false">IF('Boletins Nuppa Site'!H888&lt;&gt;0,'Boletins Nuppa Site'!H888,"NULL")</f>
        <v>36</v>
      </c>
      <c r="F888" s="16" t="n">
        <f aca="false">IF('Boletins Nuppa Site'!I888&lt;&gt;0,'Boletins Nuppa Site'!I888,"NULL")</f>
        <v>54</v>
      </c>
      <c r="G888" s="16" t="n">
        <f aca="false">IF('Boletins Nuppa Site'!J888&lt;&gt;0,'Boletins Nuppa Site'!J888,"NULL")</f>
        <v>47</v>
      </c>
      <c r="H888" s="16" t="n">
        <f aca="false">IF('Boletins Nuppa Site'!K888&lt;&gt;0,'Boletins Nuppa Site'!K888,"NULL")</f>
        <v>49</v>
      </c>
      <c r="J888" s="1" t="str">
        <f aca="false">"INSERT INTO COTACAO (blt_id, pap_id, cot_prc_comum, cot_prc_min, cot_prc_max, cot_prc_med, cot_prc_mediana) VALUES ("&amp;B888&amp;", "&amp;C888&amp;", "&amp;D888&amp;", "&amp;E888&amp;", "&amp;F888&amp;", "&amp;G888&amp;", "&amp;H888&amp;");"</f>
        <v>INSERT INTO COTACAO (blt_id, pap_id, cot_prc_comum, cot_prc_min, cot_prc_max, cot_prc_med, cot_prc_mediana) VALUES (23, 15, NULL, 36, 54, 47, 49);</v>
      </c>
    </row>
    <row r="889" customFormat="false" ht="14.25" hidden="false" customHeight="false" outlineLevel="0" collapsed="false">
      <c r="A889" s="1" t="n">
        <v>888</v>
      </c>
      <c r="B889" s="1" t="n">
        <v>23</v>
      </c>
      <c r="C889" s="1" t="n">
        <v>16</v>
      </c>
      <c r="D889" s="16" t="n">
        <f aca="false">IF('Boletins Nuppa Site'!G889&lt;&gt;0,'Boletins Nuppa Site'!G889,"NULL")</f>
        <v>54</v>
      </c>
      <c r="E889" s="16" t="n">
        <f aca="false">IF('Boletins Nuppa Site'!H889&lt;&gt;0,'Boletins Nuppa Site'!H889,"NULL")</f>
        <v>48</v>
      </c>
      <c r="F889" s="16" t="n">
        <f aca="false">IF('Boletins Nuppa Site'!I889&lt;&gt;0,'Boletins Nuppa Site'!I889,"NULL")</f>
        <v>60</v>
      </c>
      <c r="G889" s="16" t="n">
        <f aca="false">IF('Boletins Nuppa Site'!J889&lt;&gt;0,'Boletins Nuppa Site'!J889,"NULL")</f>
        <v>54</v>
      </c>
      <c r="H889" s="16" t="n">
        <f aca="false">IF('Boletins Nuppa Site'!K889&lt;&gt;0,'Boletins Nuppa Site'!K889,"NULL")</f>
        <v>54</v>
      </c>
      <c r="J889" s="1" t="str">
        <f aca="false">"INSERT INTO COTACAO (blt_id, pap_id, cot_prc_comum, cot_prc_min, cot_prc_max, cot_prc_med, cot_prc_mediana) VALUES ("&amp;B889&amp;", "&amp;C889&amp;", "&amp;D889&amp;", "&amp;E889&amp;", "&amp;F889&amp;", "&amp;G889&amp;", "&amp;H889&amp;");"</f>
        <v>INSERT INTO COTACAO (blt_id, pap_id, cot_prc_comum, cot_prc_min, cot_prc_max, cot_prc_med, cot_prc_mediana) VALUES (23, 16, 54, 48, 60, 54, 54);</v>
      </c>
    </row>
    <row r="890" customFormat="false" ht="14.25" hidden="false" customHeight="false" outlineLevel="0" collapsed="false">
      <c r="A890" s="1" t="n">
        <v>889</v>
      </c>
      <c r="B890" s="1" t="n">
        <v>23</v>
      </c>
      <c r="C890" s="1" t="n">
        <v>17</v>
      </c>
      <c r="D890" s="16" t="n">
        <f aca="false">IF('Boletins Nuppa Site'!G890&lt;&gt;0,'Boletins Nuppa Site'!G890,"NULL")</f>
        <v>5</v>
      </c>
      <c r="E890" s="16" t="n">
        <f aca="false">IF('Boletins Nuppa Site'!H890&lt;&gt;0,'Boletins Nuppa Site'!H890,"NULL")</f>
        <v>5</v>
      </c>
      <c r="F890" s="16" t="n">
        <f aca="false">IF('Boletins Nuppa Site'!I890&lt;&gt;0,'Boletins Nuppa Site'!I890,"NULL")</f>
        <v>5</v>
      </c>
      <c r="G890" s="16" t="n">
        <f aca="false">IF('Boletins Nuppa Site'!J890&lt;&gt;0,'Boletins Nuppa Site'!J890,"NULL")</f>
        <v>5</v>
      </c>
      <c r="H890" s="16" t="n">
        <f aca="false">IF('Boletins Nuppa Site'!K890&lt;&gt;0,'Boletins Nuppa Site'!K890,"NULL")</f>
        <v>5</v>
      </c>
      <c r="J890" s="1" t="str">
        <f aca="false">"INSERT INTO COTACAO (blt_id, pap_id, cot_prc_comum, cot_prc_min, cot_prc_max, cot_prc_med, cot_prc_mediana) VALUES ("&amp;B890&amp;", "&amp;C890&amp;", "&amp;D890&amp;", "&amp;E890&amp;", "&amp;F890&amp;", "&amp;G890&amp;", "&amp;H890&amp;");"</f>
        <v>INSERT INTO COTACAO (blt_id, pap_id, cot_prc_comum, cot_prc_min, cot_prc_max, cot_prc_med, cot_prc_mediana) VALUES (23, 17, 5, 5, 5, 5, 5);</v>
      </c>
    </row>
    <row r="891" customFormat="false" ht="14.25" hidden="false" customHeight="false" outlineLevel="0" collapsed="false">
      <c r="A891" s="1" t="n">
        <v>890</v>
      </c>
      <c r="B891" s="1" t="n">
        <v>23</v>
      </c>
      <c r="C891" s="1" t="n">
        <v>18</v>
      </c>
      <c r="D891" s="16" t="n">
        <f aca="false">IF('Boletins Nuppa Site'!G891&lt;&gt;0,'Boletins Nuppa Site'!G891,"NULL")</f>
        <v>18</v>
      </c>
      <c r="E891" s="16" t="n">
        <f aca="false">IF('Boletins Nuppa Site'!H891&lt;&gt;0,'Boletins Nuppa Site'!H891,"NULL")</f>
        <v>15</v>
      </c>
      <c r="F891" s="16" t="n">
        <f aca="false">IF('Boletins Nuppa Site'!I891&lt;&gt;0,'Boletins Nuppa Site'!I891,"NULL")</f>
        <v>18</v>
      </c>
      <c r="G891" s="1" t="str">
        <f aca="false">IF('Boletins Nuppa Site'!J891&lt;&gt;0,'Boletins Nuppa Site'!J891,"NULL")</f>
        <v>17.25</v>
      </c>
      <c r="H891" s="16" t="n">
        <f aca="false">IF('Boletins Nuppa Site'!K891&lt;&gt;0,'Boletins Nuppa Site'!K891,"NULL")</f>
        <v>18</v>
      </c>
      <c r="J891" s="1" t="str">
        <f aca="false">"INSERT INTO COTACAO (blt_id, pap_id, cot_prc_comum, cot_prc_min, cot_prc_max, cot_prc_med, cot_prc_mediana) VALUES ("&amp;B891&amp;", "&amp;C891&amp;", "&amp;D891&amp;", "&amp;E891&amp;", "&amp;F891&amp;", "&amp;G891&amp;", "&amp;H891&amp;");"</f>
        <v>INSERT INTO COTACAO (blt_id, pap_id, cot_prc_comum, cot_prc_min, cot_prc_max, cot_prc_med, cot_prc_mediana) VALUES (23, 18, 18, 15, 18, 17.25, 18);</v>
      </c>
    </row>
    <row r="892" customFormat="false" ht="14.25" hidden="false" customHeight="false" outlineLevel="0" collapsed="false">
      <c r="A892" s="1" t="n">
        <v>891</v>
      </c>
      <c r="B892" s="1" t="n">
        <v>23</v>
      </c>
      <c r="C892" s="1" t="n">
        <v>19</v>
      </c>
      <c r="D892" s="16" t="n">
        <f aca="false">IF('Boletins Nuppa Site'!G892&lt;&gt;0,'Boletins Nuppa Site'!G892,"NULL")</f>
        <v>25</v>
      </c>
      <c r="E892" s="16" t="n">
        <f aca="false">IF('Boletins Nuppa Site'!H892&lt;&gt;0,'Boletins Nuppa Site'!H892,"NULL")</f>
        <v>25</v>
      </c>
      <c r="F892" s="16" t="n">
        <f aca="false">IF('Boletins Nuppa Site'!I892&lt;&gt;0,'Boletins Nuppa Site'!I892,"NULL")</f>
        <v>30</v>
      </c>
      <c r="G892" s="1" t="str">
        <f aca="false">IF('Boletins Nuppa Site'!J892&lt;&gt;0,'Boletins Nuppa Site'!J892,"NULL")</f>
        <v>26.25</v>
      </c>
      <c r="H892" s="16" t="n">
        <f aca="false">IF('Boletins Nuppa Site'!K892&lt;&gt;0,'Boletins Nuppa Site'!K892,"NULL")</f>
        <v>25</v>
      </c>
      <c r="J892" s="1" t="str">
        <f aca="false">"INSERT INTO COTACAO (blt_id, pap_id, cot_prc_comum, cot_prc_min, cot_prc_max, cot_prc_med, cot_prc_mediana) VALUES ("&amp;B892&amp;", "&amp;C892&amp;", "&amp;D892&amp;", "&amp;E892&amp;", "&amp;F892&amp;", "&amp;G892&amp;", "&amp;H892&amp;");"</f>
        <v>INSERT INTO COTACAO (blt_id, pap_id, cot_prc_comum, cot_prc_min, cot_prc_max, cot_prc_med, cot_prc_mediana) VALUES (23, 19, 25, 25, 30, 26.25, 25);</v>
      </c>
    </row>
    <row r="893" customFormat="false" ht="14.25" hidden="false" customHeight="false" outlineLevel="0" collapsed="false">
      <c r="A893" s="1" t="n">
        <v>892</v>
      </c>
      <c r="B893" s="1" t="n">
        <v>23</v>
      </c>
      <c r="C893" s="1" t="n">
        <v>20</v>
      </c>
      <c r="D893" s="1" t="str">
        <f aca="false">IF('Boletins Nuppa Site'!G893&lt;&gt;0,'Boletins Nuppa Site'!G893,"NULL")</f>
        <v>NULL</v>
      </c>
      <c r="E893" s="16" t="n">
        <f aca="false">IF('Boletins Nuppa Site'!H893&lt;&gt;0,'Boletins Nuppa Site'!H893,"NULL")</f>
        <v>80</v>
      </c>
      <c r="F893" s="16" t="n">
        <f aca="false">IF('Boletins Nuppa Site'!I893&lt;&gt;0,'Boletins Nuppa Site'!I893,"NULL")</f>
        <v>90</v>
      </c>
      <c r="G893" s="16" t="n">
        <f aca="false">IF('Boletins Nuppa Site'!J893&lt;&gt;0,'Boletins Nuppa Site'!J893,"NULL")</f>
        <v>85</v>
      </c>
      <c r="H893" s="16" t="n">
        <f aca="false">IF('Boletins Nuppa Site'!K893&lt;&gt;0,'Boletins Nuppa Site'!K893,"NULL")</f>
        <v>85</v>
      </c>
      <c r="J893" s="1" t="str">
        <f aca="false">"INSERT INTO COTACAO (blt_id, pap_id, cot_prc_comum, cot_prc_min, cot_prc_max, cot_prc_med, cot_prc_mediana) VALUES ("&amp;B893&amp;", "&amp;C893&amp;", "&amp;D893&amp;", "&amp;E893&amp;", "&amp;F893&amp;", "&amp;G893&amp;", "&amp;H893&amp;");"</f>
        <v>INSERT INTO COTACAO (blt_id, pap_id, cot_prc_comum, cot_prc_min, cot_prc_max, cot_prc_med, cot_prc_mediana) VALUES (23, 20, NULL, 80, 90, 85, 85);</v>
      </c>
    </row>
    <row r="894" customFormat="false" ht="14.25" hidden="false" customHeight="false" outlineLevel="0" collapsed="false">
      <c r="A894" s="1" t="n">
        <v>893</v>
      </c>
      <c r="B894" s="1" t="n">
        <v>23</v>
      </c>
      <c r="C894" s="1" t="n">
        <v>21</v>
      </c>
      <c r="D894" s="16" t="n">
        <f aca="false">IF('Boletins Nuppa Site'!G894&lt;&gt;0,'Boletins Nuppa Site'!G894,"NULL")</f>
        <v>50</v>
      </c>
      <c r="E894" s="16" t="n">
        <f aca="false">IF('Boletins Nuppa Site'!H894&lt;&gt;0,'Boletins Nuppa Site'!H894,"NULL")</f>
        <v>40</v>
      </c>
      <c r="F894" s="16" t="n">
        <f aca="false">IF('Boletins Nuppa Site'!I894&lt;&gt;0,'Boletins Nuppa Site'!I894,"NULL")</f>
        <v>55</v>
      </c>
      <c r="G894" s="1" t="str">
        <f aca="false">IF('Boletins Nuppa Site'!J894&lt;&gt;0,'Boletins Nuppa Site'!J894,"NULL")</f>
        <v>48.75</v>
      </c>
      <c r="H894" s="16" t="n">
        <f aca="false">IF('Boletins Nuppa Site'!K894&lt;&gt;0,'Boletins Nuppa Site'!K894,"NULL")</f>
        <v>50</v>
      </c>
      <c r="J894" s="1" t="str">
        <f aca="false">"INSERT INTO COTACAO (blt_id, pap_id, cot_prc_comum, cot_prc_min, cot_prc_max, cot_prc_med, cot_prc_mediana) VALUES ("&amp;B894&amp;", "&amp;C894&amp;", "&amp;D894&amp;", "&amp;E894&amp;", "&amp;F894&amp;", "&amp;G894&amp;", "&amp;H894&amp;");"</f>
        <v>INSERT INTO COTACAO (blt_id, pap_id, cot_prc_comum, cot_prc_min, cot_prc_max, cot_prc_med, cot_prc_mediana) VALUES (23, 21, 50, 40, 55, 48.75, 50);</v>
      </c>
    </row>
    <row r="895" customFormat="false" ht="14.25" hidden="false" customHeight="false" outlineLevel="0" collapsed="false">
      <c r="A895" s="1" t="n">
        <v>894</v>
      </c>
      <c r="B895" s="1" t="n">
        <v>23</v>
      </c>
      <c r="C895" s="1" t="n">
        <v>22</v>
      </c>
      <c r="D895" s="1" t="str">
        <f aca="false">IF('Boletins Nuppa Site'!G895&lt;&gt;0,'Boletins Nuppa Site'!G895,"NULL")</f>
        <v>NULL</v>
      </c>
      <c r="E895" s="16" t="n">
        <f aca="false">IF('Boletins Nuppa Site'!H895&lt;&gt;0,'Boletins Nuppa Site'!H895,"NULL")</f>
        <v>45</v>
      </c>
      <c r="F895" s="16" t="n">
        <f aca="false">IF('Boletins Nuppa Site'!I895&lt;&gt;0,'Boletins Nuppa Site'!I895,"NULL")</f>
        <v>70</v>
      </c>
      <c r="G895" s="16" t="n">
        <f aca="false">IF('Boletins Nuppa Site'!J895&lt;&gt;0,'Boletins Nuppa Site'!J895,"NULL")</f>
        <v>58</v>
      </c>
      <c r="H895" s="16" t="n">
        <f aca="false">IF('Boletins Nuppa Site'!K895&lt;&gt;0,'Boletins Nuppa Site'!K895,"NULL")</f>
        <v>60</v>
      </c>
      <c r="J895" s="1" t="str">
        <f aca="false">"INSERT INTO COTACAO (blt_id, pap_id, cot_prc_comum, cot_prc_min, cot_prc_max, cot_prc_med, cot_prc_mediana) VALUES ("&amp;B895&amp;", "&amp;C895&amp;", "&amp;D895&amp;", "&amp;E895&amp;", "&amp;F895&amp;", "&amp;G895&amp;", "&amp;H895&amp;");"</f>
        <v>INSERT INTO COTACAO (blt_id, pap_id, cot_prc_comum, cot_prc_min, cot_prc_max, cot_prc_med, cot_prc_mediana) VALUES (23, 22, NULL, 45, 70, 58, 60);</v>
      </c>
    </row>
    <row r="896" customFormat="false" ht="14.25" hidden="false" customHeight="false" outlineLevel="0" collapsed="false">
      <c r="A896" s="1" t="n">
        <v>895</v>
      </c>
      <c r="B896" s="1" t="n">
        <v>23</v>
      </c>
      <c r="C896" s="1" t="n">
        <v>23</v>
      </c>
      <c r="D896" s="16" t="n">
        <f aca="false">IF('Boletins Nuppa Site'!G896&lt;&gt;0,'Boletins Nuppa Site'!G896,"NULL")</f>
        <v>40</v>
      </c>
      <c r="E896" s="16" t="n">
        <f aca="false">IF('Boletins Nuppa Site'!H896&lt;&gt;0,'Boletins Nuppa Site'!H896,"NULL")</f>
        <v>40</v>
      </c>
      <c r="F896" s="16" t="n">
        <f aca="false">IF('Boletins Nuppa Site'!I896&lt;&gt;0,'Boletins Nuppa Site'!I896,"NULL")</f>
        <v>48</v>
      </c>
      <c r="G896" s="16" t="n">
        <f aca="false">IF('Boletins Nuppa Site'!J896&lt;&gt;0,'Boletins Nuppa Site'!J896,"NULL")</f>
        <v>42</v>
      </c>
      <c r="H896" s="16" t="n">
        <f aca="false">IF('Boletins Nuppa Site'!K896&lt;&gt;0,'Boletins Nuppa Site'!K896,"NULL")</f>
        <v>40</v>
      </c>
      <c r="J896" s="1" t="str">
        <f aca="false">"INSERT INTO COTACAO (blt_id, pap_id, cot_prc_comum, cot_prc_min, cot_prc_max, cot_prc_med, cot_prc_mediana) VALUES ("&amp;B896&amp;", "&amp;C896&amp;", "&amp;D896&amp;", "&amp;E896&amp;", "&amp;F896&amp;", "&amp;G896&amp;", "&amp;H896&amp;");"</f>
        <v>INSERT INTO COTACAO (blt_id, pap_id, cot_prc_comum, cot_prc_min, cot_prc_max, cot_prc_med, cot_prc_mediana) VALUES (23, 23, 40, 40, 48, 42, 40);</v>
      </c>
    </row>
    <row r="897" customFormat="false" ht="14.25" hidden="false" customHeight="false" outlineLevel="0" collapsed="false">
      <c r="A897" s="1" t="n">
        <v>896</v>
      </c>
      <c r="B897" s="1" t="n">
        <v>23</v>
      </c>
      <c r="C897" s="1" t="n">
        <v>24</v>
      </c>
      <c r="D897" s="1" t="str">
        <f aca="false">IF('Boletins Nuppa Site'!G897&lt;&gt;0,'Boletins Nuppa Site'!G897,"NULL")</f>
        <v>NULL</v>
      </c>
      <c r="E897" s="16" t="n">
        <f aca="false">IF('Boletins Nuppa Site'!H897&lt;&gt;0,'Boletins Nuppa Site'!H897,"NULL")</f>
        <v>100</v>
      </c>
      <c r="F897" s="16" t="n">
        <f aca="false">IF('Boletins Nuppa Site'!I897&lt;&gt;0,'Boletins Nuppa Site'!I897,"NULL")</f>
        <v>100</v>
      </c>
      <c r="G897" s="16" t="n">
        <f aca="false">IF('Boletins Nuppa Site'!J897&lt;&gt;0,'Boletins Nuppa Site'!J897,"NULL")</f>
        <v>100</v>
      </c>
      <c r="H897" s="16" t="n">
        <f aca="false">IF('Boletins Nuppa Site'!K897&lt;&gt;0,'Boletins Nuppa Site'!K897,"NULL")</f>
        <v>100</v>
      </c>
      <c r="J897" s="1" t="str">
        <f aca="false">"INSERT INTO COTACAO (blt_id, pap_id, cot_prc_comum, cot_prc_min, cot_prc_max, cot_prc_med, cot_prc_mediana) VALUES ("&amp;B897&amp;", "&amp;C897&amp;", "&amp;D897&amp;", "&amp;E897&amp;", "&amp;F897&amp;", "&amp;G897&amp;", "&amp;H897&amp;");"</f>
        <v>INSERT INTO COTACAO (blt_id, pap_id, cot_prc_comum, cot_prc_min, cot_prc_max, cot_prc_med, cot_prc_mediana) VALUES (23, 24, NULL, 100, 100, 100, 100);</v>
      </c>
    </row>
    <row r="898" customFormat="false" ht="14.25" hidden="false" customHeight="false" outlineLevel="0" collapsed="false">
      <c r="A898" s="1" t="n">
        <v>897</v>
      </c>
      <c r="B898" s="1" t="n">
        <v>23</v>
      </c>
      <c r="C898" s="1" t="n">
        <v>25</v>
      </c>
      <c r="D898" s="1" t="str">
        <f aca="false">IF('Boletins Nuppa Site'!G898&lt;&gt;0,'Boletins Nuppa Site'!G898,"NULL")</f>
        <v>NULL</v>
      </c>
      <c r="E898" s="16" t="n">
        <f aca="false">IF('Boletins Nuppa Site'!H898&lt;&gt;0,'Boletins Nuppa Site'!H898,"NULL")</f>
        <v>75</v>
      </c>
      <c r="F898" s="16" t="n">
        <f aca="false">IF('Boletins Nuppa Site'!I898&lt;&gt;0,'Boletins Nuppa Site'!I898,"NULL")</f>
        <v>100</v>
      </c>
      <c r="G898" s="16" t="n">
        <f aca="false">IF('Boletins Nuppa Site'!J898&lt;&gt;0,'Boletins Nuppa Site'!J898,"NULL")</f>
        <v>86</v>
      </c>
      <c r="H898" s="16" t="n">
        <f aca="false">IF('Boletins Nuppa Site'!K898&lt;&gt;0,'Boletins Nuppa Site'!K898,"NULL")</f>
        <v>85</v>
      </c>
      <c r="J898" s="1" t="str">
        <f aca="false">"INSERT INTO COTACAO (blt_id, pap_id, cot_prc_comum, cot_prc_min, cot_prc_max, cot_prc_med, cot_prc_mediana) VALUES ("&amp;B898&amp;", "&amp;C898&amp;", "&amp;D898&amp;", "&amp;E898&amp;", "&amp;F898&amp;", "&amp;G898&amp;", "&amp;H898&amp;");"</f>
        <v>INSERT INTO COTACAO (blt_id, pap_id, cot_prc_comum, cot_prc_min, cot_prc_max, cot_prc_med, cot_prc_mediana) VALUES (23, 25, NULL, 75, 100, 86, 85);</v>
      </c>
    </row>
    <row r="899" customFormat="false" ht="14.25" hidden="false" customHeight="false" outlineLevel="0" collapsed="false">
      <c r="A899" s="1" t="n">
        <v>898</v>
      </c>
      <c r="B899" s="1" t="n">
        <v>23</v>
      </c>
      <c r="C899" s="1" t="n">
        <v>26</v>
      </c>
      <c r="D899" s="16" t="n">
        <f aca="false">IF('Boletins Nuppa Site'!G899&lt;&gt;0,'Boletins Nuppa Site'!G899,"NULL")</f>
        <v>65</v>
      </c>
      <c r="E899" s="16" t="n">
        <f aca="false">IF('Boletins Nuppa Site'!H899&lt;&gt;0,'Boletins Nuppa Site'!H899,"NULL")</f>
        <v>65</v>
      </c>
      <c r="F899" s="16" t="n">
        <f aca="false">IF('Boletins Nuppa Site'!I899&lt;&gt;0,'Boletins Nuppa Site'!I899,"NULL")</f>
        <v>80</v>
      </c>
      <c r="G899" s="1" t="str">
        <f aca="false">IF('Boletins Nuppa Site'!J899&lt;&gt;0,'Boletins Nuppa Site'!J899,"NULL")</f>
        <v>71.25</v>
      </c>
      <c r="H899" s="16" t="n">
        <f aca="false">IF('Boletins Nuppa Site'!K899&lt;&gt;0,'Boletins Nuppa Site'!K899,"NULL")</f>
        <v>70</v>
      </c>
      <c r="J899" s="1" t="str">
        <f aca="false">"INSERT INTO COTACAO (blt_id, pap_id, cot_prc_comum, cot_prc_min, cot_prc_max, cot_prc_med, cot_prc_mediana) VALUES ("&amp;B899&amp;", "&amp;C899&amp;", "&amp;D899&amp;", "&amp;E899&amp;", "&amp;F899&amp;", "&amp;G899&amp;", "&amp;H899&amp;");"</f>
        <v>INSERT INTO COTACAO (blt_id, pap_id, cot_prc_comum, cot_prc_min, cot_prc_max, cot_prc_med, cot_prc_mediana) VALUES (23, 26, 65, 65, 80, 71.25, 70);</v>
      </c>
    </row>
    <row r="900" customFormat="false" ht="14.25" hidden="false" customHeight="false" outlineLevel="0" collapsed="false">
      <c r="A900" s="1" t="n">
        <v>899</v>
      </c>
      <c r="B900" s="1" t="n">
        <v>23</v>
      </c>
      <c r="C900" s="1" t="n">
        <v>27</v>
      </c>
      <c r="D900" s="1" t="str">
        <f aca="false">IF('Boletins Nuppa Site'!G900&lt;&gt;0,'Boletins Nuppa Site'!G900,"NULL")</f>
        <v>NULL</v>
      </c>
      <c r="E900" s="16" t="n">
        <f aca="false">IF('Boletins Nuppa Site'!H900&lt;&gt;0,'Boletins Nuppa Site'!H900,"NULL")</f>
        <v>50</v>
      </c>
      <c r="F900" s="16" t="n">
        <f aca="false">IF('Boletins Nuppa Site'!I900&lt;&gt;0,'Boletins Nuppa Site'!I900,"NULL")</f>
        <v>70</v>
      </c>
      <c r="G900" s="1" t="str">
        <f aca="false">IF('Boletins Nuppa Site'!J900&lt;&gt;0,'Boletins Nuppa Site'!J900,"NULL")</f>
        <v>61.25</v>
      </c>
      <c r="H900" s="1" t="str">
        <f aca="false">IF('Boletins Nuppa Site'!K900&lt;&gt;0,'Boletins Nuppa Site'!K900,"NULL")</f>
        <v>62.5</v>
      </c>
      <c r="J900" s="1" t="str">
        <f aca="false">"INSERT INTO COTACAO (blt_id, pap_id, cot_prc_comum, cot_prc_min, cot_prc_max, cot_prc_med, cot_prc_mediana) VALUES ("&amp;B900&amp;", "&amp;C900&amp;", "&amp;D900&amp;", "&amp;E900&amp;", "&amp;F900&amp;", "&amp;G900&amp;", "&amp;H900&amp;");"</f>
        <v>INSERT INTO COTACAO (blt_id, pap_id, cot_prc_comum, cot_prc_min, cot_prc_max, cot_prc_med, cot_prc_mediana) VALUES (23, 27, NULL, 50, 70, 61.25, 62.5);</v>
      </c>
    </row>
    <row r="901" customFormat="false" ht="14.25" hidden="false" customHeight="false" outlineLevel="0" collapsed="false">
      <c r="A901" s="1" t="n">
        <v>900</v>
      </c>
      <c r="B901" s="1" t="n">
        <v>23</v>
      </c>
      <c r="C901" s="1" t="n">
        <v>28</v>
      </c>
      <c r="D901" s="16" t="n">
        <f aca="false">IF('Boletins Nuppa Site'!G901&lt;&gt;0,'Boletins Nuppa Site'!G901,"NULL")</f>
        <v>100</v>
      </c>
      <c r="E901" s="16" t="n">
        <f aca="false">IF('Boletins Nuppa Site'!H901&lt;&gt;0,'Boletins Nuppa Site'!H901,"NULL")</f>
        <v>80</v>
      </c>
      <c r="F901" s="16" t="n">
        <f aca="false">IF('Boletins Nuppa Site'!I901&lt;&gt;0,'Boletins Nuppa Site'!I901,"NULL")</f>
        <v>100</v>
      </c>
      <c r="G901" s="1" t="str">
        <f aca="false">IF('Boletins Nuppa Site'!J901&lt;&gt;0,'Boletins Nuppa Site'!J901,"NULL")</f>
        <v>93.33</v>
      </c>
      <c r="H901" s="16" t="n">
        <f aca="false">IF('Boletins Nuppa Site'!K901&lt;&gt;0,'Boletins Nuppa Site'!K901,"NULL")</f>
        <v>100</v>
      </c>
      <c r="J901" s="1" t="str">
        <f aca="false">"INSERT INTO COTACAO (blt_id, pap_id, cot_prc_comum, cot_prc_min, cot_prc_max, cot_prc_med, cot_prc_mediana) VALUES ("&amp;B901&amp;", "&amp;C901&amp;", "&amp;D901&amp;", "&amp;E901&amp;", "&amp;F901&amp;", "&amp;G901&amp;", "&amp;H901&amp;");"</f>
        <v>INSERT INTO COTACAO (blt_id, pap_id, cot_prc_comum, cot_prc_min, cot_prc_max, cot_prc_med, cot_prc_mediana) VALUES (23, 28, 100, 80, 100, 93.33, 100);</v>
      </c>
    </row>
    <row r="902" customFormat="false" ht="14.25" hidden="false" customHeight="false" outlineLevel="0" collapsed="false">
      <c r="A902" s="1" t="n">
        <v>901</v>
      </c>
      <c r="B902" s="1" t="n">
        <v>23</v>
      </c>
      <c r="C902" s="1" t="n">
        <v>29</v>
      </c>
      <c r="D902" s="1" t="str">
        <f aca="false">IF('Boletins Nuppa Site'!G902&lt;&gt;0,'Boletins Nuppa Site'!G902,"NULL")</f>
        <v>NULL</v>
      </c>
      <c r="E902" s="16" t="n">
        <f aca="false">IF('Boletins Nuppa Site'!H902&lt;&gt;0,'Boletins Nuppa Site'!H902,"NULL")</f>
        <v>50</v>
      </c>
      <c r="F902" s="16" t="n">
        <f aca="false">IF('Boletins Nuppa Site'!I902&lt;&gt;0,'Boletins Nuppa Site'!I902,"NULL")</f>
        <v>53</v>
      </c>
      <c r="G902" s="1" t="str">
        <f aca="false">IF('Boletins Nuppa Site'!J902&lt;&gt;0,'Boletins Nuppa Site'!J902,"NULL")</f>
        <v>51.5</v>
      </c>
      <c r="H902" s="1" t="str">
        <f aca="false">IF('Boletins Nuppa Site'!K902&lt;&gt;0,'Boletins Nuppa Site'!K902,"NULL")</f>
        <v>51.5</v>
      </c>
      <c r="J902" s="1" t="str">
        <f aca="false">"INSERT INTO COTACAO (blt_id, pap_id, cot_prc_comum, cot_prc_min, cot_prc_max, cot_prc_med, cot_prc_mediana) VALUES ("&amp;B902&amp;", "&amp;C902&amp;", "&amp;D902&amp;", "&amp;E902&amp;", "&amp;F902&amp;", "&amp;G902&amp;", "&amp;H902&amp;");"</f>
        <v>INSERT INTO COTACAO (blt_id, pap_id, cot_prc_comum, cot_prc_min, cot_prc_max, cot_prc_med, cot_prc_mediana) VALUES (23, 29, NULL, 50, 53, 51.5, 51.5);</v>
      </c>
    </row>
    <row r="903" customFormat="false" ht="14.25" hidden="false" customHeight="false" outlineLevel="0" collapsed="false">
      <c r="A903" s="1" t="n">
        <v>902</v>
      </c>
      <c r="B903" s="1" t="n">
        <v>23</v>
      </c>
      <c r="C903" s="1" t="n">
        <v>30</v>
      </c>
      <c r="D903" s="1" t="str">
        <f aca="false">IF('Boletins Nuppa Site'!G903&lt;&gt;0,'Boletins Nuppa Site'!G903,"NULL")</f>
        <v>NULL</v>
      </c>
      <c r="E903" s="16" t="n">
        <f aca="false">IF('Boletins Nuppa Site'!H903&lt;&gt;0,'Boletins Nuppa Site'!H903,"NULL")</f>
        <v>50</v>
      </c>
      <c r="F903" s="16" t="n">
        <f aca="false">IF('Boletins Nuppa Site'!I903&lt;&gt;0,'Boletins Nuppa Site'!I903,"NULL")</f>
        <v>65</v>
      </c>
      <c r="G903" s="1" t="str">
        <f aca="false">IF('Boletins Nuppa Site'!J903&lt;&gt;0,'Boletins Nuppa Site'!J903,"NULL")</f>
        <v>58.33</v>
      </c>
      <c r="H903" s="16" t="n">
        <f aca="false">IF('Boletins Nuppa Site'!K903&lt;&gt;0,'Boletins Nuppa Site'!K903,"NULL")</f>
        <v>60</v>
      </c>
      <c r="J903" s="1" t="str">
        <f aca="false">"INSERT INTO COTACAO (blt_id, pap_id, cot_prc_comum, cot_prc_min, cot_prc_max, cot_prc_med, cot_prc_mediana) VALUES ("&amp;B903&amp;", "&amp;C903&amp;", "&amp;D903&amp;", "&amp;E903&amp;", "&amp;F903&amp;", "&amp;G903&amp;", "&amp;H903&amp;");"</f>
        <v>INSERT INTO COTACAO (blt_id, pap_id, cot_prc_comum, cot_prc_min, cot_prc_max, cot_prc_med, cot_prc_mediana) VALUES (23, 30, NULL, 50, 65, 58.33, 60);</v>
      </c>
    </row>
    <row r="904" customFormat="false" ht="14.25" hidden="false" customHeight="false" outlineLevel="0" collapsed="false">
      <c r="A904" s="1" t="n">
        <v>903</v>
      </c>
      <c r="B904" s="1" t="n">
        <v>23</v>
      </c>
      <c r="C904" s="1" t="n">
        <v>31</v>
      </c>
      <c r="D904" s="16" t="n">
        <f aca="false">IF('Boletins Nuppa Site'!G904&lt;&gt;0,'Boletins Nuppa Site'!G904,"NULL")</f>
        <v>60</v>
      </c>
      <c r="E904" s="16" t="n">
        <f aca="false">IF('Boletins Nuppa Site'!H904&lt;&gt;0,'Boletins Nuppa Site'!H904,"NULL")</f>
        <v>60</v>
      </c>
      <c r="F904" s="16" t="n">
        <f aca="false">IF('Boletins Nuppa Site'!I904&lt;&gt;0,'Boletins Nuppa Site'!I904,"NULL")</f>
        <v>70</v>
      </c>
      <c r="G904" s="16" t="n">
        <f aca="false">IF('Boletins Nuppa Site'!J904&lt;&gt;0,'Boletins Nuppa Site'!J904,"NULL")</f>
        <v>63</v>
      </c>
      <c r="H904" s="16" t="n">
        <f aca="false">IF('Boletins Nuppa Site'!K904&lt;&gt;0,'Boletins Nuppa Site'!K904,"NULL")</f>
        <v>60</v>
      </c>
      <c r="J904" s="1" t="str">
        <f aca="false">"INSERT INTO COTACAO (blt_id, pap_id, cot_prc_comum, cot_prc_min, cot_prc_max, cot_prc_med, cot_prc_mediana) VALUES ("&amp;B904&amp;", "&amp;C904&amp;", "&amp;D904&amp;", "&amp;E904&amp;", "&amp;F904&amp;", "&amp;G904&amp;", "&amp;H904&amp;");"</f>
        <v>INSERT INTO COTACAO (blt_id, pap_id, cot_prc_comum, cot_prc_min, cot_prc_max, cot_prc_med, cot_prc_mediana) VALUES (23, 31, 60, 60, 70, 63, 60);</v>
      </c>
    </row>
    <row r="905" customFormat="false" ht="14.25" hidden="false" customHeight="false" outlineLevel="0" collapsed="false">
      <c r="A905" s="1" t="n">
        <v>904</v>
      </c>
      <c r="B905" s="1" t="n">
        <v>23</v>
      </c>
      <c r="C905" s="1" t="n">
        <v>32</v>
      </c>
      <c r="D905" s="16" t="n">
        <f aca="false">IF('Boletins Nuppa Site'!G905&lt;&gt;0,'Boletins Nuppa Site'!G905,"NULL")</f>
        <v>50</v>
      </c>
      <c r="E905" s="16" t="n">
        <f aca="false">IF('Boletins Nuppa Site'!H905&lt;&gt;0,'Boletins Nuppa Site'!H905,"NULL")</f>
        <v>40</v>
      </c>
      <c r="F905" s="16" t="n">
        <f aca="false">IF('Boletins Nuppa Site'!I905&lt;&gt;0,'Boletins Nuppa Site'!I905,"NULL")</f>
        <v>55</v>
      </c>
      <c r="G905" s="16" t="n">
        <f aca="false">IF('Boletins Nuppa Site'!J905&lt;&gt;0,'Boletins Nuppa Site'!J905,"NULL")</f>
        <v>50</v>
      </c>
      <c r="H905" s="16" t="n">
        <f aca="false">IF('Boletins Nuppa Site'!K905&lt;&gt;0,'Boletins Nuppa Site'!K905,"NULL")</f>
        <v>50</v>
      </c>
      <c r="J905" s="1" t="str">
        <f aca="false">"INSERT INTO COTACAO (blt_id, pap_id, cot_prc_comum, cot_prc_min, cot_prc_max, cot_prc_med, cot_prc_mediana) VALUES ("&amp;B905&amp;", "&amp;C905&amp;", "&amp;D905&amp;", "&amp;E905&amp;", "&amp;F905&amp;", "&amp;G905&amp;", "&amp;H905&amp;");"</f>
        <v>INSERT INTO COTACAO (blt_id, pap_id, cot_prc_comum, cot_prc_min, cot_prc_max, cot_prc_med, cot_prc_mediana) VALUES (23, 32, 50, 40, 55, 50, 50);</v>
      </c>
    </row>
    <row r="906" customFormat="false" ht="14.25" hidden="false" customHeight="false" outlineLevel="0" collapsed="false">
      <c r="A906" s="1" t="n">
        <v>905</v>
      </c>
      <c r="B906" s="1" t="n">
        <v>23</v>
      </c>
      <c r="C906" s="1" t="n">
        <v>33</v>
      </c>
      <c r="D906" s="16" t="n">
        <f aca="false">IF('Boletins Nuppa Site'!G906&lt;&gt;0,'Boletins Nuppa Site'!G906,"NULL")</f>
        <v>100</v>
      </c>
      <c r="E906" s="16" t="n">
        <f aca="false">IF('Boletins Nuppa Site'!H906&lt;&gt;0,'Boletins Nuppa Site'!H906,"NULL")</f>
        <v>90</v>
      </c>
      <c r="F906" s="16" t="n">
        <f aca="false">IF('Boletins Nuppa Site'!I906&lt;&gt;0,'Boletins Nuppa Site'!I906,"NULL")</f>
        <v>120</v>
      </c>
      <c r="G906" s="1" t="str">
        <f aca="false">IF('Boletins Nuppa Site'!J906&lt;&gt;0,'Boletins Nuppa Site'!J906,"NULL")</f>
        <v>102.5</v>
      </c>
      <c r="H906" s="16" t="n">
        <f aca="false">IF('Boletins Nuppa Site'!K906&lt;&gt;0,'Boletins Nuppa Site'!K906,"NULL")</f>
        <v>100</v>
      </c>
      <c r="J906" s="1" t="str">
        <f aca="false">"INSERT INTO COTACAO (blt_id, pap_id, cot_prc_comum, cot_prc_min, cot_prc_max, cot_prc_med, cot_prc_mediana) VALUES ("&amp;B906&amp;", "&amp;C906&amp;", "&amp;D906&amp;", "&amp;E906&amp;", "&amp;F906&amp;", "&amp;G906&amp;", "&amp;H906&amp;");"</f>
        <v>INSERT INTO COTACAO (blt_id, pap_id, cot_prc_comum, cot_prc_min, cot_prc_max, cot_prc_med, cot_prc_mediana) VALUES (23, 33, 100, 90, 120, 102.5, 100);</v>
      </c>
    </row>
    <row r="907" customFormat="false" ht="14.25" hidden="false" customHeight="false" outlineLevel="0" collapsed="false">
      <c r="A907" s="1" t="n">
        <v>906</v>
      </c>
      <c r="B907" s="1" t="n">
        <v>23</v>
      </c>
      <c r="C907" s="1" t="n">
        <v>34</v>
      </c>
      <c r="D907" s="1" t="str">
        <f aca="false">IF('Boletins Nuppa Site'!G907&lt;&gt;0,'Boletins Nuppa Site'!G907,"NULL")</f>
        <v>NULL</v>
      </c>
      <c r="E907" s="16" t="n">
        <f aca="false">IF('Boletins Nuppa Site'!H907&lt;&gt;0,'Boletins Nuppa Site'!H907,"NULL")</f>
        <v>65</v>
      </c>
      <c r="F907" s="16" t="n">
        <f aca="false">IF('Boletins Nuppa Site'!I907&lt;&gt;0,'Boletins Nuppa Site'!I907,"NULL")</f>
        <v>100</v>
      </c>
      <c r="G907" s="16" t="n">
        <f aca="false">IF('Boletins Nuppa Site'!J907&lt;&gt;0,'Boletins Nuppa Site'!J907,"NULL")</f>
        <v>78</v>
      </c>
      <c r="H907" s="16" t="n">
        <f aca="false">IF('Boletins Nuppa Site'!K907&lt;&gt;0,'Boletins Nuppa Site'!K907,"NULL")</f>
        <v>75</v>
      </c>
      <c r="J907" s="1" t="str">
        <f aca="false">"INSERT INTO COTACAO (blt_id, pap_id, cot_prc_comum, cot_prc_min, cot_prc_max, cot_prc_med, cot_prc_mediana) VALUES ("&amp;B907&amp;", "&amp;C907&amp;", "&amp;D907&amp;", "&amp;E907&amp;", "&amp;F907&amp;", "&amp;G907&amp;", "&amp;H907&amp;");"</f>
        <v>INSERT INTO COTACAO (blt_id, pap_id, cot_prc_comum, cot_prc_min, cot_prc_max, cot_prc_med, cot_prc_mediana) VALUES (23, 34, NULL, 65, 100, 78, 75);</v>
      </c>
    </row>
    <row r="908" customFormat="false" ht="14.25" hidden="false" customHeight="false" outlineLevel="0" collapsed="false">
      <c r="A908" s="1" t="n">
        <v>907</v>
      </c>
      <c r="B908" s="1" t="n">
        <v>23</v>
      </c>
      <c r="C908" s="1" t="n">
        <v>35</v>
      </c>
      <c r="D908" s="16" t="n">
        <f aca="false">IF('Boletins Nuppa Site'!G908&lt;&gt;0,'Boletins Nuppa Site'!G908,"NULL")</f>
        <v>100</v>
      </c>
      <c r="E908" s="16" t="n">
        <f aca="false">IF('Boletins Nuppa Site'!H908&lt;&gt;0,'Boletins Nuppa Site'!H908,"NULL")</f>
        <v>100</v>
      </c>
      <c r="F908" s="16" t="n">
        <f aca="false">IF('Boletins Nuppa Site'!I908&lt;&gt;0,'Boletins Nuppa Site'!I908,"NULL")</f>
        <v>120</v>
      </c>
      <c r="G908" s="1" t="str">
        <f aca="false">IF('Boletins Nuppa Site'!J908&lt;&gt;0,'Boletins Nuppa Site'!J908,"NULL")</f>
        <v>106.67</v>
      </c>
      <c r="H908" s="16" t="n">
        <f aca="false">IF('Boletins Nuppa Site'!K908&lt;&gt;0,'Boletins Nuppa Site'!K908,"NULL")</f>
        <v>100</v>
      </c>
      <c r="J908" s="1" t="str">
        <f aca="false">"INSERT INTO COTACAO (blt_id, pap_id, cot_prc_comum, cot_prc_min, cot_prc_max, cot_prc_med, cot_prc_mediana) VALUES ("&amp;B908&amp;", "&amp;C908&amp;", "&amp;D908&amp;", "&amp;E908&amp;", "&amp;F908&amp;", "&amp;G908&amp;", "&amp;H908&amp;");"</f>
        <v>INSERT INTO COTACAO (blt_id, pap_id, cot_prc_comum, cot_prc_min, cot_prc_max, cot_prc_med, cot_prc_mediana) VALUES (23, 35, 100, 100, 120, 106.67, 100);</v>
      </c>
    </row>
    <row r="909" customFormat="false" ht="14.25" hidden="false" customHeight="false" outlineLevel="0" collapsed="false">
      <c r="A909" s="1" t="n">
        <v>908</v>
      </c>
      <c r="B909" s="1" t="n">
        <v>23</v>
      </c>
      <c r="C909" s="1" t="n">
        <v>36</v>
      </c>
      <c r="D909" s="1" t="str">
        <f aca="false">IF('Boletins Nuppa Site'!G909&lt;&gt;0,'Boletins Nuppa Site'!G909,"NULL")</f>
        <v>NULL</v>
      </c>
      <c r="E909" s="1" t="str">
        <f aca="false">IF('Boletins Nuppa Site'!H909&lt;&gt;0,'Boletins Nuppa Site'!H909,"NULL")</f>
        <v>NULL</v>
      </c>
      <c r="F909" s="1" t="str">
        <f aca="false">IF('Boletins Nuppa Site'!I909&lt;&gt;0,'Boletins Nuppa Site'!I909,"NULL")</f>
        <v>NULL</v>
      </c>
      <c r="G909" s="1" t="str">
        <f aca="false">IF('Boletins Nuppa Site'!J909&lt;&gt;0,'Boletins Nuppa Site'!J909,"NULL")</f>
        <v>NULL</v>
      </c>
      <c r="H909" s="1" t="str">
        <f aca="false">IF('Boletins Nuppa Site'!K909&lt;&gt;0,'Boletins Nuppa Site'!K909,"NULL")</f>
        <v>NULL</v>
      </c>
      <c r="J909" s="1" t="str">
        <f aca="false">"INSERT INTO COTACAO (blt_id, pap_id, cot_prc_comum, cot_prc_min, cot_prc_max, cot_prc_med, cot_prc_mediana) VALUES ("&amp;B909&amp;", "&amp;C909&amp;", "&amp;D909&amp;", "&amp;E909&amp;", "&amp;F909&amp;", "&amp;G909&amp;", "&amp;H909&amp;");"</f>
        <v>INSERT INTO COTACAO (blt_id, pap_id, cot_prc_comum, cot_prc_min, cot_prc_max, cot_prc_med, cot_prc_mediana) VALUES (23, 36, NULL, NULL, NULL, NULL, NULL);</v>
      </c>
    </row>
    <row r="910" customFormat="false" ht="14.25" hidden="false" customHeight="false" outlineLevel="0" collapsed="false">
      <c r="A910" s="1" t="n">
        <v>909</v>
      </c>
      <c r="B910" s="1" t="n">
        <v>23</v>
      </c>
      <c r="C910" s="1" t="n">
        <v>37</v>
      </c>
      <c r="D910" s="1" t="str">
        <f aca="false">IF('Boletins Nuppa Site'!G910&lt;&gt;0,'Boletins Nuppa Site'!G910,"NULL")</f>
        <v>NULL</v>
      </c>
      <c r="E910" s="1" t="str">
        <f aca="false">IF('Boletins Nuppa Site'!H910&lt;&gt;0,'Boletins Nuppa Site'!H910,"NULL")</f>
        <v>NULL</v>
      </c>
      <c r="F910" s="1" t="str">
        <f aca="false">IF('Boletins Nuppa Site'!I910&lt;&gt;0,'Boletins Nuppa Site'!I910,"NULL")</f>
        <v>NULL</v>
      </c>
      <c r="G910" s="1" t="str">
        <f aca="false">IF('Boletins Nuppa Site'!J910&lt;&gt;0,'Boletins Nuppa Site'!J910,"NULL")</f>
        <v>NULL</v>
      </c>
      <c r="H910" s="1" t="str">
        <f aca="false">IF('Boletins Nuppa Site'!K910&lt;&gt;0,'Boletins Nuppa Site'!K910,"NULL")</f>
        <v>NULL</v>
      </c>
      <c r="J910" s="1" t="str">
        <f aca="false">"INSERT INTO COTACAO (blt_id, pap_id, cot_prc_comum, cot_prc_min, cot_prc_max, cot_prc_med, cot_prc_mediana) VALUES ("&amp;B910&amp;", "&amp;C910&amp;", "&amp;D910&amp;", "&amp;E910&amp;", "&amp;F910&amp;", "&amp;G910&amp;", "&amp;H910&amp;");"</f>
        <v>INSERT INTO COTACAO (blt_id, pap_id, cot_prc_comum, cot_prc_min, cot_prc_max, cot_prc_med, cot_prc_mediana) VALUES (23, 37, NULL, NULL, NULL, NULL, NULL);</v>
      </c>
    </row>
    <row r="911" customFormat="false" ht="14.25" hidden="false" customHeight="false" outlineLevel="0" collapsed="false">
      <c r="A911" s="1" t="n">
        <v>910</v>
      </c>
      <c r="B911" s="1" t="n">
        <v>23</v>
      </c>
      <c r="C911" s="1" t="n">
        <v>38</v>
      </c>
      <c r="D911" s="1" t="str">
        <f aca="false">IF('Boletins Nuppa Site'!G911&lt;&gt;0,'Boletins Nuppa Site'!G911,"NULL")</f>
        <v>NULL</v>
      </c>
      <c r="E911" s="1" t="str">
        <f aca="false">IF('Boletins Nuppa Site'!H911&lt;&gt;0,'Boletins Nuppa Site'!H911,"NULL")</f>
        <v>NULL</v>
      </c>
      <c r="F911" s="1" t="str">
        <f aca="false">IF('Boletins Nuppa Site'!I911&lt;&gt;0,'Boletins Nuppa Site'!I911,"NULL")</f>
        <v>NULL</v>
      </c>
      <c r="G911" s="1" t="str">
        <f aca="false">IF('Boletins Nuppa Site'!J911&lt;&gt;0,'Boletins Nuppa Site'!J911,"NULL")</f>
        <v>NULL</v>
      </c>
      <c r="H911" s="1" t="str">
        <f aca="false">IF('Boletins Nuppa Site'!K911&lt;&gt;0,'Boletins Nuppa Site'!K911,"NULL")</f>
        <v>NULL</v>
      </c>
      <c r="J911" s="1" t="str">
        <f aca="false">"INSERT INTO COTACAO (blt_id, pap_id, cot_prc_comum, cot_prc_min, cot_prc_max, cot_prc_med, cot_prc_mediana) VALUES ("&amp;B911&amp;", "&amp;C911&amp;", "&amp;D911&amp;", "&amp;E911&amp;", "&amp;F911&amp;", "&amp;G911&amp;", "&amp;H911&amp;");"</f>
        <v>INSERT INTO COTACAO (blt_id, pap_id, cot_prc_comum, cot_prc_min, cot_prc_max, cot_prc_med, cot_prc_mediana) VALUES (23, 38, NULL, NULL, NULL, NULL, NULL);</v>
      </c>
    </row>
    <row r="912" customFormat="false" ht="14.25" hidden="false" customHeight="false" outlineLevel="0" collapsed="false">
      <c r="A912" s="1" t="n">
        <v>911</v>
      </c>
      <c r="B912" s="1" t="n">
        <v>23</v>
      </c>
      <c r="C912" s="1" t="n">
        <v>39</v>
      </c>
      <c r="D912" s="1" t="str">
        <f aca="false">IF('Boletins Nuppa Site'!G912&lt;&gt;0,'Boletins Nuppa Site'!G912,"NULL")</f>
        <v>NULL</v>
      </c>
      <c r="E912" s="16" t="n">
        <f aca="false">IF('Boletins Nuppa Site'!H912&lt;&gt;0,'Boletins Nuppa Site'!H912,"NULL")</f>
        <v>50</v>
      </c>
      <c r="F912" s="16" t="n">
        <f aca="false">IF('Boletins Nuppa Site'!I912&lt;&gt;0,'Boletins Nuppa Site'!I912,"NULL")</f>
        <v>50</v>
      </c>
      <c r="G912" s="16" t="n">
        <f aca="false">IF('Boletins Nuppa Site'!J912&lt;&gt;0,'Boletins Nuppa Site'!J912,"NULL")</f>
        <v>50</v>
      </c>
      <c r="H912" s="16" t="n">
        <f aca="false">IF('Boletins Nuppa Site'!K912&lt;&gt;0,'Boletins Nuppa Site'!K912,"NULL")</f>
        <v>50</v>
      </c>
      <c r="J912" s="1" t="str">
        <f aca="false">"INSERT INTO COTACAO (blt_id, pap_id, cot_prc_comum, cot_prc_min, cot_prc_max, cot_prc_med, cot_prc_mediana) VALUES ("&amp;B912&amp;", "&amp;C912&amp;", "&amp;D912&amp;", "&amp;E912&amp;", "&amp;F912&amp;", "&amp;G912&amp;", "&amp;H912&amp;");"</f>
        <v>INSERT INTO COTACAO (blt_id, pap_id, cot_prc_comum, cot_prc_min, cot_prc_max, cot_prc_med, cot_prc_mediana) VALUES (23, 39, NULL, 50, 50, 50, 50);</v>
      </c>
    </row>
    <row r="913" customFormat="false" ht="14.25" hidden="false" customHeight="false" outlineLevel="0" collapsed="false">
      <c r="A913" s="1" t="n">
        <v>912</v>
      </c>
      <c r="B913" s="1" t="n">
        <v>23</v>
      </c>
      <c r="C913" s="1" t="n">
        <v>40</v>
      </c>
      <c r="D913" s="1" t="str">
        <f aca="false">IF('Boletins Nuppa Site'!G913&lt;&gt;0,'Boletins Nuppa Site'!G913,"NULL")</f>
        <v>NULL</v>
      </c>
      <c r="E913" s="16" t="n">
        <f aca="false">IF('Boletins Nuppa Site'!H913&lt;&gt;0,'Boletins Nuppa Site'!H913,"NULL")</f>
        <v>65</v>
      </c>
      <c r="F913" s="16" t="n">
        <f aca="false">IF('Boletins Nuppa Site'!I913&lt;&gt;0,'Boletins Nuppa Site'!I913,"NULL")</f>
        <v>65</v>
      </c>
      <c r="G913" s="16" t="n">
        <f aca="false">IF('Boletins Nuppa Site'!J913&lt;&gt;0,'Boletins Nuppa Site'!J913,"NULL")</f>
        <v>65</v>
      </c>
      <c r="H913" s="16" t="n">
        <f aca="false">IF('Boletins Nuppa Site'!K913&lt;&gt;0,'Boletins Nuppa Site'!K913,"NULL")</f>
        <v>65</v>
      </c>
      <c r="J913" s="1" t="str">
        <f aca="false">"INSERT INTO COTACAO (blt_id, pap_id, cot_prc_comum, cot_prc_min, cot_prc_max, cot_prc_med, cot_prc_mediana) VALUES ("&amp;B913&amp;", "&amp;C913&amp;", "&amp;D913&amp;", "&amp;E913&amp;", "&amp;F913&amp;", "&amp;G913&amp;", "&amp;H913&amp;");"</f>
        <v>INSERT INTO COTACAO (blt_id, pap_id, cot_prc_comum, cot_prc_min, cot_prc_max, cot_prc_med, cot_prc_mediana) VALUES (23, 40, NULL, 65, 65, 65, 65);</v>
      </c>
    </row>
    <row r="914" customFormat="false" ht="14.25" hidden="false" customHeight="false" outlineLevel="0" collapsed="false">
      <c r="A914" s="1" t="n">
        <v>913</v>
      </c>
      <c r="B914" s="1" t="n">
        <v>24</v>
      </c>
      <c r="C914" s="1" t="n">
        <v>1</v>
      </c>
      <c r="D914" s="16" t="n">
        <f aca="false">IF('Boletins Nuppa Site'!G914&lt;&gt;0,'Boletins Nuppa Site'!G914,"NULL")</f>
        <v>48</v>
      </c>
      <c r="E914" s="16" t="n">
        <f aca="false">IF('Boletins Nuppa Site'!H914&lt;&gt;0,'Boletins Nuppa Site'!H914,"NULL")</f>
        <v>48</v>
      </c>
      <c r="F914" s="16" t="n">
        <f aca="false">IF('Boletins Nuppa Site'!I914&lt;&gt;0,'Boletins Nuppa Site'!I914,"NULL")</f>
        <v>60</v>
      </c>
      <c r="G914" s="16" t="n">
        <f aca="false">IF('Boletins Nuppa Site'!J914&lt;&gt;0,'Boletins Nuppa Site'!J914,"NULL")</f>
        <v>54</v>
      </c>
      <c r="H914" s="16" t="n">
        <f aca="false">IF('Boletins Nuppa Site'!K914&lt;&gt;0,'Boletins Nuppa Site'!K914,"NULL")</f>
        <v>54</v>
      </c>
      <c r="J914" s="1" t="str">
        <f aca="false">"INSERT INTO COTACAO (blt_id, pap_id, cot_prc_comum, cot_prc_min, cot_prc_max, cot_prc_med, cot_prc_mediana) VALUES ("&amp;B914&amp;", "&amp;C914&amp;", "&amp;D914&amp;", "&amp;E914&amp;", "&amp;F914&amp;", "&amp;G914&amp;", "&amp;H914&amp;");"</f>
        <v>INSERT INTO COTACAO (blt_id, pap_id, cot_prc_comum, cot_prc_min, cot_prc_max, cot_prc_med, cot_prc_mediana) VALUES (24, 1, 48, 48, 60, 54, 54);</v>
      </c>
    </row>
    <row r="915" customFormat="false" ht="14.25" hidden="false" customHeight="false" outlineLevel="0" collapsed="false">
      <c r="A915" s="1" t="n">
        <v>914</v>
      </c>
      <c r="B915" s="1" t="n">
        <v>24</v>
      </c>
      <c r="C915" s="1" t="n">
        <v>2</v>
      </c>
      <c r="D915" s="16" t="n">
        <f aca="false">IF('Boletins Nuppa Site'!G915&lt;&gt;0,'Boletins Nuppa Site'!G915,"NULL")</f>
        <v>72</v>
      </c>
      <c r="E915" s="16" t="n">
        <f aca="false">IF('Boletins Nuppa Site'!H915&lt;&gt;0,'Boletins Nuppa Site'!H915,"NULL")</f>
        <v>72</v>
      </c>
      <c r="F915" s="16" t="n">
        <f aca="false">IF('Boletins Nuppa Site'!I915&lt;&gt;0,'Boletins Nuppa Site'!I915,"NULL")</f>
        <v>84</v>
      </c>
      <c r="G915" s="16" t="n">
        <f aca="false">IF('Boletins Nuppa Site'!J915&lt;&gt;0,'Boletins Nuppa Site'!J915,"NULL")</f>
        <v>78</v>
      </c>
      <c r="H915" s="16" t="n">
        <f aca="false">IF('Boletins Nuppa Site'!K915&lt;&gt;0,'Boletins Nuppa Site'!K915,"NULL")</f>
        <v>78</v>
      </c>
      <c r="J915" s="1" t="str">
        <f aca="false">"INSERT INTO COTACAO (blt_id, pap_id, cot_prc_comum, cot_prc_min, cot_prc_max, cot_prc_med, cot_prc_mediana) VALUES ("&amp;B915&amp;", "&amp;C915&amp;", "&amp;D915&amp;", "&amp;E915&amp;", "&amp;F915&amp;", "&amp;G915&amp;", "&amp;H915&amp;");"</f>
        <v>INSERT INTO COTACAO (blt_id, pap_id, cot_prc_comum, cot_prc_min, cot_prc_max, cot_prc_med, cot_prc_mediana) VALUES (24, 2, 72, 72, 84, 78, 78);</v>
      </c>
    </row>
    <row r="916" customFormat="false" ht="14.25" hidden="false" customHeight="false" outlineLevel="0" collapsed="false">
      <c r="A916" s="1" t="n">
        <v>915</v>
      </c>
      <c r="B916" s="1" t="n">
        <v>24</v>
      </c>
      <c r="C916" s="1" t="n">
        <v>3</v>
      </c>
      <c r="D916" s="16" t="n">
        <f aca="false">IF('Boletins Nuppa Site'!G916&lt;&gt;0,'Boletins Nuppa Site'!G916,"NULL")</f>
        <v>36</v>
      </c>
      <c r="E916" s="16" t="n">
        <f aca="false">IF('Boletins Nuppa Site'!H916&lt;&gt;0,'Boletins Nuppa Site'!H916,"NULL")</f>
        <v>36</v>
      </c>
      <c r="F916" s="16" t="n">
        <f aca="false">IF('Boletins Nuppa Site'!I916&lt;&gt;0,'Boletins Nuppa Site'!I916,"NULL")</f>
        <v>48</v>
      </c>
      <c r="G916" s="16" t="n">
        <f aca="false">IF('Boletins Nuppa Site'!J916&lt;&gt;0,'Boletins Nuppa Site'!J916,"NULL")</f>
        <v>40</v>
      </c>
      <c r="H916" s="16" t="n">
        <f aca="false">IF('Boletins Nuppa Site'!K916&lt;&gt;0,'Boletins Nuppa Site'!K916,"NULL")</f>
        <v>38</v>
      </c>
      <c r="J916" s="1" t="str">
        <f aca="false">"INSERT INTO COTACAO (blt_id, pap_id, cot_prc_comum, cot_prc_min, cot_prc_max, cot_prc_med, cot_prc_mediana) VALUES ("&amp;B916&amp;", "&amp;C916&amp;", "&amp;D916&amp;", "&amp;E916&amp;", "&amp;F916&amp;", "&amp;G916&amp;", "&amp;H916&amp;");"</f>
        <v>INSERT INTO COTACAO (blt_id, pap_id, cot_prc_comum, cot_prc_min, cot_prc_max, cot_prc_med, cot_prc_mediana) VALUES (24, 3, 36, 36, 48, 40, 38);</v>
      </c>
    </row>
    <row r="917" customFormat="false" ht="14.25" hidden="false" customHeight="false" outlineLevel="0" collapsed="false">
      <c r="A917" s="1" t="n">
        <v>916</v>
      </c>
      <c r="B917" s="1" t="n">
        <v>24</v>
      </c>
      <c r="C917" s="1" t="n">
        <v>4</v>
      </c>
      <c r="D917" s="16" t="n">
        <f aca="false">IF('Boletins Nuppa Site'!G917&lt;&gt;0,'Boletins Nuppa Site'!G917,"NULL")</f>
        <v>24</v>
      </c>
      <c r="E917" s="16" t="n">
        <f aca="false">IF('Boletins Nuppa Site'!H917&lt;&gt;0,'Boletins Nuppa Site'!H917,"NULL")</f>
        <v>20</v>
      </c>
      <c r="F917" s="16" t="n">
        <f aca="false">IF('Boletins Nuppa Site'!I917&lt;&gt;0,'Boletins Nuppa Site'!I917,"NULL")</f>
        <v>24</v>
      </c>
      <c r="G917" s="16" t="n">
        <f aca="false">IF('Boletins Nuppa Site'!J917&lt;&gt;0,'Boletins Nuppa Site'!J917,"NULL")</f>
        <v>23</v>
      </c>
      <c r="H917" s="16" t="n">
        <f aca="false">IF('Boletins Nuppa Site'!K917&lt;&gt;0,'Boletins Nuppa Site'!K917,"NULL")</f>
        <v>24</v>
      </c>
      <c r="J917" s="1" t="str">
        <f aca="false">"INSERT INTO COTACAO (blt_id, pap_id, cot_prc_comum, cot_prc_min, cot_prc_max, cot_prc_med, cot_prc_mediana) VALUES ("&amp;B917&amp;", "&amp;C917&amp;", "&amp;D917&amp;", "&amp;E917&amp;", "&amp;F917&amp;", "&amp;G917&amp;", "&amp;H917&amp;");"</f>
        <v>INSERT INTO COTACAO (blt_id, pap_id, cot_prc_comum, cot_prc_min, cot_prc_max, cot_prc_med, cot_prc_mediana) VALUES (24, 4, 24, 20, 24, 23, 24);</v>
      </c>
    </row>
    <row r="918" customFormat="false" ht="14.25" hidden="false" customHeight="false" outlineLevel="0" collapsed="false">
      <c r="A918" s="1" t="n">
        <v>917</v>
      </c>
      <c r="B918" s="1" t="n">
        <v>24</v>
      </c>
      <c r="C918" s="1" t="n">
        <v>5</v>
      </c>
      <c r="D918" s="16" t="n">
        <f aca="false">IF('Boletins Nuppa Site'!G918&lt;&gt;0,'Boletins Nuppa Site'!G918,"NULL")</f>
        <v>24</v>
      </c>
      <c r="E918" s="16" t="n">
        <f aca="false">IF('Boletins Nuppa Site'!H918&lt;&gt;0,'Boletins Nuppa Site'!H918,"NULL")</f>
        <v>20</v>
      </c>
      <c r="F918" s="16" t="n">
        <f aca="false">IF('Boletins Nuppa Site'!I918&lt;&gt;0,'Boletins Nuppa Site'!I918,"NULL")</f>
        <v>24</v>
      </c>
      <c r="G918" s="16" t="n">
        <f aca="false">IF('Boletins Nuppa Site'!J918&lt;&gt;0,'Boletins Nuppa Site'!J918,"NULL")</f>
        <v>23</v>
      </c>
      <c r="H918" s="16" t="n">
        <f aca="false">IF('Boletins Nuppa Site'!K918&lt;&gt;0,'Boletins Nuppa Site'!K918,"NULL")</f>
        <v>24</v>
      </c>
      <c r="J918" s="1" t="str">
        <f aca="false">"INSERT INTO COTACAO (blt_id, pap_id, cot_prc_comum, cot_prc_min, cot_prc_max, cot_prc_med, cot_prc_mediana) VALUES ("&amp;B918&amp;", "&amp;C918&amp;", "&amp;D918&amp;", "&amp;E918&amp;", "&amp;F918&amp;", "&amp;G918&amp;", "&amp;H918&amp;");"</f>
        <v>INSERT INTO COTACAO (blt_id, pap_id, cot_prc_comum, cot_prc_min, cot_prc_max, cot_prc_med, cot_prc_mediana) VALUES (24, 5, 24, 20, 24, 23, 24);</v>
      </c>
    </row>
    <row r="919" customFormat="false" ht="14.25" hidden="false" customHeight="false" outlineLevel="0" collapsed="false">
      <c r="A919" s="1" t="n">
        <v>918</v>
      </c>
      <c r="B919" s="1" t="n">
        <v>24</v>
      </c>
      <c r="C919" s="1" t="n">
        <v>6</v>
      </c>
      <c r="D919" s="16" t="n">
        <f aca="false">IF('Boletins Nuppa Site'!G919&lt;&gt;0,'Boletins Nuppa Site'!G919,"NULL")</f>
        <v>60</v>
      </c>
      <c r="E919" s="16" t="n">
        <f aca="false">IF('Boletins Nuppa Site'!H919&lt;&gt;0,'Boletins Nuppa Site'!H919,"NULL")</f>
        <v>60</v>
      </c>
      <c r="F919" s="16" t="n">
        <f aca="false">IF('Boletins Nuppa Site'!I919&lt;&gt;0,'Boletins Nuppa Site'!I919,"NULL")</f>
        <v>60</v>
      </c>
      <c r="G919" s="16" t="n">
        <f aca="false">IF('Boletins Nuppa Site'!J919&lt;&gt;0,'Boletins Nuppa Site'!J919,"NULL")</f>
        <v>60</v>
      </c>
      <c r="H919" s="16" t="n">
        <f aca="false">IF('Boletins Nuppa Site'!K919&lt;&gt;0,'Boletins Nuppa Site'!K919,"NULL")</f>
        <v>60</v>
      </c>
      <c r="J919" s="1" t="str">
        <f aca="false">"INSERT INTO COTACAO (blt_id, pap_id, cot_prc_comum, cot_prc_min, cot_prc_max, cot_prc_med, cot_prc_mediana) VALUES ("&amp;B919&amp;", "&amp;C919&amp;", "&amp;D919&amp;", "&amp;E919&amp;", "&amp;F919&amp;", "&amp;G919&amp;", "&amp;H919&amp;");"</f>
        <v>INSERT INTO COTACAO (blt_id, pap_id, cot_prc_comum, cot_prc_min, cot_prc_max, cot_prc_med, cot_prc_mediana) VALUES (24, 6, 60, 60, 60, 60, 60);</v>
      </c>
    </row>
    <row r="920" customFormat="false" ht="14.25" hidden="false" customHeight="false" outlineLevel="0" collapsed="false">
      <c r="A920" s="1" t="n">
        <v>919</v>
      </c>
      <c r="B920" s="1" t="n">
        <v>24</v>
      </c>
      <c r="C920" s="1" t="n">
        <v>7</v>
      </c>
      <c r="D920" s="16" t="n">
        <f aca="false">IF('Boletins Nuppa Site'!G920&lt;&gt;0,'Boletins Nuppa Site'!G920,"NULL")</f>
        <v>60</v>
      </c>
      <c r="E920" s="16" t="n">
        <f aca="false">IF('Boletins Nuppa Site'!H920&lt;&gt;0,'Boletins Nuppa Site'!H920,"NULL")</f>
        <v>54</v>
      </c>
      <c r="F920" s="16" t="n">
        <f aca="false">IF('Boletins Nuppa Site'!I920&lt;&gt;0,'Boletins Nuppa Site'!I920,"NULL")</f>
        <v>60</v>
      </c>
      <c r="G920" s="1" t="str">
        <f aca="false">IF('Boletins Nuppa Site'!J920&lt;&gt;0,'Boletins Nuppa Site'!J920,"NULL")</f>
        <v>58.5</v>
      </c>
      <c r="H920" s="16" t="n">
        <f aca="false">IF('Boletins Nuppa Site'!K920&lt;&gt;0,'Boletins Nuppa Site'!K920,"NULL")</f>
        <v>60</v>
      </c>
      <c r="J920" s="1" t="str">
        <f aca="false">"INSERT INTO COTACAO (blt_id, pap_id, cot_prc_comum, cot_prc_min, cot_prc_max, cot_prc_med, cot_prc_mediana) VALUES ("&amp;B920&amp;", "&amp;C920&amp;", "&amp;D920&amp;", "&amp;E920&amp;", "&amp;F920&amp;", "&amp;G920&amp;", "&amp;H920&amp;");"</f>
        <v>INSERT INTO COTACAO (blt_id, pap_id, cot_prc_comum, cot_prc_min, cot_prc_max, cot_prc_med, cot_prc_mediana) VALUES (24, 7, 60, 54, 60, 58.5, 60);</v>
      </c>
    </row>
    <row r="921" customFormat="false" ht="14.25" hidden="false" customHeight="false" outlineLevel="0" collapsed="false">
      <c r="A921" s="1" t="n">
        <v>920</v>
      </c>
      <c r="B921" s="1" t="n">
        <v>24</v>
      </c>
      <c r="C921" s="1" t="n">
        <v>8</v>
      </c>
      <c r="D921" s="16" t="n">
        <f aca="false">IF('Boletins Nuppa Site'!G921&lt;&gt;0,'Boletins Nuppa Site'!G921,"NULL")</f>
        <v>84</v>
      </c>
      <c r="E921" s="16" t="n">
        <f aca="false">IF('Boletins Nuppa Site'!H921&lt;&gt;0,'Boletins Nuppa Site'!H921,"NULL")</f>
        <v>72</v>
      </c>
      <c r="F921" s="16" t="n">
        <f aca="false">IF('Boletins Nuppa Site'!I921&lt;&gt;0,'Boletins Nuppa Site'!I921,"NULL")</f>
        <v>96</v>
      </c>
      <c r="G921" s="16" t="n">
        <f aca="false">IF('Boletins Nuppa Site'!J921&lt;&gt;0,'Boletins Nuppa Site'!J921,"NULL")</f>
        <v>84</v>
      </c>
      <c r="H921" s="16" t="n">
        <f aca="false">IF('Boletins Nuppa Site'!K921&lt;&gt;0,'Boletins Nuppa Site'!K921,"NULL")</f>
        <v>84</v>
      </c>
      <c r="J921" s="1" t="str">
        <f aca="false">"INSERT INTO COTACAO (blt_id, pap_id, cot_prc_comum, cot_prc_min, cot_prc_max, cot_prc_med, cot_prc_mediana) VALUES ("&amp;B921&amp;", "&amp;C921&amp;", "&amp;D921&amp;", "&amp;E921&amp;", "&amp;F921&amp;", "&amp;G921&amp;", "&amp;H921&amp;");"</f>
        <v>INSERT INTO COTACAO (blt_id, pap_id, cot_prc_comum, cot_prc_min, cot_prc_max, cot_prc_med, cot_prc_mediana) VALUES (24, 8, 84, 72, 96, 84, 84);</v>
      </c>
    </row>
    <row r="922" customFormat="false" ht="14.25" hidden="false" customHeight="false" outlineLevel="0" collapsed="false">
      <c r="A922" s="1" t="n">
        <v>921</v>
      </c>
      <c r="B922" s="1" t="n">
        <v>24</v>
      </c>
      <c r="C922" s="1" t="n">
        <v>9</v>
      </c>
      <c r="D922" s="16" t="n">
        <f aca="false">IF('Boletins Nuppa Site'!G922&lt;&gt;0,'Boletins Nuppa Site'!G922,"NULL")</f>
        <v>24</v>
      </c>
      <c r="E922" s="16" t="n">
        <f aca="false">IF('Boletins Nuppa Site'!H922&lt;&gt;0,'Boletins Nuppa Site'!H922,"NULL")</f>
        <v>24</v>
      </c>
      <c r="F922" s="16" t="n">
        <f aca="false">IF('Boletins Nuppa Site'!I922&lt;&gt;0,'Boletins Nuppa Site'!I922,"NULL")</f>
        <v>30</v>
      </c>
      <c r="G922" s="1" t="str">
        <f aca="false">IF('Boletins Nuppa Site'!J922&lt;&gt;0,'Boletins Nuppa Site'!J922,"NULL")</f>
        <v>25.5</v>
      </c>
      <c r="H922" s="16" t="n">
        <f aca="false">IF('Boletins Nuppa Site'!K922&lt;&gt;0,'Boletins Nuppa Site'!K922,"NULL")</f>
        <v>24</v>
      </c>
      <c r="J922" s="1" t="str">
        <f aca="false">"INSERT INTO COTACAO (blt_id, pap_id, cot_prc_comum, cot_prc_min, cot_prc_max, cot_prc_med, cot_prc_mediana) VALUES ("&amp;B922&amp;", "&amp;C922&amp;", "&amp;D922&amp;", "&amp;E922&amp;", "&amp;F922&amp;", "&amp;G922&amp;", "&amp;H922&amp;");"</f>
        <v>INSERT INTO COTACAO (blt_id, pap_id, cot_prc_comum, cot_prc_min, cot_prc_max, cot_prc_med, cot_prc_mediana) VALUES (24, 9, 24, 24, 30, 25.5, 24);</v>
      </c>
    </row>
    <row r="923" customFormat="false" ht="14.25" hidden="false" customHeight="false" outlineLevel="0" collapsed="false">
      <c r="A923" s="1" t="n">
        <v>922</v>
      </c>
      <c r="B923" s="1" t="n">
        <v>24</v>
      </c>
      <c r="C923" s="1" t="n">
        <v>10</v>
      </c>
      <c r="D923" s="16" t="n">
        <f aca="false">IF('Boletins Nuppa Site'!G923&lt;&gt;0,'Boletins Nuppa Site'!G923,"NULL")</f>
        <v>60</v>
      </c>
      <c r="E923" s="16" t="n">
        <f aca="false">IF('Boletins Nuppa Site'!H923&lt;&gt;0,'Boletins Nuppa Site'!H923,"NULL")</f>
        <v>60</v>
      </c>
      <c r="F923" s="16" t="n">
        <f aca="false">IF('Boletins Nuppa Site'!I923&lt;&gt;0,'Boletins Nuppa Site'!I923,"NULL")</f>
        <v>72</v>
      </c>
      <c r="G923" s="16" t="n">
        <f aca="false">IF('Boletins Nuppa Site'!J923&lt;&gt;0,'Boletins Nuppa Site'!J923,"NULL")</f>
        <v>63</v>
      </c>
      <c r="H923" s="16" t="n">
        <f aca="false">IF('Boletins Nuppa Site'!K923&lt;&gt;0,'Boletins Nuppa Site'!K923,"NULL")</f>
        <v>60</v>
      </c>
      <c r="J923" s="1" t="str">
        <f aca="false">"INSERT INTO COTACAO (blt_id, pap_id, cot_prc_comum, cot_prc_min, cot_prc_max, cot_prc_med, cot_prc_mediana) VALUES ("&amp;B923&amp;", "&amp;C923&amp;", "&amp;D923&amp;", "&amp;E923&amp;", "&amp;F923&amp;", "&amp;G923&amp;", "&amp;H923&amp;");"</f>
        <v>INSERT INTO COTACAO (blt_id, pap_id, cot_prc_comum, cot_prc_min, cot_prc_max, cot_prc_med, cot_prc_mediana) VALUES (24, 10, 60, 60, 72, 63, 60);</v>
      </c>
    </row>
    <row r="924" customFormat="false" ht="14.25" hidden="false" customHeight="false" outlineLevel="0" collapsed="false">
      <c r="A924" s="1" t="n">
        <v>923</v>
      </c>
      <c r="B924" s="1" t="n">
        <v>24</v>
      </c>
      <c r="C924" s="1" t="n">
        <v>11</v>
      </c>
      <c r="D924" s="16" t="n">
        <f aca="false">IF('Boletins Nuppa Site'!G924&lt;&gt;0,'Boletins Nuppa Site'!G924,"NULL")</f>
        <v>24</v>
      </c>
      <c r="E924" s="16" t="n">
        <f aca="false">IF('Boletins Nuppa Site'!H924&lt;&gt;0,'Boletins Nuppa Site'!H924,"NULL")</f>
        <v>20</v>
      </c>
      <c r="F924" s="16" t="n">
        <f aca="false">IF('Boletins Nuppa Site'!I924&lt;&gt;0,'Boletins Nuppa Site'!I924,"NULL")</f>
        <v>24</v>
      </c>
      <c r="G924" s="16" t="n">
        <f aca="false">IF('Boletins Nuppa Site'!J924&lt;&gt;0,'Boletins Nuppa Site'!J924,"NULL")</f>
        <v>23</v>
      </c>
      <c r="H924" s="16" t="n">
        <f aca="false">IF('Boletins Nuppa Site'!K924&lt;&gt;0,'Boletins Nuppa Site'!K924,"NULL")</f>
        <v>24</v>
      </c>
      <c r="J924" s="1" t="str">
        <f aca="false">"INSERT INTO COTACAO (blt_id, pap_id, cot_prc_comum, cot_prc_min, cot_prc_max, cot_prc_med, cot_prc_mediana) VALUES ("&amp;B924&amp;", "&amp;C924&amp;", "&amp;D924&amp;", "&amp;E924&amp;", "&amp;F924&amp;", "&amp;G924&amp;", "&amp;H924&amp;");"</f>
        <v>INSERT INTO COTACAO (blt_id, pap_id, cot_prc_comum, cot_prc_min, cot_prc_max, cot_prc_med, cot_prc_mediana) VALUES (24, 11, 24, 20, 24, 23, 24);</v>
      </c>
    </row>
    <row r="925" customFormat="false" ht="14.25" hidden="false" customHeight="false" outlineLevel="0" collapsed="false">
      <c r="A925" s="1" t="n">
        <v>924</v>
      </c>
      <c r="B925" s="1" t="n">
        <v>24</v>
      </c>
      <c r="C925" s="1" t="n">
        <v>12</v>
      </c>
      <c r="D925" s="16" t="n">
        <f aca="false">IF('Boletins Nuppa Site'!G925&lt;&gt;0,'Boletins Nuppa Site'!G925,"NULL")</f>
        <v>60</v>
      </c>
      <c r="E925" s="16" t="n">
        <f aca="false">IF('Boletins Nuppa Site'!H925&lt;&gt;0,'Boletins Nuppa Site'!H925,"NULL")</f>
        <v>60</v>
      </c>
      <c r="F925" s="16" t="n">
        <f aca="false">IF('Boletins Nuppa Site'!I925&lt;&gt;0,'Boletins Nuppa Site'!I925,"NULL")</f>
        <v>78</v>
      </c>
      <c r="G925" s="1" t="str">
        <f aca="false">IF('Boletins Nuppa Site'!J925&lt;&gt;0,'Boletins Nuppa Site'!J925,"NULL")</f>
        <v>64.5</v>
      </c>
      <c r="H925" s="16" t="n">
        <f aca="false">IF('Boletins Nuppa Site'!K925&lt;&gt;0,'Boletins Nuppa Site'!K925,"NULL")</f>
        <v>60</v>
      </c>
      <c r="J925" s="1" t="str">
        <f aca="false">"INSERT INTO COTACAO (blt_id, pap_id, cot_prc_comum, cot_prc_min, cot_prc_max, cot_prc_med, cot_prc_mediana) VALUES ("&amp;B925&amp;", "&amp;C925&amp;", "&amp;D925&amp;", "&amp;E925&amp;", "&amp;F925&amp;", "&amp;G925&amp;", "&amp;H925&amp;");"</f>
        <v>INSERT INTO COTACAO (blt_id, pap_id, cot_prc_comum, cot_prc_min, cot_prc_max, cot_prc_med, cot_prc_mediana) VALUES (24, 12, 60, 60, 78, 64.5, 60);</v>
      </c>
    </row>
    <row r="926" customFormat="false" ht="14.25" hidden="false" customHeight="false" outlineLevel="0" collapsed="false">
      <c r="A926" s="1" t="n">
        <v>925</v>
      </c>
      <c r="B926" s="1" t="n">
        <v>24</v>
      </c>
      <c r="C926" s="1" t="n">
        <v>13</v>
      </c>
      <c r="D926" s="16" t="n">
        <f aca="false">IF('Boletins Nuppa Site'!G926&lt;&gt;0,'Boletins Nuppa Site'!G926,"NULL")</f>
        <v>60</v>
      </c>
      <c r="E926" s="16" t="n">
        <f aca="false">IF('Boletins Nuppa Site'!H926&lt;&gt;0,'Boletins Nuppa Site'!H926,"NULL")</f>
        <v>60</v>
      </c>
      <c r="F926" s="16" t="n">
        <f aca="false">IF('Boletins Nuppa Site'!I926&lt;&gt;0,'Boletins Nuppa Site'!I926,"NULL")</f>
        <v>60</v>
      </c>
      <c r="G926" s="16" t="n">
        <f aca="false">IF('Boletins Nuppa Site'!J926&lt;&gt;0,'Boletins Nuppa Site'!J926,"NULL")</f>
        <v>60</v>
      </c>
      <c r="H926" s="16" t="n">
        <f aca="false">IF('Boletins Nuppa Site'!K926&lt;&gt;0,'Boletins Nuppa Site'!K926,"NULL")</f>
        <v>60</v>
      </c>
      <c r="J926" s="1" t="str">
        <f aca="false">"INSERT INTO COTACAO (blt_id, pap_id, cot_prc_comum, cot_prc_min, cot_prc_max, cot_prc_med, cot_prc_mediana) VALUES ("&amp;B926&amp;", "&amp;C926&amp;", "&amp;D926&amp;", "&amp;E926&amp;", "&amp;F926&amp;", "&amp;G926&amp;", "&amp;H926&amp;");"</f>
        <v>INSERT INTO COTACAO (blt_id, pap_id, cot_prc_comum, cot_prc_min, cot_prc_max, cot_prc_med, cot_prc_mediana) VALUES (24, 13, 60, 60, 60, 60, 60);</v>
      </c>
    </row>
    <row r="927" customFormat="false" ht="14.25" hidden="false" customHeight="false" outlineLevel="0" collapsed="false">
      <c r="A927" s="1" t="n">
        <v>926</v>
      </c>
      <c r="B927" s="1" t="n">
        <v>24</v>
      </c>
      <c r="C927" s="1" t="n">
        <v>14</v>
      </c>
      <c r="D927" s="1" t="str">
        <f aca="false">IF('Boletins Nuppa Site'!G927&lt;&gt;0,'Boletins Nuppa Site'!G927,"NULL")</f>
        <v>NULL</v>
      </c>
      <c r="E927" s="16" t="n">
        <f aca="false">IF('Boletins Nuppa Site'!H927&lt;&gt;0,'Boletins Nuppa Site'!H927,"NULL")</f>
        <v>50</v>
      </c>
      <c r="F927" s="16" t="n">
        <f aca="false">IF('Boletins Nuppa Site'!I927&lt;&gt;0,'Boletins Nuppa Site'!I927,"NULL")</f>
        <v>84</v>
      </c>
      <c r="G927" s="1" t="str">
        <f aca="false">IF('Boletins Nuppa Site'!J927&lt;&gt;0,'Boletins Nuppa Site'!J927,"NULL")</f>
        <v>66.5</v>
      </c>
      <c r="H927" s="16" t="n">
        <f aca="false">IF('Boletins Nuppa Site'!K927&lt;&gt;0,'Boletins Nuppa Site'!K927,"NULL")</f>
        <v>66</v>
      </c>
      <c r="J927" s="1" t="str">
        <f aca="false">"INSERT INTO COTACAO (blt_id, pap_id, cot_prc_comum, cot_prc_min, cot_prc_max, cot_prc_med, cot_prc_mediana) VALUES ("&amp;B927&amp;", "&amp;C927&amp;", "&amp;D927&amp;", "&amp;E927&amp;", "&amp;F927&amp;", "&amp;G927&amp;", "&amp;H927&amp;");"</f>
        <v>INSERT INTO COTACAO (blt_id, pap_id, cot_prc_comum, cot_prc_min, cot_prc_max, cot_prc_med, cot_prc_mediana) VALUES (24, 14, NULL, 50, 84, 66.5, 66);</v>
      </c>
    </row>
    <row r="928" customFormat="false" ht="14.25" hidden="false" customHeight="false" outlineLevel="0" collapsed="false">
      <c r="A928" s="1" t="n">
        <v>927</v>
      </c>
      <c r="B928" s="1" t="n">
        <v>24</v>
      </c>
      <c r="C928" s="1" t="n">
        <v>15</v>
      </c>
      <c r="D928" s="16" t="n">
        <f aca="false">IF('Boletins Nuppa Site'!G928&lt;&gt;0,'Boletins Nuppa Site'!G928,"NULL")</f>
        <v>45</v>
      </c>
      <c r="E928" s="16" t="n">
        <f aca="false">IF('Boletins Nuppa Site'!H928&lt;&gt;0,'Boletins Nuppa Site'!H928,"NULL")</f>
        <v>40</v>
      </c>
      <c r="F928" s="16" t="n">
        <f aca="false">IF('Boletins Nuppa Site'!I928&lt;&gt;0,'Boletins Nuppa Site'!I928,"NULL")</f>
        <v>48</v>
      </c>
      <c r="G928" s="1" t="str">
        <f aca="false">IF('Boletins Nuppa Site'!J928&lt;&gt;0,'Boletins Nuppa Site'!J928,"NULL")</f>
        <v>44.5</v>
      </c>
      <c r="H928" s="16" t="n">
        <f aca="false">IF('Boletins Nuppa Site'!K928&lt;&gt;0,'Boletins Nuppa Site'!K928,"NULL")</f>
        <v>45</v>
      </c>
      <c r="J928" s="1" t="str">
        <f aca="false">"INSERT INTO COTACAO (blt_id, pap_id, cot_prc_comum, cot_prc_min, cot_prc_max, cot_prc_med, cot_prc_mediana) VALUES ("&amp;B928&amp;", "&amp;C928&amp;", "&amp;D928&amp;", "&amp;E928&amp;", "&amp;F928&amp;", "&amp;G928&amp;", "&amp;H928&amp;");"</f>
        <v>INSERT INTO COTACAO (blt_id, pap_id, cot_prc_comum, cot_prc_min, cot_prc_max, cot_prc_med, cot_prc_mediana) VALUES (24, 15, 45, 40, 48, 44.5, 45);</v>
      </c>
    </row>
    <row r="929" customFormat="false" ht="14.25" hidden="false" customHeight="false" outlineLevel="0" collapsed="false">
      <c r="A929" s="1" t="n">
        <v>928</v>
      </c>
      <c r="B929" s="1" t="n">
        <v>24</v>
      </c>
      <c r="C929" s="1" t="n">
        <v>16</v>
      </c>
      <c r="D929" s="16" t="n">
        <f aca="false">IF('Boletins Nuppa Site'!G929&lt;&gt;0,'Boletins Nuppa Site'!G929,"NULL")</f>
        <v>48</v>
      </c>
      <c r="E929" s="16" t="n">
        <f aca="false">IF('Boletins Nuppa Site'!H929&lt;&gt;0,'Boletins Nuppa Site'!H929,"NULL")</f>
        <v>48</v>
      </c>
      <c r="F929" s="16" t="n">
        <f aca="false">IF('Boletins Nuppa Site'!I929&lt;&gt;0,'Boletins Nuppa Site'!I929,"NULL")</f>
        <v>54</v>
      </c>
      <c r="G929" s="1" t="str">
        <f aca="false">IF('Boletins Nuppa Site'!J929&lt;&gt;0,'Boletins Nuppa Site'!J929,"NULL")</f>
        <v>49.5</v>
      </c>
      <c r="H929" s="16" t="n">
        <f aca="false">IF('Boletins Nuppa Site'!K929&lt;&gt;0,'Boletins Nuppa Site'!K929,"NULL")</f>
        <v>48</v>
      </c>
      <c r="J929" s="1" t="str">
        <f aca="false">"INSERT INTO COTACAO (blt_id, pap_id, cot_prc_comum, cot_prc_min, cot_prc_max, cot_prc_med, cot_prc_mediana) VALUES ("&amp;B929&amp;", "&amp;C929&amp;", "&amp;D929&amp;", "&amp;E929&amp;", "&amp;F929&amp;", "&amp;G929&amp;", "&amp;H929&amp;");"</f>
        <v>INSERT INTO COTACAO (blt_id, pap_id, cot_prc_comum, cot_prc_min, cot_prc_max, cot_prc_med, cot_prc_mediana) VALUES (24, 16, 48, 48, 54, 49.5, 48);</v>
      </c>
    </row>
    <row r="930" customFormat="false" ht="14.25" hidden="false" customHeight="false" outlineLevel="0" collapsed="false">
      <c r="A930" s="1" t="n">
        <v>929</v>
      </c>
      <c r="B930" s="1" t="n">
        <v>24</v>
      </c>
      <c r="C930" s="1" t="n">
        <v>17</v>
      </c>
      <c r="D930" s="16" t="n">
        <f aca="false">IF('Boletins Nuppa Site'!G930&lt;&gt;0,'Boletins Nuppa Site'!G930,"NULL")</f>
        <v>5</v>
      </c>
      <c r="E930" s="16" t="n">
        <f aca="false">IF('Boletins Nuppa Site'!H930&lt;&gt;0,'Boletins Nuppa Site'!H930,"NULL")</f>
        <v>5</v>
      </c>
      <c r="F930" s="16" t="n">
        <f aca="false">IF('Boletins Nuppa Site'!I930&lt;&gt;0,'Boletins Nuppa Site'!I930,"NULL")</f>
        <v>5</v>
      </c>
      <c r="G930" s="16" t="n">
        <f aca="false">IF('Boletins Nuppa Site'!J930&lt;&gt;0,'Boletins Nuppa Site'!J930,"NULL")</f>
        <v>5</v>
      </c>
      <c r="H930" s="16" t="n">
        <f aca="false">IF('Boletins Nuppa Site'!K930&lt;&gt;0,'Boletins Nuppa Site'!K930,"NULL")</f>
        <v>5</v>
      </c>
      <c r="J930" s="1" t="str">
        <f aca="false">"INSERT INTO COTACAO (blt_id, pap_id, cot_prc_comum, cot_prc_min, cot_prc_max, cot_prc_med, cot_prc_mediana) VALUES ("&amp;B930&amp;", "&amp;C930&amp;", "&amp;D930&amp;", "&amp;E930&amp;", "&amp;F930&amp;", "&amp;G930&amp;", "&amp;H930&amp;");"</f>
        <v>INSERT INTO COTACAO (blt_id, pap_id, cot_prc_comum, cot_prc_min, cot_prc_max, cot_prc_med, cot_prc_mediana) VALUES (24, 17, 5, 5, 5, 5, 5);</v>
      </c>
    </row>
    <row r="931" customFormat="false" ht="14.25" hidden="false" customHeight="false" outlineLevel="0" collapsed="false">
      <c r="A931" s="1" t="n">
        <v>930</v>
      </c>
      <c r="B931" s="1" t="n">
        <v>24</v>
      </c>
      <c r="C931" s="1" t="n">
        <v>18</v>
      </c>
      <c r="D931" s="16" t="n">
        <f aca="false">IF('Boletins Nuppa Site'!G931&lt;&gt;0,'Boletins Nuppa Site'!G931,"NULL")</f>
        <v>15</v>
      </c>
      <c r="E931" s="16" t="n">
        <f aca="false">IF('Boletins Nuppa Site'!H931&lt;&gt;0,'Boletins Nuppa Site'!H931,"NULL")</f>
        <v>10</v>
      </c>
      <c r="F931" s="16" t="n">
        <f aca="false">IF('Boletins Nuppa Site'!I931&lt;&gt;0,'Boletins Nuppa Site'!I931,"NULL")</f>
        <v>15</v>
      </c>
      <c r="G931" s="16" t="n">
        <f aca="false">IF('Boletins Nuppa Site'!J931&lt;&gt;0,'Boletins Nuppa Site'!J931,"NULL")</f>
        <v>13</v>
      </c>
      <c r="H931" s="1" t="str">
        <f aca="false">IF('Boletins Nuppa Site'!K931&lt;&gt;0,'Boletins Nuppa Site'!K931,"NULL")</f>
        <v>13.5</v>
      </c>
      <c r="J931" s="1" t="str">
        <f aca="false">"INSERT INTO COTACAO (blt_id, pap_id, cot_prc_comum, cot_prc_min, cot_prc_max, cot_prc_med, cot_prc_mediana) VALUES ("&amp;B931&amp;", "&amp;C931&amp;", "&amp;D931&amp;", "&amp;E931&amp;", "&amp;F931&amp;", "&amp;G931&amp;", "&amp;H931&amp;");"</f>
        <v>INSERT INTO COTACAO (blt_id, pap_id, cot_prc_comum, cot_prc_min, cot_prc_max, cot_prc_med, cot_prc_mediana) VALUES (24, 18, 15, 10, 15, 13, 13.5);</v>
      </c>
    </row>
    <row r="932" customFormat="false" ht="14.25" hidden="false" customHeight="false" outlineLevel="0" collapsed="false">
      <c r="A932" s="1" t="n">
        <v>931</v>
      </c>
      <c r="B932" s="1" t="n">
        <v>24</v>
      </c>
      <c r="C932" s="1" t="n">
        <v>19</v>
      </c>
      <c r="D932" s="16" t="n">
        <f aca="false">IF('Boletins Nuppa Site'!G932&lt;&gt;0,'Boletins Nuppa Site'!G932,"NULL")</f>
        <v>25</v>
      </c>
      <c r="E932" s="16" t="n">
        <f aca="false">IF('Boletins Nuppa Site'!H932&lt;&gt;0,'Boletins Nuppa Site'!H932,"NULL")</f>
        <v>20</v>
      </c>
      <c r="F932" s="16" t="n">
        <f aca="false">IF('Boletins Nuppa Site'!I932&lt;&gt;0,'Boletins Nuppa Site'!I932,"NULL")</f>
        <v>30</v>
      </c>
      <c r="G932" s="16" t="n">
        <f aca="false">IF('Boletins Nuppa Site'!J932&lt;&gt;0,'Boletins Nuppa Site'!J932,"NULL")</f>
        <v>25</v>
      </c>
      <c r="H932" s="16" t="n">
        <f aca="false">IF('Boletins Nuppa Site'!K932&lt;&gt;0,'Boletins Nuppa Site'!K932,"NULL")</f>
        <v>25</v>
      </c>
      <c r="J932" s="1" t="str">
        <f aca="false">"INSERT INTO COTACAO (blt_id, pap_id, cot_prc_comum, cot_prc_min, cot_prc_max, cot_prc_med, cot_prc_mediana) VALUES ("&amp;B932&amp;", "&amp;C932&amp;", "&amp;D932&amp;", "&amp;E932&amp;", "&amp;F932&amp;", "&amp;G932&amp;", "&amp;H932&amp;");"</f>
        <v>INSERT INTO COTACAO (blt_id, pap_id, cot_prc_comum, cot_prc_min, cot_prc_max, cot_prc_med, cot_prc_mediana) VALUES (24, 19, 25, 20, 30, 25, 25);</v>
      </c>
    </row>
    <row r="933" customFormat="false" ht="14.25" hidden="false" customHeight="false" outlineLevel="0" collapsed="false">
      <c r="A933" s="1" t="n">
        <v>932</v>
      </c>
      <c r="B933" s="1" t="n">
        <v>24</v>
      </c>
      <c r="C933" s="1" t="n">
        <v>20</v>
      </c>
      <c r="D933" s="1" t="str">
        <f aca="false">IF('Boletins Nuppa Site'!G933&lt;&gt;0,'Boletins Nuppa Site'!G933,"NULL")</f>
        <v>NULL</v>
      </c>
      <c r="E933" s="16" t="n">
        <f aca="false">IF('Boletins Nuppa Site'!H933&lt;&gt;0,'Boletins Nuppa Site'!H933,"NULL")</f>
        <v>65</v>
      </c>
      <c r="F933" s="16" t="n">
        <f aca="false">IF('Boletins Nuppa Site'!I933&lt;&gt;0,'Boletins Nuppa Site'!I933,"NULL")</f>
        <v>80</v>
      </c>
      <c r="G933" s="1" t="str">
        <f aca="false">IF('Boletins Nuppa Site'!J933&lt;&gt;0,'Boletins Nuppa Site'!J933,"NULL")</f>
        <v>71.67</v>
      </c>
      <c r="H933" s="16" t="n">
        <f aca="false">IF('Boletins Nuppa Site'!K933&lt;&gt;0,'Boletins Nuppa Site'!K933,"NULL")</f>
        <v>70</v>
      </c>
      <c r="J933" s="1" t="str">
        <f aca="false">"INSERT INTO COTACAO (blt_id, pap_id, cot_prc_comum, cot_prc_min, cot_prc_max, cot_prc_med, cot_prc_mediana) VALUES ("&amp;B933&amp;", "&amp;C933&amp;", "&amp;D933&amp;", "&amp;E933&amp;", "&amp;F933&amp;", "&amp;G933&amp;", "&amp;H933&amp;");"</f>
        <v>INSERT INTO COTACAO (blt_id, pap_id, cot_prc_comum, cot_prc_min, cot_prc_max, cot_prc_med, cot_prc_mediana) VALUES (24, 20, NULL, 65, 80, 71.67, 70);</v>
      </c>
    </row>
    <row r="934" customFormat="false" ht="14.25" hidden="false" customHeight="false" outlineLevel="0" collapsed="false">
      <c r="A934" s="1" t="n">
        <v>933</v>
      </c>
      <c r="B934" s="1" t="n">
        <v>24</v>
      </c>
      <c r="C934" s="1" t="n">
        <v>21</v>
      </c>
      <c r="D934" s="16" t="n">
        <f aca="false">IF('Boletins Nuppa Site'!G934&lt;&gt;0,'Boletins Nuppa Site'!G934,"NULL")</f>
        <v>60</v>
      </c>
      <c r="E934" s="16" t="n">
        <f aca="false">IF('Boletins Nuppa Site'!H934&lt;&gt;0,'Boletins Nuppa Site'!H934,"NULL")</f>
        <v>45</v>
      </c>
      <c r="F934" s="16" t="n">
        <f aca="false">IF('Boletins Nuppa Site'!I934&lt;&gt;0,'Boletins Nuppa Site'!I934,"NULL")</f>
        <v>70</v>
      </c>
      <c r="G934" s="16" t="n">
        <f aca="false">IF('Boletins Nuppa Site'!J934&lt;&gt;0,'Boletins Nuppa Site'!J934,"NULL")</f>
        <v>59</v>
      </c>
      <c r="H934" s="16" t="n">
        <f aca="false">IF('Boletins Nuppa Site'!K934&lt;&gt;0,'Boletins Nuppa Site'!K934,"NULL")</f>
        <v>60</v>
      </c>
      <c r="J934" s="1" t="str">
        <f aca="false">"INSERT INTO COTACAO (blt_id, pap_id, cot_prc_comum, cot_prc_min, cot_prc_max, cot_prc_med, cot_prc_mediana) VALUES ("&amp;B934&amp;", "&amp;C934&amp;", "&amp;D934&amp;", "&amp;E934&amp;", "&amp;F934&amp;", "&amp;G934&amp;", "&amp;H934&amp;");"</f>
        <v>INSERT INTO COTACAO (blt_id, pap_id, cot_prc_comum, cot_prc_min, cot_prc_max, cot_prc_med, cot_prc_mediana) VALUES (24, 21, 60, 45, 70, 59, 60);</v>
      </c>
    </row>
    <row r="935" customFormat="false" ht="14.25" hidden="false" customHeight="false" outlineLevel="0" collapsed="false">
      <c r="A935" s="1" t="n">
        <v>934</v>
      </c>
      <c r="B935" s="1" t="n">
        <v>24</v>
      </c>
      <c r="C935" s="1" t="n">
        <v>22</v>
      </c>
      <c r="D935" s="16" t="n">
        <f aca="false">IF('Boletins Nuppa Site'!G935&lt;&gt;0,'Boletins Nuppa Site'!G935,"NULL")</f>
        <v>70</v>
      </c>
      <c r="E935" s="16" t="n">
        <f aca="false">IF('Boletins Nuppa Site'!H935&lt;&gt;0,'Boletins Nuppa Site'!H935,"NULL")</f>
        <v>45</v>
      </c>
      <c r="F935" s="16" t="n">
        <f aca="false">IF('Boletins Nuppa Site'!I935&lt;&gt;0,'Boletins Nuppa Site'!I935,"NULL")</f>
        <v>70</v>
      </c>
      <c r="G935" s="16" t="n">
        <f aca="false">IF('Boletins Nuppa Site'!J935&lt;&gt;0,'Boletins Nuppa Site'!J935,"NULL")</f>
        <v>64</v>
      </c>
      <c r="H935" s="16" t="n">
        <f aca="false">IF('Boletins Nuppa Site'!K935&lt;&gt;0,'Boletins Nuppa Site'!K935,"NULL")</f>
        <v>70</v>
      </c>
      <c r="J935" s="1" t="str">
        <f aca="false">"INSERT INTO COTACAO (blt_id, pap_id, cot_prc_comum, cot_prc_min, cot_prc_max, cot_prc_med, cot_prc_mediana) VALUES ("&amp;B935&amp;", "&amp;C935&amp;", "&amp;D935&amp;", "&amp;E935&amp;", "&amp;F935&amp;", "&amp;G935&amp;", "&amp;H935&amp;");"</f>
        <v>INSERT INTO COTACAO (blt_id, pap_id, cot_prc_comum, cot_prc_min, cot_prc_max, cot_prc_med, cot_prc_mediana) VALUES (24, 22, 70, 45, 70, 64, 70);</v>
      </c>
    </row>
    <row r="936" customFormat="false" ht="14.25" hidden="false" customHeight="false" outlineLevel="0" collapsed="false">
      <c r="A936" s="1" t="n">
        <v>935</v>
      </c>
      <c r="B936" s="1" t="n">
        <v>24</v>
      </c>
      <c r="C936" s="1" t="n">
        <v>23</v>
      </c>
      <c r="D936" s="16" t="n">
        <f aca="false">IF('Boletins Nuppa Site'!G936&lt;&gt;0,'Boletins Nuppa Site'!G936,"NULL")</f>
        <v>50</v>
      </c>
      <c r="E936" s="16" t="n">
        <f aca="false">IF('Boletins Nuppa Site'!H936&lt;&gt;0,'Boletins Nuppa Site'!H936,"NULL")</f>
        <v>30</v>
      </c>
      <c r="F936" s="16" t="n">
        <f aca="false">IF('Boletins Nuppa Site'!I936&lt;&gt;0,'Boletins Nuppa Site'!I936,"NULL")</f>
        <v>50</v>
      </c>
      <c r="G936" s="16" t="n">
        <f aca="false">IF('Boletins Nuppa Site'!J936&lt;&gt;0,'Boletins Nuppa Site'!J936,"NULL")</f>
        <v>45</v>
      </c>
      <c r="H936" s="16" t="n">
        <f aca="false">IF('Boletins Nuppa Site'!K936&lt;&gt;0,'Boletins Nuppa Site'!K936,"NULL")</f>
        <v>50</v>
      </c>
      <c r="J936" s="1" t="str">
        <f aca="false">"INSERT INTO COTACAO (blt_id, pap_id, cot_prc_comum, cot_prc_min, cot_prc_max, cot_prc_med, cot_prc_mediana) VALUES ("&amp;B936&amp;", "&amp;C936&amp;", "&amp;D936&amp;", "&amp;E936&amp;", "&amp;F936&amp;", "&amp;G936&amp;", "&amp;H936&amp;");"</f>
        <v>INSERT INTO COTACAO (blt_id, pap_id, cot_prc_comum, cot_prc_min, cot_prc_max, cot_prc_med, cot_prc_mediana) VALUES (24, 23, 50, 30, 50, 45, 50);</v>
      </c>
    </row>
    <row r="937" customFormat="false" ht="14.25" hidden="false" customHeight="false" outlineLevel="0" collapsed="false">
      <c r="A937" s="1" t="n">
        <v>936</v>
      </c>
      <c r="B937" s="1" t="n">
        <v>24</v>
      </c>
      <c r="C937" s="1" t="n">
        <v>24</v>
      </c>
      <c r="D937" s="1" t="str">
        <f aca="false">IF('Boletins Nuppa Site'!G937&lt;&gt;0,'Boletins Nuppa Site'!G937,"NULL")</f>
        <v>NULL</v>
      </c>
      <c r="E937" s="16" t="n">
        <f aca="false">IF('Boletins Nuppa Site'!H937&lt;&gt;0,'Boletins Nuppa Site'!H937,"NULL")</f>
        <v>40</v>
      </c>
      <c r="F937" s="16" t="n">
        <f aca="false">IF('Boletins Nuppa Site'!I937&lt;&gt;0,'Boletins Nuppa Site'!I937,"NULL")</f>
        <v>110</v>
      </c>
      <c r="G937" s="16" t="n">
        <f aca="false">IF('Boletins Nuppa Site'!J937&lt;&gt;0,'Boletins Nuppa Site'!J937,"NULL")</f>
        <v>85</v>
      </c>
      <c r="H937" s="16" t="n">
        <f aca="false">IF('Boletins Nuppa Site'!K937&lt;&gt;0,'Boletins Nuppa Site'!K937,"NULL")</f>
        <v>95</v>
      </c>
      <c r="J937" s="1" t="str">
        <f aca="false">"INSERT INTO COTACAO (blt_id, pap_id, cot_prc_comum, cot_prc_min, cot_prc_max, cot_prc_med, cot_prc_mediana) VALUES ("&amp;B937&amp;", "&amp;C937&amp;", "&amp;D937&amp;", "&amp;E937&amp;", "&amp;F937&amp;", "&amp;G937&amp;", "&amp;H937&amp;");"</f>
        <v>INSERT INTO COTACAO (blt_id, pap_id, cot_prc_comum, cot_prc_min, cot_prc_max, cot_prc_med, cot_prc_mediana) VALUES (24, 24, NULL, 40, 110, 85, 95);</v>
      </c>
    </row>
    <row r="938" customFormat="false" ht="14.25" hidden="false" customHeight="false" outlineLevel="0" collapsed="false">
      <c r="A938" s="1" t="n">
        <v>937</v>
      </c>
      <c r="B938" s="1" t="n">
        <v>24</v>
      </c>
      <c r="C938" s="1" t="n">
        <v>25</v>
      </c>
      <c r="D938" s="16" t="n">
        <f aca="false">IF('Boletins Nuppa Site'!G938&lt;&gt;0,'Boletins Nuppa Site'!G938,"NULL")</f>
        <v>70</v>
      </c>
      <c r="E938" s="16" t="n">
        <f aca="false">IF('Boletins Nuppa Site'!H938&lt;&gt;0,'Boletins Nuppa Site'!H938,"NULL")</f>
        <v>70</v>
      </c>
      <c r="F938" s="16" t="n">
        <f aca="false">IF('Boletins Nuppa Site'!I938&lt;&gt;0,'Boletins Nuppa Site'!I938,"NULL")</f>
        <v>90</v>
      </c>
      <c r="G938" s="16" t="n">
        <f aca="false">IF('Boletins Nuppa Site'!J938&lt;&gt;0,'Boletins Nuppa Site'!J938,"NULL")</f>
        <v>79</v>
      </c>
      <c r="H938" s="16" t="n">
        <f aca="false">IF('Boletins Nuppa Site'!K938&lt;&gt;0,'Boletins Nuppa Site'!K938,"NULL")</f>
        <v>80</v>
      </c>
      <c r="J938" s="1" t="str">
        <f aca="false">"INSERT INTO COTACAO (blt_id, pap_id, cot_prc_comum, cot_prc_min, cot_prc_max, cot_prc_med, cot_prc_mediana) VALUES ("&amp;B938&amp;", "&amp;C938&amp;", "&amp;D938&amp;", "&amp;E938&amp;", "&amp;F938&amp;", "&amp;G938&amp;", "&amp;H938&amp;");"</f>
        <v>INSERT INTO COTACAO (blt_id, pap_id, cot_prc_comum, cot_prc_min, cot_prc_max, cot_prc_med, cot_prc_mediana) VALUES (24, 25, 70, 70, 90, 79, 80);</v>
      </c>
    </row>
    <row r="939" customFormat="false" ht="14.25" hidden="false" customHeight="false" outlineLevel="0" collapsed="false">
      <c r="A939" s="1" t="n">
        <v>938</v>
      </c>
      <c r="B939" s="1" t="n">
        <v>24</v>
      </c>
      <c r="C939" s="1" t="n">
        <v>26</v>
      </c>
      <c r="D939" s="16" t="n">
        <f aca="false">IF('Boletins Nuppa Site'!G939&lt;&gt;0,'Boletins Nuppa Site'!G939,"NULL")</f>
        <v>60</v>
      </c>
      <c r="E939" s="16" t="n">
        <f aca="false">IF('Boletins Nuppa Site'!H939&lt;&gt;0,'Boletins Nuppa Site'!H939,"NULL")</f>
        <v>40</v>
      </c>
      <c r="F939" s="16" t="n">
        <f aca="false">IF('Boletins Nuppa Site'!I939&lt;&gt;0,'Boletins Nuppa Site'!I939,"NULL")</f>
        <v>80</v>
      </c>
      <c r="G939" s="1" t="str">
        <f aca="false">IF('Boletins Nuppa Site'!J939&lt;&gt;0,'Boletins Nuppa Site'!J939,"NULL")</f>
        <v>63.33</v>
      </c>
      <c r="H939" s="1" t="str">
        <f aca="false">IF('Boletins Nuppa Site'!K939&lt;&gt;0,'Boletins Nuppa Site'!K939,"NULL")</f>
        <v>62.5</v>
      </c>
      <c r="J939" s="1" t="str">
        <f aca="false">"INSERT INTO COTACAO (blt_id, pap_id, cot_prc_comum, cot_prc_min, cot_prc_max, cot_prc_med, cot_prc_mediana) VALUES ("&amp;B939&amp;", "&amp;C939&amp;", "&amp;D939&amp;", "&amp;E939&amp;", "&amp;F939&amp;", "&amp;G939&amp;", "&amp;H939&amp;");"</f>
        <v>INSERT INTO COTACAO (blt_id, pap_id, cot_prc_comum, cot_prc_min, cot_prc_max, cot_prc_med, cot_prc_mediana) VALUES (24, 26, 60, 40, 80, 63.33, 62.5);</v>
      </c>
    </row>
    <row r="940" customFormat="false" ht="14.25" hidden="false" customHeight="false" outlineLevel="0" collapsed="false">
      <c r="A940" s="1" t="n">
        <v>939</v>
      </c>
      <c r="B940" s="1" t="n">
        <v>24</v>
      </c>
      <c r="C940" s="1" t="n">
        <v>27</v>
      </c>
      <c r="D940" s="16" t="n">
        <f aca="false">IF('Boletins Nuppa Site'!G940&lt;&gt;0,'Boletins Nuppa Site'!G940,"NULL")</f>
        <v>65</v>
      </c>
      <c r="E940" s="16" t="n">
        <f aca="false">IF('Boletins Nuppa Site'!H940&lt;&gt;0,'Boletins Nuppa Site'!H940,"NULL")</f>
        <v>45</v>
      </c>
      <c r="F940" s="16" t="n">
        <f aca="false">IF('Boletins Nuppa Site'!I940&lt;&gt;0,'Boletins Nuppa Site'!I940,"NULL")</f>
        <v>65</v>
      </c>
      <c r="G940" s="16" t="n">
        <f aca="false">IF('Boletins Nuppa Site'!J940&lt;&gt;0,'Boletins Nuppa Site'!J940,"NULL")</f>
        <v>57</v>
      </c>
      <c r="H940" s="16" t="n">
        <f aca="false">IF('Boletins Nuppa Site'!K940&lt;&gt;0,'Boletins Nuppa Site'!K940,"NULL")</f>
        <v>60</v>
      </c>
      <c r="J940" s="1" t="str">
        <f aca="false">"INSERT INTO COTACAO (blt_id, pap_id, cot_prc_comum, cot_prc_min, cot_prc_max, cot_prc_med, cot_prc_mediana) VALUES ("&amp;B940&amp;", "&amp;C940&amp;", "&amp;D940&amp;", "&amp;E940&amp;", "&amp;F940&amp;", "&amp;G940&amp;", "&amp;H940&amp;");"</f>
        <v>INSERT INTO COTACAO (blt_id, pap_id, cot_prc_comum, cot_prc_min, cot_prc_max, cot_prc_med, cot_prc_mediana) VALUES (24, 27, 65, 45, 65, 57, 60);</v>
      </c>
    </row>
    <row r="941" customFormat="false" ht="14.25" hidden="false" customHeight="false" outlineLevel="0" collapsed="false">
      <c r="A941" s="1" t="n">
        <v>940</v>
      </c>
      <c r="B941" s="1" t="n">
        <v>24</v>
      </c>
      <c r="C941" s="1" t="n">
        <v>28</v>
      </c>
      <c r="D941" s="16" t="n">
        <f aca="false">IF('Boletins Nuppa Site'!G941&lt;&gt;0,'Boletins Nuppa Site'!G941,"NULL")</f>
        <v>90</v>
      </c>
      <c r="E941" s="16" t="n">
        <f aca="false">IF('Boletins Nuppa Site'!H941&lt;&gt;0,'Boletins Nuppa Site'!H941,"NULL")</f>
        <v>60</v>
      </c>
      <c r="F941" s="16" t="n">
        <f aca="false">IF('Boletins Nuppa Site'!I941&lt;&gt;0,'Boletins Nuppa Site'!I941,"NULL")</f>
        <v>100</v>
      </c>
      <c r="G941" s="1" t="str">
        <f aca="false">IF('Boletins Nuppa Site'!J941&lt;&gt;0,'Boletins Nuppa Site'!J941,"NULL")</f>
        <v>83.33</v>
      </c>
      <c r="H941" s="16" t="n">
        <f aca="false">IF('Boletins Nuppa Site'!K941&lt;&gt;0,'Boletins Nuppa Site'!K941,"NULL")</f>
        <v>85</v>
      </c>
      <c r="J941" s="1" t="str">
        <f aca="false">"INSERT INTO COTACAO (blt_id, pap_id, cot_prc_comum, cot_prc_min, cot_prc_max, cot_prc_med, cot_prc_mediana) VALUES ("&amp;B941&amp;", "&amp;C941&amp;", "&amp;D941&amp;", "&amp;E941&amp;", "&amp;F941&amp;", "&amp;G941&amp;", "&amp;H941&amp;");"</f>
        <v>INSERT INTO COTACAO (blt_id, pap_id, cot_prc_comum, cot_prc_min, cot_prc_max, cot_prc_med, cot_prc_mediana) VALUES (24, 28, 90, 60, 100, 83.33, 85);</v>
      </c>
    </row>
    <row r="942" customFormat="false" ht="14.25" hidden="false" customHeight="false" outlineLevel="0" collapsed="false">
      <c r="A942" s="1" t="n">
        <v>941</v>
      </c>
      <c r="B942" s="1" t="n">
        <v>24</v>
      </c>
      <c r="C942" s="1" t="n">
        <v>29</v>
      </c>
      <c r="D942" s="16" t="n">
        <f aca="false">IF('Boletins Nuppa Site'!G942&lt;&gt;0,'Boletins Nuppa Site'!G942,"NULL")</f>
        <v>50</v>
      </c>
      <c r="E942" s="16" t="n">
        <f aca="false">IF('Boletins Nuppa Site'!H942&lt;&gt;0,'Boletins Nuppa Site'!H942,"NULL")</f>
        <v>50</v>
      </c>
      <c r="F942" s="16" t="n">
        <f aca="false">IF('Boletins Nuppa Site'!I942&lt;&gt;0,'Boletins Nuppa Site'!I942,"NULL")</f>
        <v>60</v>
      </c>
      <c r="G942" s="1" t="str">
        <f aca="false">IF('Boletins Nuppa Site'!J942&lt;&gt;0,'Boletins Nuppa Site'!J942,"NULL")</f>
        <v>53.75</v>
      </c>
      <c r="H942" s="1" t="str">
        <f aca="false">IF('Boletins Nuppa Site'!K942&lt;&gt;0,'Boletins Nuppa Site'!K942,"NULL")</f>
        <v>52.5</v>
      </c>
      <c r="J942" s="1" t="str">
        <f aca="false">"INSERT INTO COTACAO (blt_id, pap_id, cot_prc_comum, cot_prc_min, cot_prc_max, cot_prc_med, cot_prc_mediana) VALUES ("&amp;B942&amp;", "&amp;C942&amp;", "&amp;D942&amp;", "&amp;E942&amp;", "&amp;F942&amp;", "&amp;G942&amp;", "&amp;H942&amp;");"</f>
        <v>INSERT INTO COTACAO (blt_id, pap_id, cot_prc_comum, cot_prc_min, cot_prc_max, cot_prc_med, cot_prc_mediana) VALUES (24, 29, 50, 50, 60, 53.75, 52.5);</v>
      </c>
    </row>
    <row r="943" customFormat="false" ht="14.25" hidden="false" customHeight="false" outlineLevel="0" collapsed="false">
      <c r="A943" s="1" t="n">
        <v>942</v>
      </c>
      <c r="B943" s="1" t="n">
        <v>24</v>
      </c>
      <c r="C943" s="1" t="n">
        <v>30</v>
      </c>
      <c r="D943" s="16" t="n">
        <f aca="false">IF('Boletins Nuppa Site'!G943&lt;&gt;0,'Boletins Nuppa Site'!G943,"NULL")</f>
        <v>60</v>
      </c>
      <c r="E943" s="16" t="n">
        <f aca="false">IF('Boletins Nuppa Site'!H943&lt;&gt;0,'Boletins Nuppa Site'!H943,"NULL")</f>
        <v>40</v>
      </c>
      <c r="F943" s="16" t="n">
        <f aca="false">IF('Boletins Nuppa Site'!I943&lt;&gt;0,'Boletins Nuppa Site'!I943,"NULL")</f>
        <v>60</v>
      </c>
      <c r="G943" s="1" t="str">
        <f aca="false">IF('Boletins Nuppa Site'!J943&lt;&gt;0,'Boletins Nuppa Site'!J943,"NULL")</f>
        <v>52.5</v>
      </c>
      <c r="H943" s="16" t="n">
        <f aca="false">IF('Boletins Nuppa Site'!K943&lt;&gt;0,'Boletins Nuppa Site'!K943,"NULL")</f>
        <v>55</v>
      </c>
      <c r="J943" s="1" t="str">
        <f aca="false">"INSERT INTO COTACAO (blt_id, pap_id, cot_prc_comum, cot_prc_min, cot_prc_max, cot_prc_med, cot_prc_mediana) VALUES ("&amp;B943&amp;", "&amp;C943&amp;", "&amp;D943&amp;", "&amp;E943&amp;", "&amp;F943&amp;", "&amp;G943&amp;", "&amp;H943&amp;");"</f>
        <v>INSERT INTO COTACAO (blt_id, pap_id, cot_prc_comum, cot_prc_min, cot_prc_max, cot_prc_med, cot_prc_mediana) VALUES (24, 30, 60, 40, 60, 52.5, 55);</v>
      </c>
    </row>
    <row r="944" customFormat="false" ht="14.25" hidden="false" customHeight="false" outlineLevel="0" collapsed="false">
      <c r="A944" s="1" t="n">
        <v>943</v>
      </c>
      <c r="B944" s="1" t="n">
        <v>24</v>
      </c>
      <c r="C944" s="1" t="n">
        <v>31</v>
      </c>
      <c r="D944" s="16" t="n">
        <f aca="false">IF('Boletins Nuppa Site'!G944&lt;&gt;0,'Boletins Nuppa Site'!G944,"NULL")</f>
        <v>80</v>
      </c>
      <c r="E944" s="16" t="n">
        <f aca="false">IF('Boletins Nuppa Site'!H944&lt;&gt;0,'Boletins Nuppa Site'!H944,"NULL")</f>
        <v>70</v>
      </c>
      <c r="F944" s="16" t="n">
        <f aca="false">IF('Boletins Nuppa Site'!I944&lt;&gt;0,'Boletins Nuppa Site'!I944,"NULL")</f>
        <v>80</v>
      </c>
      <c r="G944" s="16" t="n">
        <f aca="false">IF('Boletins Nuppa Site'!J944&lt;&gt;0,'Boletins Nuppa Site'!J944,"NULL")</f>
        <v>77</v>
      </c>
      <c r="H944" s="16" t="n">
        <f aca="false">IF('Boletins Nuppa Site'!K944&lt;&gt;0,'Boletins Nuppa Site'!K944,"NULL")</f>
        <v>80</v>
      </c>
      <c r="J944" s="1" t="str">
        <f aca="false">"INSERT INTO COTACAO (blt_id, pap_id, cot_prc_comum, cot_prc_min, cot_prc_max, cot_prc_med, cot_prc_mediana) VALUES ("&amp;B944&amp;", "&amp;C944&amp;", "&amp;D944&amp;", "&amp;E944&amp;", "&amp;F944&amp;", "&amp;G944&amp;", "&amp;H944&amp;");"</f>
        <v>INSERT INTO COTACAO (blt_id, pap_id, cot_prc_comum, cot_prc_min, cot_prc_max, cot_prc_med, cot_prc_mediana) VALUES (24, 31, 80, 70, 80, 77, 80);</v>
      </c>
    </row>
    <row r="945" customFormat="false" ht="14.25" hidden="false" customHeight="false" outlineLevel="0" collapsed="false">
      <c r="A945" s="1" t="n">
        <v>944</v>
      </c>
      <c r="B945" s="1" t="n">
        <v>24</v>
      </c>
      <c r="C945" s="1" t="n">
        <v>32</v>
      </c>
      <c r="D945" s="16" t="n">
        <f aca="false">IF('Boletins Nuppa Site'!G945&lt;&gt;0,'Boletins Nuppa Site'!G945,"NULL")</f>
        <v>50</v>
      </c>
      <c r="E945" s="16" t="n">
        <f aca="false">IF('Boletins Nuppa Site'!H945&lt;&gt;0,'Boletins Nuppa Site'!H945,"NULL")</f>
        <v>50</v>
      </c>
      <c r="F945" s="16" t="n">
        <f aca="false">IF('Boletins Nuppa Site'!I945&lt;&gt;0,'Boletins Nuppa Site'!I945,"NULL")</f>
        <v>60</v>
      </c>
      <c r="G945" s="16" t="n">
        <f aca="false">IF('Boletins Nuppa Site'!J945&lt;&gt;0,'Boletins Nuppa Site'!J945,"NULL")</f>
        <v>53</v>
      </c>
      <c r="H945" s="16" t="n">
        <f aca="false">IF('Boletins Nuppa Site'!K945&lt;&gt;0,'Boletins Nuppa Site'!K945,"NULL")</f>
        <v>50</v>
      </c>
      <c r="J945" s="1" t="str">
        <f aca="false">"INSERT INTO COTACAO (blt_id, pap_id, cot_prc_comum, cot_prc_min, cot_prc_max, cot_prc_med, cot_prc_mediana) VALUES ("&amp;B945&amp;", "&amp;C945&amp;", "&amp;D945&amp;", "&amp;E945&amp;", "&amp;F945&amp;", "&amp;G945&amp;", "&amp;H945&amp;");"</f>
        <v>INSERT INTO COTACAO (blt_id, pap_id, cot_prc_comum, cot_prc_min, cot_prc_max, cot_prc_med, cot_prc_mediana) VALUES (24, 32, 50, 50, 60, 53, 50);</v>
      </c>
    </row>
    <row r="946" customFormat="false" ht="14.25" hidden="false" customHeight="false" outlineLevel="0" collapsed="false">
      <c r="A946" s="1" t="n">
        <v>945</v>
      </c>
      <c r="B946" s="1" t="n">
        <v>24</v>
      </c>
      <c r="C946" s="1" t="n">
        <v>33</v>
      </c>
      <c r="D946" s="16" t="n">
        <f aca="false">IF('Boletins Nuppa Site'!G946&lt;&gt;0,'Boletins Nuppa Site'!G946,"NULL")</f>
        <v>100</v>
      </c>
      <c r="E946" s="16" t="n">
        <f aca="false">IF('Boletins Nuppa Site'!H946&lt;&gt;0,'Boletins Nuppa Site'!H946,"NULL")</f>
        <v>90</v>
      </c>
      <c r="F946" s="16" t="n">
        <f aca="false">IF('Boletins Nuppa Site'!I946&lt;&gt;0,'Boletins Nuppa Site'!I946,"NULL")</f>
        <v>120</v>
      </c>
      <c r="G946" s="1" t="str">
        <f aca="false">IF('Boletins Nuppa Site'!J946&lt;&gt;0,'Boletins Nuppa Site'!J946,"NULL")</f>
        <v>102.5</v>
      </c>
      <c r="H946" s="16" t="n">
        <f aca="false">IF('Boletins Nuppa Site'!K946&lt;&gt;0,'Boletins Nuppa Site'!K946,"NULL")</f>
        <v>100</v>
      </c>
      <c r="J946" s="1" t="str">
        <f aca="false">"INSERT INTO COTACAO (blt_id, pap_id, cot_prc_comum, cot_prc_min, cot_prc_max, cot_prc_med, cot_prc_mediana) VALUES ("&amp;B946&amp;", "&amp;C946&amp;", "&amp;D946&amp;", "&amp;E946&amp;", "&amp;F946&amp;", "&amp;G946&amp;", "&amp;H946&amp;");"</f>
        <v>INSERT INTO COTACAO (blt_id, pap_id, cot_prc_comum, cot_prc_min, cot_prc_max, cot_prc_med, cot_prc_mediana) VALUES (24, 33, 100, 90, 120, 102.5, 100);</v>
      </c>
    </row>
    <row r="947" customFormat="false" ht="14.25" hidden="false" customHeight="false" outlineLevel="0" collapsed="false">
      <c r="A947" s="1" t="n">
        <v>946</v>
      </c>
      <c r="B947" s="1" t="n">
        <v>24</v>
      </c>
      <c r="C947" s="1" t="n">
        <v>34</v>
      </c>
      <c r="D947" s="1" t="str">
        <f aca="false">IF('Boletins Nuppa Site'!G947&lt;&gt;0,'Boletins Nuppa Site'!G947,"NULL")</f>
        <v>NULL</v>
      </c>
      <c r="E947" s="16" t="n">
        <f aca="false">IF('Boletins Nuppa Site'!H947&lt;&gt;0,'Boletins Nuppa Site'!H947,"NULL")</f>
        <v>30</v>
      </c>
      <c r="F947" s="16" t="n">
        <f aca="false">IF('Boletins Nuppa Site'!I947&lt;&gt;0,'Boletins Nuppa Site'!I947,"NULL")</f>
        <v>90</v>
      </c>
      <c r="G947" s="1" t="str">
        <f aca="false">IF('Boletins Nuppa Site'!J947&lt;&gt;0,'Boletins Nuppa Site'!J947,"NULL")</f>
        <v>67.5</v>
      </c>
      <c r="H947" s="1" t="str">
        <f aca="false">IF('Boletins Nuppa Site'!K947&lt;&gt;0,'Boletins Nuppa Site'!K947,"NULL")</f>
        <v>72.5</v>
      </c>
      <c r="J947" s="1" t="str">
        <f aca="false">"INSERT INTO COTACAO (blt_id, pap_id, cot_prc_comum, cot_prc_min, cot_prc_max, cot_prc_med, cot_prc_mediana) VALUES ("&amp;B947&amp;", "&amp;C947&amp;", "&amp;D947&amp;", "&amp;E947&amp;", "&amp;F947&amp;", "&amp;G947&amp;", "&amp;H947&amp;");"</f>
        <v>INSERT INTO COTACAO (blt_id, pap_id, cot_prc_comum, cot_prc_min, cot_prc_max, cot_prc_med, cot_prc_mediana) VALUES (24, 34, NULL, 30, 90, 67.5, 72.5);</v>
      </c>
    </row>
    <row r="948" customFormat="false" ht="14.25" hidden="false" customHeight="false" outlineLevel="0" collapsed="false">
      <c r="A948" s="1" t="n">
        <v>947</v>
      </c>
      <c r="B948" s="1" t="n">
        <v>24</v>
      </c>
      <c r="C948" s="1" t="n">
        <v>35</v>
      </c>
      <c r="D948" s="16" t="n">
        <f aca="false">IF('Boletins Nuppa Site'!G948&lt;&gt;0,'Boletins Nuppa Site'!G948,"NULL")</f>
        <v>120</v>
      </c>
      <c r="E948" s="16" t="n">
        <f aca="false">IF('Boletins Nuppa Site'!H948&lt;&gt;0,'Boletins Nuppa Site'!H948,"NULL")</f>
        <v>120</v>
      </c>
      <c r="F948" s="16" t="n">
        <f aca="false">IF('Boletins Nuppa Site'!I948&lt;&gt;0,'Boletins Nuppa Site'!I948,"NULL")</f>
        <v>150</v>
      </c>
      <c r="G948" s="16" t="n">
        <f aca="false">IF('Boletins Nuppa Site'!J948&lt;&gt;0,'Boletins Nuppa Site'!J948,"NULL")</f>
        <v>130</v>
      </c>
      <c r="H948" s="16" t="n">
        <f aca="false">IF('Boletins Nuppa Site'!K948&lt;&gt;0,'Boletins Nuppa Site'!K948,"NULL")</f>
        <v>125</v>
      </c>
      <c r="J948" s="1" t="str">
        <f aca="false">"INSERT INTO COTACAO (blt_id, pap_id, cot_prc_comum, cot_prc_min, cot_prc_max, cot_prc_med, cot_prc_mediana) VALUES ("&amp;B948&amp;", "&amp;C948&amp;", "&amp;D948&amp;", "&amp;E948&amp;", "&amp;F948&amp;", "&amp;G948&amp;", "&amp;H948&amp;");"</f>
        <v>INSERT INTO COTACAO (blt_id, pap_id, cot_prc_comum, cot_prc_min, cot_prc_max, cot_prc_med, cot_prc_mediana) VALUES (24, 35, 120, 120, 150, 130, 125);</v>
      </c>
    </row>
    <row r="949" customFormat="false" ht="14.25" hidden="false" customHeight="false" outlineLevel="0" collapsed="false">
      <c r="A949" s="1" t="n">
        <v>948</v>
      </c>
      <c r="B949" s="1" t="n">
        <v>24</v>
      </c>
      <c r="C949" s="1" t="n">
        <v>36</v>
      </c>
      <c r="D949" s="1" t="str">
        <f aca="false">IF('Boletins Nuppa Site'!G949&lt;&gt;0,'Boletins Nuppa Site'!G949,"NULL")</f>
        <v>NULL</v>
      </c>
      <c r="E949" s="1" t="str">
        <f aca="false">IF('Boletins Nuppa Site'!H949&lt;&gt;0,'Boletins Nuppa Site'!H949,"NULL")</f>
        <v>NULL</v>
      </c>
      <c r="F949" s="1" t="str">
        <f aca="false">IF('Boletins Nuppa Site'!I949&lt;&gt;0,'Boletins Nuppa Site'!I949,"NULL")</f>
        <v>NULL</v>
      </c>
      <c r="G949" s="1" t="str">
        <f aca="false">IF('Boletins Nuppa Site'!J949&lt;&gt;0,'Boletins Nuppa Site'!J949,"NULL")</f>
        <v>NULL</v>
      </c>
      <c r="H949" s="1" t="str">
        <f aca="false">IF('Boletins Nuppa Site'!K949&lt;&gt;0,'Boletins Nuppa Site'!K949,"NULL")</f>
        <v>NULL</v>
      </c>
      <c r="J949" s="1" t="str">
        <f aca="false">"INSERT INTO COTACAO (blt_id, pap_id, cot_prc_comum, cot_prc_min, cot_prc_max, cot_prc_med, cot_prc_mediana) VALUES ("&amp;B949&amp;", "&amp;C949&amp;", "&amp;D949&amp;", "&amp;E949&amp;", "&amp;F949&amp;", "&amp;G949&amp;", "&amp;H949&amp;");"</f>
        <v>INSERT INTO COTACAO (blt_id, pap_id, cot_prc_comum, cot_prc_min, cot_prc_max, cot_prc_med, cot_prc_mediana) VALUES (24, 36, NULL, NULL, NULL, NULL, NULL);</v>
      </c>
    </row>
    <row r="950" customFormat="false" ht="14.25" hidden="false" customHeight="false" outlineLevel="0" collapsed="false">
      <c r="A950" s="1" t="n">
        <v>949</v>
      </c>
      <c r="B950" s="1" t="n">
        <v>24</v>
      </c>
      <c r="C950" s="1" t="n">
        <v>37</v>
      </c>
      <c r="D950" s="1" t="str">
        <f aca="false">IF('Boletins Nuppa Site'!G950&lt;&gt;0,'Boletins Nuppa Site'!G950,"NULL")</f>
        <v>NULL</v>
      </c>
      <c r="E950" s="1" t="str">
        <f aca="false">IF('Boletins Nuppa Site'!H950&lt;&gt;0,'Boletins Nuppa Site'!H950,"NULL")</f>
        <v>NULL</v>
      </c>
      <c r="F950" s="1" t="str">
        <f aca="false">IF('Boletins Nuppa Site'!I950&lt;&gt;0,'Boletins Nuppa Site'!I950,"NULL")</f>
        <v>NULL</v>
      </c>
      <c r="G950" s="1" t="str">
        <f aca="false">IF('Boletins Nuppa Site'!J950&lt;&gt;0,'Boletins Nuppa Site'!J950,"NULL")</f>
        <v>NULL</v>
      </c>
      <c r="H950" s="1" t="str">
        <f aca="false">IF('Boletins Nuppa Site'!K950&lt;&gt;0,'Boletins Nuppa Site'!K950,"NULL")</f>
        <v>NULL</v>
      </c>
      <c r="J950" s="1" t="str">
        <f aca="false">"INSERT INTO COTACAO (blt_id, pap_id, cot_prc_comum, cot_prc_min, cot_prc_max, cot_prc_med, cot_prc_mediana) VALUES ("&amp;B950&amp;", "&amp;C950&amp;", "&amp;D950&amp;", "&amp;E950&amp;", "&amp;F950&amp;", "&amp;G950&amp;", "&amp;H950&amp;");"</f>
        <v>INSERT INTO COTACAO (blt_id, pap_id, cot_prc_comum, cot_prc_min, cot_prc_max, cot_prc_med, cot_prc_mediana) VALUES (24, 37, NULL, NULL, NULL, NULL, NULL);</v>
      </c>
    </row>
    <row r="951" customFormat="false" ht="14.25" hidden="false" customHeight="false" outlineLevel="0" collapsed="false">
      <c r="A951" s="1" t="n">
        <v>950</v>
      </c>
      <c r="B951" s="1" t="n">
        <v>24</v>
      </c>
      <c r="C951" s="1" t="n">
        <v>38</v>
      </c>
      <c r="D951" s="1" t="str">
        <f aca="false">IF('Boletins Nuppa Site'!G951&lt;&gt;0,'Boletins Nuppa Site'!G951,"NULL")</f>
        <v>NULL</v>
      </c>
      <c r="E951" s="1" t="str">
        <f aca="false">IF('Boletins Nuppa Site'!H951&lt;&gt;0,'Boletins Nuppa Site'!H951,"NULL")</f>
        <v>NULL</v>
      </c>
      <c r="F951" s="1" t="str">
        <f aca="false">IF('Boletins Nuppa Site'!I951&lt;&gt;0,'Boletins Nuppa Site'!I951,"NULL")</f>
        <v>NULL</v>
      </c>
      <c r="G951" s="1" t="str">
        <f aca="false">IF('Boletins Nuppa Site'!J951&lt;&gt;0,'Boletins Nuppa Site'!J951,"NULL")</f>
        <v>NULL</v>
      </c>
      <c r="H951" s="1" t="str">
        <f aca="false">IF('Boletins Nuppa Site'!K951&lt;&gt;0,'Boletins Nuppa Site'!K951,"NULL")</f>
        <v>NULL</v>
      </c>
      <c r="J951" s="1" t="str">
        <f aca="false">"INSERT INTO COTACAO (blt_id, pap_id, cot_prc_comum, cot_prc_min, cot_prc_max, cot_prc_med, cot_prc_mediana) VALUES ("&amp;B951&amp;", "&amp;C951&amp;", "&amp;D951&amp;", "&amp;E951&amp;", "&amp;F951&amp;", "&amp;G951&amp;", "&amp;H951&amp;");"</f>
        <v>INSERT INTO COTACAO (blt_id, pap_id, cot_prc_comum, cot_prc_min, cot_prc_max, cot_prc_med, cot_prc_mediana) VALUES (24, 38, NULL, NULL, NULL, NULL, NULL);</v>
      </c>
    </row>
    <row r="952" customFormat="false" ht="14.25" hidden="false" customHeight="false" outlineLevel="0" collapsed="false">
      <c r="A952" s="1" t="n">
        <v>951</v>
      </c>
      <c r="B952" s="1" t="n">
        <v>24</v>
      </c>
      <c r="C952" s="1" t="n">
        <v>39</v>
      </c>
      <c r="D952" s="16" t="n">
        <f aca="false">IF('Boletins Nuppa Site'!G952&lt;&gt;0,'Boletins Nuppa Site'!G952,"NULL")</f>
        <v>48</v>
      </c>
      <c r="E952" s="16" t="n">
        <f aca="false">IF('Boletins Nuppa Site'!H952&lt;&gt;0,'Boletins Nuppa Site'!H952,"NULL")</f>
        <v>48</v>
      </c>
      <c r="F952" s="16" t="n">
        <f aca="false">IF('Boletins Nuppa Site'!I952&lt;&gt;0,'Boletins Nuppa Site'!I952,"NULL")</f>
        <v>48</v>
      </c>
      <c r="G952" s="16" t="n">
        <f aca="false">IF('Boletins Nuppa Site'!J952&lt;&gt;0,'Boletins Nuppa Site'!J952,"NULL")</f>
        <v>48</v>
      </c>
      <c r="H952" s="16" t="n">
        <f aca="false">IF('Boletins Nuppa Site'!K952&lt;&gt;0,'Boletins Nuppa Site'!K952,"NULL")</f>
        <v>48</v>
      </c>
      <c r="J952" s="1" t="str">
        <f aca="false">"INSERT INTO COTACAO (blt_id, pap_id, cot_prc_comum, cot_prc_min, cot_prc_max, cot_prc_med, cot_prc_mediana) VALUES ("&amp;B952&amp;", "&amp;C952&amp;", "&amp;D952&amp;", "&amp;E952&amp;", "&amp;F952&amp;", "&amp;G952&amp;", "&amp;H952&amp;");"</f>
        <v>INSERT INTO COTACAO (blt_id, pap_id, cot_prc_comum, cot_prc_min, cot_prc_max, cot_prc_med, cot_prc_mediana) VALUES (24, 39, 48, 48, 48, 48, 48);</v>
      </c>
    </row>
    <row r="953" customFormat="false" ht="14.25" hidden="false" customHeight="false" outlineLevel="0" collapsed="false">
      <c r="A953" s="1" t="n">
        <v>952</v>
      </c>
      <c r="B953" s="1" t="n">
        <v>24</v>
      </c>
      <c r="C953" s="1" t="n">
        <v>40</v>
      </c>
      <c r="D953" s="16" t="n">
        <f aca="false">IF('Boletins Nuppa Site'!G953&lt;&gt;0,'Boletins Nuppa Site'!G953,"NULL")</f>
        <v>70</v>
      </c>
      <c r="E953" s="16" t="n">
        <f aca="false">IF('Boletins Nuppa Site'!H953&lt;&gt;0,'Boletins Nuppa Site'!H953,"NULL")</f>
        <v>65</v>
      </c>
      <c r="F953" s="16" t="n">
        <f aca="false">IF('Boletins Nuppa Site'!I953&lt;&gt;0,'Boletins Nuppa Site'!I953,"NULL")</f>
        <v>70</v>
      </c>
      <c r="G953" s="1" t="str">
        <f aca="false">IF('Boletins Nuppa Site'!J953&lt;&gt;0,'Boletins Nuppa Site'!J953,"NULL")</f>
        <v>68.33</v>
      </c>
      <c r="H953" s="16" t="n">
        <f aca="false">IF('Boletins Nuppa Site'!K953&lt;&gt;0,'Boletins Nuppa Site'!K953,"NULL")</f>
        <v>70</v>
      </c>
      <c r="J953" s="1" t="str">
        <f aca="false">"INSERT INTO COTACAO (blt_id, pap_id, cot_prc_comum, cot_prc_min, cot_prc_max, cot_prc_med, cot_prc_mediana) VALUES ("&amp;B953&amp;", "&amp;C953&amp;", "&amp;D953&amp;", "&amp;E953&amp;", "&amp;F953&amp;", "&amp;G953&amp;", "&amp;H953&amp;");"</f>
        <v>INSERT INTO COTACAO (blt_id, pap_id, cot_prc_comum, cot_prc_min, cot_prc_max, cot_prc_med, cot_prc_mediana) VALUES (24, 40, 70, 65, 70, 68.33, 70);</v>
      </c>
    </row>
    <row r="954" customFormat="false" ht="14.25" hidden="false" customHeight="false" outlineLevel="0" collapsed="false">
      <c r="A954" s="1" t="n">
        <v>953</v>
      </c>
      <c r="B954" s="1" t="n">
        <v>26</v>
      </c>
      <c r="C954" s="1" t="n">
        <v>1</v>
      </c>
      <c r="D954" s="16" t="n">
        <f aca="false">IF('Boletins Nuppa Site'!G954&lt;&gt;0,'Boletins Nuppa Site'!G954,"NULL")</f>
        <v>60</v>
      </c>
      <c r="E954" s="16" t="n">
        <f aca="false">IF('Boletins Nuppa Site'!H954&lt;&gt;0,'Boletins Nuppa Site'!H954,"NULL")</f>
        <v>48</v>
      </c>
      <c r="F954" s="16" t="n">
        <f aca="false">IF('Boletins Nuppa Site'!I954&lt;&gt;0,'Boletins Nuppa Site'!I954,"NULL")</f>
        <v>60</v>
      </c>
      <c r="G954" s="16" t="n">
        <f aca="false">IF('Boletins Nuppa Site'!J954&lt;&gt;0,'Boletins Nuppa Site'!J954,"NULL")</f>
        <v>54</v>
      </c>
      <c r="H954" s="16" t="n">
        <f aca="false">IF('Boletins Nuppa Site'!K954&lt;&gt;0,'Boletins Nuppa Site'!K954,"NULL")</f>
        <v>54</v>
      </c>
      <c r="J954" s="1" t="str">
        <f aca="false">"INSERT INTO COTACAO (blt_id, pap_id, cot_prc_comum, cot_prc_min, cot_prc_max, cot_prc_med, cot_prc_mediana) VALUES ("&amp;B954&amp;", "&amp;C954&amp;", "&amp;D954&amp;", "&amp;E954&amp;", "&amp;F954&amp;", "&amp;G954&amp;", "&amp;H954&amp;");"</f>
        <v>INSERT INTO COTACAO (blt_id, pap_id, cot_prc_comum, cot_prc_min, cot_prc_max, cot_prc_med, cot_prc_mediana) VALUES (26, 1, 60, 48, 60, 54, 54);</v>
      </c>
    </row>
    <row r="955" customFormat="false" ht="14.25" hidden="false" customHeight="false" outlineLevel="0" collapsed="false">
      <c r="A955" s="1" t="n">
        <v>954</v>
      </c>
      <c r="B955" s="1" t="n">
        <v>26</v>
      </c>
      <c r="C955" s="1" t="n">
        <v>2</v>
      </c>
      <c r="D955" s="16" t="n">
        <f aca="false">IF('Boletins Nuppa Site'!G955&lt;&gt;0,'Boletins Nuppa Site'!G955,"NULL")</f>
        <v>84</v>
      </c>
      <c r="E955" s="16" t="n">
        <f aca="false">IF('Boletins Nuppa Site'!H955&lt;&gt;0,'Boletins Nuppa Site'!H955,"NULL")</f>
        <v>60</v>
      </c>
      <c r="F955" s="16" t="n">
        <f aca="false">IF('Boletins Nuppa Site'!I955&lt;&gt;0,'Boletins Nuppa Site'!I955,"NULL")</f>
        <v>84</v>
      </c>
      <c r="G955" s="1" t="str">
        <f aca="false">IF('Boletins Nuppa Site'!J955&lt;&gt;0,'Boletins Nuppa Site'!J955,"NULL")</f>
        <v>74.4</v>
      </c>
      <c r="H955" s="16" t="n">
        <f aca="false">IF('Boletins Nuppa Site'!K955&lt;&gt;0,'Boletins Nuppa Site'!K955,"NULL")</f>
        <v>72</v>
      </c>
      <c r="J955" s="1" t="str">
        <f aca="false">"INSERT INTO COTACAO (blt_id, pap_id, cot_prc_comum, cot_prc_min, cot_prc_max, cot_prc_med, cot_prc_mediana) VALUES ("&amp;B955&amp;", "&amp;C955&amp;", "&amp;D955&amp;", "&amp;E955&amp;", "&amp;F955&amp;", "&amp;G955&amp;", "&amp;H955&amp;");"</f>
        <v>INSERT INTO COTACAO (blt_id, pap_id, cot_prc_comum, cot_prc_min, cot_prc_max, cot_prc_med, cot_prc_mediana) VALUES (26, 2, 84, 60, 84, 74.4, 72);</v>
      </c>
    </row>
    <row r="956" customFormat="false" ht="14.25" hidden="false" customHeight="false" outlineLevel="0" collapsed="false">
      <c r="A956" s="1" t="n">
        <v>955</v>
      </c>
      <c r="B956" s="1" t="n">
        <v>26</v>
      </c>
      <c r="C956" s="1" t="n">
        <v>3</v>
      </c>
      <c r="D956" s="16" t="n">
        <f aca="false">IF('Boletins Nuppa Site'!G956&lt;&gt;0,'Boletins Nuppa Site'!G956,"NULL")</f>
        <v>36</v>
      </c>
      <c r="E956" s="16" t="n">
        <f aca="false">IF('Boletins Nuppa Site'!H956&lt;&gt;0,'Boletins Nuppa Site'!H956,"NULL")</f>
        <v>30</v>
      </c>
      <c r="F956" s="16" t="n">
        <f aca="false">IF('Boletins Nuppa Site'!I956&lt;&gt;0,'Boletins Nuppa Site'!I956,"NULL")</f>
        <v>48</v>
      </c>
      <c r="G956" s="16" t="n">
        <f aca="false">IF('Boletins Nuppa Site'!J956&lt;&gt;0,'Boletins Nuppa Site'!J956,"NULL")</f>
        <v>36</v>
      </c>
      <c r="H956" s="16" t="n">
        <f aca="false">IF('Boletins Nuppa Site'!K956&lt;&gt;0,'Boletins Nuppa Site'!K956,"NULL")</f>
        <v>36</v>
      </c>
      <c r="J956" s="1" t="str">
        <f aca="false">"INSERT INTO COTACAO (blt_id, pap_id, cot_prc_comum, cot_prc_min, cot_prc_max, cot_prc_med, cot_prc_mediana) VALUES ("&amp;B956&amp;", "&amp;C956&amp;", "&amp;D956&amp;", "&amp;E956&amp;", "&amp;F956&amp;", "&amp;G956&amp;", "&amp;H956&amp;");"</f>
        <v>INSERT INTO COTACAO (blt_id, pap_id, cot_prc_comum, cot_prc_min, cot_prc_max, cot_prc_med, cot_prc_mediana) VALUES (26, 3, 36, 30, 48, 36, 36);</v>
      </c>
    </row>
    <row r="957" customFormat="false" ht="14.25" hidden="false" customHeight="false" outlineLevel="0" collapsed="false">
      <c r="A957" s="1" t="n">
        <v>956</v>
      </c>
      <c r="B957" s="1" t="n">
        <v>26</v>
      </c>
      <c r="C957" s="1" t="n">
        <v>4</v>
      </c>
      <c r="D957" s="16" t="n">
        <f aca="false">IF('Boletins Nuppa Site'!G957&lt;&gt;0,'Boletins Nuppa Site'!G957,"NULL")</f>
        <v>24</v>
      </c>
      <c r="E957" s="16" t="n">
        <f aca="false">IF('Boletins Nuppa Site'!H957&lt;&gt;0,'Boletins Nuppa Site'!H957,"NULL")</f>
        <v>18</v>
      </c>
      <c r="F957" s="16" t="n">
        <f aca="false">IF('Boletins Nuppa Site'!I957&lt;&gt;0,'Boletins Nuppa Site'!I957,"NULL")</f>
        <v>30</v>
      </c>
      <c r="G957" s="1" t="str">
        <f aca="false">IF('Boletins Nuppa Site'!J957&lt;&gt;0,'Boletins Nuppa Site'!J957,"NULL")</f>
        <v>22.8</v>
      </c>
      <c r="H957" s="16" t="n">
        <f aca="false">IF('Boletins Nuppa Site'!K957&lt;&gt;0,'Boletins Nuppa Site'!K957,"NULL")</f>
        <v>24</v>
      </c>
      <c r="J957" s="1" t="str">
        <f aca="false">"INSERT INTO COTACAO (blt_id, pap_id, cot_prc_comum, cot_prc_min, cot_prc_max, cot_prc_med, cot_prc_mediana) VALUES ("&amp;B957&amp;", "&amp;C957&amp;", "&amp;D957&amp;", "&amp;E957&amp;", "&amp;F957&amp;", "&amp;G957&amp;", "&amp;H957&amp;");"</f>
        <v>INSERT INTO COTACAO (blt_id, pap_id, cot_prc_comum, cot_prc_min, cot_prc_max, cot_prc_med, cot_prc_mediana) VALUES (26, 4, 24, 18, 30, 22.8, 24);</v>
      </c>
    </row>
    <row r="958" customFormat="false" ht="14.25" hidden="false" customHeight="false" outlineLevel="0" collapsed="false">
      <c r="A958" s="1" t="n">
        <v>957</v>
      </c>
      <c r="B958" s="1" t="n">
        <v>26</v>
      </c>
      <c r="C958" s="1" t="n">
        <v>5</v>
      </c>
      <c r="D958" s="16" t="n">
        <f aca="false">IF('Boletins Nuppa Site'!G958&lt;&gt;0,'Boletins Nuppa Site'!G958,"NULL")</f>
        <v>30</v>
      </c>
      <c r="E958" s="16" t="n">
        <f aca="false">IF('Boletins Nuppa Site'!H958&lt;&gt;0,'Boletins Nuppa Site'!H958,"NULL")</f>
        <v>18</v>
      </c>
      <c r="F958" s="16" t="n">
        <f aca="false">IF('Boletins Nuppa Site'!I958&lt;&gt;0,'Boletins Nuppa Site'!I958,"NULL")</f>
        <v>30</v>
      </c>
      <c r="G958" s="1" t="str">
        <f aca="false">IF('Boletins Nuppa Site'!J958&lt;&gt;0,'Boletins Nuppa Site'!J958,"NULL")</f>
        <v>25.2</v>
      </c>
      <c r="H958" s="16" t="n">
        <f aca="false">IF('Boletins Nuppa Site'!K958&lt;&gt;0,'Boletins Nuppa Site'!K958,"NULL")</f>
        <v>24</v>
      </c>
      <c r="J958" s="1" t="str">
        <f aca="false">"INSERT INTO COTACAO (blt_id, pap_id, cot_prc_comum, cot_prc_min, cot_prc_max, cot_prc_med, cot_prc_mediana) VALUES ("&amp;B958&amp;", "&amp;C958&amp;", "&amp;D958&amp;", "&amp;E958&amp;", "&amp;F958&amp;", "&amp;G958&amp;", "&amp;H958&amp;");"</f>
        <v>INSERT INTO COTACAO (blt_id, pap_id, cot_prc_comum, cot_prc_min, cot_prc_max, cot_prc_med, cot_prc_mediana) VALUES (26, 5, 30, 18, 30, 25.2, 24);</v>
      </c>
    </row>
    <row r="959" customFormat="false" ht="14.25" hidden="false" customHeight="false" outlineLevel="0" collapsed="false">
      <c r="A959" s="1" t="n">
        <v>958</v>
      </c>
      <c r="B959" s="1" t="n">
        <v>26</v>
      </c>
      <c r="C959" s="1" t="n">
        <v>6</v>
      </c>
      <c r="D959" s="16" t="n">
        <f aca="false">IF('Boletins Nuppa Site'!G959&lt;&gt;0,'Boletins Nuppa Site'!G959,"NULL")</f>
        <v>60</v>
      </c>
      <c r="E959" s="16" t="n">
        <f aca="false">IF('Boletins Nuppa Site'!H959&lt;&gt;0,'Boletins Nuppa Site'!H959,"NULL")</f>
        <v>60</v>
      </c>
      <c r="F959" s="16" t="n">
        <f aca="false">IF('Boletins Nuppa Site'!I959&lt;&gt;0,'Boletins Nuppa Site'!I959,"NULL")</f>
        <v>60</v>
      </c>
      <c r="G959" s="16" t="n">
        <f aca="false">IF('Boletins Nuppa Site'!J959&lt;&gt;0,'Boletins Nuppa Site'!J959,"NULL")</f>
        <v>60</v>
      </c>
      <c r="H959" s="16" t="n">
        <f aca="false">IF('Boletins Nuppa Site'!K959&lt;&gt;0,'Boletins Nuppa Site'!K959,"NULL")</f>
        <v>60</v>
      </c>
      <c r="J959" s="1" t="str">
        <f aca="false">"INSERT INTO COTACAO (blt_id, pap_id, cot_prc_comum, cot_prc_min, cot_prc_max, cot_prc_med, cot_prc_mediana) VALUES ("&amp;B959&amp;", "&amp;C959&amp;", "&amp;D959&amp;", "&amp;E959&amp;", "&amp;F959&amp;", "&amp;G959&amp;", "&amp;H959&amp;");"</f>
        <v>INSERT INTO COTACAO (blt_id, pap_id, cot_prc_comum, cot_prc_min, cot_prc_max, cot_prc_med, cot_prc_mediana) VALUES (26, 6, 60, 60, 60, 60, 60);</v>
      </c>
    </row>
    <row r="960" customFormat="false" ht="14.25" hidden="false" customHeight="false" outlineLevel="0" collapsed="false">
      <c r="A960" s="1" t="n">
        <v>959</v>
      </c>
      <c r="B960" s="1" t="n">
        <v>26</v>
      </c>
      <c r="C960" s="1" t="n">
        <v>7</v>
      </c>
      <c r="D960" s="16" t="n">
        <f aca="false">IF('Boletins Nuppa Site'!G960&lt;&gt;0,'Boletins Nuppa Site'!G960,"NULL")</f>
        <v>60</v>
      </c>
      <c r="E960" s="16" t="n">
        <f aca="false">IF('Boletins Nuppa Site'!H960&lt;&gt;0,'Boletins Nuppa Site'!H960,"NULL")</f>
        <v>60</v>
      </c>
      <c r="F960" s="16" t="n">
        <f aca="false">IF('Boletins Nuppa Site'!I960&lt;&gt;0,'Boletins Nuppa Site'!I960,"NULL")</f>
        <v>72</v>
      </c>
      <c r="G960" s="1" t="str">
        <f aca="false">IF('Boletins Nuppa Site'!J960&lt;&gt;0,'Boletins Nuppa Site'!J960,"NULL")</f>
        <v>62.4</v>
      </c>
      <c r="H960" s="16" t="n">
        <f aca="false">IF('Boletins Nuppa Site'!K960&lt;&gt;0,'Boletins Nuppa Site'!K960,"NULL")</f>
        <v>60</v>
      </c>
      <c r="J960" s="1" t="str">
        <f aca="false">"INSERT INTO COTACAO (blt_id, pap_id, cot_prc_comum, cot_prc_min, cot_prc_max, cot_prc_med, cot_prc_mediana) VALUES ("&amp;B960&amp;", "&amp;C960&amp;", "&amp;D960&amp;", "&amp;E960&amp;", "&amp;F960&amp;", "&amp;G960&amp;", "&amp;H960&amp;");"</f>
        <v>INSERT INTO COTACAO (blt_id, pap_id, cot_prc_comum, cot_prc_min, cot_prc_max, cot_prc_med, cot_prc_mediana) VALUES (26, 7, 60, 60, 72, 62.4, 60);</v>
      </c>
    </row>
    <row r="961" customFormat="false" ht="14.25" hidden="false" customHeight="false" outlineLevel="0" collapsed="false">
      <c r="A961" s="1" t="n">
        <v>960</v>
      </c>
      <c r="B961" s="1" t="n">
        <v>26</v>
      </c>
      <c r="C961" s="1" t="n">
        <v>8</v>
      </c>
      <c r="D961" s="16" t="n">
        <f aca="false">IF('Boletins Nuppa Site'!G961&lt;&gt;0,'Boletins Nuppa Site'!G961,"NULL")</f>
        <v>84</v>
      </c>
      <c r="E961" s="16" t="n">
        <f aca="false">IF('Boletins Nuppa Site'!H961&lt;&gt;0,'Boletins Nuppa Site'!H961,"NULL")</f>
        <v>72</v>
      </c>
      <c r="F961" s="16" t="n">
        <f aca="false">IF('Boletins Nuppa Site'!I961&lt;&gt;0,'Boletins Nuppa Site'!I961,"NULL")</f>
        <v>96</v>
      </c>
      <c r="G961" s="16" t="n">
        <f aca="false">IF('Boletins Nuppa Site'!J961&lt;&gt;0,'Boletins Nuppa Site'!J961,"NULL")</f>
        <v>84</v>
      </c>
      <c r="H961" s="16" t="n">
        <f aca="false">IF('Boletins Nuppa Site'!K961&lt;&gt;0,'Boletins Nuppa Site'!K961,"NULL")</f>
        <v>84</v>
      </c>
      <c r="J961" s="1" t="str">
        <f aca="false">"INSERT INTO COTACAO (blt_id, pap_id, cot_prc_comum, cot_prc_min, cot_prc_max, cot_prc_med, cot_prc_mediana) VALUES ("&amp;B961&amp;", "&amp;C961&amp;", "&amp;D961&amp;", "&amp;E961&amp;", "&amp;F961&amp;", "&amp;G961&amp;", "&amp;H961&amp;");"</f>
        <v>INSERT INTO COTACAO (blt_id, pap_id, cot_prc_comum, cot_prc_min, cot_prc_max, cot_prc_med, cot_prc_mediana) VALUES (26, 8, 84, 72, 96, 84, 84);</v>
      </c>
    </row>
    <row r="962" customFormat="false" ht="14.25" hidden="false" customHeight="false" outlineLevel="0" collapsed="false">
      <c r="A962" s="1" t="n">
        <v>961</v>
      </c>
      <c r="B962" s="1" t="n">
        <v>26</v>
      </c>
      <c r="C962" s="1" t="n">
        <v>9</v>
      </c>
      <c r="D962" s="16" t="n">
        <f aca="false">IF('Boletins Nuppa Site'!G962&lt;&gt;0,'Boletins Nuppa Site'!G962,"NULL")</f>
        <v>24</v>
      </c>
      <c r="E962" s="16" t="n">
        <f aca="false">IF('Boletins Nuppa Site'!H962&lt;&gt;0,'Boletins Nuppa Site'!H962,"NULL")</f>
        <v>18</v>
      </c>
      <c r="F962" s="16" t="n">
        <f aca="false">IF('Boletins Nuppa Site'!I962&lt;&gt;0,'Boletins Nuppa Site'!I962,"NULL")</f>
        <v>30</v>
      </c>
      <c r="G962" s="1" t="str">
        <f aca="false">IF('Boletins Nuppa Site'!J962&lt;&gt;0,'Boletins Nuppa Site'!J962,"NULL")</f>
        <v>22.8</v>
      </c>
      <c r="H962" s="16" t="n">
        <f aca="false">IF('Boletins Nuppa Site'!K962&lt;&gt;0,'Boletins Nuppa Site'!K962,"NULL")</f>
        <v>24</v>
      </c>
      <c r="J962" s="1" t="str">
        <f aca="false">"INSERT INTO COTACAO (blt_id, pap_id, cot_prc_comum, cot_prc_min, cot_prc_max, cot_prc_med, cot_prc_mediana) VALUES ("&amp;B962&amp;", "&amp;C962&amp;", "&amp;D962&amp;", "&amp;E962&amp;", "&amp;F962&amp;", "&amp;G962&amp;", "&amp;H962&amp;");"</f>
        <v>INSERT INTO COTACAO (blt_id, pap_id, cot_prc_comum, cot_prc_min, cot_prc_max, cot_prc_med, cot_prc_mediana) VALUES (26, 9, 24, 18, 30, 22.8, 24);</v>
      </c>
    </row>
    <row r="963" customFormat="false" ht="14.25" hidden="false" customHeight="false" outlineLevel="0" collapsed="false">
      <c r="A963" s="1" t="n">
        <v>962</v>
      </c>
      <c r="B963" s="1" t="n">
        <v>26</v>
      </c>
      <c r="C963" s="1" t="n">
        <v>10</v>
      </c>
      <c r="D963" s="16" t="n">
        <f aca="false">IF('Boletins Nuppa Site'!G963&lt;&gt;0,'Boletins Nuppa Site'!G963,"NULL")</f>
        <v>72</v>
      </c>
      <c r="E963" s="16" t="n">
        <f aca="false">IF('Boletins Nuppa Site'!H963&lt;&gt;0,'Boletins Nuppa Site'!H963,"NULL")</f>
        <v>72</v>
      </c>
      <c r="F963" s="16" t="n">
        <f aca="false">IF('Boletins Nuppa Site'!I963&lt;&gt;0,'Boletins Nuppa Site'!I963,"NULL")</f>
        <v>84</v>
      </c>
      <c r="G963" s="16" t="n">
        <f aca="false">IF('Boletins Nuppa Site'!J963&lt;&gt;0,'Boletins Nuppa Site'!J963,"NULL")</f>
        <v>75</v>
      </c>
      <c r="H963" s="16" t="n">
        <f aca="false">IF('Boletins Nuppa Site'!K963&lt;&gt;0,'Boletins Nuppa Site'!K963,"NULL")</f>
        <v>72</v>
      </c>
      <c r="J963" s="1" t="str">
        <f aca="false">"INSERT INTO COTACAO (blt_id, pap_id, cot_prc_comum, cot_prc_min, cot_prc_max, cot_prc_med, cot_prc_mediana) VALUES ("&amp;B963&amp;", "&amp;C963&amp;", "&amp;D963&amp;", "&amp;E963&amp;", "&amp;F963&amp;", "&amp;G963&amp;", "&amp;H963&amp;");"</f>
        <v>INSERT INTO COTACAO (blt_id, pap_id, cot_prc_comum, cot_prc_min, cot_prc_max, cot_prc_med, cot_prc_mediana) VALUES (26, 10, 72, 72, 84, 75, 72);</v>
      </c>
    </row>
    <row r="964" customFormat="false" ht="14.25" hidden="false" customHeight="false" outlineLevel="0" collapsed="false">
      <c r="A964" s="1" t="n">
        <v>963</v>
      </c>
      <c r="B964" s="1" t="n">
        <v>26</v>
      </c>
      <c r="C964" s="1" t="n">
        <v>11</v>
      </c>
      <c r="D964" s="16" t="n">
        <f aca="false">IF('Boletins Nuppa Site'!G964&lt;&gt;0,'Boletins Nuppa Site'!G964,"NULL")</f>
        <v>30</v>
      </c>
      <c r="E964" s="16" t="n">
        <f aca="false">IF('Boletins Nuppa Site'!H964&lt;&gt;0,'Boletins Nuppa Site'!H964,"NULL")</f>
        <v>18</v>
      </c>
      <c r="F964" s="16" t="n">
        <f aca="false">IF('Boletins Nuppa Site'!I964&lt;&gt;0,'Boletins Nuppa Site'!I964,"NULL")</f>
        <v>30</v>
      </c>
      <c r="G964" s="1" t="str">
        <f aca="false">IF('Boletins Nuppa Site'!J964&lt;&gt;0,'Boletins Nuppa Site'!J964,"NULL")</f>
        <v>25.2</v>
      </c>
      <c r="H964" s="16" t="n">
        <f aca="false">IF('Boletins Nuppa Site'!K964&lt;&gt;0,'Boletins Nuppa Site'!K964,"NULL")</f>
        <v>24</v>
      </c>
      <c r="J964" s="1" t="str">
        <f aca="false">"INSERT INTO COTACAO (blt_id, pap_id, cot_prc_comum, cot_prc_min, cot_prc_max, cot_prc_med, cot_prc_mediana) VALUES ("&amp;B964&amp;", "&amp;C964&amp;", "&amp;D964&amp;", "&amp;E964&amp;", "&amp;F964&amp;", "&amp;G964&amp;", "&amp;H964&amp;");"</f>
        <v>INSERT INTO COTACAO (blt_id, pap_id, cot_prc_comum, cot_prc_min, cot_prc_max, cot_prc_med, cot_prc_mediana) VALUES (26, 11, 30, 18, 30, 25.2, 24);</v>
      </c>
    </row>
    <row r="965" customFormat="false" ht="14.25" hidden="false" customHeight="false" outlineLevel="0" collapsed="false">
      <c r="A965" s="1" t="n">
        <v>964</v>
      </c>
      <c r="B965" s="1" t="n">
        <v>26</v>
      </c>
      <c r="C965" s="1" t="n">
        <v>12</v>
      </c>
      <c r="D965" s="16" t="n">
        <f aca="false">IF('Boletins Nuppa Site'!G965&lt;&gt;0,'Boletins Nuppa Site'!G965,"NULL")</f>
        <v>60</v>
      </c>
      <c r="E965" s="16" t="n">
        <f aca="false">IF('Boletins Nuppa Site'!H965&lt;&gt;0,'Boletins Nuppa Site'!H965,"NULL")</f>
        <v>60</v>
      </c>
      <c r="F965" s="16" t="n">
        <f aca="false">IF('Boletins Nuppa Site'!I965&lt;&gt;0,'Boletins Nuppa Site'!I965,"NULL")</f>
        <v>60</v>
      </c>
      <c r="G965" s="16" t="n">
        <f aca="false">IF('Boletins Nuppa Site'!J965&lt;&gt;0,'Boletins Nuppa Site'!J965,"NULL")</f>
        <v>60</v>
      </c>
      <c r="H965" s="16" t="n">
        <f aca="false">IF('Boletins Nuppa Site'!K965&lt;&gt;0,'Boletins Nuppa Site'!K965,"NULL")</f>
        <v>60</v>
      </c>
      <c r="J965" s="1" t="str">
        <f aca="false">"INSERT INTO COTACAO (blt_id, pap_id, cot_prc_comum, cot_prc_min, cot_prc_max, cot_prc_med, cot_prc_mediana) VALUES ("&amp;B965&amp;", "&amp;C965&amp;", "&amp;D965&amp;", "&amp;E965&amp;", "&amp;F965&amp;", "&amp;G965&amp;", "&amp;H965&amp;");"</f>
        <v>INSERT INTO COTACAO (blt_id, pap_id, cot_prc_comum, cot_prc_min, cot_prc_max, cot_prc_med, cot_prc_mediana) VALUES (26, 12, 60, 60, 60, 60, 60);</v>
      </c>
    </row>
    <row r="966" customFormat="false" ht="14.25" hidden="false" customHeight="false" outlineLevel="0" collapsed="false">
      <c r="A966" s="1" t="n">
        <v>965</v>
      </c>
      <c r="B966" s="1" t="n">
        <v>26</v>
      </c>
      <c r="C966" s="1" t="n">
        <v>13</v>
      </c>
      <c r="D966" s="16" t="n">
        <f aca="false">IF('Boletins Nuppa Site'!G966&lt;&gt;0,'Boletins Nuppa Site'!G966,"NULL")</f>
        <v>60</v>
      </c>
      <c r="E966" s="16" t="n">
        <f aca="false">IF('Boletins Nuppa Site'!H966&lt;&gt;0,'Boletins Nuppa Site'!H966,"NULL")</f>
        <v>48</v>
      </c>
      <c r="F966" s="16" t="n">
        <f aca="false">IF('Boletins Nuppa Site'!I966&lt;&gt;0,'Boletins Nuppa Site'!I966,"NULL")</f>
        <v>60</v>
      </c>
      <c r="G966" s="16" t="n">
        <f aca="false">IF('Boletins Nuppa Site'!J966&lt;&gt;0,'Boletins Nuppa Site'!J966,"NULL")</f>
        <v>54</v>
      </c>
      <c r="H966" s="16" t="n">
        <f aca="false">IF('Boletins Nuppa Site'!K966&lt;&gt;0,'Boletins Nuppa Site'!K966,"NULL")</f>
        <v>54</v>
      </c>
      <c r="J966" s="1" t="str">
        <f aca="false">"INSERT INTO COTACAO (blt_id, pap_id, cot_prc_comum, cot_prc_min, cot_prc_max, cot_prc_med, cot_prc_mediana) VALUES ("&amp;B966&amp;", "&amp;C966&amp;", "&amp;D966&amp;", "&amp;E966&amp;", "&amp;F966&amp;", "&amp;G966&amp;", "&amp;H966&amp;");"</f>
        <v>INSERT INTO COTACAO (blt_id, pap_id, cot_prc_comum, cot_prc_min, cot_prc_max, cot_prc_med, cot_prc_mediana) VALUES (26, 13, 60, 48, 60, 54, 54);</v>
      </c>
    </row>
    <row r="967" customFormat="false" ht="14.25" hidden="false" customHeight="false" outlineLevel="0" collapsed="false">
      <c r="A967" s="1" t="n">
        <v>966</v>
      </c>
      <c r="B967" s="1" t="n">
        <v>26</v>
      </c>
      <c r="C967" s="1" t="n">
        <v>14</v>
      </c>
      <c r="D967" s="16" t="n">
        <f aca="false">IF('Boletins Nuppa Site'!G967&lt;&gt;0,'Boletins Nuppa Site'!G967,"NULL")</f>
        <v>60</v>
      </c>
      <c r="E967" s="16" t="n">
        <f aca="false">IF('Boletins Nuppa Site'!H967&lt;&gt;0,'Boletins Nuppa Site'!H967,"NULL")</f>
        <v>60</v>
      </c>
      <c r="F967" s="16" t="n">
        <f aca="false">IF('Boletins Nuppa Site'!I967&lt;&gt;0,'Boletins Nuppa Site'!I967,"NULL")</f>
        <v>96</v>
      </c>
      <c r="G967" s="16" t="n">
        <f aca="false">IF('Boletins Nuppa Site'!J967&lt;&gt;0,'Boletins Nuppa Site'!J967,"NULL")</f>
        <v>75</v>
      </c>
      <c r="H967" s="16" t="n">
        <f aca="false">IF('Boletins Nuppa Site'!K967&lt;&gt;0,'Boletins Nuppa Site'!K967,"NULL")</f>
        <v>72</v>
      </c>
      <c r="J967" s="1" t="str">
        <f aca="false">"INSERT INTO COTACAO (blt_id, pap_id, cot_prc_comum, cot_prc_min, cot_prc_max, cot_prc_med, cot_prc_mediana) VALUES ("&amp;B967&amp;", "&amp;C967&amp;", "&amp;D967&amp;", "&amp;E967&amp;", "&amp;F967&amp;", "&amp;G967&amp;", "&amp;H967&amp;");"</f>
        <v>INSERT INTO COTACAO (blt_id, pap_id, cot_prc_comum, cot_prc_min, cot_prc_max, cot_prc_med, cot_prc_mediana) VALUES (26, 14, 60, 60, 96, 75, 72);</v>
      </c>
    </row>
    <row r="968" customFormat="false" ht="14.25" hidden="false" customHeight="false" outlineLevel="0" collapsed="false">
      <c r="A968" s="1" t="n">
        <v>967</v>
      </c>
      <c r="B968" s="1" t="n">
        <v>26</v>
      </c>
      <c r="C968" s="1" t="n">
        <v>15</v>
      </c>
      <c r="D968" s="16" t="n">
        <f aca="false">IF('Boletins Nuppa Site'!G968&lt;&gt;0,'Boletins Nuppa Site'!G968,"NULL")</f>
        <v>48</v>
      </c>
      <c r="E968" s="16" t="n">
        <f aca="false">IF('Boletins Nuppa Site'!H968&lt;&gt;0,'Boletins Nuppa Site'!H968,"NULL")</f>
        <v>25</v>
      </c>
      <c r="F968" s="16" t="n">
        <f aca="false">IF('Boletins Nuppa Site'!I968&lt;&gt;0,'Boletins Nuppa Site'!I968,"NULL")</f>
        <v>60</v>
      </c>
      <c r="G968" s="1" t="str">
        <f aca="false">IF('Boletins Nuppa Site'!J968&lt;&gt;0,'Boletins Nuppa Site'!J968,"NULL")</f>
        <v>43.4</v>
      </c>
      <c r="H968" s="16" t="n">
        <f aca="false">IF('Boletins Nuppa Site'!K968&lt;&gt;0,'Boletins Nuppa Site'!K968,"NULL")</f>
        <v>48</v>
      </c>
      <c r="J968" s="1" t="str">
        <f aca="false">"INSERT INTO COTACAO (blt_id, pap_id, cot_prc_comum, cot_prc_min, cot_prc_max, cot_prc_med, cot_prc_mediana) VALUES ("&amp;B968&amp;", "&amp;C968&amp;", "&amp;D968&amp;", "&amp;E968&amp;", "&amp;F968&amp;", "&amp;G968&amp;", "&amp;H968&amp;");"</f>
        <v>INSERT INTO COTACAO (blt_id, pap_id, cot_prc_comum, cot_prc_min, cot_prc_max, cot_prc_med, cot_prc_mediana) VALUES (26, 15, 48, 25, 60, 43.4, 48);</v>
      </c>
    </row>
    <row r="969" customFormat="false" ht="14.25" hidden="false" customHeight="false" outlineLevel="0" collapsed="false">
      <c r="A969" s="1" t="n">
        <v>968</v>
      </c>
      <c r="B969" s="1" t="n">
        <v>26</v>
      </c>
      <c r="C969" s="1" t="n">
        <v>16</v>
      </c>
      <c r="D969" s="16" t="n">
        <f aca="false">IF('Boletins Nuppa Site'!G969&lt;&gt;0,'Boletins Nuppa Site'!G969,"NULL")</f>
        <v>54</v>
      </c>
      <c r="E969" s="16" t="n">
        <f aca="false">IF('Boletins Nuppa Site'!H969&lt;&gt;0,'Boletins Nuppa Site'!H969,"NULL")</f>
        <v>48</v>
      </c>
      <c r="F969" s="16" t="n">
        <f aca="false">IF('Boletins Nuppa Site'!I969&lt;&gt;0,'Boletins Nuppa Site'!I969,"NULL")</f>
        <v>54</v>
      </c>
      <c r="G969" s="16" t="n">
        <f aca="false">IF('Boletins Nuppa Site'!J969&lt;&gt;0,'Boletins Nuppa Site'!J969,"NULL")</f>
        <v>51</v>
      </c>
      <c r="H969" s="16" t="n">
        <f aca="false">IF('Boletins Nuppa Site'!K969&lt;&gt;0,'Boletins Nuppa Site'!K969,"NULL")</f>
        <v>51</v>
      </c>
      <c r="J969" s="1" t="str">
        <f aca="false">"INSERT INTO COTACAO (blt_id, pap_id, cot_prc_comum, cot_prc_min, cot_prc_max, cot_prc_med, cot_prc_mediana) VALUES ("&amp;B969&amp;", "&amp;C969&amp;", "&amp;D969&amp;", "&amp;E969&amp;", "&amp;F969&amp;", "&amp;G969&amp;", "&amp;H969&amp;");"</f>
        <v>INSERT INTO COTACAO (blt_id, pap_id, cot_prc_comum, cot_prc_min, cot_prc_max, cot_prc_med, cot_prc_mediana) VALUES (26, 16, 54, 48, 54, 51, 51);</v>
      </c>
    </row>
    <row r="970" customFormat="false" ht="14.25" hidden="false" customHeight="false" outlineLevel="0" collapsed="false">
      <c r="A970" s="1" t="n">
        <v>969</v>
      </c>
      <c r="B970" s="1" t="n">
        <v>26</v>
      </c>
      <c r="C970" s="1" t="n">
        <v>17</v>
      </c>
      <c r="D970" s="16" t="n">
        <f aca="false">IF('Boletins Nuppa Site'!G970&lt;&gt;0,'Boletins Nuppa Site'!G970,"NULL")</f>
        <v>5</v>
      </c>
      <c r="E970" s="16" t="n">
        <f aca="false">IF('Boletins Nuppa Site'!H970&lt;&gt;0,'Boletins Nuppa Site'!H970,"NULL")</f>
        <v>5</v>
      </c>
      <c r="F970" s="16" t="n">
        <f aca="false">IF('Boletins Nuppa Site'!I970&lt;&gt;0,'Boletins Nuppa Site'!I970,"NULL")</f>
        <v>5</v>
      </c>
      <c r="G970" s="16" t="n">
        <f aca="false">IF('Boletins Nuppa Site'!J970&lt;&gt;0,'Boletins Nuppa Site'!J970,"NULL")</f>
        <v>5</v>
      </c>
      <c r="H970" s="16" t="n">
        <f aca="false">IF('Boletins Nuppa Site'!K970&lt;&gt;0,'Boletins Nuppa Site'!K970,"NULL")</f>
        <v>5</v>
      </c>
      <c r="J970" s="1" t="str">
        <f aca="false">"INSERT INTO COTACAO (blt_id, pap_id, cot_prc_comum, cot_prc_min, cot_prc_max, cot_prc_med, cot_prc_mediana) VALUES ("&amp;B970&amp;", "&amp;C970&amp;", "&amp;D970&amp;", "&amp;E970&amp;", "&amp;F970&amp;", "&amp;G970&amp;", "&amp;H970&amp;");"</f>
        <v>INSERT INTO COTACAO (blt_id, pap_id, cot_prc_comum, cot_prc_min, cot_prc_max, cot_prc_med, cot_prc_mediana) VALUES (26, 17, 5, 5, 5, 5, 5);</v>
      </c>
    </row>
    <row r="971" customFormat="false" ht="14.25" hidden="false" customHeight="false" outlineLevel="0" collapsed="false">
      <c r="A971" s="1" t="n">
        <v>970</v>
      </c>
      <c r="B971" s="1" t="n">
        <v>26</v>
      </c>
      <c r="C971" s="1" t="n">
        <v>18</v>
      </c>
      <c r="D971" s="16" t="n">
        <f aca="false">IF('Boletins Nuppa Site'!G971&lt;&gt;0,'Boletins Nuppa Site'!G971,"NULL")</f>
        <v>15</v>
      </c>
      <c r="E971" s="16" t="n">
        <f aca="false">IF('Boletins Nuppa Site'!H971&lt;&gt;0,'Boletins Nuppa Site'!H971,"NULL")</f>
        <v>10</v>
      </c>
      <c r="F971" s="16" t="n">
        <f aca="false">IF('Boletins Nuppa Site'!I971&lt;&gt;0,'Boletins Nuppa Site'!I971,"NULL")</f>
        <v>15</v>
      </c>
      <c r="G971" s="1" t="str">
        <f aca="false">IF('Boletins Nuppa Site'!J971&lt;&gt;0,'Boletins Nuppa Site'!J971,"NULL")</f>
        <v>12.4</v>
      </c>
      <c r="H971" s="16" t="n">
        <f aca="false">IF('Boletins Nuppa Site'!K971&lt;&gt;0,'Boletins Nuppa Site'!K971,"NULL")</f>
        <v>12</v>
      </c>
      <c r="J971" s="1" t="str">
        <f aca="false">"INSERT INTO COTACAO (blt_id, pap_id, cot_prc_comum, cot_prc_min, cot_prc_max, cot_prc_med, cot_prc_mediana) VALUES ("&amp;B971&amp;", "&amp;C971&amp;", "&amp;D971&amp;", "&amp;E971&amp;", "&amp;F971&amp;", "&amp;G971&amp;", "&amp;H971&amp;");"</f>
        <v>INSERT INTO COTACAO (blt_id, pap_id, cot_prc_comum, cot_prc_min, cot_prc_max, cot_prc_med, cot_prc_mediana) VALUES (26, 18, 15, 10, 15, 12.4, 12);</v>
      </c>
    </row>
    <row r="972" customFormat="false" ht="14.25" hidden="false" customHeight="false" outlineLevel="0" collapsed="false">
      <c r="A972" s="1" t="n">
        <v>971</v>
      </c>
      <c r="B972" s="1" t="n">
        <v>26</v>
      </c>
      <c r="C972" s="1" t="n">
        <v>19</v>
      </c>
      <c r="D972" s="16" t="n">
        <f aca="false">IF('Boletins Nuppa Site'!G972&lt;&gt;0,'Boletins Nuppa Site'!G972,"NULL")</f>
        <v>20</v>
      </c>
      <c r="E972" s="16" t="n">
        <f aca="false">IF('Boletins Nuppa Site'!H972&lt;&gt;0,'Boletins Nuppa Site'!H972,"NULL")</f>
        <v>20</v>
      </c>
      <c r="F972" s="16" t="n">
        <f aca="false">IF('Boletins Nuppa Site'!I972&lt;&gt;0,'Boletins Nuppa Site'!I972,"NULL")</f>
        <v>35</v>
      </c>
      <c r="G972" s="16" t="n">
        <f aca="false">IF('Boletins Nuppa Site'!J972&lt;&gt;0,'Boletins Nuppa Site'!J972,"NULL")</f>
        <v>26</v>
      </c>
      <c r="H972" s="16" t="n">
        <f aca="false">IF('Boletins Nuppa Site'!K972&lt;&gt;0,'Boletins Nuppa Site'!K972,"NULL")</f>
        <v>25</v>
      </c>
      <c r="J972" s="1" t="str">
        <f aca="false">"INSERT INTO COTACAO (blt_id, pap_id, cot_prc_comum, cot_prc_min, cot_prc_max, cot_prc_med, cot_prc_mediana) VALUES ("&amp;B972&amp;", "&amp;C972&amp;", "&amp;D972&amp;", "&amp;E972&amp;", "&amp;F972&amp;", "&amp;G972&amp;", "&amp;H972&amp;");"</f>
        <v>INSERT INTO COTACAO (blt_id, pap_id, cot_prc_comum, cot_prc_min, cot_prc_max, cot_prc_med, cot_prc_mediana) VALUES (26, 19, 20, 20, 35, 26, 25);</v>
      </c>
    </row>
    <row r="973" customFormat="false" ht="14.25" hidden="false" customHeight="false" outlineLevel="0" collapsed="false">
      <c r="A973" s="1" t="n">
        <v>972</v>
      </c>
      <c r="B973" s="1" t="n">
        <v>26</v>
      </c>
      <c r="C973" s="1" t="n">
        <v>20</v>
      </c>
      <c r="D973" s="1" t="str">
        <f aca="false">IF('Boletins Nuppa Site'!G973&lt;&gt;0,'Boletins Nuppa Site'!G973,"NULL")</f>
        <v>NULL</v>
      </c>
      <c r="E973" s="16" t="n">
        <f aca="false">IF('Boletins Nuppa Site'!H973&lt;&gt;0,'Boletins Nuppa Site'!H973,"NULL")</f>
        <v>85</v>
      </c>
      <c r="F973" s="16" t="n">
        <f aca="false">IF('Boletins Nuppa Site'!I973&lt;&gt;0,'Boletins Nuppa Site'!I973,"NULL")</f>
        <v>85</v>
      </c>
      <c r="G973" s="16" t="n">
        <f aca="false">IF('Boletins Nuppa Site'!J973&lt;&gt;0,'Boletins Nuppa Site'!J973,"NULL")</f>
        <v>85</v>
      </c>
      <c r="H973" s="16" t="n">
        <f aca="false">IF('Boletins Nuppa Site'!K973&lt;&gt;0,'Boletins Nuppa Site'!K973,"NULL")</f>
        <v>85</v>
      </c>
      <c r="J973" s="1" t="str">
        <f aca="false">"INSERT INTO COTACAO (blt_id, pap_id, cot_prc_comum, cot_prc_min, cot_prc_max, cot_prc_med, cot_prc_mediana) VALUES ("&amp;B973&amp;", "&amp;C973&amp;", "&amp;D973&amp;", "&amp;E973&amp;", "&amp;F973&amp;", "&amp;G973&amp;", "&amp;H973&amp;");"</f>
        <v>INSERT INTO COTACAO (blt_id, pap_id, cot_prc_comum, cot_prc_min, cot_prc_max, cot_prc_med, cot_prc_mediana) VALUES (26, 20, NULL, 85, 85, 85, 85);</v>
      </c>
    </row>
    <row r="974" customFormat="false" ht="14.25" hidden="false" customHeight="false" outlineLevel="0" collapsed="false">
      <c r="A974" s="1" t="n">
        <v>973</v>
      </c>
      <c r="B974" s="1" t="n">
        <v>26</v>
      </c>
      <c r="C974" s="1" t="n">
        <v>21</v>
      </c>
      <c r="D974" s="16" t="n">
        <f aca="false">IF('Boletins Nuppa Site'!G974&lt;&gt;0,'Boletins Nuppa Site'!G974,"NULL")</f>
        <v>60</v>
      </c>
      <c r="E974" s="16" t="n">
        <f aca="false">IF('Boletins Nuppa Site'!H974&lt;&gt;0,'Boletins Nuppa Site'!H974,"NULL")</f>
        <v>50</v>
      </c>
      <c r="F974" s="16" t="n">
        <f aca="false">IF('Boletins Nuppa Site'!I974&lt;&gt;0,'Boletins Nuppa Site'!I974,"NULL")</f>
        <v>60</v>
      </c>
      <c r="G974" s="1" t="str">
        <f aca="false">IF('Boletins Nuppa Site'!J974&lt;&gt;0,'Boletins Nuppa Site'!J974,"NULL")</f>
        <v>56.25</v>
      </c>
      <c r="H974" s="1" t="str">
        <f aca="false">IF('Boletins Nuppa Site'!K974&lt;&gt;0,'Boletins Nuppa Site'!K974,"NULL")</f>
        <v>57.5</v>
      </c>
      <c r="J974" s="1" t="str">
        <f aca="false">"INSERT INTO COTACAO (blt_id, pap_id, cot_prc_comum, cot_prc_min, cot_prc_max, cot_prc_med, cot_prc_mediana) VALUES ("&amp;B974&amp;", "&amp;C974&amp;", "&amp;D974&amp;", "&amp;E974&amp;", "&amp;F974&amp;", "&amp;G974&amp;", "&amp;H974&amp;");"</f>
        <v>INSERT INTO COTACAO (blt_id, pap_id, cot_prc_comum, cot_prc_min, cot_prc_max, cot_prc_med, cot_prc_mediana) VALUES (26, 21, 60, 50, 60, 56.25, 57.5);</v>
      </c>
    </row>
    <row r="975" customFormat="false" ht="14.25" hidden="false" customHeight="false" outlineLevel="0" collapsed="false">
      <c r="A975" s="1" t="n">
        <v>974</v>
      </c>
      <c r="B975" s="1" t="n">
        <v>26</v>
      </c>
      <c r="C975" s="1" t="n">
        <v>22</v>
      </c>
      <c r="D975" s="16" t="n">
        <f aca="false">IF('Boletins Nuppa Site'!G975&lt;&gt;0,'Boletins Nuppa Site'!G975,"NULL")</f>
        <v>70</v>
      </c>
      <c r="E975" s="16" t="n">
        <f aca="false">IF('Boletins Nuppa Site'!H975&lt;&gt;0,'Boletins Nuppa Site'!H975,"NULL")</f>
        <v>45</v>
      </c>
      <c r="F975" s="16" t="n">
        <f aca="false">IF('Boletins Nuppa Site'!I975&lt;&gt;0,'Boletins Nuppa Site'!I975,"NULL")</f>
        <v>70</v>
      </c>
      <c r="G975" s="1" t="str">
        <f aca="false">IF('Boletins Nuppa Site'!J975&lt;&gt;0,'Boletins Nuppa Site'!J975,"NULL")</f>
        <v>63.75</v>
      </c>
      <c r="H975" s="16" t="n">
        <f aca="false">IF('Boletins Nuppa Site'!K975&lt;&gt;0,'Boletins Nuppa Site'!K975,"NULL")</f>
        <v>70</v>
      </c>
      <c r="J975" s="1" t="str">
        <f aca="false">"INSERT INTO COTACAO (blt_id, pap_id, cot_prc_comum, cot_prc_min, cot_prc_max, cot_prc_med, cot_prc_mediana) VALUES ("&amp;B975&amp;", "&amp;C975&amp;", "&amp;D975&amp;", "&amp;E975&amp;", "&amp;F975&amp;", "&amp;G975&amp;", "&amp;H975&amp;");"</f>
        <v>INSERT INTO COTACAO (blt_id, pap_id, cot_prc_comum, cot_prc_min, cot_prc_max, cot_prc_med, cot_prc_mediana) VALUES (26, 22, 70, 45, 70, 63.75, 70);</v>
      </c>
    </row>
    <row r="976" customFormat="false" ht="14.25" hidden="false" customHeight="false" outlineLevel="0" collapsed="false">
      <c r="A976" s="1" t="n">
        <v>975</v>
      </c>
      <c r="B976" s="1" t="n">
        <v>26</v>
      </c>
      <c r="C976" s="1" t="n">
        <v>23</v>
      </c>
      <c r="D976" s="16" t="n">
        <f aca="false">IF('Boletins Nuppa Site'!G976&lt;&gt;0,'Boletins Nuppa Site'!G976,"NULL")</f>
        <v>45</v>
      </c>
      <c r="E976" s="16" t="n">
        <f aca="false">IF('Boletins Nuppa Site'!H976&lt;&gt;0,'Boletins Nuppa Site'!H976,"NULL")</f>
        <v>40</v>
      </c>
      <c r="F976" s="16" t="n">
        <f aca="false">IF('Boletins Nuppa Site'!I976&lt;&gt;0,'Boletins Nuppa Site'!I976,"NULL")</f>
        <v>50</v>
      </c>
      <c r="G976" s="16" t="n">
        <f aca="false">IF('Boletins Nuppa Site'!J976&lt;&gt;0,'Boletins Nuppa Site'!J976,"NULL")</f>
        <v>46</v>
      </c>
      <c r="H976" s="16" t="n">
        <f aca="false">IF('Boletins Nuppa Site'!K976&lt;&gt;0,'Boletins Nuppa Site'!K976,"NULL")</f>
        <v>45</v>
      </c>
      <c r="J976" s="1" t="str">
        <f aca="false">"INSERT INTO COTACAO (blt_id, pap_id, cot_prc_comum, cot_prc_min, cot_prc_max, cot_prc_med, cot_prc_mediana) VALUES ("&amp;B976&amp;", "&amp;C976&amp;", "&amp;D976&amp;", "&amp;E976&amp;", "&amp;F976&amp;", "&amp;G976&amp;", "&amp;H976&amp;");"</f>
        <v>INSERT INTO COTACAO (blt_id, pap_id, cot_prc_comum, cot_prc_min, cot_prc_max, cot_prc_med, cot_prc_mediana) VALUES (26, 23, 45, 40, 50, 46, 45);</v>
      </c>
    </row>
    <row r="977" customFormat="false" ht="14.25" hidden="false" customHeight="false" outlineLevel="0" collapsed="false">
      <c r="A977" s="1" t="n">
        <v>976</v>
      </c>
      <c r="B977" s="1" t="n">
        <v>26</v>
      </c>
      <c r="C977" s="1" t="n">
        <v>24</v>
      </c>
      <c r="D977" s="1" t="str">
        <f aca="false">IF('Boletins Nuppa Site'!G977&lt;&gt;0,'Boletins Nuppa Site'!G977,"NULL")</f>
        <v>NULL</v>
      </c>
      <c r="E977" s="16" t="n">
        <f aca="false">IF('Boletins Nuppa Site'!H977&lt;&gt;0,'Boletins Nuppa Site'!H977,"NULL")</f>
        <v>90</v>
      </c>
      <c r="F977" s="16" t="n">
        <f aca="false">IF('Boletins Nuppa Site'!I977&lt;&gt;0,'Boletins Nuppa Site'!I977,"NULL")</f>
        <v>90</v>
      </c>
      <c r="G977" s="16" t="n">
        <f aca="false">IF('Boletins Nuppa Site'!J977&lt;&gt;0,'Boletins Nuppa Site'!J977,"NULL")</f>
        <v>90</v>
      </c>
      <c r="H977" s="16" t="n">
        <f aca="false">IF('Boletins Nuppa Site'!K977&lt;&gt;0,'Boletins Nuppa Site'!K977,"NULL")</f>
        <v>90</v>
      </c>
      <c r="J977" s="1" t="str">
        <f aca="false">"INSERT INTO COTACAO (blt_id, pap_id, cot_prc_comum, cot_prc_min, cot_prc_max, cot_prc_med, cot_prc_mediana) VALUES ("&amp;B977&amp;", "&amp;C977&amp;", "&amp;D977&amp;", "&amp;E977&amp;", "&amp;F977&amp;", "&amp;G977&amp;", "&amp;H977&amp;");"</f>
        <v>INSERT INTO COTACAO (blt_id, pap_id, cot_prc_comum, cot_prc_min, cot_prc_max, cot_prc_med, cot_prc_mediana) VALUES (26, 24, NULL, 90, 90, 90, 90);</v>
      </c>
    </row>
    <row r="978" customFormat="false" ht="14.25" hidden="false" customHeight="false" outlineLevel="0" collapsed="false">
      <c r="A978" s="1" t="n">
        <v>977</v>
      </c>
      <c r="B978" s="1" t="n">
        <v>26</v>
      </c>
      <c r="C978" s="1" t="n">
        <v>25</v>
      </c>
      <c r="D978" s="16" t="n">
        <f aca="false">IF('Boletins Nuppa Site'!G978&lt;&gt;0,'Boletins Nuppa Site'!G978,"NULL")</f>
        <v>65</v>
      </c>
      <c r="E978" s="16" t="n">
        <f aca="false">IF('Boletins Nuppa Site'!H978&lt;&gt;0,'Boletins Nuppa Site'!H978,"NULL")</f>
        <v>60</v>
      </c>
      <c r="F978" s="16" t="n">
        <f aca="false">IF('Boletins Nuppa Site'!I978&lt;&gt;0,'Boletins Nuppa Site'!I978,"NULL")</f>
        <v>65</v>
      </c>
      <c r="G978" s="1" t="str">
        <f aca="false">IF('Boletins Nuppa Site'!J978&lt;&gt;0,'Boletins Nuppa Site'!J978,"NULL")</f>
        <v>62.5</v>
      </c>
      <c r="H978" s="1" t="str">
        <f aca="false">IF('Boletins Nuppa Site'!K978&lt;&gt;0,'Boletins Nuppa Site'!K978,"NULL")</f>
        <v>62.5</v>
      </c>
      <c r="J978" s="1" t="str">
        <f aca="false">"INSERT INTO COTACAO (blt_id, pap_id, cot_prc_comum, cot_prc_min, cot_prc_max, cot_prc_med, cot_prc_mediana) VALUES ("&amp;B978&amp;", "&amp;C978&amp;", "&amp;D978&amp;", "&amp;E978&amp;", "&amp;F978&amp;", "&amp;G978&amp;", "&amp;H978&amp;");"</f>
        <v>INSERT INTO COTACAO (blt_id, pap_id, cot_prc_comum, cot_prc_min, cot_prc_max, cot_prc_med, cot_prc_mediana) VALUES (26, 25, 65, 60, 65, 62.5, 62.5);</v>
      </c>
    </row>
    <row r="979" customFormat="false" ht="14.25" hidden="false" customHeight="false" outlineLevel="0" collapsed="false">
      <c r="A979" s="1" t="n">
        <v>978</v>
      </c>
      <c r="B979" s="1" t="n">
        <v>26</v>
      </c>
      <c r="C979" s="1" t="n">
        <v>26</v>
      </c>
      <c r="D979" s="1" t="str">
        <f aca="false">IF('Boletins Nuppa Site'!G979&lt;&gt;0,'Boletins Nuppa Site'!G979,"NULL")</f>
        <v>NULL</v>
      </c>
      <c r="E979" s="16" t="n">
        <f aca="false">IF('Boletins Nuppa Site'!H979&lt;&gt;0,'Boletins Nuppa Site'!H979,"NULL")</f>
        <v>40</v>
      </c>
      <c r="F979" s="16" t="n">
        <f aca="false">IF('Boletins Nuppa Site'!I979&lt;&gt;0,'Boletins Nuppa Site'!I979,"NULL")</f>
        <v>65</v>
      </c>
      <c r="G979" s="1" t="str">
        <f aca="false">IF('Boletins Nuppa Site'!J979&lt;&gt;0,'Boletins Nuppa Site'!J979,"NULL")</f>
        <v>52.5</v>
      </c>
      <c r="H979" s="1" t="str">
        <f aca="false">IF('Boletins Nuppa Site'!K979&lt;&gt;0,'Boletins Nuppa Site'!K979,"NULL")</f>
        <v>52.5</v>
      </c>
      <c r="J979" s="1" t="str">
        <f aca="false">"INSERT INTO COTACAO (blt_id, pap_id, cot_prc_comum, cot_prc_min, cot_prc_max, cot_prc_med, cot_prc_mediana) VALUES ("&amp;B979&amp;", "&amp;C979&amp;", "&amp;D979&amp;", "&amp;E979&amp;", "&amp;F979&amp;", "&amp;G979&amp;", "&amp;H979&amp;");"</f>
        <v>INSERT INTO COTACAO (blt_id, pap_id, cot_prc_comum, cot_prc_min, cot_prc_max, cot_prc_med, cot_prc_mediana) VALUES (26, 26, NULL, 40, 65, 52.5, 52.5);</v>
      </c>
    </row>
    <row r="980" customFormat="false" ht="14.25" hidden="false" customHeight="false" outlineLevel="0" collapsed="false">
      <c r="A980" s="1" t="n">
        <v>979</v>
      </c>
      <c r="B980" s="1" t="n">
        <v>26</v>
      </c>
      <c r="C980" s="1" t="n">
        <v>27</v>
      </c>
      <c r="D980" s="16" t="n">
        <f aca="false">IF('Boletins Nuppa Site'!G980&lt;&gt;0,'Boletins Nuppa Site'!G980,"NULL")</f>
        <v>40</v>
      </c>
      <c r="E980" s="16" t="n">
        <f aca="false">IF('Boletins Nuppa Site'!H980&lt;&gt;0,'Boletins Nuppa Site'!H980,"NULL")</f>
        <v>40</v>
      </c>
      <c r="F980" s="16" t="n">
        <f aca="false">IF('Boletins Nuppa Site'!I980&lt;&gt;0,'Boletins Nuppa Site'!I980,"NULL")</f>
        <v>60</v>
      </c>
      <c r="G980" s="16" t="n">
        <f aca="false">IF('Boletins Nuppa Site'!J980&lt;&gt;0,'Boletins Nuppa Site'!J980,"NULL")</f>
        <v>46</v>
      </c>
      <c r="H980" s="16" t="n">
        <f aca="false">IF('Boletins Nuppa Site'!K980&lt;&gt;0,'Boletins Nuppa Site'!K980,"NULL")</f>
        <v>40</v>
      </c>
      <c r="J980" s="1" t="str">
        <f aca="false">"INSERT INTO COTACAO (blt_id, pap_id, cot_prc_comum, cot_prc_min, cot_prc_max, cot_prc_med, cot_prc_mediana) VALUES ("&amp;B980&amp;", "&amp;C980&amp;", "&amp;D980&amp;", "&amp;E980&amp;", "&amp;F980&amp;", "&amp;G980&amp;", "&amp;H980&amp;");"</f>
        <v>INSERT INTO COTACAO (blt_id, pap_id, cot_prc_comum, cot_prc_min, cot_prc_max, cot_prc_med, cot_prc_mediana) VALUES (26, 27, 40, 40, 60, 46, 40);</v>
      </c>
    </row>
    <row r="981" customFormat="false" ht="14.25" hidden="false" customHeight="false" outlineLevel="0" collapsed="false">
      <c r="A981" s="1" t="n">
        <v>980</v>
      </c>
      <c r="B981" s="1" t="n">
        <v>26</v>
      </c>
      <c r="C981" s="1" t="n">
        <v>28</v>
      </c>
      <c r="D981" s="1" t="str">
        <f aca="false">IF('Boletins Nuppa Site'!G981&lt;&gt;0,'Boletins Nuppa Site'!G981,"NULL")</f>
        <v>NULL</v>
      </c>
      <c r="E981" s="16" t="n">
        <f aca="false">IF('Boletins Nuppa Site'!H981&lt;&gt;0,'Boletins Nuppa Site'!H981,"NULL")</f>
        <v>85</v>
      </c>
      <c r="F981" s="16" t="n">
        <f aca="false">IF('Boletins Nuppa Site'!I981&lt;&gt;0,'Boletins Nuppa Site'!I981,"NULL")</f>
        <v>100</v>
      </c>
      <c r="G981" s="1" t="str">
        <f aca="false">IF('Boletins Nuppa Site'!J981&lt;&gt;0,'Boletins Nuppa Site'!J981,"NULL")</f>
        <v>91.67</v>
      </c>
      <c r="H981" s="16" t="n">
        <f aca="false">IF('Boletins Nuppa Site'!K981&lt;&gt;0,'Boletins Nuppa Site'!K981,"NULL")</f>
        <v>90</v>
      </c>
      <c r="J981" s="1" t="str">
        <f aca="false">"INSERT INTO COTACAO (blt_id, pap_id, cot_prc_comum, cot_prc_min, cot_prc_max, cot_prc_med, cot_prc_mediana) VALUES ("&amp;B981&amp;", "&amp;C981&amp;", "&amp;D981&amp;", "&amp;E981&amp;", "&amp;F981&amp;", "&amp;G981&amp;", "&amp;H981&amp;");"</f>
        <v>INSERT INTO COTACAO (blt_id, pap_id, cot_prc_comum, cot_prc_min, cot_prc_max, cot_prc_med, cot_prc_mediana) VALUES (26, 28, NULL, 85, 100, 91.67, 90);</v>
      </c>
    </row>
    <row r="982" customFormat="false" ht="14.25" hidden="false" customHeight="false" outlineLevel="0" collapsed="false">
      <c r="A982" s="1" t="n">
        <v>981</v>
      </c>
      <c r="B982" s="1" t="n">
        <v>26</v>
      </c>
      <c r="C982" s="1" t="n">
        <v>29</v>
      </c>
      <c r="D982" s="1" t="str">
        <f aca="false">IF('Boletins Nuppa Site'!G982&lt;&gt;0,'Boletins Nuppa Site'!G982,"NULL")</f>
        <v>NULL</v>
      </c>
      <c r="E982" s="16" t="n">
        <f aca="false">IF('Boletins Nuppa Site'!H982&lt;&gt;0,'Boletins Nuppa Site'!H982,"NULL")</f>
        <v>45</v>
      </c>
      <c r="F982" s="16" t="n">
        <f aca="false">IF('Boletins Nuppa Site'!I982&lt;&gt;0,'Boletins Nuppa Site'!I982,"NULL")</f>
        <v>60</v>
      </c>
      <c r="G982" s="1" t="str">
        <f aca="false">IF('Boletins Nuppa Site'!J982&lt;&gt;0,'Boletins Nuppa Site'!J982,"NULL")</f>
        <v>52.5</v>
      </c>
      <c r="H982" s="1" t="str">
        <f aca="false">IF('Boletins Nuppa Site'!K982&lt;&gt;0,'Boletins Nuppa Site'!K982,"NULL")</f>
        <v>52.5</v>
      </c>
      <c r="J982" s="1" t="str">
        <f aca="false">"INSERT INTO COTACAO (blt_id, pap_id, cot_prc_comum, cot_prc_min, cot_prc_max, cot_prc_med, cot_prc_mediana) VALUES ("&amp;B982&amp;", "&amp;C982&amp;", "&amp;D982&amp;", "&amp;E982&amp;", "&amp;F982&amp;", "&amp;G982&amp;", "&amp;H982&amp;");"</f>
        <v>INSERT INTO COTACAO (blt_id, pap_id, cot_prc_comum, cot_prc_min, cot_prc_max, cot_prc_med, cot_prc_mediana) VALUES (26, 29, NULL, 45, 60, 52.5, 52.5);</v>
      </c>
    </row>
    <row r="983" customFormat="false" ht="14.25" hidden="false" customHeight="false" outlineLevel="0" collapsed="false">
      <c r="A983" s="1" t="n">
        <v>982</v>
      </c>
      <c r="B983" s="1" t="n">
        <v>26</v>
      </c>
      <c r="C983" s="1" t="n">
        <v>30</v>
      </c>
      <c r="D983" s="16" t="n">
        <f aca="false">IF('Boletins Nuppa Site'!G983&lt;&gt;0,'Boletins Nuppa Site'!G983,"NULL")</f>
        <v>50</v>
      </c>
      <c r="E983" s="16" t="n">
        <f aca="false">IF('Boletins Nuppa Site'!H983&lt;&gt;0,'Boletins Nuppa Site'!H983,"NULL")</f>
        <v>50</v>
      </c>
      <c r="F983" s="16" t="n">
        <f aca="false">IF('Boletins Nuppa Site'!I983&lt;&gt;0,'Boletins Nuppa Site'!I983,"NULL")</f>
        <v>60</v>
      </c>
      <c r="G983" s="1" t="str">
        <f aca="false">IF('Boletins Nuppa Site'!J983&lt;&gt;0,'Boletins Nuppa Site'!J983,"NULL")</f>
        <v>53.33</v>
      </c>
      <c r="H983" s="16" t="n">
        <f aca="false">IF('Boletins Nuppa Site'!K983&lt;&gt;0,'Boletins Nuppa Site'!K983,"NULL")</f>
        <v>50</v>
      </c>
      <c r="J983" s="1" t="str">
        <f aca="false">"INSERT INTO COTACAO (blt_id, pap_id, cot_prc_comum, cot_prc_min, cot_prc_max, cot_prc_med, cot_prc_mediana) VALUES ("&amp;B983&amp;", "&amp;C983&amp;", "&amp;D983&amp;", "&amp;E983&amp;", "&amp;F983&amp;", "&amp;G983&amp;", "&amp;H983&amp;");"</f>
        <v>INSERT INTO COTACAO (blt_id, pap_id, cot_prc_comum, cot_prc_min, cot_prc_max, cot_prc_med, cot_prc_mediana) VALUES (26, 30, 50, 50, 60, 53.33, 50);</v>
      </c>
    </row>
    <row r="984" customFormat="false" ht="14.25" hidden="false" customHeight="false" outlineLevel="0" collapsed="false">
      <c r="A984" s="1" t="n">
        <v>983</v>
      </c>
      <c r="B984" s="1" t="n">
        <v>26</v>
      </c>
      <c r="C984" s="1" t="n">
        <v>31</v>
      </c>
      <c r="D984" s="16" t="n">
        <f aca="false">IF('Boletins Nuppa Site'!G984&lt;&gt;0,'Boletins Nuppa Site'!G984,"NULL")</f>
        <v>80</v>
      </c>
      <c r="E984" s="16" t="n">
        <f aca="false">IF('Boletins Nuppa Site'!H984&lt;&gt;0,'Boletins Nuppa Site'!H984,"NULL")</f>
        <v>70</v>
      </c>
      <c r="F984" s="16" t="n">
        <f aca="false">IF('Boletins Nuppa Site'!I984&lt;&gt;0,'Boletins Nuppa Site'!I984,"NULL")</f>
        <v>80</v>
      </c>
      <c r="G984" s="16" t="n">
        <f aca="false">IF('Boletins Nuppa Site'!J984&lt;&gt;0,'Boletins Nuppa Site'!J984,"NULL")</f>
        <v>75</v>
      </c>
      <c r="H984" s="16" t="n">
        <f aca="false">IF('Boletins Nuppa Site'!K984&lt;&gt;0,'Boletins Nuppa Site'!K984,"NULL")</f>
        <v>75</v>
      </c>
      <c r="J984" s="1" t="str">
        <f aca="false">"INSERT INTO COTACAO (blt_id, pap_id, cot_prc_comum, cot_prc_min, cot_prc_max, cot_prc_med, cot_prc_mediana) VALUES ("&amp;B984&amp;", "&amp;C984&amp;", "&amp;D984&amp;", "&amp;E984&amp;", "&amp;F984&amp;", "&amp;G984&amp;", "&amp;H984&amp;");"</f>
        <v>INSERT INTO COTACAO (blt_id, pap_id, cot_prc_comum, cot_prc_min, cot_prc_max, cot_prc_med, cot_prc_mediana) VALUES (26, 31, 80, 70, 80, 75, 75);</v>
      </c>
    </row>
    <row r="985" customFormat="false" ht="14.25" hidden="false" customHeight="false" outlineLevel="0" collapsed="false">
      <c r="A985" s="1" t="n">
        <v>984</v>
      </c>
      <c r="B985" s="1" t="n">
        <v>26</v>
      </c>
      <c r="C985" s="1" t="n">
        <v>32</v>
      </c>
      <c r="D985" s="1" t="str">
        <f aca="false">IF('Boletins Nuppa Site'!G985&lt;&gt;0,'Boletins Nuppa Site'!G985,"NULL")</f>
        <v>NULL</v>
      </c>
      <c r="E985" s="16" t="n">
        <f aca="false">IF('Boletins Nuppa Site'!H985&lt;&gt;0,'Boletins Nuppa Site'!H985,"NULL")</f>
        <v>40</v>
      </c>
      <c r="F985" s="16" t="n">
        <f aca="false">IF('Boletins Nuppa Site'!I985&lt;&gt;0,'Boletins Nuppa Site'!I985,"NULL")</f>
        <v>60</v>
      </c>
      <c r="G985" s="1" t="str">
        <f aca="false">IF('Boletins Nuppa Site'!J985&lt;&gt;0,'Boletins Nuppa Site'!J985,"NULL")</f>
        <v>51.25</v>
      </c>
      <c r="H985" s="1" t="str">
        <f aca="false">IF('Boletins Nuppa Site'!K985&lt;&gt;0,'Boletins Nuppa Site'!K985,"NULL")</f>
        <v>52.5</v>
      </c>
      <c r="J985" s="1" t="str">
        <f aca="false">"INSERT INTO COTACAO (blt_id, pap_id, cot_prc_comum, cot_prc_min, cot_prc_max, cot_prc_med, cot_prc_mediana) VALUES ("&amp;B985&amp;", "&amp;C985&amp;", "&amp;D985&amp;", "&amp;E985&amp;", "&amp;F985&amp;", "&amp;G985&amp;", "&amp;H985&amp;");"</f>
        <v>INSERT INTO COTACAO (blt_id, pap_id, cot_prc_comum, cot_prc_min, cot_prc_max, cot_prc_med, cot_prc_mediana) VALUES (26, 32, NULL, 40, 60, 51.25, 52.5);</v>
      </c>
    </row>
    <row r="986" customFormat="false" ht="14.25" hidden="false" customHeight="false" outlineLevel="0" collapsed="false">
      <c r="A986" s="1" t="n">
        <v>985</v>
      </c>
      <c r="B986" s="1" t="n">
        <v>26</v>
      </c>
      <c r="C986" s="1" t="n">
        <v>33</v>
      </c>
      <c r="D986" s="1" t="str">
        <f aca="false">IF('Boletins Nuppa Site'!G986&lt;&gt;0,'Boletins Nuppa Site'!G986,"NULL")</f>
        <v>NULL</v>
      </c>
      <c r="E986" s="16" t="n">
        <f aca="false">IF('Boletins Nuppa Site'!H986&lt;&gt;0,'Boletins Nuppa Site'!H986,"NULL")</f>
        <v>130</v>
      </c>
      <c r="F986" s="16" t="n">
        <f aca="false">IF('Boletins Nuppa Site'!I986&lt;&gt;0,'Boletins Nuppa Site'!I986,"NULL")</f>
        <v>150</v>
      </c>
      <c r="G986" s="16" t="n">
        <f aca="false">IF('Boletins Nuppa Site'!J986&lt;&gt;0,'Boletins Nuppa Site'!J986,"NULL")</f>
        <v>140</v>
      </c>
      <c r="H986" s="16" t="n">
        <f aca="false">IF('Boletins Nuppa Site'!K986&lt;&gt;0,'Boletins Nuppa Site'!K986,"NULL")</f>
        <v>140</v>
      </c>
      <c r="J986" s="1" t="str">
        <f aca="false">"INSERT INTO COTACAO (blt_id, pap_id, cot_prc_comum, cot_prc_min, cot_prc_max, cot_prc_med, cot_prc_mediana) VALUES ("&amp;B986&amp;", "&amp;C986&amp;", "&amp;D986&amp;", "&amp;E986&amp;", "&amp;F986&amp;", "&amp;G986&amp;", "&amp;H986&amp;");"</f>
        <v>INSERT INTO COTACAO (blt_id, pap_id, cot_prc_comum, cot_prc_min, cot_prc_max, cot_prc_med, cot_prc_mediana) VALUES (26, 33, NULL, 130, 150, 140, 140);</v>
      </c>
    </row>
    <row r="987" customFormat="false" ht="14.25" hidden="false" customHeight="false" outlineLevel="0" collapsed="false">
      <c r="A987" s="1" t="n">
        <v>986</v>
      </c>
      <c r="B987" s="1" t="n">
        <v>26</v>
      </c>
      <c r="C987" s="1" t="n">
        <v>34</v>
      </c>
      <c r="D987" s="16" t="n">
        <f aca="false">IF('Boletins Nuppa Site'!G987&lt;&gt;0,'Boletins Nuppa Site'!G987,"NULL")</f>
        <v>70</v>
      </c>
      <c r="E987" s="16" t="n">
        <f aca="false">IF('Boletins Nuppa Site'!H987&lt;&gt;0,'Boletins Nuppa Site'!H987,"NULL")</f>
        <v>70</v>
      </c>
      <c r="F987" s="16" t="n">
        <f aca="false">IF('Boletins Nuppa Site'!I987&lt;&gt;0,'Boletins Nuppa Site'!I987,"NULL")</f>
        <v>100</v>
      </c>
      <c r="G987" s="16" t="n">
        <f aca="false">IF('Boletins Nuppa Site'!J987&lt;&gt;0,'Boletins Nuppa Site'!J987,"NULL")</f>
        <v>84</v>
      </c>
      <c r="H987" s="16" t="n">
        <f aca="false">IF('Boletins Nuppa Site'!K987&lt;&gt;0,'Boletins Nuppa Site'!K987,"NULL")</f>
        <v>90</v>
      </c>
      <c r="J987" s="1" t="str">
        <f aca="false">"INSERT INTO COTACAO (blt_id, pap_id, cot_prc_comum, cot_prc_min, cot_prc_max, cot_prc_med, cot_prc_mediana) VALUES ("&amp;B987&amp;", "&amp;C987&amp;", "&amp;D987&amp;", "&amp;E987&amp;", "&amp;F987&amp;", "&amp;G987&amp;", "&amp;H987&amp;");"</f>
        <v>INSERT INTO COTACAO (blt_id, pap_id, cot_prc_comum, cot_prc_min, cot_prc_max, cot_prc_med, cot_prc_mediana) VALUES (26, 34, 70, 70, 100, 84, 90);</v>
      </c>
    </row>
    <row r="988" customFormat="false" ht="14.25" hidden="false" customHeight="false" outlineLevel="0" collapsed="false">
      <c r="A988" s="1" t="n">
        <v>987</v>
      </c>
      <c r="B988" s="1" t="n">
        <v>26</v>
      </c>
      <c r="C988" s="1" t="n">
        <v>35</v>
      </c>
      <c r="D988" s="16" t="n">
        <f aca="false">IF('Boletins Nuppa Site'!G988&lt;&gt;0,'Boletins Nuppa Site'!G988,"NULL")</f>
        <v>140</v>
      </c>
      <c r="E988" s="16" t="n">
        <f aca="false">IF('Boletins Nuppa Site'!H988&lt;&gt;0,'Boletins Nuppa Site'!H988,"NULL")</f>
        <v>120</v>
      </c>
      <c r="F988" s="16" t="n">
        <f aca="false">IF('Boletins Nuppa Site'!I988&lt;&gt;0,'Boletins Nuppa Site'!I988,"NULL")</f>
        <v>140</v>
      </c>
      <c r="G988" s="1" t="str">
        <f aca="false">IF('Boletins Nuppa Site'!J988&lt;&gt;0,'Boletins Nuppa Site'!J988,"NULL")</f>
        <v>133.33</v>
      </c>
      <c r="H988" s="16" t="n">
        <f aca="false">IF('Boletins Nuppa Site'!K988&lt;&gt;0,'Boletins Nuppa Site'!K988,"NULL")</f>
        <v>140</v>
      </c>
      <c r="J988" s="1" t="str">
        <f aca="false">"INSERT INTO COTACAO (blt_id, pap_id, cot_prc_comum, cot_prc_min, cot_prc_max, cot_prc_med, cot_prc_mediana) VALUES ("&amp;B988&amp;", "&amp;C988&amp;", "&amp;D988&amp;", "&amp;E988&amp;", "&amp;F988&amp;", "&amp;G988&amp;", "&amp;H988&amp;");"</f>
        <v>INSERT INTO COTACAO (blt_id, pap_id, cot_prc_comum, cot_prc_min, cot_prc_max, cot_prc_med, cot_prc_mediana) VALUES (26, 35, 140, 120, 140, 133.33, 140);</v>
      </c>
    </row>
    <row r="989" customFormat="false" ht="14.25" hidden="false" customHeight="false" outlineLevel="0" collapsed="false">
      <c r="A989" s="1" t="n">
        <v>988</v>
      </c>
      <c r="B989" s="1" t="n">
        <v>26</v>
      </c>
      <c r="C989" s="1" t="n">
        <v>36</v>
      </c>
      <c r="D989" s="1" t="str">
        <f aca="false">IF('Boletins Nuppa Site'!G989&lt;&gt;0,'Boletins Nuppa Site'!G989,"NULL")</f>
        <v>NULL</v>
      </c>
      <c r="E989" s="1" t="str">
        <f aca="false">IF('Boletins Nuppa Site'!H989&lt;&gt;0,'Boletins Nuppa Site'!H989,"NULL")</f>
        <v>NULL</v>
      </c>
      <c r="F989" s="1" t="str">
        <f aca="false">IF('Boletins Nuppa Site'!I989&lt;&gt;0,'Boletins Nuppa Site'!I989,"NULL")</f>
        <v>NULL</v>
      </c>
      <c r="G989" s="1" t="str">
        <f aca="false">IF('Boletins Nuppa Site'!J989&lt;&gt;0,'Boletins Nuppa Site'!J989,"NULL")</f>
        <v>NULL</v>
      </c>
      <c r="H989" s="1" t="str">
        <f aca="false">IF('Boletins Nuppa Site'!K989&lt;&gt;0,'Boletins Nuppa Site'!K989,"NULL")</f>
        <v>NULL</v>
      </c>
      <c r="J989" s="1" t="str">
        <f aca="false">"INSERT INTO COTACAO (blt_id, pap_id, cot_prc_comum, cot_prc_min, cot_prc_max, cot_prc_med, cot_prc_mediana) VALUES ("&amp;B989&amp;", "&amp;C989&amp;", "&amp;D989&amp;", "&amp;E989&amp;", "&amp;F989&amp;", "&amp;G989&amp;", "&amp;H989&amp;");"</f>
        <v>INSERT INTO COTACAO (blt_id, pap_id, cot_prc_comum, cot_prc_min, cot_prc_max, cot_prc_med, cot_prc_mediana) VALUES (26, 36, NULL, NULL, NULL, NULL, NULL);</v>
      </c>
    </row>
    <row r="990" customFormat="false" ht="14.25" hidden="false" customHeight="false" outlineLevel="0" collapsed="false">
      <c r="A990" s="1" t="n">
        <v>989</v>
      </c>
      <c r="B990" s="1" t="n">
        <v>26</v>
      </c>
      <c r="C990" s="1" t="n">
        <v>37</v>
      </c>
      <c r="D990" s="1" t="str">
        <f aca="false">IF('Boletins Nuppa Site'!G990&lt;&gt;0,'Boletins Nuppa Site'!G990,"NULL")</f>
        <v>NULL</v>
      </c>
      <c r="E990" s="1" t="str">
        <f aca="false">IF('Boletins Nuppa Site'!H990&lt;&gt;0,'Boletins Nuppa Site'!H990,"NULL")</f>
        <v>NULL</v>
      </c>
      <c r="F990" s="1" t="str">
        <f aca="false">IF('Boletins Nuppa Site'!I990&lt;&gt;0,'Boletins Nuppa Site'!I990,"NULL")</f>
        <v>NULL</v>
      </c>
      <c r="G990" s="1" t="str">
        <f aca="false">IF('Boletins Nuppa Site'!J990&lt;&gt;0,'Boletins Nuppa Site'!J990,"NULL")</f>
        <v>NULL</v>
      </c>
      <c r="H990" s="1" t="str">
        <f aca="false">IF('Boletins Nuppa Site'!K990&lt;&gt;0,'Boletins Nuppa Site'!K990,"NULL")</f>
        <v>NULL</v>
      </c>
      <c r="J990" s="1" t="str">
        <f aca="false">"INSERT INTO COTACAO (blt_id, pap_id, cot_prc_comum, cot_prc_min, cot_prc_max, cot_prc_med, cot_prc_mediana) VALUES ("&amp;B990&amp;", "&amp;C990&amp;", "&amp;D990&amp;", "&amp;E990&amp;", "&amp;F990&amp;", "&amp;G990&amp;", "&amp;H990&amp;");"</f>
        <v>INSERT INTO COTACAO (blt_id, pap_id, cot_prc_comum, cot_prc_min, cot_prc_max, cot_prc_med, cot_prc_mediana) VALUES (26, 37, NULL, NULL, NULL, NULL, NULL);</v>
      </c>
    </row>
    <row r="991" customFormat="false" ht="14.25" hidden="false" customHeight="false" outlineLevel="0" collapsed="false">
      <c r="A991" s="1" t="n">
        <v>990</v>
      </c>
      <c r="B991" s="1" t="n">
        <v>26</v>
      </c>
      <c r="C991" s="1" t="n">
        <v>38</v>
      </c>
      <c r="D991" s="1" t="str">
        <f aca="false">IF('Boletins Nuppa Site'!G991&lt;&gt;0,'Boletins Nuppa Site'!G991,"NULL")</f>
        <v>NULL</v>
      </c>
      <c r="E991" s="1" t="str">
        <f aca="false">IF('Boletins Nuppa Site'!H991&lt;&gt;0,'Boletins Nuppa Site'!H991,"NULL")</f>
        <v>NULL</v>
      </c>
      <c r="F991" s="1" t="str">
        <f aca="false">IF('Boletins Nuppa Site'!I991&lt;&gt;0,'Boletins Nuppa Site'!I991,"NULL")</f>
        <v>NULL</v>
      </c>
      <c r="G991" s="1" t="str">
        <f aca="false">IF('Boletins Nuppa Site'!J991&lt;&gt;0,'Boletins Nuppa Site'!J991,"NULL")</f>
        <v>NULL</v>
      </c>
      <c r="H991" s="1" t="str">
        <f aca="false">IF('Boletins Nuppa Site'!K991&lt;&gt;0,'Boletins Nuppa Site'!K991,"NULL")</f>
        <v>NULL</v>
      </c>
      <c r="J991" s="1" t="str">
        <f aca="false">"INSERT INTO COTACAO (blt_id, pap_id, cot_prc_comum, cot_prc_min, cot_prc_max, cot_prc_med, cot_prc_mediana) VALUES ("&amp;B991&amp;", "&amp;C991&amp;", "&amp;D991&amp;", "&amp;E991&amp;", "&amp;F991&amp;", "&amp;G991&amp;", "&amp;H991&amp;");"</f>
        <v>INSERT INTO COTACAO (blt_id, pap_id, cot_prc_comum, cot_prc_min, cot_prc_max, cot_prc_med, cot_prc_mediana) VALUES (26, 38, NULL, NULL, NULL, NULL, NULL);</v>
      </c>
    </row>
    <row r="992" customFormat="false" ht="14.25" hidden="false" customHeight="false" outlineLevel="0" collapsed="false">
      <c r="A992" s="1" t="n">
        <v>991</v>
      </c>
      <c r="B992" s="1" t="n">
        <v>26</v>
      </c>
      <c r="C992" s="1" t="n">
        <v>39</v>
      </c>
      <c r="D992" s="1" t="str">
        <f aca="false">IF('Boletins Nuppa Site'!G992&lt;&gt;0,'Boletins Nuppa Site'!G992,"NULL")</f>
        <v>NULL</v>
      </c>
      <c r="E992" s="16" t="n">
        <f aca="false">IF('Boletins Nuppa Site'!H992&lt;&gt;0,'Boletins Nuppa Site'!H992,"NULL")</f>
        <v>60</v>
      </c>
      <c r="F992" s="16" t="n">
        <f aca="false">IF('Boletins Nuppa Site'!I992&lt;&gt;0,'Boletins Nuppa Site'!I992,"NULL")</f>
        <v>60</v>
      </c>
      <c r="G992" s="16" t="n">
        <f aca="false">IF('Boletins Nuppa Site'!J992&lt;&gt;0,'Boletins Nuppa Site'!J992,"NULL")</f>
        <v>60</v>
      </c>
      <c r="H992" s="16" t="n">
        <f aca="false">IF('Boletins Nuppa Site'!K992&lt;&gt;0,'Boletins Nuppa Site'!K992,"NULL")</f>
        <v>60</v>
      </c>
      <c r="J992" s="1" t="str">
        <f aca="false">"INSERT INTO COTACAO (blt_id, pap_id, cot_prc_comum, cot_prc_min, cot_prc_max, cot_prc_med, cot_prc_mediana) VALUES ("&amp;B992&amp;", "&amp;C992&amp;", "&amp;D992&amp;", "&amp;E992&amp;", "&amp;F992&amp;", "&amp;G992&amp;", "&amp;H992&amp;");"</f>
        <v>INSERT INTO COTACAO (blt_id, pap_id, cot_prc_comum, cot_prc_min, cot_prc_max, cot_prc_med, cot_prc_mediana) VALUES (26, 39, NULL, 60, 60, 60, 60);</v>
      </c>
    </row>
    <row r="993" customFormat="false" ht="14.25" hidden="false" customHeight="false" outlineLevel="0" collapsed="false">
      <c r="A993" s="1" t="n">
        <v>992</v>
      </c>
      <c r="B993" s="1" t="n">
        <v>26</v>
      </c>
      <c r="C993" s="1" t="n">
        <v>40</v>
      </c>
      <c r="D993" s="1" t="str">
        <f aca="false">IF('Boletins Nuppa Site'!G993&lt;&gt;0,'Boletins Nuppa Site'!G993,"NULL")</f>
        <v>NULL</v>
      </c>
      <c r="E993" s="16" t="n">
        <f aca="false">IF('Boletins Nuppa Site'!H993&lt;&gt;0,'Boletins Nuppa Site'!H993,"NULL")</f>
        <v>80</v>
      </c>
      <c r="F993" s="16" t="n">
        <f aca="false">IF('Boletins Nuppa Site'!I993&lt;&gt;0,'Boletins Nuppa Site'!I993,"NULL")</f>
        <v>80</v>
      </c>
      <c r="G993" s="16" t="n">
        <f aca="false">IF('Boletins Nuppa Site'!J993&lt;&gt;0,'Boletins Nuppa Site'!J993,"NULL")</f>
        <v>80</v>
      </c>
      <c r="H993" s="16" t="n">
        <f aca="false">IF('Boletins Nuppa Site'!K993&lt;&gt;0,'Boletins Nuppa Site'!K993,"NULL")</f>
        <v>80</v>
      </c>
      <c r="J993" s="1" t="str">
        <f aca="false">"INSERT INTO COTACAO (blt_id, pap_id, cot_prc_comum, cot_prc_min, cot_prc_max, cot_prc_med, cot_prc_mediana) VALUES ("&amp;B993&amp;", "&amp;C993&amp;", "&amp;D993&amp;", "&amp;E993&amp;", "&amp;F993&amp;", "&amp;G993&amp;", "&amp;H993&amp;");"</f>
        <v>INSERT INTO COTACAO (blt_id, pap_id, cot_prc_comum, cot_prc_min, cot_prc_max, cot_prc_med, cot_prc_mediana) VALUES (26, 40, NULL, 80, 80, 80, 80);</v>
      </c>
    </row>
    <row r="994" customFormat="false" ht="14.25" hidden="false" customHeight="false" outlineLevel="0" collapsed="false">
      <c r="A994" s="1" t="n">
        <v>993</v>
      </c>
      <c r="B994" s="1" t="n">
        <v>27</v>
      </c>
      <c r="C994" s="1" t="n">
        <v>1</v>
      </c>
      <c r="D994" s="16" t="n">
        <f aca="false">IF('Boletins Nuppa Site'!G994&lt;&gt;0,'Boletins Nuppa Site'!G994,"NULL")</f>
        <v>60</v>
      </c>
      <c r="E994" s="16" t="n">
        <f aca="false">IF('Boletins Nuppa Site'!H994&lt;&gt;0,'Boletins Nuppa Site'!H994,"NULL")</f>
        <v>48</v>
      </c>
      <c r="F994" s="16" t="n">
        <f aca="false">IF('Boletins Nuppa Site'!I994&lt;&gt;0,'Boletins Nuppa Site'!I994,"NULL")</f>
        <v>48</v>
      </c>
      <c r="G994" s="16" t="n">
        <f aca="false">IF('Boletins Nuppa Site'!J994&lt;&gt;0,'Boletins Nuppa Site'!J994,"NULL")</f>
        <v>60</v>
      </c>
      <c r="H994" s="1" t="str">
        <f aca="false">IF('Boletins Nuppa Site'!K994&lt;&gt;0,'Boletins Nuppa Site'!K994,"NULL")</f>
        <v>52.8</v>
      </c>
      <c r="J994" s="1" t="str">
        <f aca="false">"INSERT INTO COTACAO (blt_id, pap_id, cot_prc_comum, cot_prc_min, cot_prc_max, cot_prc_med, cot_prc_mediana) VALUES ("&amp;B994&amp;", "&amp;C994&amp;", "&amp;D994&amp;", "&amp;E994&amp;", "&amp;F994&amp;", "&amp;G994&amp;", "&amp;H994&amp;");"</f>
        <v>INSERT INTO COTACAO (blt_id, pap_id, cot_prc_comum, cot_prc_min, cot_prc_max, cot_prc_med, cot_prc_mediana) VALUES (27, 1, 60, 48, 48, 60, 52.8);</v>
      </c>
    </row>
    <row r="995" customFormat="false" ht="14.25" hidden="false" customHeight="false" outlineLevel="0" collapsed="false">
      <c r="A995" s="1" t="n">
        <v>994</v>
      </c>
      <c r="B995" s="1" t="n">
        <v>27</v>
      </c>
      <c r="C995" s="1" t="n">
        <v>2</v>
      </c>
      <c r="D995" s="16" t="n">
        <f aca="false">IF('Boletins Nuppa Site'!G995&lt;&gt;0,'Boletins Nuppa Site'!G995,"NULL")</f>
        <v>84</v>
      </c>
      <c r="E995" s="16" t="n">
        <f aca="false">IF('Boletins Nuppa Site'!H995&lt;&gt;0,'Boletins Nuppa Site'!H995,"NULL")</f>
        <v>72</v>
      </c>
      <c r="F995" s="16" t="n">
        <f aca="false">IF('Boletins Nuppa Site'!I995&lt;&gt;0,'Boletins Nuppa Site'!I995,"NULL")</f>
        <v>72</v>
      </c>
      <c r="G995" s="16" t="n">
        <f aca="false">IF('Boletins Nuppa Site'!J995&lt;&gt;0,'Boletins Nuppa Site'!J995,"NULL")</f>
        <v>84</v>
      </c>
      <c r="H995" s="16" t="n">
        <f aca="false">IF('Boletins Nuppa Site'!K995&lt;&gt;0,'Boletins Nuppa Site'!K995,"NULL")</f>
        <v>78</v>
      </c>
      <c r="J995" s="1" t="str">
        <f aca="false">"INSERT INTO COTACAO (blt_id, pap_id, cot_prc_comum, cot_prc_min, cot_prc_max, cot_prc_med, cot_prc_mediana) VALUES ("&amp;B995&amp;", "&amp;C995&amp;", "&amp;D995&amp;", "&amp;E995&amp;", "&amp;F995&amp;", "&amp;G995&amp;", "&amp;H995&amp;");"</f>
        <v>INSERT INTO COTACAO (blt_id, pap_id, cot_prc_comum, cot_prc_min, cot_prc_max, cot_prc_med, cot_prc_mediana) VALUES (27, 2, 84, 72, 72, 84, 78);</v>
      </c>
    </row>
    <row r="996" customFormat="false" ht="14.25" hidden="false" customHeight="false" outlineLevel="0" collapsed="false">
      <c r="A996" s="1" t="n">
        <v>995</v>
      </c>
      <c r="B996" s="1" t="n">
        <v>27</v>
      </c>
      <c r="C996" s="1" t="n">
        <v>3</v>
      </c>
      <c r="D996" s="16" t="n">
        <f aca="false">IF('Boletins Nuppa Site'!G996&lt;&gt;0,'Boletins Nuppa Site'!G996,"NULL")</f>
        <v>36</v>
      </c>
      <c r="E996" s="16" t="n">
        <f aca="false">IF('Boletins Nuppa Site'!H996&lt;&gt;0,'Boletins Nuppa Site'!H996,"NULL")</f>
        <v>36</v>
      </c>
      <c r="F996" s="16" t="n">
        <f aca="false">IF('Boletins Nuppa Site'!I996&lt;&gt;0,'Boletins Nuppa Site'!I996,"NULL")</f>
        <v>30</v>
      </c>
      <c r="G996" s="16" t="n">
        <f aca="false">IF('Boletins Nuppa Site'!J996&lt;&gt;0,'Boletins Nuppa Site'!J996,"NULL")</f>
        <v>42</v>
      </c>
      <c r="H996" s="1" t="str">
        <f aca="false">IF('Boletins Nuppa Site'!K996&lt;&gt;0,'Boletins Nuppa Site'!K996,"NULL")</f>
        <v>35.8</v>
      </c>
      <c r="J996" s="1" t="str">
        <f aca="false">"INSERT INTO COTACAO (blt_id, pap_id, cot_prc_comum, cot_prc_min, cot_prc_max, cot_prc_med, cot_prc_mediana) VALUES ("&amp;B996&amp;", "&amp;C996&amp;", "&amp;D996&amp;", "&amp;E996&amp;", "&amp;F996&amp;", "&amp;G996&amp;", "&amp;H996&amp;");"</f>
        <v>INSERT INTO COTACAO (blt_id, pap_id, cot_prc_comum, cot_prc_min, cot_prc_max, cot_prc_med, cot_prc_mediana) VALUES (27, 3, 36, 36, 30, 42, 35.8);</v>
      </c>
    </row>
    <row r="997" customFormat="false" ht="14.25" hidden="false" customHeight="false" outlineLevel="0" collapsed="false">
      <c r="A997" s="1" t="n">
        <v>996</v>
      </c>
      <c r="B997" s="1" t="n">
        <v>27</v>
      </c>
      <c r="C997" s="1" t="n">
        <v>4</v>
      </c>
      <c r="D997" s="16" t="n">
        <f aca="false">IF('Boletins Nuppa Site'!G997&lt;&gt;0,'Boletins Nuppa Site'!G997,"NULL")</f>
        <v>24</v>
      </c>
      <c r="E997" s="16" t="n">
        <f aca="false">IF('Boletins Nuppa Site'!H997&lt;&gt;0,'Boletins Nuppa Site'!H997,"NULL")</f>
        <v>18</v>
      </c>
      <c r="F997" s="16" t="n">
        <f aca="false">IF('Boletins Nuppa Site'!I997&lt;&gt;0,'Boletins Nuppa Site'!I997,"NULL")</f>
        <v>18</v>
      </c>
      <c r="G997" s="16" t="n">
        <f aca="false">IF('Boletins Nuppa Site'!J997&lt;&gt;0,'Boletins Nuppa Site'!J997,"NULL")</f>
        <v>24</v>
      </c>
      <c r="H997" s="1" t="str">
        <f aca="false">IF('Boletins Nuppa Site'!K997&lt;&gt;0,'Boletins Nuppa Site'!K997,"NULL")</f>
        <v>20.8</v>
      </c>
      <c r="J997" s="1" t="str">
        <f aca="false">"INSERT INTO COTACAO (blt_id, pap_id, cot_prc_comum, cot_prc_min, cot_prc_max, cot_prc_med, cot_prc_mediana) VALUES ("&amp;B997&amp;", "&amp;C997&amp;", "&amp;D997&amp;", "&amp;E997&amp;", "&amp;F997&amp;", "&amp;G997&amp;", "&amp;H997&amp;");"</f>
        <v>INSERT INTO COTACAO (blt_id, pap_id, cot_prc_comum, cot_prc_min, cot_prc_max, cot_prc_med, cot_prc_mediana) VALUES (27, 4, 24, 18, 18, 24, 20.8);</v>
      </c>
    </row>
    <row r="998" customFormat="false" ht="14.25" hidden="false" customHeight="false" outlineLevel="0" collapsed="false">
      <c r="A998" s="1" t="n">
        <v>997</v>
      </c>
      <c r="B998" s="1" t="n">
        <v>27</v>
      </c>
      <c r="C998" s="1" t="n">
        <v>5</v>
      </c>
      <c r="D998" s="16" t="n">
        <f aca="false">IF('Boletins Nuppa Site'!G998&lt;&gt;0,'Boletins Nuppa Site'!G998,"NULL")</f>
        <v>30</v>
      </c>
      <c r="E998" s="16" t="n">
        <f aca="false">IF('Boletins Nuppa Site'!H998&lt;&gt;0,'Boletins Nuppa Site'!H998,"NULL")</f>
        <v>24</v>
      </c>
      <c r="F998" s="16" t="n">
        <f aca="false">IF('Boletins Nuppa Site'!I998&lt;&gt;0,'Boletins Nuppa Site'!I998,"NULL")</f>
        <v>18</v>
      </c>
      <c r="G998" s="16" t="n">
        <f aca="false">IF('Boletins Nuppa Site'!J998&lt;&gt;0,'Boletins Nuppa Site'!J998,"NULL")</f>
        <v>24</v>
      </c>
      <c r="H998" s="1" t="str">
        <f aca="false">IF('Boletins Nuppa Site'!K998&lt;&gt;0,'Boletins Nuppa Site'!K998,"NULL")</f>
        <v>21.5</v>
      </c>
      <c r="J998" s="1" t="str">
        <f aca="false">"INSERT INTO COTACAO (blt_id, pap_id, cot_prc_comum, cot_prc_min, cot_prc_max, cot_prc_med, cot_prc_mediana) VALUES ("&amp;B998&amp;", "&amp;C998&amp;", "&amp;D998&amp;", "&amp;E998&amp;", "&amp;F998&amp;", "&amp;G998&amp;", "&amp;H998&amp;");"</f>
        <v>INSERT INTO COTACAO (blt_id, pap_id, cot_prc_comum, cot_prc_min, cot_prc_max, cot_prc_med, cot_prc_mediana) VALUES (27, 5, 30, 24, 18, 24, 21.5);</v>
      </c>
    </row>
    <row r="999" customFormat="false" ht="14.25" hidden="false" customHeight="false" outlineLevel="0" collapsed="false">
      <c r="A999" s="1" t="n">
        <v>998</v>
      </c>
      <c r="B999" s="1" t="n">
        <v>27</v>
      </c>
      <c r="C999" s="1" t="n">
        <v>6</v>
      </c>
      <c r="D999" s="16" t="n">
        <f aca="false">IF('Boletins Nuppa Site'!G999&lt;&gt;0,'Boletins Nuppa Site'!G999,"NULL")</f>
        <v>60</v>
      </c>
      <c r="E999" s="16" t="n">
        <f aca="false">IF('Boletins Nuppa Site'!H999&lt;&gt;0,'Boletins Nuppa Site'!H999,"NULL")</f>
        <v>60</v>
      </c>
      <c r="F999" s="16" t="n">
        <f aca="false">IF('Boletins Nuppa Site'!I999&lt;&gt;0,'Boletins Nuppa Site'!I999,"NULL")</f>
        <v>60</v>
      </c>
      <c r="G999" s="16" t="n">
        <f aca="false">IF('Boletins Nuppa Site'!J999&lt;&gt;0,'Boletins Nuppa Site'!J999,"NULL")</f>
        <v>60</v>
      </c>
      <c r="H999" s="16" t="n">
        <f aca="false">IF('Boletins Nuppa Site'!K999&lt;&gt;0,'Boletins Nuppa Site'!K999,"NULL")</f>
        <v>60</v>
      </c>
      <c r="J999" s="1" t="str">
        <f aca="false">"INSERT INTO COTACAO (blt_id, pap_id, cot_prc_comum, cot_prc_min, cot_prc_max, cot_prc_med, cot_prc_mediana) VALUES ("&amp;B999&amp;", "&amp;C999&amp;", "&amp;D999&amp;", "&amp;E999&amp;", "&amp;F999&amp;", "&amp;G999&amp;", "&amp;H999&amp;");"</f>
        <v>INSERT INTO COTACAO (blt_id, pap_id, cot_prc_comum, cot_prc_min, cot_prc_max, cot_prc_med, cot_prc_mediana) VALUES (27, 6, 60, 60, 60, 60, 60);</v>
      </c>
    </row>
    <row r="1000" customFormat="false" ht="14.25" hidden="false" customHeight="false" outlineLevel="0" collapsed="false">
      <c r="A1000" s="1" t="n">
        <v>999</v>
      </c>
      <c r="B1000" s="1" t="n">
        <v>27</v>
      </c>
      <c r="C1000" s="1" t="n">
        <v>7</v>
      </c>
      <c r="D1000" s="16" t="n">
        <f aca="false">IF('Boletins Nuppa Site'!G1000&lt;&gt;0,'Boletins Nuppa Site'!G1000,"NULL")</f>
        <v>60</v>
      </c>
      <c r="E1000" s="16" t="n">
        <f aca="false">IF('Boletins Nuppa Site'!H1000&lt;&gt;0,'Boletins Nuppa Site'!H1000,"NULL")</f>
        <v>48</v>
      </c>
      <c r="F1000" s="16" t="n">
        <f aca="false">IF('Boletins Nuppa Site'!I1000&lt;&gt;0,'Boletins Nuppa Site'!I1000,"NULL")</f>
        <v>48</v>
      </c>
      <c r="G1000" s="16" t="n">
        <f aca="false">IF('Boletins Nuppa Site'!J1000&lt;&gt;0,'Boletins Nuppa Site'!J1000,"NULL")</f>
        <v>60</v>
      </c>
      <c r="H1000" s="16" t="n">
        <f aca="false">IF('Boletins Nuppa Site'!K1000&lt;&gt;0,'Boletins Nuppa Site'!K1000,"NULL")</f>
        <v>54</v>
      </c>
      <c r="J1000" s="1" t="str">
        <f aca="false">"INSERT INTO COTACAO (blt_id, pap_id, cot_prc_comum, cot_prc_min, cot_prc_max, cot_prc_med, cot_prc_mediana) VALUES ("&amp;B1000&amp;", "&amp;C1000&amp;", "&amp;D1000&amp;", "&amp;E1000&amp;", "&amp;F1000&amp;", "&amp;G1000&amp;", "&amp;H1000&amp;");"</f>
        <v>INSERT INTO COTACAO (blt_id, pap_id, cot_prc_comum, cot_prc_min, cot_prc_max, cot_prc_med, cot_prc_mediana) VALUES (27, 7, 60, 48, 48, 60, 54);</v>
      </c>
    </row>
    <row r="1001" customFormat="false" ht="14.25" hidden="false" customHeight="false" outlineLevel="0" collapsed="false">
      <c r="A1001" s="1" t="n">
        <v>1000</v>
      </c>
      <c r="B1001" s="1" t="n">
        <v>27</v>
      </c>
      <c r="C1001" s="1" t="n">
        <v>8</v>
      </c>
      <c r="D1001" s="16" t="n">
        <f aca="false">IF('Boletins Nuppa Site'!G1001&lt;&gt;0,'Boletins Nuppa Site'!G1001,"NULL")</f>
        <v>84</v>
      </c>
      <c r="E1001" s="16" t="n">
        <f aca="false">IF('Boletins Nuppa Site'!H1001&lt;&gt;0,'Boletins Nuppa Site'!H1001,"NULL")</f>
        <v>60</v>
      </c>
      <c r="F1001" s="16" t="n">
        <f aca="false">IF('Boletins Nuppa Site'!I1001&lt;&gt;0,'Boletins Nuppa Site'!I1001,"NULL")</f>
        <v>60</v>
      </c>
      <c r="G1001" s="16" t="n">
        <f aca="false">IF('Boletins Nuppa Site'!J1001&lt;&gt;0,'Boletins Nuppa Site'!J1001,"NULL")</f>
        <v>84</v>
      </c>
      <c r="H1001" s="16" t="n">
        <f aca="false">IF('Boletins Nuppa Site'!K1001&lt;&gt;0,'Boletins Nuppa Site'!K1001,"NULL")</f>
        <v>72</v>
      </c>
      <c r="J1001" s="1" t="str">
        <f aca="false">"INSERT INTO COTACAO (blt_id, pap_id, cot_prc_comum, cot_prc_min, cot_prc_max, cot_prc_med, cot_prc_mediana) VALUES ("&amp;B1001&amp;", "&amp;C1001&amp;", "&amp;D1001&amp;", "&amp;E1001&amp;", "&amp;F1001&amp;", "&amp;G1001&amp;", "&amp;H1001&amp;");"</f>
        <v>INSERT INTO COTACAO (blt_id, pap_id, cot_prc_comum, cot_prc_min, cot_prc_max, cot_prc_med, cot_prc_mediana) VALUES (27, 8, 84, 60, 60, 84, 72);</v>
      </c>
    </row>
    <row r="1002" customFormat="false" ht="14.25" hidden="false" customHeight="false" outlineLevel="0" collapsed="false">
      <c r="A1002" s="1" t="n">
        <v>1001</v>
      </c>
      <c r="B1002" s="1" t="n">
        <v>27</v>
      </c>
      <c r="C1002" s="1" t="n">
        <v>9</v>
      </c>
      <c r="D1002" s="16" t="n">
        <f aca="false">IF('Boletins Nuppa Site'!G1002&lt;&gt;0,'Boletins Nuppa Site'!G1002,"NULL")</f>
        <v>24</v>
      </c>
      <c r="E1002" s="16" t="n">
        <f aca="false">IF('Boletins Nuppa Site'!H1002&lt;&gt;0,'Boletins Nuppa Site'!H1002,"NULL")</f>
        <v>18</v>
      </c>
      <c r="F1002" s="16" t="n">
        <f aca="false">IF('Boletins Nuppa Site'!I1002&lt;&gt;0,'Boletins Nuppa Site'!I1002,"NULL")</f>
        <v>18</v>
      </c>
      <c r="G1002" s="16" t="n">
        <f aca="false">IF('Boletins Nuppa Site'!J1002&lt;&gt;0,'Boletins Nuppa Site'!J1002,"NULL")</f>
        <v>25</v>
      </c>
      <c r="H1002" s="1" t="str">
        <f aca="false">IF('Boletins Nuppa Site'!K1002&lt;&gt;0,'Boletins Nuppa Site'!K1002,"NULL")</f>
        <v>21.8</v>
      </c>
      <c r="J1002" s="1" t="str">
        <f aca="false">"INSERT INTO COTACAO (blt_id, pap_id, cot_prc_comum, cot_prc_min, cot_prc_max, cot_prc_med, cot_prc_mediana) VALUES ("&amp;B1002&amp;", "&amp;C1002&amp;", "&amp;D1002&amp;", "&amp;E1002&amp;", "&amp;F1002&amp;", "&amp;G1002&amp;", "&amp;H1002&amp;");"</f>
        <v>INSERT INTO COTACAO (blt_id, pap_id, cot_prc_comum, cot_prc_min, cot_prc_max, cot_prc_med, cot_prc_mediana) VALUES (27, 9, 24, 18, 18, 25, 21.8);</v>
      </c>
    </row>
    <row r="1003" customFormat="false" ht="14.25" hidden="false" customHeight="false" outlineLevel="0" collapsed="false">
      <c r="A1003" s="1" t="n">
        <v>1002</v>
      </c>
      <c r="B1003" s="1" t="n">
        <v>27</v>
      </c>
      <c r="C1003" s="1" t="n">
        <v>10</v>
      </c>
      <c r="D1003" s="16" t="n">
        <f aca="false">IF('Boletins Nuppa Site'!G1003&lt;&gt;0,'Boletins Nuppa Site'!G1003,"NULL")</f>
        <v>72</v>
      </c>
      <c r="E1003" s="16" t="n">
        <f aca="false">IF('Boletins Nuppa Site'!H1003&lt;&gt;0,'Boletins Nuppa Site'!H1003,"NULL")</f>
        <v>60</v>
      </c>
      <c r="F1003" s="16" t="n">
        <f aca="false">IF('Boletins Nuppa Site'!I1003&lt;&gt;0,'Boletins Nuppa Site'!I1003,"NULL")</f>
        <v>60</v>
      </c>
      <c r="G1003" s="16" t="n">
        <f aca="false">IF('Boletins Nuppa Site'!J1003&lt;&gt;0,'Boletins Nuppa Site'!J1003,"NULL")</f>
        <v>84</v>
      </c>
      <c r="H1003" s="16" t="n">
        <f aca="false">IF('Boletins Nuppa Site'!K1003&lt;&gt;0,'Boletins Nuppa Site'!K1003,"NULL")</f>
        <v>72</v>
      </c>
      <c r="J1003" s="1" t="str">
        <f aca="false">"INSERT INTO COTACAO (blt_id, pap_id, cot_prc_comum, cot_prc_min, cot_prc_max, cot_prc_med, cot_prc_mediana) VALUES ("&amp;B1003&amp;", "&amp;C1003&amp;", "&amp;D1003&amp;", "&amp;E1003&amp;", "&amp;F1003&amp;", "&amp;G1003&amp;", "&amp;H1003&amp;");"</f>
        <v>INSERT INTO COTACAO (blt_id, pap_id, cot_prc_comum, cot_prc_min, cot_prc_max, cot_prc_med, cot_prc_mediana) VALUES (27, 10, 72, 60, 60, 84, 72);</v>
      </c>
    </row>
    <row r="1004" customFormat="false" ht="14.25" hidden="false" customHeight="false" outlineLevel="0" collapsed="false">
      <c r="A1004" s="1" t="n">
        <v>1003</v>
      </c>
      <c r="B1004" s="1" t="n">
        <v>27</v>
      </c>
      <c r="C1004" s="1" t="n">
        <v>11</v>
      </c>
      <c r="D1004" s="16" t="n">
        <f aca="false">IF('Boletins Nuppa Site'!G1004&lt;&gt;0,'Boletins Nuppa Site'!G1004,"NULL")</f>
        <v>30</v>
      </c>
      <c r="E1004" s="16" t="n">
        <f aca="false">IF('Boletins Nuppa Site'!H1004&lt;&gt;0,'Boletins Nuppa Site'!H1004,"NULL")</f>
        <v>24</v>
      </c>
      <c r="F1004" s="16" t="n">
        <f aca="false">IF('Boletins Nuppa Site'!I1004&lt;&gt;0,'Boletins Nuppa Site'!I1004,"NULL")</f>
        <v>18</v>
      </c>
      <c r="G1004" s="16" t="n">
        <f aca="false">IF('Boletins Nuppa Site'!J1004&lt;&gt;0,'Boletins Nuppa Site'!J1004,"NULL")</f>
        <v>24</v>
      </c>
      <c r="H1004" s="16" t="n">
        <f aca="false">IF('Boletins Nuppa Site'!K1004&lt;&gt;0,'Boletins Nuppa Site'!K1004,"NULL")</f>
        <v>22</v>
      </c>
      <c r="J1004" s="1" t="str">
        <f aca="false">"INSERT INTO COTACAO (blt_id, pap_id, cot_prc_comum, cot_prc_min, cot_prc_max, cot_prc_med, cot_prc_mediana) VALUES ("&amp;B1004&amp;", "&amp;C1004&amp;", "&amp;D1004&amp;", "&amp;E1004&amp;", "&amp;F1004&amp;", "&amp;G1004&amp;", "&amp;H1004&amp;");"</f>
        <v>INSERT INTO COTACAO (blt_id, pap_id, cot_prc_comum, cot_prc_min, cot_prc_max, cot_prc_med, cot_prc_mediana) VALUES (27, 11, 30, 24, 18, 24, 22);</v>
      </c>
    </row>
    <row r="1005" customFormat="false" ht="14.25" hidden="false" customHeight="false" outlineLevel="0" collapsed="false">
      <c r="A1005" s="1" t="n">
        <v>1004</v>
      </c>
      <c r="B1005" s="1" t="n">
        <v>27</v>
      </c>
      <c r="C1005" s="1" t="n">
        <v>12</v>
      </c>
      <c r="D1005" s="16" t="n">
        <f aca="false">IF('Boletins Nuppa Site'!G1005&lt;&gt;0,'Boletins Nuppa Site'!G1005,"NULL")</f>
        <v>60</v>
      </c>
      <c r="E1005" s="16" t="n">
        <f aca="false">IF('Boletins Nuppa Site'!H1005&lt;&gt;0,'Boletins Nuppa Site'!H1005,"NULL")</f>
        <v>60</v>
      </c>
      <c r="F1005" s="16" t="n">
        <f aca="false">IF('Boletins Nuppa Site'!I1005&lt;&gt;0,'Boletins Nuppa Site'!I1005,"NULL")</f>
        <v>60</v>
      </c>
      <c r="G1005" s="16" t="n">
        <f aca="false">IF('Boletins Nuppa Site'!J1005&lt;&gt;0,'Boletins Nuppa Site'!J1005,"NULL")</f>
        <v>72</v>
      </c>
      <c r="H1005" s="16" t="n">
        <f aca="false">IF('Boletins Nuppa Site'!K1005&lt;&gt;0,'Boletins Nuppa Site'!K1005,"NULL")</f>
        <v>66</v>
      </c>
      <c r="J1005" s="1" t="str">
        <f aca="false">"INSERT INTO COTACAO (blt_id, pap_id, cot_prc_comum, cot_prc_min, cot_prc_max, cot_prc_med, cot_prc_mediana) VALUES ("&amp;B1005&amp;", "&amp;C1005&amp;", "&amp;D1005&amp;", "&amp;E1005&amp;", "&amp;F1005&amp;", "&amp;G1005&amp;", "&amp;H1005&amp;");"</f>
        <v>INSERT INTO COTACAO (blt_id, pap_id, cot_prc_comum, cot_prc_min, cot_prc_max, cot_prc_med, cot_prc_mediana) VALUES (27, 12, 60, 60, 60, 72, 66);</v>
      </c>
    </row>
    <row r="1006" customFormat="false" ht="14.25" hidden="false" customHeight="false" outlineLevel="0" collapsed="false">
      <c r="A1006" s="1" t="n">
        <v>1005</v>
      </c>
      <c r="B1006" s="1" t="n">
        <v>27</v>
      </c>
      <c r="C1006" s="1" t="n">
        <v>13</v>
      </c>
      <c r="D1006" s="16" t="n">
        <f aca="false">IF('Boletins Nuppa Site'!G1006&lt;&gt;0,'Boletins Nuppa Site'!G1006,"NULL")</f>
        <v>60</v>
      </c>
      <c r="E1006" s="16" t="n">
        <f aca="false">IF('Boletins Nuppa Site'!H1006&lt;&gt;0,'Boletins Nuppa Site'!H1006,"NULL")</f>
        <v>60</v>
      </c>
      <c r="F1006" s="16" t="n">
        <f aca="false">IF('Boletins Nuppa Site'!I1006&lt;&gt;0,'Boletins Nuppa Site'!I1006,"NULL")</f>
        <v>48</v>
      </c>
      <c r="G1006" s="16" t="n">
        <f aca="false">IF('Boletins Nuppa Site'!J1006&lt;&gt;0,'Boletins Nuppa Site'!J1006,"NULL")</f>
        <v>60</v>
      </c>
      <c r="H1006" s="1" t="str">
        <f aca="false">IF('Boletins Nuppa Site'!K1006&lt;&gt;0,'Boletins Nuppa Site'!K1006,"NULL")</f>
        <v>55.2</v>
      </c>
      <c r="J1006" s="1" t="str">
        <f aca="false">"INSERT INTO COTACAO (blt_id, pap_id, cot_prc_comum, cot_prc_min, cot_prc_max, cot_prc_med, cot_prc_mediana) VALUES ("&amp;B1006&amp;", "&amp;C1006&amp;", "&amp;D1006&amp;", "&amp;E1006&amp;", "&amp;F1006&amp;", "&amp;G1006&amp;", "&amp;H1006&amp;");"</f>
        <v>INSERT INTO COTACAO (blt_id, pap_id, cot_prc_comum, cot_prc_min, cot_prc_max, cot_prc_med, cot_prc_mediana) VALUES (27, 13, 60, 60, 48, 60, 55.2);</v>
      </c>
    </row>
    <row r="1007" customFormat="false" ht="14.25" hidden="false" customHeight="false" outlineLevel="0" collapsed="false">
      <c r="A1007" s="1" t="n">
        <v>1006</v>
      </c>
      <c r="B1007" s="1" t="n">
        <v>27</v>
      </c>
      <c r="C1007" s="1" t="n">
        <v>14</v>
      </c>
      <c r="D1007" s="16" t="n">
        <f aca="false">IF('Boletins Nuppa Site'!G1007&lt;&gt;0,'Boletins Nuppa Site'!G1007,"NULL")</f>
        <v>60</v>
      </c>
      <c r="E1007" s="1" t="str">
        <f aca="false">IF('Boletins Nuppa Site'!H1007&lt;&gt;0,'Boletins Nuppa Site'!H1007,"NULL")</f>
        <v>NULL</v>
      </c>
      <c r="F1007" s="16" t="n">
        <f aca="false">IF('Boletins Nuppa Site'!I1007&lt;&gt;0,'Boletins Nuppa Site'!I1007,"NULL")</f>
        <v>48</v>
      </c>
      <c r="G1007" s="16" t="n">
        <f aca="false">IF('Boletins Nuppa Site'!J1007&lt;&gt;0,'Boletins Nuppa Site'!J1007,"NULL")</f>
        <v>78</v>
      </c>
      <c r="H1007" s="16" t="n">
        <f aca="false">IF('Boletins Nuppa Site'!K1007&lt;&gt;0,'Boletins Nuppa Site'!K1007,"NULL")</f>
        <v>59</v>
      </c>
      <c r="J1007" s="1" t="str">
        <f aca="false">"INSERT INTO COTACAO (blt_id, pap_id, cot_prc_comum, cot_prc_min, cot_prc_max, cot_prc_med, cot_prc_mediana) VALUES ("&amp;B1007&amp;", "&amp;C1007&amp;", "&amp;D1007&amp;", "&amp;E1007&amp;", "&amp;F1007&amp;", "&amp;G1007&amp;", "&amp;H1007&amp;");"</f>
        <v>INSERT INTO COTACAO (blt_id, pap_id, cot_prc_comum, cot_prc_min, cot_prc_max, cot_prc_med, cot_prc_mediana) VALUES (27, 14, 60, NULL, 48, 78, 59);</v>
      </c>
    </row>
    <row r="1008" customFormat="false" ht="14.25" hidden="false" customHeight="false" outlineLevel="0" collapsed="false">
      <c r="A1008" s="1" t="n">
        <v>1007</v>
      </c>
      <c r="B1008" s="1" t="n">
        <v>27</v>
      </c>
      <c r="C1008" s="1" t="n">
        <v>15</v>
      </c>
      <c r="D1008" s="16" t="n">
        <f aca="false">IF('Boletins Nuppa Site'!G1008&lt;&gt;0,'Boletins Nuppa Site'!G1008,"NULL")</f>
        <v>48</v>
      </c>
      <c r="E1008" s="16" t="n">
        <f aca="false">IF('Boletins Nuppa Site'!H1008&lt;&gt;0,'Boletins Nuppa Site'!H1008,"NULL")</f>
        <v>48</v>
      </c>
      <c r="F1008" s="16" t="n">
        <f aca="false">IF('Boletins Nuppa Site'!I1008&lt;&gt;0,'Boletins Nuppa Site'!I1008,"NULL")</f>
        <v>36</v>
      </c>
      <c r="G1008" s="16" t="n">
        <f aca="false">IF('Boletins Nuppa Site'!J1008&lt;&gt;0,'Boletins Nuppa Site'!J1008,"NULL")</f>
        <v>48</v>
      </c>
      <c r="H1008" s="1" t="str">
        <f aca="false">IF('Boletins Nuppa Site'!K1008&lt;&gt;0,'Boletins Nuppa Site'!K1008,"NULL")</f>
        <v>41.6</v>
      </c>
      <c r="J1008" s="1" t="str">
        <f aca="false">"INSERT INTO COTACAO (blt_id, pap_id, cot_prc_comum, cot_prc_min, cot_prc_max, cot_prc_med, cot_prc_mediana) VALUES ("&amp;B1008&amp;", "&amp;C1008&amp;", "&amp;D1008&amp;", "&amp;E1008&amp;", "&amp;F1008&amp;", "&amp;G1008&amp;", "&amp;H1008&amp;");"</f>
        <v>INSERT INTO COTACAO (blt_id, pap_id, cot_prc_comum, cot_prc_min, cot_prc_max, cot_prc_med, cot_prc_mediana) VALUES (27, 15, 48, 48, 36, 48, 41.6);</v>
      </c>
    </row>
    <row r="1009" customFormat="false" ht="14.25" hidden="false" customHeight="false" outlineLevel="0" collapsed="false">
      <c r="A1009" s="1" t="n">
        <v>1008</v>
      </c>
      <c r="B1009" s="1" t="n">
        <v>27</v>
      </c>
      <c r="C1009" s="1" t="n">
        <v>16</v>
      </c>
      <c r="D1009" s="16" t="n">
        <f aca="false">IF('Boletins Nuppa Site'!G1009&lt;&gt;0,'Boletins Nuppa Site'!G1009,"NULL")</f>
        <v>54</v>
      </c>
      <c r="E1009" s="16" t="n">
        <f aca="false">IF('Boletins Nuppa Site'!H1009&lt;&gt;0,'Boletins Nuppa Site'!H1009,"NULL")</f>
        <v>48</v>
      </c>
      <c r="F1009" s="16" t="n">
        <f aca="false">IF('Boletins Nuppa Site'!I1009&lt;&gt;0,'Boletins Nuppa Site'!I1009,"NULL")</f>
        <v>48</v>
      </c>
      <c r="G1009" s="16" t="n">
        <f aca="false">IF('Boletins Nuppa Site'!J1009&lt;&gt;0,'Boletins Nuppa Site'!J1009,"NULL")</f>
        <v>54</v>
      </c>
      <c r="H1009" s="1" t="str">
        <f aca="false">IF('Boletins Nuppa Site'!K1009&lt;&gt;0,'Boletins Nuppa Site'!K1009,"NULL")</f>
        <v>50.4</v>
      </c>
      <c r="J1009" s="1" t="str">
        <f aca="false">"INSERT INTO COTACAO (blt_id, pap_id, cot_prc_comum, cot_prc_min, cot_prc_max, cot_prc_med, cot_prc_mediana) VALUES ("&amp;B1009&amp;", "&amp;C1009&amp;", "&amp;D1009&amp;", "&amp;E1009&amp;", "&amp;F1009&amp;", "&amp;G1009&amp;", "&amp;H1009&amp;");"</f>
        <v>INSERT INTO COTACAO (blt_id, pap_id, cot_prc_comum, cot_prc_min, cot_prc_max, cot_prc_med, cot_prc_mediana) VALUES (27, 16, 54, 48, 48, 54, 50.4);</v>
      </c>
    </row>
    <row r="1010" customFormat="false" ht="14.25" hidden="false" customHeight="false" outlineLevel="0" collapsed="false">
      <c r="A1010" s="1" t="n">
        <v>1009</v>
      </c>
      <c r="B1010" s="1" t="n">
        <v>27</v>
      </c>
      <c r="C1010" s="1" t="n">
        <v>17</v>
      </c>
      <c r="D1010" s="16" t="n">
        <f aca="false">IF('Boletins Nuppa Site'!G1010&lt;&gt;0,'Boletins Nuppa Site'!G1010,"NULL")</f>
        <v>5</v>
      </c>
      <c r="E1010" s="16" t="n">
        <f aca="false">IF('Boletins Nuppa Site'!H1010&lt;&gt;0,'Boletins Nuppa Site'!H1010,"NULL")</f>
        <v>4</v>
      </c>
      <c r="F1010" s="16" t="n">
        <f aca="false">IF('Boletins Nuppa Site'!I1010&lt;&gt;0,'Boletins Nuppa Site'!I1010,"NULL")</f>
        <v>5</v>
      </c>
      <c r="G1010" s="1" t="str">
        <f aca="false">IF('Boletins Nuppa Site'!J1010&lt;&gt;0,'Boletins Nuppa Site'!J1010,"NULL")</f>
        <v>4.8</v>
      </c>
      <c r="H1010" s="16" t="n">
        <f aca="false">IF('Boletins Nuppa Site'!K1010&lt;&gt;0,'Boletins Nuppa Site'!K1010,"NULL")</f>
        <v>5</v>
      </c>
      <c r="J1010" s="1" t="str">
        <f aca="false">"INSERT INTO COTACAO (blt_id, pap_id, cot_prc_comum, cot_prc_min, cot_prc_max, cot_prc_med, cot_prc_mediana) VALUES ("&amp;B1010&amp;", "&amp;C1010&amp;", "&amp;D1010&amp;", "&amp;E1010&amp;", "&amp;F1010&amp;", "&amp;G1010&amp;", "&amp;H1010&amp;");"</f>
        <v>INSERT INTO COTACAO (blt_id, pap_id, cot_prc_comum, cot_prc_min, cot_prc_max, cot_prc_med, cot_prc_mediana) VALUES (27, 17, 5, 4, 5, 4.8, 5);</v>
      </c>
    </row>
    <row r="1011" customFormat="false" ht="14.25" hidden="false" customHeight="false" outlineLevel="0" collapsed="false">
      <c r="A1011" s="1" t="n">
        <v>1010</v>
      </c>
      <c r="B1011" s="1" t="n">
        <v>27</v>
      </c>
      <c r="C1011" s="1" t="n">
        <v>18</v>
      </c>
      <c r="D1011" s="16" t="n">
        <f aca="false">IF('Boletins Nuppa Site'!G1011&lt;&gt;0,'Boletins Nuppa Site'!G1011,"NULL")</f>
        <v>12</v>
      </c>
      <c r="E1011" s="16" t="n">
        <f aca="false">IF('Boletins Nuppa Site'!H1011&lt;&gt;0,'Boletins Nuppa Site'!H1011,"NULL")</f>
        <v>10</v>
      </c>
      <c r="F1011" s="16" t="n">
        <f aca="false">IF('Boletins Nuppa Site'!I1011&lt;&gt;0,'Boletins Nuppa Site'!I1011,"NULL")</f>
        <v>12</v>
      </c>
      <c r="G1011" s="1" t="str">
        <f aca="false">IF('Boletins Nuppa Site'!J1011&lt;&gt;0,'Boletins Nuppa Site'!J1011,"NULL")</f>
        <v>11.2</v>
      </c>
      <c r="H1011" s="16" t="n">
        <f aca="false">IF('Boletins Nuppa Site'!K1011&lt;&gt;0,'Boletins Nuppa Site'!K1011,"NULL")</f>
        <v>12</v>
      </c>
      <c r="J1011" s="1" t="str">
        <f aca="false">"INSERT INTO COTACAO (blt_id, pap_id, cot_prc_comum, cot_prc_min, cot_prc_max, cot_prc_med, cot_prc_mediana) VALUES ("&amp;B1011&amp;", "&amp;C1011&amp;", "&amp;D1011&amp;", "&amp;E1011&amp;", "&amp;F1011&amp;", "&amp;G1011&amp;", "&amp;H1011&amp;");"</f>
        <v>INSERT INTO COTACAO (blt_id, pap_id, cot_prc_comum, cot_prc_min, cot_prc_max, cot_prc_med, cot_prc_mediana) VALUES (27, 18, 12, 10, 12, 11.2, 12);</v>
      </c>
    </row>
    <row r="1012" customFormat="false" ht="14.25" hidden="false" customHeight="false" outlineLevel="0" collapsed="false">
      <c r="A1012" s="1" t="n">
        <v>1011</v>
      </c>
      <c r="B1012" s="1" t="n">
        <v>27</v>
      </c>
      <c r="C1012" s="1" t="n">
        <v>19</v>
      </c>
      <c r="D1012" s="16" t="n">
        <f aca="false">IF('Boletins Nuppa Site'!G1012&lt;&gt;0,'Boletins Nuppa Site'!G1012,"NULL")</f>
        <v>20</v>
      </c>
      <c r="E1012" s="16" t="n">
        <f aca="false">IF('Boletins Nuppa Site'!H1012&lt;&gt;0,'Boletins Nuppa Site'!H1012,"NULL")</f>
        <v>20</v>
      </c>
      <c r="F1012" s="16" t="n">
        <f aca="false">IF('Boletins Nuppa Site'!I1012&lt;&gt;0,'Boletins Nuppa Site'!I1012,"NULL")</f>
        <v>30</v>
      </c>
      <c r="G1012" s="16" t="n">
        <f aca="false">IF('Boletins Nuppa Site'!J1012&lt;&gt;0,'Boletins Nuppa Site'!J1012,"NULL")</f>
        <v>24</v>
      </c>
      <c r="H1012" s="16" t="n">
        <f aca="false">IF('Boletins Nuppa Site'!K1012&lt;&gt;0,'Boletins Nuppa Site'!K1012,"NULL")</f>
        <v>20</v>
      </c>
      <c r="J1012" s="1" t="str">
        <f aca="false">"INSERT INTO COTACAO (blt_id, pap_id, cot_prc_comum, cot_prc_min, cot_prc_max, cot_prc_med, cot_prc_mediana) VALUES ("&amp;B1012&amp;", "&amp;C1012&amp;", "&amp;D1012&amp;", "&amp;E1012&amp;", "&amp;F1012&amp;", "&amp;G1012&amp;", "&amp;H1012&amp;");"</f>
        <v>INSERT INTO COTACAO (blt_id, pap_id, cot_prc_comum, cot_prc_min, cot_prc_max, cot_prc_med, cot_prc_mediana) VALUES (27, 19, 20, 20, 30, 24, 20);</v>
      </c>
    </row>
    <row r="1013" customFormat="false" ht="14.25" hidden="false" customHeight="false" outlineLevel="0" collapsed="false">
      <c r="A1013" s="1" t="n">
        <v>1012</v>
      </c>
      <c r="B1013" s="1" t="n">
        <v>27</v>
      </c>
      <c r="C1013" s="1" t="n">
        <v>20</v>
      </c>
      <c r="D1013" s="1" t="str">
        <f aca="false">IF('Boletins Nuppa Site'!G1013&lt;&gt;0,'Boletins Nuppa Site'!G1013,"NULL")</f>
        <v>NULL</v>
      </c>
      <c r="E1013" s="16" t="n">
        <f aca="false">IF('Boletins Nuppa Site'!H1013&lt;&gt;0,'Boletins Nuppa Site'!H1013,"NULL")</f>
        <v>80</v>
      </c>
      <c r="F1013" s="16" t="n">
        <f aca="false">IF('Boletins Nuppa Site'!I1013&lt;&gt;0,'Boletins Nuppa Site'!I1013,"NULL")</f>
        <v>80</v>
      </c>
      <c r="G1013" s="16" t="n">
        <f aca="false">IF('Boletins Nuppa Site'!J1013&lt;&gt;0,'Boletins Nuppa Site'!J1013,"NULL")</f>
        <v>80</v>
      </c>
      <c r="H1013" s="16" t="n">
        <f aca="false">IF('Boletins Nuppa Site'!K1013&lt;&gt;0,'Boletins Nuppa Site'!K1013,"NULL")</f>
        <v>80</v>
      </c>
      <c r="J1013" s="1" t="str">
        <f aca="false">"INSERT INTO COTACAO (blt_id, pap_id, cot_prc_comum, cot_prc_min, cot_prc_max, cot_prc_med, cot_prc_mediana) VALUES ("&amp;B1013&amp;", "&amp;C1013&amp;", "&amp;D1013&amp;", "&amp;E1013&amp;", "&amp;F1013&amp;", "&amp;G1013&amp;", "&amp;H1013&amp;");"</f>
        <v>INSERT INTO COTACAO (blt_id, pap_id, cot_prc_comum, cot_prc_min, cot_prc_max, cot_prc_med, cot_prc_mediana) VALUES (27, 20, NULL, 80, 80, 80, 80);</v>
      </c>
    </row>
    <row r="1014" customFormat="false" ht="14.25" hidden="false" customHeight="false" outlineLevel="0" collapsed="false">
      <c r="A1014" s="1" t="n">
        <v>1013</v>
      </c>
      <c r="B1014" s="1" t="n">
        <v>27</v>
      </c>
      <c r="C1014" s="1" t="n">
        <v>21</v>
      </c>
      <c r="D1014" s="16" t="n">
        <f aca="false">IF('Boletins Nuppa Site'!G1014&lt;&gt;0,'Boletins Nuppa Site'!G1014,"NULL")</f>
        <v>60</v>
      </c>
      <c r="E1014" s="16" t="n">
        <f aca="false">IF('Boletins Nuppa Site'!H1014&lt;&gt;0,'Boletins Nuppa Site'!H1014,"NULL")</f>
        <v>40</v>
      </c>
      <c r="F1014" s="16" t="n">
        <f aca="false">IF('Boletins Nuppa Site'!I1014&lt;&gt;0,'Boletins Nuppa Site'!I1014,"NULL")</f>
        <v>75</v>
      </c>
      <c r="G1014" s="1" t="str">
        <f aca="false">IF('Boletins Nuppa Site'!J1014&lt;&gt;0,'Boletins Nuppa Site'!J1014,"NULL")</f>
        <v>58.33</v>
      </c>
      <c r="H1014" s="16" t="n">
        <f aca="false">IF('Boletins Nuppa Site'!K1014&lt;&gt;0,'Boletins Nuppa Site'!K1014,"NULL")</f>
        <v>60</v>
      </c>
      <c r="J1014" s="1" t="str">
        <f aca="false">"INSERT INTO COTACAO (blt_id, pap_id, cot_prc_comum, cot_prc_min, cot_prc_max, cot_prc_med, cot_prc_mediana) VALUES ("&amp;B1014&amp;", "&amp;C1014&amp;", "&amp;D1014&amp;", "&amp;E1014&amp;", "&amp;F1014&amp;", "&amp;G1014&amp;", "&amp;H1014&amp;");"</f>
        <v>INSERT INTO COTACAO (blt_id, pap_id, cot_prc_comum, cot_prc_min, cot_prc_max, cot_prc_med, cot_prc_mediana) VALUES (27, 21, 60, 40, 75, 58.33, 60);</v>
      </c>
    </row>
    <row r="1015" customFormat="false" ht="14.25" hidden="false" customHeight="false" outlineLevel="0" collapsed="false">
      <c r="A1015" s="1" t="n">
        <v>1014</v>
      </c>
      <c r="B1015" s="1" t="n">
        <v>27</v>
      </c>
      <c r="C1015" s="1" t="n">
        <v>22</v>
      </c>
      <c r="D1015" s="16" t="n">
        <f aca="false">IF('Boletins Nuppa Site'!G1015&lt;&gt;0,'Boletins Nuppa Site'!G1015,"NULL")</f>
        <v>70</v>
      </c>
      <c r="E1015" s="16" t="n">
        <f aca="false">IF('Boletins Nuppa Site'!H1015&lt;&gt;0,'Boletins Nuppa Site'!H1015,"NULL")</f>
        <v>45</v>
      </c>
      <c r="F1015" s="16" t="n">
        <f aca="false">IF('Boletins Nuppa Site'!I1015&lt;&gt;0,'Boletins Nuppa Site'!I1015,"NULL")</f>
        <v>75</v>
      </c>
      <c r="G1015" s="1" t="str">
        <f aca="false">IF('Boletins Nuppa Site'!J1015&lt;&gt;0,'Boletins Nuppa Site'!J1015,"NULL")</f>
        <v>61.67</v>
      </c>
      <c r="H1015" s="16" t="n">
        <f aca="false">IF('Boletins Nuppa Site'!K1015&lt;&gt;0,'Boletins Nuppa Site'!K1015,"NULL")</f>
        <v>65</v>
      </c>
      <c r="J1015" s="1" t="str">
        <f aca="false">"INSERT INTO COTACAO (blt_id, pap_id, cot_prc_comum, cot_prc_min, cot_prc_max, cot_prc_med, cot_prc_mediana) VALUES ("&amp;B1015&amp;", "&amp;C1015&amp;", "&amp;D1015&amp;", "&amp;E1015&amp;", "&amp;F1015&amp;", "&amp;G1015&amp;", "&amp;H1015&amp;");"</f>
        <v>INSERT INTO COTACAO (blt_id, pap_id, cot_prc_comum, cot_prc_min, cot_prc_max, cot_prc_med, cot_prc_mediana) VALUES (27, 22, 70, 45, 75, 61.67, 65);</v>
      </c>
    </row>
    <row r="1016" customFormat="false" ht="14.25" hidden="false" customHeight="false" outlineLevel="0" collapsed="false">
      <c r="A1016" s="1" t="n">
        <v>1015</v>
      </c>
      <c r="B1016" s="1" t="n">
        <v>27</v>
      </c>
      <c r="C1016" s="1" t="n">
        <v>23</v>
      </c>
      <c r="D1016" s="16" t="n">
        <f aca="false">IF('Boletins Nuppa Site'!G1016&lt;&gt;0,'Boletins Nuppa Site'!G1016,"NULL")</f>
        <v>40</v>
      </c>
      <c r="E1016" s="16" t="n">
        <f aca="false">IF('Boletins Nuppa Site'!H1016&lt;&gt;0,'Boletins Nuppa Site'!H1016,"NULL")</f>
        <v>40</v>
      </c>
      <c r="F1016" s="16" t="n">
        <f aca="false">IF('Boletins Nuppa Site'!I1016&lt;&gt;0,'Boletins Nuppa Site'!I1016,"NULL")</f>
        <v>50</v>
      </c>
      <c r="G1016" s="1" t="str">
        <f aca="false">IF('Boletins Nuppa Site'!J1016&lt;&gt;0,'Boletins Nuppa Site'!J1016,"NULL")</f>
        <v>43.75</v>
      </c>
      <c r="H1016" s="1" t="str">
        <f aca="false">IF('Boletins Nuppa Site'!K1016&lt;&gt;0,'Boletins Nuppa Site'!K1016,"NULL")</f>
        <v>42.5</v>
      </c>
      <c r="J1016" s="1" t="str">
        <f aca="false">"INSERT INTO COTACAO (blt_id, pap_id, cot_prc_comum, cot_prc_min, cot_prc_max, cot_prc_med, cot_prc_mediana) VALUES ("&amp;B1016&amp;", "&amp;C1016&amp;", "&amp;D1016&amp;", "&amp;E1016&amp;", "&amp;F1016&amp;", "&amp;G1016&amp;", "&amp;H1016&amp;");"</f>
        <v>INSERT INTO COTACAO (blt_id, pap_id, cot_prc_comum, cot_prc_min, cot_prc_max, cot_prc_med, cot_prc_mediana) VALUES (27, 23, 40, 40, 50, 43.75, 42.5);</v>
      </c>
    </row>
    <row r="1017" customFormat="false" ht="14.25" hidden="false" customHeight="false" outlineLevel="0" collapsed="false">
      <c r="A1017" s="1" t="n">
        <v>1016</v>
      </c>
      <c r="B1017" s="1" t="n">
        <v>27</v>
      </c>
      <c r="C1017" s="1" t="n">
        <v>24</v>
      </c>
      <c r="D1017" s="1" t="str">
        <f aca="false">IF('Boletins Nuppa Site'!G1017&lt;&gt;0,'Boletins Nuppa Site'!G1017,"NULL")</f>
        <v>NULL</v>
      </c>
      <c r="E1017" s="16" t="n">
        <f aca="false">IF('Boletins Nuppa Site'!H1017&lt;&gt;0,'Boletins Nuppa Site'!H1017,"NULL")</f>
        <v>90</v>
      </c>
      <c r="F1017" s="16" t="n">
        <f aca="false">IF('Boletins Nuppa Site'!I1017&lt;&gt;0,'Boletins Nuppa Site'!I1017,"NULL")</f>
        <v>105</v>
      </c>
      <c r="G1017" s="1" t="str">
        <f aca="false">IF('Boletins Nuppa Site'!J1017&lt;&gt;0,'Boletins Nuppa Site'!J1017,"NULL")</f>
        <v>97.5</v>
      </c>
      <c r="H1017" s="1" t="str">
        <f aca="false">IF('Boletins Nuppa Site'!K1017&lt;&gt;0,'Boletins Nuppa Site'!K1017,"NULL")</f>
        <v>97.5</v>
      </c>
      <c r="J1017" s="1" t="str">
        <f aca="false">"INSERT INTO COTACAO (blt_id, pap_id, cot_prc_comum, cot_prc_min, cot_prc_max, cot_prc_med, cot_prc_mediana) VALUES ("&amp;B1017&amp;", "&amp;C1017&amp;", "&amp;D1017&amp;", "&amp;E1017&amp;", "&amp;F1017&amp;", "&amp;G1017&amp;", "&amp;H1017&amp;");"</f>
        <v>INSERT INTO COTACAO (blt_id, pap_id, cot_prc_comum, cot_prc_min, cot_prc_max, cot_prc_med, cot_prc_mediana) VALUES (27, 24, NULL, 90, 105, 97.5, 97.5);</v>
      </c>
    </row>
    <row r="1018" customFormat="false" ht="14.25" hidden="false" customHeight="false" outlineLevel="0" collapsed="false">
      <c r="A1018" s="1" t="n">
        <v>1017</v>
      </c>
      <c r="B1018" s="1" t="n">
        <v>27</v>
      </c>
      <c r="C1018" s="1" t="n">
        <v>25</v>
      </c>
      <c r="D1018" s="16" t="n">
        <f aca="false">IF('Boletins Nuppa Site'!G1018&lt;&gt;0,'Boletins Nuppa Site'!G1018,"NULL")</f>
        <v>55</v>
      </c>
      <c r="E1018" s="16" t="n">
        <f aca="false">IF('Boletins Nuppa Site'!H1018&lt;&gt;0,'Boletins Nuppa Site'!H1018,"NULL")</f>
        <v>55</v>
      </c>
      <c r="F1018" s="16" t="n">
        <f aca="false">IF('Boletins Nuppa Site'!I1018&lt;&gt;0,'Boletins Nuppa Site'!I1018,"NULL")</f>
        <v>60</v>
      </c>
      <c r="G1018" s="1" t="str">
        <f aca="false">IF('Boletins Nuppa Site'!J1018&lt;&gt;0,'Boletins Nuppa Site'!J1018,"NULL")</f>
        <v>56.67</v>
      </c>
      <c r="H1018" s="16" t="n">
        <f aca="false">IF('Boletins Nuppa Site'!K1018&lt;&gt;0,'Boletins Nuppa Site'!K1018,"NULL")</f>
        <v>55</v>
      </c>
      <c r="J1018" s="1" t="str">
        <f aca="false">"INSERT INTO COTACAO (blt_id, pap_id, cot_prc_comum, cot_prc_min, cot_prc_max, cot_prc_med, cot_prc_mediana) VALUES ("&amp;B1018&amp;", "&amp;C1018&amp;", "&amp;D1018&amp;", "&amp;E1018&amp;", "&amp;F1018&amp;", "&amp;G1018&amp;", "&amp;H1018&amp;");"</f>
        <v>INSERT INTO COTACAO (blt_id, pap_id, cot_prc_comum, cot_prc_min, cot_prc_max, cot_prc_med, cot_prc_mediana) VALUES (27, 25, 55, 55, 60, 56.67, 55);</v>
      </c>
    </row>
    <row r="1019" customFormat="false" ht="14.25" hidden="false" customHeight="false" outlineLevel="0" collapsed="false">
      <c r="A1019" s="1" t="n">
        <v>1018</v>
      </c>
      <c r="B1019" s="1" t="n">
        <v>27</v>
      </c>
      <c r="C1019" s="1" t="n">
        <v>26</v>
      </c>
      <c r="D1019" s="16" t="n">
        <f aca="false">IF('Boletins Nuppa Site'!G1019&lt;&gt;0,'Boletins Nuppa Site'!G1019,"NULL")</f>
        <v>60</v>
      </c>
      <c r="E1019" s="16" t="n">
        <f aca="false">IF('Boletins Nuppa Site'!H1019&lt;&gt;0,'Boletins Nuppa Site'!H1019,"NULL")</f>
        <v>45</v>
      </c>
      <c r="F1019" s="16" t="n">
        <f aca="false">IF('Boletins Nuppa Site'!I1019&lt;&gt;0,'Boletins Nuppa Site'!I1019,"NULL")</f>
        <v>60</v>
      </c>
      <c r="G1019" s="1" t="str">
        <f aca="false">IF('Boletins Nuppa Site'!J1019&lt;&gt;0,'Boletins Nuppa Site'!J1019,"NULL")</f>
        <v>53.33</v>
      </c>
      <c r="H1019" s="16" t="n">
        <f aca="false">IF('Boletins Nuppa Site'!K1019&lt;&gt;0,'Boletins Nuppa Site'!K1019,"NULL")</f>
        <v>55</v>
      </c>
      <c r="J1019" s="1" t="str">
        <f aca="false">"INSERT INTO COTACAO (blt_id, pap_id, cot_prc_comum, cot_prc_min, cot_prc_max, cot_prc_med, cot_prc_mediana) VALUES ("&amp;B1019&amp;", "&amp;C1019&amp;", "&amp;D1019&amp;", "&amp;E1019&amp;", "&amp;F1019&amp;", "&amp;G1019&amp;", "&amp;H1019&amp;");"</f>
        <v>INSERT INTO COTACAO (blt_id, pap_id, cot_prc_comum, cot_prc_min, cot_prc_max, cot_prc_med, cot_prc_mediana) VALUES (27, 26, 60, 45, 60, 53.33, 55);</v>
      </c>
    </row>
    <row r="1020" customFormat="false" ht="14.25" hidden="false" customHeight="false" outlineLevel="0" collapsed="false">
      <c r="A1020" s="1" t="n">
        <v>1019</v>
      </c>
      <c r="B1020" s="1" t="n">
        <v>27</v>
      </c>
      <c r="C1020" s="1" t="n">
        <v>27</v>
      </c>
      <c r="D1020" s="16" t="n">
        <f aca="false">IF('Boletins Nuppa Site'!G1020&lt;&gt;0,'Boletins Nuppa Site'!G1020,"NULL")</f>
        <v>60</v>
      </c>
      <c r="E1020" s="16" t="n">
        <f aca="false">IF('Boletins Nuppa Site'!H1020&lt;&gt;0,'Boletins Nuppa Site'!H1020,"NULL")</f>
        <v>45</v>
      </c>
      <c r="F1020" s="16" t="n">
        <f aca="false">IF('Boletins Nuppa Site'!I1020&lt;&gt;0,'Boletins Nuppa Site'!I1020,"NULL")</f>
        <v>65</v>
      </c>
      <c r="G1020" s="1" t="str">
        <f aca="false">IF('Boletins Nuppa Site'!J1020&lt;&gt;0,'Boletins Nuppa Site'!J1020,"NULL")</f>
        <v>58.33</v>
      </c>
      <c r="H1020" s="16" t="n">
        <f aca="false">IF('Boletins Nuppa Site'!K1020&lt;&gt;0,'Boletins Nuppa Site'!K1020,"NULL")</f>
        <v>60</v>
      </c>
      <c r="J1020" s="1" t="str">
        <f aca="false">"INSERT INTO COTACAO (blt_id, pap_id, cot_prc_comum, cot_prc_min, cot_prc_max, cot_prc_med, cot_prc_mediana) VALUES ("&amp;B1020&amp;", "&amp;C1020&amp;", "&amp;D1020&amp;", "&amp;E1020&amp;", "&amp;F1020&amp;", "&amp;G1020&amp;", "&amp;H1020&amp;");"</f>
        <v>INSERT INTO COTACAO (blt_id, pap_id, cot_prc_comum, cot_prc_min, cot_prc_max, cot_prc_med, cot_prc_mediana) VALUES (27, 27, 60, 45, 65, 58.33, 60);</v>
      </c>
    </row>
    <row r="1021" customFormat="false" ht="14.25" hidden="false" customHeight="false" outlineLevel="0" collapsed="false">
      <c r="A1021" s="1" t="n">
        <v>1020</v>
      </c>
      <c r="B1021" s="1" t="n">
        <v>27</v>
      </c>
      <c r="C1021" s="1" t="n">
        <v>28</v>
      </c>
      <c r="D1021" s="16" t="n">
        <f aca="false">IF('Boletins Nuppa Site'!G1021&lt;&gt;0,'Boletins Nuppa Site'!G1021,"NULL")</f>
        <v>90</v>
      </c>
      <c r="E1021" s="16" t="n">
        <f aca="false">IF('Boletins Nuppa Site'!H1021&lt;&gt;0,'Boletins Nuppa Site'!H1021,"NULL")</f>
        <v>60</v>
      </c>
      <c r="F1021" s="16" t="n">
        <f aca="false">IF('Boletins Nuppa Site'!I1021&lt;&gt;0,'Boletins Nuppa Site'!I1021,"NULL")</f>
        <v>100</v>
      </c>
      <c r="G1021" s="16" t="n">
        <f aca="false">IF('Boletins Nuppa Site'!J1021&lt;&gt;0,'Boletins Nuppa Site'!J1021,"NULL")</f>
        <v>86</v>
      </c>
      <c r="H1021" s="16" t="n">
        <f aca="false">IF('Boletins Nuppa Site'!K1021&lt;&gt;0,'Boletins Nuppa Site'!K1021,"NULL")</f>
        <v>90</v>
      </c>
      <c r="J1021" s="1" t="str">
        <f aca="false">"INSERT INTO COTACAO (blt_id, pap_id, cot_prc_comum, cot_prc_min, cot_prc_max, cot_prc_med, cot_prc_mediana) VALUES ("&amp;B1021&amp;", "&amp;C1021&amp;", "&amp;D1021&amp;", "&amp;E1021&amp;", "&amp;F1021&amp;", "&amp;G1021&amp;", "&amp;H1021&amp;");"</f>
        <v>INSERT INTO COTACAO (blt_id, pap_id, cot_prc_comum, cot_prc_min, cot_prc_max, cot_prc_med, cot_prc_mediana) VALUES (27, 28, 90, 60, 100, 86, 90);</v>
      </c>
    </row>
    <row r="1022" customFormat="false" ht="14.25" hidden="false" customHeight="false" outlineLevel="0" collapsed="false">
      <c r="A1022" s="1" t="n">
        <v>1021</v>
      </c>
      <c r="B1022" s="1" t="n">
        <v>27</v>
      </c>
      <c r="C1022" s="1" t="n">
        <v>29</v>
      </c>
      <c r="D1022" s="16" t="n">
        <f aca="false">IF('Boletins Nuppa Site'!G1022&lt;&gt;0,'Boletins Nuppa Site'!G1022,"NULL")</f>
        <v>60</v>
      </c>
      <c r="E1022" s="16" t="n">
        <f aca="false">IF('Boletins Nuppa Site'!H1022&lt;&gt;0,'Boletins Nuppa Site'!H1022,"NULL")</f>
        <v>60</v>
      </c>
      <c r="F1022" s="16" t="n">
        <f aca="false">IF('Boletins Nuppa Site'!I1022&lt;&gt;0,'Boletins Nuppa Site'!I1022,"NULL")</f>
        <v>60</v>
      </c>
      <c r="G1022" s="16" t="n">
        <f aca="false">IF('Boletins Nuppa Site'!J1022&lt;&gt;0,'Boletins Nuppa Site'!J1022,"NULL")</f>
        <v>60</v>
      </c>
      <c r="H1022" s="16" t="n">
        <f aca="false">IF('Boletins Nuppa Site'!K1022&lt;&gt;0,'Boletins Nuppa Site'!K1022,"NULL")</f>
        <v>60</v>
      </c>
      <c r="J1022" s="1" t="str">
        <f aca="false">"INSERT INTO COTACAO (blt_id, pap_id, cot_prc_comum, cot_prc_min, cot_prc_max, cot_prc_med, cot_prc_mediana) VALUES ("&amp;B1022&amp;", "&amp;C1022&amp;", "&amp;D1022&amp;", "&amp;E1022&amp;", "&amp;F1022&amp;", "&amp;G1022&amp;", "&amp;H1022&amp;");"</f>
        <v>INSERT INTO COTACAO (blt_id, pap_id, cot_prc_comum, cot_prc_min, cot_prc_max, cot_prc_med, cot_prc_mediana) VALUES (27, 29, 60, 60, 60, 60, 60);</v>
      </c>
    </row>
    <row r="1023" customFormat="false" ht="14.25" hidden="false" customHeight="false" outlineLevel="0" collapsed="false">
      <c r="A1023" s="1" t="n">
        <v>1022</v>
      </c>
      <c r="B1023" s="1" t="n">
        <v>27</v>
      </c>
      <c r="C1023" s="1" t="n">
        <v>30</v>
      </c>
      <c r="D1023" s="16" t="n">
        <f aca="false">IF('Boletins Nuppa Site'!G1023&lt;&gt;0,'Boletins Nuppa Site'!G1023,"NULL")</f>
        <v>65</v>
      </c>
      <c r="E1023" s="16" t="n">
        <f aca="false">IF('Boletins Nuppa Site'!H1023&lt;&gt;0,'Boletins Nuppa Site'!H1023,"NULL")</f>
        <v>50</v>
      </c>
      <c r="F1023" s="16" t="n">
        <f aca="false">IF('Boletins Nuppa Site'!I1023&lt;&gt;0,'Boletins Nuppa Site'!I1023,"NULL")</f>
        <v>65</v>
      </c>
      <c r="G1023" s="16" t="n">
        <f aca="false">IF('Boletins Nuppa Site'!J1023&lt;&gt;0,'Boletins Nuppa Site'!J1023,"NULL")</f>
        <v>60</v>
      </c>
      <c r="H1023" s="1" t="str">
        <f aca="false">IF('Boletins Nuppa Site'!K1023&lt;&gt;0,'Boletins Nuppa Site'!K1023,"NULL")</f>
        <v>62.5</v>
      </c>
      <c r="J1023" s="1" t="str">
        <f aca="false">"INSERT INTO COTACAO (blt_id, pap_id, cot_prc_comum, cot_prc_min, cot_prc_max, cot_prc_med, cot_prc_mediana) VALUES ("&amp;B1023&amp;", "&amp;C1023&amp;", "&amp;D1023&amp;", "&amp;E1023&amp;", "&amp;F1023&amp;", "&amp;G1023&amp;", "&amp;H1023&amp;");"</f>
        <v>INSERT INTO COTACAO (blt_id, pap_id, cot_prc_comum, cot_prc_min, cot_prc_max, cot_prc_med, cot_prc_mediana) VALUES (27, 30, 65, 50, 65, 60, 62.5);</v>
      </c>
    </row>
    <row r="1024" customFormat="false" ht="14.25" hidden="false" customHeight="false" outlineLevel="0" collapsed="false">
      <c r="A1024" s="1" t="n">
        <v>1023</v>
      </c>
      <c r="B1024" s="1" t="n">
        <v>27</v>
      </c>
      <c r="C1024" s="1" t="n">
        <v>31</v>
      </c>
      <c r="D1024" s="16" t="n">
        <f aca="false">IF('Boletins Nuppa Site'!G1024&lt;&gt;0,'Boletins Nuppa Site'!G1024,"NULL")</f>
        <v>90</v>
      </c>
      <c r="E1024" s="16" t="n">
        <f aca="false">IF('Boletins Nuppa Site'!H1024&lt;&gt;0,'Boletins Nuppa Site'!H1024,"NULL")</f>
        <v>50</v>
      </c>
      <c r="F1024" s="16" t="n">
        <f aca="false">IF('Boletins Nuppa Site'!I1024&lt;&gt;0,'Boletins Nuppa Site'!I1024,"NULL")</f>
        <v>90</v>
      </c>
      <c r="G1024" s="1" t="str">
        <f aca="false">IF('Boletins Nuppa Site'!J1024&lt;&gt;0,'Boletins Nuppa Site'!J1024,"NULL")</f>
        <v>76.67</v>
      </c>
      <c r="H1024" s="16" t="n">
        <f aca="false">IF('Boletins Nuppa Site'!K1024&lt;&gt;0,'Boletins Nuppa Site'!K1024,"NULL")</f>
        <v>80</v>
      </c>
      <c r="J1024" s="1" t="str">
        <f aca="false">"INSERT INTO COTACAO (blt_id, pap_id, cot_prc_comum, cot_prc_min, cot_prc_max, cot_prc_med, cot_prc_mediana) VALUES ("&amp;B1024&amp;", "&amp;C1024&amp;", "&amp;D1024&amp;", "&amp;E1024&amp;", "&amp;F1024&amp;", "&amp;G1024&amp;", "&amp;H1024&amp;");"</f>
        <v>INSERT INTO COTACAO (blt_id, pap_id, cot_prc_comum, cot_prc_min, cot_prc_max, cot_prc_med, cot_prc_mediana) VALUES (27, 31, 90, 50, 90, 76.67, 80);</v>
      </c>
    </row>
    <row r="1025" customFormat="false" ht="14.25" hidden="false" customHeight="false" outlineLevel="0" collapsed="false">
      <c r="A1025" s="1" t="n">
        <v>1024</v>
      </c>
      <c r="B1025" s="1" t="n">
        <v>27</v>
      </c>
      <c r="C1025" s="1" t="n">
        <v>32</v>
      </c>
      <c r="D1025" s="16" t="n">
        <f aca="false">IF('Boletins Nuppa Site'!G1025&lt;&gt;0,'Boletins Nuppa Site'!G1025,"NULL")</f>
        <v>50</v>
      </c>
      <c r="E1025" s="16" t="n">
        <f aca="false">IF('Boletins Nuppa Site'!H1025&lt;&gt;0,'Boletins Nuppa Site'!H1025,"NULL")</f>
        <v>40</v>
      </c>
      <c r="F1025" s="16" t="n">
        <f aca="false">IF('Boletins Nuppa Site'!I1025&lt;&gt;0,'Boletins Nuppa Site'!I1025,"NULL")</f>
        <v>80</v>
      </c>
      <c r="G1025" s="16" t="n">
        <f aca="false">IF('Boletins Nuppa Site'!J1025&lt;&gt;0,'Boletins Nuppa Site'!J1025,"NULL")</f>
        <v>55</v>
      </c>
      <c r="H1025" s="16" t="n">
        <f aca="false">IF('Boletins Nuppa Site'!K1025&lt;&gt;0,'Boletins Nuppa Site'!K1025,"NULL")</f>
        <v>50</v>
      </c>
      <c r="J1025" s="1" t="str">
        <f aca="false">"INSERT INTO COTACAO (blt_id, pap_id, cot_prc_comum, cot_prc_min, cot_prc_max, cot_prc_med, cot_prc_mediana) VALUES ("&amp;B1025&amp;", "&amp;C1025&amp;", "&amp;D1025&amp;", "&amp;E1025&amp;", "&amp;F1025&amp;", "&amp;G1025&amp;", "&amp;H1025&amp;");"</f>
        <v>INSERT INTO COTACAO (blt_id, pap_id, cot_prc_comum, cot_prc_min, cot_prc_max, cot_prc_med, cot_prc_mediana) VALUES (27, 32, 50, 40, 80, 55, 50);</v>
      </c>
    </row>
    <row r="1026" customFormat="false" ht="14.25" hidden="false" customHeight="false" outlineLevel="0" collapsed="false">
      <c r="A1026" s="1" t="n">
        <v>1025</v>
      </c>
      <c r="B1026" s="1" t="n">
        <v>27</v>
      </c>
      <c r="C1026" s="1" t="n">
        <v>33</v>
      </c>
      <c r="D1026" s="16" t="n">
        <f aca="false">IF('Boletins Nuppa Site'!G1026&lt;&gt;0,'Boletins Nuppa Site'!G1026,"NULL")</f>
        <v>120</v>
      </c>
      <c r="E1026" s="16" t="n">
        <f aca="false">IF('Boletins Nuppa Site'!H1026&lt;&gt;0,'Boletins Nuppa Site'!H1026,"NULL")</f>
        <v>100</v>
      </c>
      <c r="F1026" s="16" t="n">
        <f aca="false">IF('Boletins Nuppa Site'!I1026&lt;&gt;0,'Boletins Nuppa Site'!I1026,"NULL")</f>
        <v>150</v>
      </c>
      <c r="G1026" s="16" t="n">
        <f aca="false">IF('Boletins Nuppa Site'!J1026&lt;&gt;0,'Boletins Nuppa Site'!J1026,"NULL")</f>
        <v>125</v>
      </c>
      <c r="H1026" s="16" t="n">
        <f aca="false">IF('Boletins Nuppa Site'!K1026&lt;&gt;0,'Boletins Nuppa Site'!K1026,"NULL")</f>
        <v>125</v>
      </c>
      <c r="J1026" s="1" t="str">
        <f aca="false">"INSERT INTO COTACAO (blt_id, pap_id, cot_prc_comum, cot_prc_min, cot_prc_max, cot_prc_med, cot_prc_mediana) VALUES ("&amp;B1026&amp;", "&amp;C1026&amp;", "&amp;D1026&amp;", "&amp;E1026&amp;", "&amp;F1026&amp;", "&amp;G1026&amp;", "&amp;H1026&amp;");"</f>
        <v>INSERT INTO COTACAO (blt_id, pap_id, cot_prc_comum, cot_prc_min, cot_prc_max, cot_prc_med, cot_prc_mediana) VALUES (27, 33, 120, 100, 150, 125, 125);</v>
      </c>
    </row>
    <row r="1027" customFormat="false" ht="14.25" hidden="false" customHeight="false" outlineLevel="0" collapsed="false">
      <c r="A1027" s="1" t="n">
        <v>1026</v>
      </c>
      <c r="B1027" s="1" t="n">
        <v>27</v>
      </c>
      <c r="C1027" s="1" t="n">
        <v>34</v>
      </c>
      <c r="D1027" s="16" t="n">
        <f aca="false">IF('Boletins Nuppa Site'!G1027&lt;&gt;0,'Boletins Nuppa Site'!G1027,"NULL")</f>
        <v>80</v>
      </c>
      <c r="E1027" s="16" t="n">
        <f aca="false">IF('Boletins Nuppa Site'!H1027&lt;&gt;0,'Boletins Nuppa Site'!H1027,"NULL")</f>
        <v>50</v>
      </c>
      <c r="F1027" s="16" t="n">
        <f aca="false">IF('Boletins Nuppa Site'!I1027&lt;&gt;0,'Boletins Nuppa Site'!I1027,"NULL")</f>
        <v>90</v>
      </c>
      <c r="G1027" s="1" t="str">
        <f aca="false">IF('Boletins Nuppa Site'!J1027&lt;&gt;0,'Boletins Nuppa Site'!J1027,"NULL")</f>
        <v>72.14</v>
      </c>
      <c r="H1027" s="16" t="n">
        <f aca="false">IF('Boletins Nuppa Site'!K1027&lt;&gt;0,'Boletins Nuppa Site'!K1027,"NULL")</f>
        <v>75</v>
      </c>
      <c r="J1027" s="1" t="str">
        <f aca="false">"INSERT INTO COTACAO (blt_id, pap_id, cot_prc_comum, cot_prc_min, cot_prc_max, cot_prc_med, cot_prc_mediana) VALUES ("&amp;B1027&amp;", "&amp;C1027&amp;", "&amp;D1027&amp;", "&amp;E1027&amp;", "&amp;F1027&amp;", "&amp;G1027&amp;", "&amp;H1027&amp;");"</f>
        <v>INSERT INTO COTACAO (blt_id, pap_id, cot_prc_comum, cot_prc_min, cot_prc_max, cot_prc_med, cot_prc_mediana) VALUES (27, 34, 80, 50, 90, 72.14, 75);</v>
      </c>
    </row>
    <row r="1028" customFormat="false" ht="14.25" hidden="false" customHeight="false" outlineLevel="0" collapsed="false">
      <c r="A1028" s="1" t="n">
        <v>1027</v>
      </c>
      <c r="B1028" s="1" t="n">
        <v>27</v>
      </c>
      <c r="C1028" s="1" t="n">
        <v>35</v>
      </c>
      <c r="D1028" s="1" t="str">
        <f aca="false">IF('Boletins Nuppa Site'!G1028&lt;&gt;0,'Boletins Nuppa Site'!G1028,"NULL")</f>
        <v>NULL</v>
      </c>
      <c r="E1028" s="16" t="n">
        <f aca="false">IF('Boletins Nuppa Site'!H1028&lt;&gt;0,'Boletins Nuppa Site'!H1028,"NULL")</f>
        <v>85</v>
      </c>
      <c r="F1028" s="16" t="n">
        <f aca="false">IF('Boletins Nuppa Site'!I1028&lt;&gt;0,'Boletins Nuppa Site'!I1028,"NULL")</f>
        <v>190</v>
      </c>
      <c r="G1028" s="1" t="str">
        <f aca="false">IF('Boletins Nuppa Site'!J1028&lt;&gt;0,'Boletins Nuppa Site'!J1028,"NULL")</f>
        <v>143.75</v>
      </c>
      <c r="H1028" s="16" t="n">
        <f aca="false">IF('Boletins Nuppa Site'!K1028&lt;&gt;0,'Boletins Nuppa Site'!K1028,"NULL")</f>
        <v>150</v>
      </c>
      <c r="J1028" s="1" t="str">
        <f aca="false">"INSERT INTO COTACAO (blt_id, pap_id, cot_prc_comum, cot_prc_min, cot_prc_max, cot_prc_med, cot_prc_mediana) VALUES ("&amp;B1028&amp;", "&amp;C1028&amp;", "&amp;D1028&amp;", "&amp;E1028&amp;", "&amp;F1028&amp;", "&amp;G1028&amp;", "&amp;H1028&amp;");"</f>
        <v>INSERT INTO COTACAO (blt_id, pap_id, cot_prc_comum, cot_prc_min, cot_prc_max, cot_prc_med, cot_prc_mediana) VALUES (27, 35, NULL, 85, 190, 143.75, 150);</v>
      </c>
    </row>
    <row r="1029" customFormat="false" ht="14.25" hidden="false" customHeight="false" outlineLevel="0" collapsed="false">
      <c r="A1029" s="1" t="n">
        <v>1028</v>
      </c>
      <c r="B1029" s="1" t="n">
        <v>27</v>
      </c>
      <c r="C1029" s="1" t="n">
        <v>36</v>
      </c>
      <c r="D1029" s="1" t="str">
        <f aca="false">IF('Boletins Nuppa Site'!G1029&lt;&gt;0,'Boletins Nuppa Site'!G1029,"NULL")</f>
        <v>NULL</v>
      </c>
      <c r="E1029" s="1" t="str">
        <f aca="false">IF('Boletins Nuppa Site'!H1029&lt;&gt;0,'Boletins Nuppa Site'!H1029,"NULL")</f>
        <v>NULL</v>
      </c>
      <c r="F1029" s="1" t="str">
        <f aca="false">IF('Boletins Nuppa Site'!I1029&lt;&gt;0,'Boletins Nuppa Site'!I1029,"NULL")</f>
        <v>NULL</v>
      </c>
      <c r="G1029" s="1" t="str">
        <f aca="false">IF('Boletins Nuppa Site'!J1029&lt;&gt;0,'Boletins Nuppa Site'!J1029,"NULL")</f>
        <v>NULL</v>
      </c>
      <c r="H1029" s="1" t="str">
        <f aca="false">IF('Boletins Nuppa Site'!K1029&lt;&gt;0,'Boletins Nuppa Site'!K1029,"NULL")</f>
        <v>NULL</v>
      </c>
      <c r="J1029" s="1" t="str">
        <f aca="false">"INSERT INTO COTACAO (blt_id, pap_id, cot_prc_comum, cot_prc_min, cot_prc_max, cot_prc_med, cot_prc_mediana) VALUES ("&amp;B1029&amp;", "&amp;C1029&amp;", "&amp;D1029&amp;", "&amp;E1029&amp;", "&amp;F1029&amp;", "&amp;G1029&amp;", "&amp;H1029&amp;");"</f>
        <v>INSERT INTO COTACAO (blt_id, pap_id, cot_prc_comum, cot_prc_min, cot_prc_max, cot_prc_med, cot_prc_mediana) VALUES (27, 36, NULL, NULL, NULL, NULL, NULL);</v>
      </c>
    </row>
    <row r="1030" customFormat="false" ht="14.25" hidden="false" customHeight="false" outlineLevel="0" collapsed="false">
      <c r="A1030" s="1" t="n">
        <v>1029</v>
      </c>
      <c r="B1030" s="1" t="n">
        <v>27</v>
      </c>
      <c r="C1030" s="1" t="n">
        <v>37</v>
      </c>
      <c r="D1030" s="1" t="str">
        <f aca="false">IF('Boletins Nuppa Site'!G1030&lt;&gt;0,'Boletins Nuppa Site'!G1030,"NULL")</f>
        <v>NULL</v>
      </c>
      <c r="E1030" s="1" t="str">
        <f aca="false">IF('Boletins Nuppa Site'!H1030&lt;&gt;0,'Boletins Nuppa Site'!H1030,"NULL")</f>
        <v>NULL</v>
      </c>
      <c r="F1030" s="1" t="str">
        <f aca="false">IF('Boletins Nuppa Site'!I1030&lt;&gt;0,'Boletins Nuppa Site'!I1030,"NULL")</f>
        <v>NULL</v>
      </c>
      <c r="G1030" s="1" t="str">
        <f aca="false">IF('Boletins Nuppa Site'!J1030&lt;&gt;0,'Boletins Nuppa Site'!J1030,"NULL")</f>
        <v>NULL</v>
      </c>
      <c r="H1030" s="1" t="str">
        <f aca="false">IF('Boletins Nuppa Site'!K1030&lt;&gt;0,'Boletins Nuppa Site'!K1030,"NULL")</f>
        <v>NULL</v>
      </c>
      <c r="J1030" s="1" t="str">
        <f aca="false">"INSERT INTO COTACAO (blt_id, pap_id, cot_prc_comum, cot_prc_min, cot_prc_max, cot_prc_med, cot_prc_mediana) VALUES ("&amp;B1030&amp;", "&amp;C1030&amp;", "&amp;D1030&amp;", "&amp;E1030&amp;", "&amp;F1030&amp;", "&amp;G1030&amp;", "&amp;H1030&amp;");"</f>
        <v>INSERT INTO COTACAO (blt_id, pap_id, cot_prc_comum, cot_prc_min, cot_prc_max, cot_prc_med, cot_prc_mediana) VALUES (27, 37, NULL, NULL, NULL, NULL, NULL);</v>
      </c>
    </row>
    <row r="1031" customFormat="false" ht="14.25" hidden="false" customHeight="false" outlineLevel="0" collapsed="false">
      <c r="A1031" s="1" t="n">
        <v>1030</v>
      </c>
      <c r="B1031" s="1" t="n">
        <v>27</v>
      </c>
      <c r="C1031" s="1" t="n">
        <v>38</v>
      </c>
      <c r="D1031" s="1" t="str">
        <f aca="false">IF('Boletins Nuppa Site'!G1031&lt;&gt;0,'Boletins Nuppa Site'!G1031,"NULL")</f>
        <v>NULL</v>
      </c>
      <c r="E1031" s="1" t="str">
        <f aca="false">IF('Boletins Nuppa Site'!H1031&lt;&gt;0,'Boletins Nuppa Site'!H1031,"NULL")</f>
        <v>NULL</v>
      </c>
      <c r="F1031" s="1" t="str">
        <f aca="false">IF('Boletins Nuppa Site'!I1031&lt;&gt;0,'Boletins Nuppa Site'!I1031,"NULL")</f>
        <v>NULL</v>
      </c>
      <c r="G1031" s="1" t="str">
        <f aca="false">IF('Boletins Nuppa Site'!J1031&lt;&gt;0,'Boletins Nuppa Site'!J1031,"NULL")</f>
        <v>NULL</v>
      </c>
      <c r="H1031" s="1" t="str">
        <f aca="false">IF('Boletins Nuppa Site'!K1031&lt;&gt;0,'Boletins Nuppa Site'!K1031,"NULL")</f>
        <v>NULL</v>
      </c>
      <c r="J1031" s="1" t="str">
        <f aca="false">"INSERT INTO COTACAO (blt_id, pap_id, cot_prc_comum, cot_prc_min, cot_prc_max, cot_prc_med, cot_prc_mediana) VALUES ("&amp;B1031&amp;", "&amp;C1031&amp;", "&amp;D1031&amp;", "&amp;E1031&amp;", "&amp;F1031&amp;", "&amp;G1031&amp;", "&amp;H1031&amp;");"</f>
        <v>INSERT INTO COTACAO (blt_id, pap_id, cot_prc_comum, cot_prc_min, cot_prc_max, cot_prc_med, cot_prc_mediana) VALUES (27, 38, NULL, NULL, NULL, NULL, NULL);</v>
      </c>
    </row>
    <row r="1032" customFormat="false" ht="14.25" hidden="false" customHeight="false" outlineLevel="0" collapsed="false">
      <c r="A1032" s="1" t="n">
        <v>1031</v>
      </c>
      <c r="B1032" s="1" t="n">
        <v>27</v>
      </c>
      <c r="C1032" s="1" t="n">
        <v>39</v>
      </c>
      <c r="D1032" s="1" t="str">
        <f aca="false">IF('Boletins Nuppa Site'!G1032&lt;&gt;0,'Boletins Nuppa Site'!G1032,"NULL")</f>
        <v>NULL</v>
      </c>
      <c r="E1032" s="16" t="n">
        <f aca="false">IF('Boletins Nuppa Site'!H1032&lt;&gt;0,'Boletins Nuppa Site'!H1032,"NULL")</f>
        <v>65</v>
      </c>
      <c r="F1032" s="16" t="n">
        <f aca="false">IF('Boletins Nuppa Site'!I1032&lt;&gt;0,'Boletins Nuppa Site'!I1032,"NULL")</f>
        <v>65</v>
      </c>
      <c r="G1032" s="16" t="n">
        <f aca="false">IF('Boletins Nuppa Site'!J1032&lt;&gt;0,'Boletins Nuppa Site'!J1032,"NULL")</f>
        <v>65</v>
      </c>
      <c r="H1032" s="16" t="n">
        <f aca="false">IF('Boletins Nuppa Site'!K1032&lt;&gt;0,'Boletins Nuppa Site'!K1032,"NULL")</f>
        <v>65</v>
      </c>
      <c r="J1032" s="1" t="str">
        <f aca="false">"INSERT INTO COTACAO (blt_id, pap_id, cot_prc_comum, cot_prc_min, cot_prc_max, cot_prc_med, cot_prc_mediana) VALUES ("&amp;B1032&amp;", "&amp;C1032&amp;", "&amp;D1032&amp;", "&amp;E1032&amp;", "&amp;F1032&amp;", "&amp;G1032&amp;", "&amp;H1032&amp;");"</f>
        <v>INSERT INTO COTACAO (blt_id, pap_id, cot_prc_comum, cot_prc_min, cot_prc_max, cot_prc_med, cot_prc_mediana) VALUES (27, 39, NULL, 65, 65, 65, 65);</v>
      </c>
    </row>
    <row r="1033" customFormat="false" ht="14.25" hidden="false" customHeight="false" outlineLevel="0" collapsed="false">
      <c r="A1033" s="1" t="n">
        <v>1032</v>
      </c>
      <c r="B1033" s="1" t="n">
        <v>27</v>
      </c>
      <c r="C1033" s="1" t="n">
        <v>40</v>
      </c>
      <c r="D1033" s="1" t="str">
        <f aca="false">IF('Boletins Nuppa Site'!G1033&lt;&gt;0,'Boletins Nuppa Site'!G1033,"NULL")</f>
        <v>NULL</v>
      </c>
      <c r="E1033" s="16" t="n">
        <f aca="false">IF('Boletins Nuppa Site'!H1033&lt;&gt;0,'Boletins Nuppa Site'!H1033,"NULL")</f>
        <v>50</v>
      </c>
      <c r="F1033" s="16" t="n">
        <f aca="false">IF('Boletins Nuppa Site'!I1033&lt;&gt;0,'Boletins Nuppa Site'!I1033,"NULL")</f>
        <v>50</v>
      </c>
      <c r="G1033" s="16" t="n">
        <f aca="false">IF('Boletins Nuppa Site'!J1033&lt;&gt;0,'Boletins Nuppa Site'!J1033,"NULL")</f>
        <v>50</v>
      </c>
      <c r="H1033" s="16" t="n">
        <f aca="false">IF('Boletins Nuppa Site'!K1033&lt;&gt;0,'Boletins Nuppa Site'!K1033,"NULL")</f>
        <v>50</v>
      </c>
      <c r="J1033" s="1" t="str">
        <f aca="false">"INSERT INTO COTACAO (blt_id, pap_id, cot_prc_comum, cot_prc_min, cot_prc_max, cot_prc_med, cot_prc_mediana) VALUES ("&amp;B1033&amp;", "&amp;C1033&amp;", "&amp;D1033&amp;", "&amp;E1033&amp;", "&amp;F1033&amp;", "&amp;G1033&amp;", "&amp;H1033&amp;");"</f>
        <v>INSERT INTO COTACAO (blt_id, pap_id, cot_prc_comum, cot_prc_min, cot_prc_max, cot_prc_med, cot_prc_mediana) VALUES (27, 40, NULL, 50, 50, 50, 50);</v>
      </c>
    </row>
    <row r="1034" customFormat="false" ht="14.25" hidden="false" customHeight="false" outlineLevel="0" collapsed="false">
      <c r="A1034" s="1" t="n">
        <v>1033</v>
      </c>
      <c r="B1034" s="1" t="n">
        <v>28</v>
      </c>
      <c r="C1034" s="1" t="n">
        <v>1</v>
      </c>
      <c r="D1034" s="1" t="str">
        <f aca="false">IF('Boletins Nuppa Site'!G1034&lt;&gt;0,'Boletins Nuppa Site'!G1034,"NULL")</f>
        <v>NULL</v>
      </c>
      <c r="E1034" s="16" t="n">
        <f aca="false">IF('Boletins Nuppa Site'!H1034&lt;&gt;0,'Boletins Nuppa Site'!H1034,"NULL")</f>
        <v>48</v>
      </c>
      <c r="F1034" s="16" t="n">
        <f aca="false">IF('Boletins Nuppa Site'!I1034&lt;&gt;0,'Boletins Nuppa Site'!I1034,"NULL")</f>
        <v>60</v>
      </c>
      <c r="G1034" s="16" t="n">
        <f aca="false">IF('Boletins Nuppa Site'!J1034&lt;&gt;0,'Boletins Nuppa Site'!J1034,"NULL")</f>
        <v>54</v>
      </c>
      <c r="H1034" s="16" t="n">
        <f aca="false">IF('Boletins Nuppa Site'!K1034&lt;&gt;0,'Boletins Nuppa Site'!K1034,"NULL")</f>
        <v>54</v>
      </c>
      <c r="J1034" s="1" t="str">
        <f aca="false">"INSERT INTO COTACAO (blt_id, pap_id, cot_prc_comum, cot_prc_min, cot_prc_max, cot_prc_med, cot_prc_mediana) VALUES ("&amp;B1034&amp;", "&amp;C1034&amp;", "&amp;D1034&amp;", "&amp;E1034&amp;", "&amp;F1034&amp;", "&amp;G1034&amp;", "&amp;H1034&amp;");"</f>
        <v>INSERT INTO COTACAO (blt_id, pap_id, cot_prc_comum, cot_prc_min, cot_prc_max, cot_prc_med, cot_prc_mediana) VALUES (28, 1, NULL, 48, 60, 54, 54);</v>
      </c>
    </row>
    <row r="1035" customFormat="false" ht="14.25" hidden="false" customHeight="false" outlineLevel="0" collapsed="false">
      <c r="A1035" s="1" t="n">
        <v>1034</v>
      </c>
      <c r="B1035" s="1" t="n">
        <v>28</v>
      </c>
      <c r="C1035" s="1" t="n">
        <v>2</v>
      </c>
      <c r="D1035" s="1" t="str">
        <f aca="false">IF('Boletins Nuppa Site'!G1035&lt;&gt;0,'Boletins Nuppa Site'!G1035,"NULL")</f>
        <v>NULL</v>
      </c>
      <c r="E1035" s="16" t="n">
        <f aca="false">IF('Boletins Nuppa Site'!H1035&lt;&gt;0,'Boletins Nuppa Site'!H1035,"NULL")</f>
        <v>60</v>
      </c>
      <c r="F1035" s="16" t="n">
        <f aca="false">IF('Boletins Nuppa Site'!I1035&lt;&gt;0,'Boletins Nuppa Site'!I1035,"NULL")</f>
        <v>84</v>
      </c>
      <c r="G1035" s="16" t="n">
        <f aca="false">IF('Boletins Nuppa Site'!J1035&lt;&gt;0,'Boletins Nuppa Site'!J1035,"NULL")</f>
        <v>72</v>
      </c>
      <c r="H1035" s="16" t="n">
        <f aca="false">IF('Boletins Nuppa Site'!K1035&lt;&gt;0,'Boletins Nuppa Site'!K1035,"NULL")</f>
        <v>72</v>
      </c>
      <c r="J1035" s="1" t="str">
        <f aca="false">"INSERT INTO COTACAO (blt_id, pap_id, cot_prc_comum, cot_prc_min, cot_prc_max, cot_prc_med, cot_prc_mediana) VALUES ("&amp;B1035&amp;", "&amp;C1035&amp;", "&amp;D1035&amp;", "&amp;E1035&amp;", "&amp;F1035&amp;", "&amp;G1035&amp;", "&amp;H1035&amp;");"</f>
        <v>INSERT INTO COTACAO (blt_id, pap_id, cot_prc_comum, cot_prc_min, cot_prc_max, cot_prc_med, cot_prc_mediana) VALUES (28, 2, NULL, 60, 84, 72, 72);</v>
      </c>
    </row>
    <row r="1036" customFormat="false" ht="14.25" hidden="false" customHeight="false" outlineLevel="0" collapsed="false">
      <c r="A1036" s="1" t="n">
        <v>1035</v>
      </c>
      <c r="B1036" s="1" t="n">
        <v>28</v>
      </c>
      <c r="C1036" s="1" t="n">
        <v>3</v>
      </c>
      <c r="D1036" s="1" t="str">
        <f aca="false">IF('Boletins Nuppa Site'!G1036&lt;&gt;0,'Boletins Nuppa Site'!G1036,"NULL")</f>
        <v>NULL</v>
      </c>
      <c r="E1036" s="16" t="n">
        <f aca="false">IF('Boletins Nuppa Site'!H1036&lt;&gt;0,'Boletins Nuppa Site'!H1036,"NULL")</f>
        <v>30</v>
      </c>
      <c r="F1036" s="16" t="n">
        <f aca="false">IF('Boletins Nuppa Site'!I1036&lt;&gt;0,'Boletins Nuppa Site'!I1036,"NULL")</f>
        <v>36</v>
      </c>
      <c r="G1036" s="1" t="str">
        <f aca="false">IF('Boletins Nuppa Site'!J1036&lt;&gt;0,'Boletins Nuppa Site'!J1036,"NULL")</f>
        <v>33.67</v>
      </c>
      <c r="H1036" s="16" t="n">
        <f aca="false">IF('Boletins Nuppa Site'!K1036&lt;&gt;0,'Boletins Nuppa Site'!K1036,"NULL")</f>
        <v>35</v>
      </c>
      <c r="J1036" s="1" t="str">
        <f aca="false">"INSERT INTO COTACAO (blt_id, pap_id, cot_prc_comum, cot_prc_min, cot_prc_max, cot_prc_med, cot_prc_mediana) VALUES ("&amp;B1036&amp;", "&amp;C1036&amp;", "&amp;D1036&amp;", "&amp;E1036&amp;", "&amp;F1036&amp;", "&amp;G1036&amp;", "&amp;H1036&amp;");"</f>
        <v>INSERT INTO COTACAO (blt_id, pap_id, cot_prc_comum, cot_prc_min, cot_prc_max, cot_prc_med, cot_prc_mediana) VALUES (28, 3, NULL, 30, 36, 33.67, 35);</v>
      </c>
    </row>
    <row r="1037" customFormat="false" ht="14.25" hidden="false" customHeight="false" outlineLevel="0" collapsed="false">
      <c r="A1037" s="1" t="n">
        <v>1036</v>
      </c>
      <c r="B1037" s="1" t="n">
        <v>28</v>
      </c>
      <c r="C1037" s="1" t="n">
        <v>4</v>
      </c>
      <c r="D1037" s="16" t="n">
        <f aca="false">IF('Boletins Nuppa Site'!G1037&lt;&gt;0,'Boletins Nuppa Site'!G1037,"NULL")</f>
        <v>18</v>
      </c>
      <c r="E1037" s="16" t="n">
        <f aca="false">IF('Boletins Nuppa Site'!H1037&lt;&gt;0,'Boletins Nuppa Site'!H1037,"NULL")</f>
        <v>15</v>
      </c>
      <c r="F1037" s="16" t="n">
        <f aca="false">IF('Boletins Nuppa Site'!I1037&lt;&gt;0,'Boletins Nuppa Site'!I1037,"NULL")</f>
        <v>18</v>
      </c>
      <c r="G1037" s="16" t="n">
        <f aca="false">IF('Boletins Nuppa Site'!J1037&lt;&gt;0,'Boletins Nuppa Site'!J1037,"NULL")</f>
        <v>17</v>
      </c>
      <c r="H1037" s="16" t="n">
        <f aca="false">IF('Boletins Nuppa Site'!K1037&lt;&gt;0,'Boletins Nuppa Site'!K1037,"NULL")</f>
        <v>18</v>
      </c>
      <c r="J1037" s="1" t="str">
        <f aca="false">"INSERT INTO COTACAO (blt_id, pap_id, cot_prc_comum, cot_prc_min, cot_prc_max, cot_prc_med, cot_prc_mediana) VALUES ("&amp;B1037&amp;", "&amp;C1037&amp;", "&amp;D1037&amp;", "&amp;E1037&amp;", "&amp;F1037&amp;", "&amp;G1037&amp;", "&amp;H1037&amp;");"</f>
        <v>INSERT INTO COTACAO (blt_id, pap_id, cot_prc_comum, cot_prc_min, cot_prc_max, cot_prc_med, cot_prc_mediana) VALUES (28, 4, 18, 15, 18, 17, 18);</v>
      </c>
    </row>
    <row r="1038" customFormat="false" ht="14.25" hidden="false" customHeight="false" outlineLevel="0" collapsed="false">
      <c r="A1038" s="1" t="n">
        <v>1037</v>
      </c>
      <c r="B1038" s="1" t="n">
        <v>28</v>
      </c>
      <c r="C1038" s="1" t="n">
        <v>5</v>
      </c>
      <c r="D1038" s="1" t="str">
        <f aca="false">IF('Boletins Nuppa Site'!G1038&lt;&gt;0,'Boletins Nuppa Site'!G1038,"NULL")</f>
        <v>NULL</v>
      </c>
      <c r="E1038" s="16" t="n">
        <f aca="false">IF('Boletins Nuppa Site'!H1038&lt;&gt;0,'Boletins Nuppa Site'!H1038,"NULL")</f>
        <v>15</v>
      </c>
      <c r="F1038" s="16" t="n">
        <f aca="false">IF('Boletins Nuppa Site'!I1038&lt;&gt;0,'Boletins Nuppa Site'!I1038,"NULL")</f>
        <v>60</v>
      </c>
      <c r="G1038" s="1" t="str">
        <f aca="false">IF('Boletins Nuppa Site'!J1038&lt;&gt;0,'Boletins Nuppa Site'!J1038,"NULL")</f>
        <v>37.5</v>
      </c>
      <c r="H1038" s="1" t="str">
        <f aca="false">IF('Boletins Nuppa Site'!K1038&lt;&gt;0,'Boletins Nuppa Site'!K1038,"NULL")</f>
        <v>37.5</v>
      </c>
      <c r="J1038" s="1" t="str">
        <f aca="false">"INSERT INTO COTACAO (blt_id, pap_id, cot_prc_comum, cot_prc_min, cot_prc_max, cot_prc_med, cot_prc_mediana) VALUES ("&amp;B1038&amp;", "&amp;C1038&amp;", "&amp;D1038&amp;", "&amp;E1038&amp;", "&amp;F1038&amp;", "&amp;G1038&amp;", "&amp;H1038&amp;");"</f>
        <v>INSERT INTO COTACAO (blt_id, pap_id, cot_prc_comum, cot_prc_min, cot_prc_max, cot_prc_med, cot_prc_mediana) VALUES (28, 5, NULL, 15, 60, 37.5, 37.5);</v>
      </c>
    </row>
    <row r="1039" customFormat="false" ht="14.25" hidden="false" customHeight="false" outlineLevel="0" collapsed="false">
      <c r="A1039" s="1" t="n">
        <v>1038</v>
      </c>
      <c r="B1039" s="1" t="n">
        <v>28</v>
      </c>
      <c r="C1039" s="1" t="n">
        <v>6</v>
      </c>
      <c r="D1039" s="16" t="n">
        <f aca="false">IF('Boletins Nuppa Site'!G1039&lt;&gt;0,'Boletins Nuppa Site'!G1039,"NULL")</f>
        <v>60</v>
      </c>
      <c r="E1039" s="16" t="n">
        <f aca="false">IF('Boletins Nuppa Site'!H1039&lt;&gt;0,'Boletins Nuppa Site'!H1039,"NULL")</f>
        <v>60</v>
      </c>
      <c r="F1039" s="16" t="n">
        <f aca="false">IF('Boletins Nuppa Site'!I1039&lt;&gt;0,'Boletins Nuppa Site'!I1039,"NULL")</f>
        <v>60</v>
      </c>
      <c r="G1039" s="16" t="n">
        <f aca="false">IF('Boletins Nuppa Site'!J1039&lt;&gt;0,'Boletins Nuppa Site'!J1039,"NULL")</f>
        <v>60</v>
      </c>
      <c r="H1039" s="16" t="n">
        <f aca="false">IF('Boletins Nuppa Site'!K1039&lt;&gt;0,'Boletins Nuppa Site'!K1039,"NULL")</f>
        <v>60</v>
      </c>
      <c r="J1039" s="1" t="str">
        <f aca="false">"INSERT INTO COTACAO (blt_id, pap_id, cot_prc_comum, cot_prc_min, cot_prc_max, cot_prc_med, cot_prc_mediana) VALUES ("&amp;B1039&amp;", "&amp;C1039&amp;", "&amp;D1039&amp;", "&amp;E1039&amp;", "&amp;F1039&amp;", "&amp;G1039&amp;", "&amp;H1039&amp;");"</f>
        <v>INSERT INTO COTACAO (blt_id, pap_id, cot_prc_comum, cot_prc_min, cot_prc_max, cot_prc_med, cot_prc_mediana) VALUES (28, 6, 60, 60, 60, 60, 60);</v>
      </c>
    </row>
    <row r="1040" customFormat="false" ht="14.25" hidden="false" customHeight="false" outlineLevel="0" collapsed="false">
      <c r="A1040" s="1" t="n">
        <v>1039</v>
      </c>
      <c r="B1040" s="1" t="n">
        <v>28</v>
      </c>
      <c r="C1040" s="1" t="n">
        <v>7</v>
      </c>
      <c r="D1040" s="1" t="str">
        <f aca="false">IF('Boletins Nuppa Site'!G1040&lt;&gt;0,'Boletins Nuppa Site'!G1040,"NULL")</f>
        <v>NULL</v>
      </c>
      <c r="E1040" s="16" t="n">
        <f aca="false">IF('Boletins Nuppa Site'!H1040&lt;&gt;0,'Boletins Nuppa Site'!H1040,"NULL")</f>
        <v>60</v>
      </c>
      <c r="F1040" s="16" t="n">
        <f aca="false">IF('Boletins Nuppa Site'!I1040&lt;&gt;0,'Boletins Nuppa Site'!I1040,"NULL")</f>
        <v>72</v>
      </c>
      <c r="G1040" s="16" t="n">
        <f aca="false">IF('Boletins Nuppa Site'!J1040&lt;&gt;0,'Boletins Nuppa Site'!J1040,"NULL")</f>
        <v>66</v>
      </c>
      <c r="H1040" s="16" t="n">
        <f aca="false">IF('Boletins Nuppa Site'!K1040&lt;&gt;0,'Boletins Nuppa Site'!K1040,"NULL")</f>
        <v>66</v>
      </c>
      <c r="J1040" s="1" t="str">
        <f aca="false">"INSERT INTO COTACAO (blt_id, pap_id, cot_prc_comum, cot_prc_min, cot_prc_max, cot_prc_med, cot_prc_mediana) VALUES ("&amp;B1040&amp;", "&amp;C1040&amp;", "&amp;D1040&amp;", "&amp;E1040&amp;", "&amp;F1040&amp;", "&amp;G1040&amp;", "&amp;H1040&amp;");"</f>
        <v>INSERT INTO COTACAO (blt_id, pap_id, cot_prc_comum, cot_prc_min, cot_prc_max, cot_prc_med, cot_prc_mediana) VALUES (28, 7, NULL, 60, 72, 66, 66);</v>
      </c>
    </row>
    <row r="1041" customFormat="false" ht="14.25" hidden="false" customHeight="false" outlineLevel="0" collapsed="false">
      <c r="A1041" s="1" t="n">
        <v>1040</v>
      </c>
      <c r="B1041" s="1" t="n">
        <v>28</v>
      </c>
      <c r="C1041" s="1" t="n">
        <v>8</v>
      </c>
      <c r="D1041" s="16" t="n">
        <f aca="false">IF('Boletins Nuppa Site'!G1041&lt;&gt;0,'Boletins Nuppa Site'!G1041,"NULL")</f>
        <v>72</v>
      </c>
      <c r="E1041" s="16" t="n">
        <f aca="false">IF('Boletins Nuppa Site'!H1041&lt;&gt;0,'Boletins Nuppa Site'!H1041,"NULL")</f>
        <v>72</v>
      </c>
      <c r="F1041" s="16" t="n">
        <f aca="false">IF('Boletins Nuppa Site'!I1041&lt;&gt;0,'Boletins Nuppa Site'!I1041,"NULL")</f>
        <v>72</v>
      </c>
      <c r="G1041" s="16" t="n">
        <f aca="false">IF('Boletins Nuppa Site'!J1041&lt;&gt;0,'Boletins Nuppa Site'!J1041,"NULL")</f>
        <v>72</v>
      </c>
      <c r="H1041" s="16" t="n">
        <f aca="false">IF('Boletins Nuppa Site'!K1041&lt;&gt;0,'Boletins Nuppa Site'!K1041,"NULL")</f>
        <v>72</v>
      </c>
      <c r="J1041" s="1" t="str">
        <f aca="false">"INSERT INTO COTACAO (blt_id, pap_id, cot_prc_comum, cot_prc_min, cot_prc_max, cot_prc_med, cot_prc_mediana) VALUES ("&amp;B1041&amp;", "&amp;C1041&amp;", "&amp;D1041&amp;", "&amp;E1041&amp;", "&amp;F1041&amp;", "&amp;G1041&amp;", "&amp;H1041&amp;");"</f>
        <v>INSERT INTO COTACAO (blt_id, pap_id, cot_prc_comum, cot_prc_min, cot_prc_max, cot_prc_med, cot_prc_mediana) VALUES (28, 8, 72, 72, 72, 72, 72);</v>
      </c>
    </row>
    <row r="1042" customFormat="false" ht="14.25" hidden="false" customHeight="false" outlineLevel="0" collapsed="false">
      <c r="A1042" s="1" t="n">
        <v>1041</v>
      </c>
      <c r="B1042" s="1" t="n">
        <v>28</v>
      </c>
      <c r="C1042" s="1" t="n">
        <v>9</v>
      </c>
      <c r="D1042" s="16" t="n">
        <f aca="false">IF('Boletins Nuppa Site'!G1042&lt;&gt;0,'Boletins Nuppa Site'!G1042,"NULL")</f>
        <v>18</v>
      </c>
      <c r="E1042" s="16" t="n">
        <f aca="false">IF('Boletins Nuppa Site'!H1042&lt;&gt;0,'Boletins Nuppa Site'!H1042,"NULL")</f>
        <v>18</v>
      </c>
      <c r="F1042" s="16" t="n">
        <f aca="false">IF('Boletins Nuppa Site'!I1042&lt;&gt;0,'Boletins Nuppa Site'!I1042,"NULL")</f>
        <v>24</v>
      </c>
      <c r="G1042" s="16" t="n">
        <f aca="false">IF('Boletins Nuppa Site'!J1042&lt;&gt;0,'Boletins Nuppa Site'!J1042,"NULL")</f>
        <v>20</v>
      </c>
      <c r="H1042" s="16" t="n">
        <f aca="false">IF('Boletins Nuppa Site'!K1042&lt;&gt;0,'Boletins Nuppa Site'!K1042,"NULL")</f>
        <v>18</v>
      </c>
      <c r="J1042" s="1" t="str">
        <f aca="false">"INSERT INTO COTACAO (blt_id, pap_id, cot_prc_comum, cot_prc_min, cot_prc_max, cot_prc_med, cot_prc_mediana) VALUES ("&amp;B1042&amp;", "&amp;C1042&amp;", "&amp;D1042&amp;", "&amp;E1042&amp;", "&amp;F1042&amp;", "&amp;G1042&amp;", "&amp;H1042&amp;");"</f>
        <v>INSERT INTO COTACAO (blt_id, pap_id, cot_prc_comum, cot_prc_min, cot_prc_max, cot_prc_med, cot_prc_mediana) VALUES (28, 9, 18, 18, 24, 20, 18);</v>
      </c>
    </row>
    <row r="1043" customFormat="false" ht="14.25" hidden="false" customHeight="false" outlineLevel="0" collapsed="false">
      <c r="A1043" s="1" t="n">
        <v>1042</v>
      </c>
      <c r="B1043" s="1" t="n">
        <v>28</v>
      </c>
      <c r="C1043" s="1" t="n">
        <v>10</v>
      </c>
      <c r="D1043" s="1" t="str">
        <f aca="false">IF('Boletins Nuppa Site'!G1043&lt;&gt;0,'Boletins Nuppa Site'!G1043,"NULL")</f>
        <v>NULL</v>
      </c>
      <c r="E1043" s="16" t="n">
        <f aca="false">IF('Boletins Nuppa Site'!H1043&lt;&gt;0,'Boletins Nuppa Site'!H1043,"NULL")</f>
        <v>72</v>
      </c>
      <c r="F1043" s="16" t="n">
        <f aca="false">IF('Boletins Nuppa Site'!I1043&lt;&gt;0,'Boletins Nuppa Site'!I1043,"NULL")</f>
        <v>84</v>
      </c>
      <c r="G1043" s="16" t="n">
        <f aca="false">IF('Boletins Nuppa Site'!J1043&lt;&gt;0,'Boletins Nuppa Site'!J1043,"NULL")</f>
        <v>78</v>
      </c>
      <c r="H1043" s="16" t="n">
        <f aca="false">IF('Boletins Nuppa Site'!K1043&lt;&gt;0,'Boletins Nuppa Site'!K1043,"NULL")</f>
        <v>78</v>
      </c>
      <c r="J1043" s="1" t="str">
        <f aca="false">"INSERT INTO COTACAO (blt_id, pap_id, cot_prc_comum, cot_prc_min, cot_prc_max, cot_prc_med, cot_prc_mediana) VALUES ("&amp;B1043&amp;", "&amp;C1043&amp;", "&amp;D1043&amp;", "&amp;E1043&amp;", "&amp;F1043&amp;", "&amp;G1043&amp;", "&amp;H1043&amp;");"</f>
        <v>INSERT INTO COTACAO (blt_id, pap_id, cot_prc_comum, cot_prc_min, cot_prc_max, cot_prc_med, cot_prc_mediana) VALUES (28, 10, NULL, 72, 84, 78, 78);</v>
      </c>
    </row>
    <row r="1044" customFormat="false" ht="14.25" hidden="false" customHeight="false" outlineLevel="0" collapsed="false">
      <c r="A1044" s="1" t="n">
        <v>1043</v>
      </c>
      <c r="B1044" s="1" t="n">
        <v>28</v>
      </c>
      <c r="C1044" s="1" t="n">
        <v>11</v>
      </c>
      <c r="D1044" s="1" t="str">
        <f aca="false">IF('Boletins Nuppa Site'!G1044&lt;&gt;0,'Boletins Nuppa Site'!G1044,"NULL")</f>
        <v>NULL</v>
      </c>
      <c r="E1044" s="16" t="n">
        <f aca="false">IF('Boletins Nuppa Site'!H1044&lt;&gt;0,'Boletins Nuppa Site'!H1044,"NULL")</f>
        <v>15</v>
      </c>
      <c r="F1044" s="16" t="n">
        <f aca="false">IF('Boletins Nuppa Site'!I1044&lt;&gt;0,'Boletins Nuppa Site'!I1044,"NULL")</f>
        <v>24</v>
      </c>
      <c r="G1044" s="16" t="n">
        <f aca="false">IF('Boletins Nuppa Site'!J1044&lt;&gt;0,'Boletins Nuppa Site'!J1044,"NULL")</f>
        <v>19</v>
      </c>
      <c r="H1044" s="16" t="n">
        <f aca="false">IF('Boletins Nuppa Site'!K1044&lt;&gt;0,'Boletins Nuppa Site'!K1044,"NULL")</f>
        <v>18</v>
      </c>
      <c r="J1044" s="1" t="str">
        <f aca="false">"INSERT INTO COTACAO (blt_id, pap_id, cot_prc_comum, cot_prc_min, cot_prc_max, cot_prc_med, cot_prc_mediana) VALUES ("&amp;B1044&amp;", "&amp;C1044&amp;", "&amp;D1044&amp;", "&amp;E1044&amp;", "&amp;F1044&amp;", "&amp;G1044&amp;", "&amp;H1044&amp;");"</f>
        <v>INSERT INTO COTACAO (blt_id, pap_id, cot_prc_comum, cot_prc_min, cot_prc_max, cot_prc_med, cot_prc_mediana) VALUES (28, 11, NULL, 15, 24, 19, 18);</v>
      </c>
    </row>
    <row r="1045" customFormat="false" ht="14.25" hidden="false" customHeight="false" outlineLevel="0" collapsed="false">
      <c r="A1045" s="1" t="n">
        <v>1044</v>
      </c>
      <c r="B1045" s="1" t="n">
        <v>28</v>
      </c>
      <c r="C1045" s="1" t="n">
        <v>12</v>
      </c>
      <c r="D1045" s="1" t="str">
        <f aca="false">IF('Boletins Nuppa Site'!G1045&lt;&gt;0,'Boletins Nuppa Site'!G1045,"NULL")</f>
        <v>NULL</v>
      </c>
      <c r="E1045" s="16" t="n">
        <f aca="false">IF('Boletins Nuppa Site'!H1045&lt;&gt;0,'Boletins Nuppa Site'!H1045,"NULL")</f>
        <v>48</v>
      </c>
      <c r="F1045" s="16" t="n">
        <f aca="false">IF('Boletins Nuppa Site'!I1045&lt;&gt;0,'Boletins Nuppa Site'!I1045,"NULL")</f>
        <v>72</v>
      </c>
      <c r="G1045" s="16" t="n">
        <f aca="false">IF('Boletins Nuppa Site'!J1045&lt;&gt;0,'Boletins Nuppa Site'!J1045,"NULL")</f>
        <v>60</v>
      </c>
      <c r="H1045" s="16" t="n">
        <f aca="false">IF('Boletins Nuppa Site'!K1045&lt;&gt;0,'Boletins Nuppa Site'!K1045,"NULL")</f>
        <v>60</v>
      </c>
      <c r="J1045" s="1" t="str">
        <f aca="false">"INSERT INTO COTACAO (blt_id, pap_id, cot_prc_comum, cot_prc_min, cot_prc_max, cot_prc_med, cot_prc_mediana) VALUES ("&amp;B1045&amp;", "&amp;C1045&amp;", "&amp;D1045&amp;", "&amp;E1045&amp;", "&amp;F1045&amp;", "&amp;G1045&amp;", "&amp;H1045&amp;");"</f>
        <v>INSERT INTO COTACAO (blt_id, pap_id, cot_prc_comum, cot_prc_min, cot_prc_max, cot_prc_med, cot_prc_mediana) VALUES (28, 12, NULL, 48, 72, 60, 60);</v>
      </c>
    </row>
    <row r="1046" customFormat="false" ht="14.25" hidden="false" customHeight="false" outlineLevel="0" collapsed="false">
      <c r="A1046" s="1" t="n">
        <v>1045</v>
      </c>
      <c r="B1046" s="1" t="n">
        <v>28</v>
      </c>
      <c r="C1046" s="1" t="n">
        <v>13</v>
      </c>
      <c r="D1046" s="16" t="n">
        <f aca="false">IF('Boletins Nuppa Site'!G1046&lt;&gt;0,'Boletins Nuppa Site'!G1046,"NULL")</f>
        <v>60</v>
      </c>
      <c r="E1046" s="16" t="n">
        <f aca="false">IF('Boletins Nuppa Site'!H1046&lt;&gt;0,'Boletins Nuppa Site'!H1046,"NULL")</f>
        <v>48</v>
      </c>
      <c r="F1046" s="16" t="n">
        <f aca="false">IF('Boletins Nuppa Site'!I1046&lt;&gt;0,'Boletins Nuppa Site'!I1046,"NULL")</f>
        <v>60</v>
      </c>
      <c r="G1046" s="16" t="n">
        <f aca="false">IF('Boletins Nuppa Site'!J1046&lt;&gt;0,'Boletins Nuppa Site'!J1046,"NULL")</f>
        <v>56</v>
      </c>
      <c r="H1046" s="16" t="n">
        <f aca="false">IF('Boletins Nuppa Site'!K1046&lt;&gt;0,'Boletins Nuppa Site'!K1046,"NULL")</f>
        <v>60</v>
      </c>
      <c r="J1046" s="1" t="str">
        <f aca="false">"INSERT INTO COTACAO (blt_id, pap_id, cot_prc_comum, cot_prc_min, cot_prc_max, cot_prc_med, cot_prc_mediana) VALUES ("&amp;B1046&amp;", "&amp;C1046&amp;", "&amp;D1046&amp;", "&amp;E1046&amp;", "&amp;F1046&amp;", "&amp;G1046&amp;", "&amp;H1046&amp;");"</f>
        <v>INSERT INTO COTACAO (blt_id, pap_id, cot_prc_comum, cot_prc_min, cot_prc_max, cot_prc_med, cot_prc_mediana) VALUES (28, 13, 60, 48, 60, 56, 60);</v>
      </c>
    </row>
    <row r="1047" customFormat="false" ht="14.25" hidden="false" customHeight="false" outlineLevel="0" collapsed="false">
      <c r="A1047" s="1" t="n">
        <v>1046</v>
      </c>
      <c r="B1047" s="1" t="n">
        <v>28</v>
      </c>
      <c r="C1047" s="1" t="n">
        <v>14</v>
      </c>
      <c r="D1047" s="1" t="str">
        <f aca="false">IF('Boletins Nuppa Site'!G1047&lt;&gt;0,'Boletins Nuppa Site'!G1047,"NULL")</f>
        <v>NULL</v>
      </c>
      <c r="E1047" s="16" t="n">
        <f aca="false">IF('Boletins Nuppa Site'!H1047&lt;&gt;0,'Boletins Nuppa Site'!H1047,"NULL")</f>
        <v>45</v>
      </c>
      <c r="F1047" s="16" t="n">
        <f aca="false">IF('Boletins Nuppa Site'!I1047&lt;&gt;0,'Boletins Nuppa Site'!I1047,"NULL")</f>
        <v>60</v>
      </c>
      <c r="G1047" s="1" t="str">
        <f aca="false">IF('Boletins Nuppa Site'!J1047&lt;&gt;0,'Boletins Nuppa Site'!J1047,"NULL")</f>
        <v>52.5</v>
      </c>
      <c r="H1047" s="1" t="str">
        <f aca="false">IF('Boletins Nuppa Site'!K1047&lt;&gt;0,'Boletins Nuppa Site'!K1047,"NULL")</f>
        <v>52.5</v>
      </c>
      <c r="J1047" s="1" t="str">
        <f aca="false">"INSERT INTO COTACAO (blt_id, pap_id, cot_prc_comum, cot_prc_min, cot_prc_max, cot_prc_med, cot_prc_mediana) VALUES ("&amp;B1047&amp;", "&amp;C1047&amp;", "&amp;D1047&amp;", "&amp;E1047&amp;", "&amp;F1047&amp;", "&amp;G1047&amp;", "&amp;H1047&amp;");"</f>
        <v>INSERT INTO COTACAO (blt_id, pap_id, cot_prc_comum, cot_prc_min, cot_prc_max, cot_prc_med, cot_prc_mediana) VALUES (28, 14, NULL, 45, 60, 52.5, 52.5);</v>
      </c>
    </row>
    <row r="1048" customFormat="false" ht="14.25" hidden="false" customHeight="false" outlineLevel="0" collapsed="false">
      <c r="A1048" s="1" t="n">
        <v>1047</v>
      </c>
      <c r="B1048" s="1" t="n">
        <v>28</v>
      </c>
      <c r="C1048" s="1" t="n">
        <v>15</v>
      </c>
      <c r="D1048" s="1" t="str">
        <f aca="false">IF('Boletins Nuppa Site'!G1048&lt;&gt;0,'Boletins Nuppa Site'!G1048,"NULL")</f>
        <v>NULL</v>
      </c>
      <c r="E1048" s="16" t="n">
        <f aca="false">IF('Boletins Nuppa Site'!H1048&lt;&gt;0,'Boletins Nuppa Site'!H1048,"NULL")</f>
        <v>36</v>
      </c>
      <c r="F1048" s="16" t="n">
        <f aca="false">IF('Boletins Nuppa Site'!I1048&lt;&gt;0,'Boletins Nuppa Site'!I1048,"NULL")</f>
        <v>40</v>
      </c>
      <c r="G1048" s="16" t="n">
        <f aca="false">IF('Boletins Nuppa Site'!J1048&lt;&gt;0,'Boletins Nuppa Site'!J1048,"NULL")</f>
        <v>38</v>
      </c>
      <c r="H1048" s="16" t="n">
        <f aca="false">IF('Boletins Nuppa Site'!K1048&lt;&gt;0,'Boletins Nuppa Site'!K1048,"NULL")</f>
        <v>38</v>
      </c>
      <c r="J1048" s="1" t="str">
        <f aca="false">"INSERT INTO COTACAO (blt_id, pap_id, cot_prc_comum, cot_prc_min, cot_prc_max, cot_prc_med, cot_prc_mediana) VALUES ("&amp;B1048&amp;", "&amp;C1048&amp;", "&amp;D1048&amp;", "&amp;E1048&amp;", "&amp;F1048&amp;", "&amp;G1048&amp;", "&amp;H1048&amp;");"</f>
        <v>INSERT INTO COTACAO (blt_id, pap_id, cot_prc_comum, cot_prc_min, cot_prc_max, cot_prc_med, cot_prc_mediana) VALUES (28, 15, NULL, 36, 40, 38, 38);</v>
      </c>
    </row>
    <row r="1049" customFormat="false" ht="14.25" hidden="false" customHeight="false" outlineLevel="0" collapsed="false">
      <c r="A1049" s="1" t="n">
        <v>1048</v>
      </c>
      <c r="B1049" s="1" t="n">
        <v>28</v>
      </c>
      <c r="C1049" s="1" t="n">
        <v>16</v>
      </c>
      <c r="D1049" s="1" t="str">
        <f aca="false">IF('Boletins Nuppa Site'!G1049&lt;&gt;0,'Boletins Nuppa Site'!G1049,"NULL")</f>
        <v>NULL</v>
      </c>
      <c r="E1049" s="16" t="n">
        <f aca="false">IF('Boletins Nuppa Site'!H1049&lt;&gt;0,'Boletins Nuppa Site'!H1049,"NULL")</f>
        <v>42</v>
      </c>
      <c r="F1049" s="16" t="n">
        <f aca="false">IF('Boletins Nuppa Site'!I1049&lt;&gt;0,'Boletins Nuppa Site'!I1049,"NULL")</f>
        <v>54</v>
      </c>
      <c r="G1049" s="16" t="n">
        <f aca="false">IF('Boletins Nuppa Site'!J1049&lt;&gt;0,'Boletins Nuppa Site'!J1049,"NULL")</f>
        <v>48</v>
      </c>
      <c r="H1049" s="16" t="n">
        <f aca="false">IF('Boletins Nuppa Site'!K1049&lt;&gt;0,'Boletins Nuppa Site'!K1049,"NULL")</f>
        <v>48</v>
      </c>
      <c r="J1049" s="1" t="str">
        <f aca="false">"INSERT INTO COTACAO (blt_id, pap_id, cot_prc_comum, cot_prc_min, cot_prc_max, cot_prc_med, cot_prc_mediana) VALUES ("&amp;B1049&amp;", "&amp;C1049&amp;", "&amp;D1049&amp;", "&amp;E1049&amp;", "&amp;F1049&amp;", "&amp;G1049&amp;", "&amp;H1049&amp;");"</f>
        <v>INSERT INTO COTACAO (blt_id, pap_id, cot_prc_comum, cot_prc_min, cot_prc_max, cot_prc_med, cot_prc_mediana) VALUES (28, 16, NULL, 42, 54, 48, 48);</v>
      </c>
    </row>
    <row r="1050" customFormat="false" ht="14.25" hidden="false" customHeight="false" outlineLevel="0" collapsed="false">
      <c r="A1050" s="1" t="n">
        <v>1049</v>
      </c>
      <c r="B1050" s="1" t="n">
        <v>28</v>
      </c>
      <c r="C1050" s="1" t="n">
        <v>17</v>
      </c>
      <c r="D1050" s="16" t="n">
        <f aca="false">IF('Boletins Nuppa Site'!G1050&lt;&gt;0,'Boletins Nuppa Site'!G1050,"NULL")</f>
        <v>5</v>
      </c>
      <c r="E1050" s="16" t="n">
        <f aca="false">IF('Boletins Nuppa Site'!H1050&lt;&gt;0,'Boletins Nuppa Site'!H1050,"NULL")</f>
        <v>5</v>
      </c>
      <c r="F1050" s="16" t="n">
        <f aca="false">IF('Boletins Nuppa Site'!I1050&lt;&gt;0,'Boletins Nuppa Site'!I1050,"NULL")</f>
        <v>5</v>
      </c>
      <c r="G1050" s="16" t="n">
        <f aca="false">IF('Boletins Nuppa Site'!J1050&lt;&gt;0,'Boletins Nuppa Site'!J1050,"NULL")</f>
        <v>5</v>
      </c>
      <c r="H1050" s="16" t="n">
        <f aca="false">IF('Boletins Nuppa Site'!K1050&lt;&gt;0,'Boletins Nuppa Site'!K1050,"NULL")</f>
        <v>5</v>
      </c>
      <c r="J1050" s="1" t="str">
        <f aca="false">"INSERT INTO COTACAO (blt_id, pap_id, cot_prc_comum, cot_prc_min, cot_prc_max, cot_prc_med, cot_prc_mediana) VALUES ("&amp;B1050&amp;", "&amp;C1050&amp;", "&amp;D1050&amp;", "&amp;E1050&amp;", "&amp;F1050&amp;", "&amp;G1050&amp;", "&amp;H1050&amp;");"</f>
        <v>INSERT INTO COTACAO (blt_id, pap_id, cot_prc_comum, cot_prc_min, cot_prc_max, cot_prc_med, cot_prc_mediana) VALUES (28, 17, 5, 5, 5, 5, 5);</v>
      </c>
    </row>
    <row r="1051" customFormat="false" ht="14.25" hidden="false" customHeight="false" outlineLevel="0" collapsed="false">
      <c r="A1051" s="1" t="n">
        <v>1050</v>
      </c>
      <c r="B1051" s="1" t="n">
        <v>28</v>
      </c>
      <c r="C1051" s="1" t="n">
        <v>18</v>
      </c>
      <c r="D1051" s="16" t="n">
        <f aca="false">IF('Boletins Nuppa Site'!G1051&lt;&gt;0,'Boletins Nuppa Site'!G1051,"NULL")</f>
        <v>12</v>
      </c>
      <c r="E1051" s="16" t="n">
        <f aca="false">IF('Boletins Nuppa Site'!H1051&lt;&gt;0,'Boletins Nuppa Site'!H1051,"NULL")</f>
        <v>10</v>
      </c>
      <c r="F1051" s="16" t="n">
        <f aca="false">IF('Boletins Nuppa Site'!I1051&lt;&gt;0,'Boletins Nuppa Site'!I1051,"NULL")</f>
        <v>12</v>
      </c>
      <c r="G1051" s="1" t="str">
        <f aca="false">IF('Boletins Nuppa Site'!J1051&lt;&gt;0,'Boletins Nuppa Site'!J1051,"NULL")</f>
        <v>11.33</v>
      </c>
      <c r="H1051" s="16" t="n">
        <f aca="false">IF('Boletins Nuppa Site'!K1051&lt;&gt;0,'Boletins Nuppa Site'!K1051,"NULL")</f>
        <v>12</v>
      </c>
      <c r="J1051" s="1" t="str">
        <f aca="false">"INSERT INTO COTACAO (blt_id, pap_id, cot_prc_comum, cot_prc_min, cot_prc_max, cot_prc_med, cot_prc_mediana) VALUES ("&amp;B1051&amp;", "&amp;C1051&amp;", "&amp;D1051&amp;", "&amp;E1051&amp;", "&amp;F1051&amp;", "&amp;G1051&amp;", "&amp;H1051&amp;");"</f>
        <v>INSERT INTO COTACAO (blt_id, pap_id, cot_prc_comum, cot_prc_min, cot_prc_max, cot_prc_med, cot_prc_mediana) VALUES (28, 18, 12, 10, 12, 11.33, 12);</v>
      </c>
    </row>
    <row r="1052" customFormat="false" ht="14.25" hidden="false" customHeight="false" outlineLevel="0" collapsed="false">
      <c r="A1052" s="1" t="n">
        <v>1051</v>
      </c>
      <c r="B1052" s="1" t="n">
        <v>28</v>
      </c>
      <c r="C1052" s="1" t="n">
        <v>19</v>
      </c>
      <c r="D1052" s="1" t="str">
        <f aca="false">IF('Boletins Nuppa Site'!G1052&lt;&gt;0,'Boletins Nuppa Site'!G1052,"NULL")</f>
        <v>NULL</v>
      </c>
      <c r="E1052" s="16" t="n">
        <f aca="false">IF('Boletins Nuppa Site'!H1052&lt;&gt;0,'Boletins Nuppa Site'!H1052,"NULL")</f>
        <v>15</v>
      </c>
      <c r="F1052" s="16" t="n">
        <f aca="false">IF('Boletins Nuppa Site'!I1052&lt;&gt;0,'Boletins Nuppa Site'!I1052,"NULL")</f>
        <v>30</v>
      </c>
      <c r="G1052" s="1" t="str">
        <f aca="false">IF('Boletins Nuppa Site'!J1052&lt;&gt;0,'Boletins Nuppa Site'!J1052,"NULL")</f>
        <v>21.67</v>
      </c>
      <c r="H1052" s="16" t="n">
        <f aca="false">IF('Boletins Nuppa Site'!K1052&lt;&gt;0,'Boletins Nuppa Site'!K1052,"NULL")</f>
        <v>20</v>
      </c>
      <c r="J1052" s="1" t="str">
        <f aca="false">"INSERT INTO COTACAO (blt_id, pap_id, cot_prc_comum, cot_prc_min, cot_prc_max, cot_prc_med, cot_prc_mediana) VALUES ("&amp;B1052&amp;", "&amp;C1052&amp;", "&amp;D1052&amp;", "&amp;E1052&amp;", "&amp;F1052&amp;", "&amp;G1052&amp;", "&amp;H1052&amp;");"</f>
        <v>INSERT INTO COTACAO (blt_id, pap_id, cot_prc_comum, cot_prc_min, cot_prc_max, cot_prc_med, cot_prc_mediana) VALUES (28, 19, NULL, 15, 30, 21.67, 20);</v>
      </c>
    </row>
    <row r="1053" customFormat="false" ht="14.25" hidden="false" customHeight="false" outlineLevel="0" collapsed="false">
      <c r="A1053" s="1" t="n">
        <v>1052</v>
      </c>
      <c r="B1053" s="1" t="n">
        <v>28</v>
      </c>
      <c r="C1053" s="1" t="n">
        <v>20</v>
      </c>
      <c r="D1053" s="1" t="str">
        <f aca="false">IF('Boletins Nuppa Site'!G1053&lt;&gt;0,'Boletins Nuppa Site'!G1053,"NULL")</f>
        <v>NULL</v>
      </c>
      <c r="E1053" s="16" t="n">
        <f aca="false">IF('Boletins Nuppa Site'!H1053&lt;&gt;0,'Boletins Nuppa Site'!H1053,"NULL")</f>
        <v>75</v>
      </c>
      <c r="F1053" s="16" t="n">
        <f aca="false">IF('Boletins Nuppa Site'!I1053&lt;&gt;0,'Boletins Nuppa Site'!I1053,"NULL")</f>
        <v>80</v>
      </c>
      <c r="G1053" s="1" t="str">
        <f aca="false">IF('Boletins Nuppa Site'!J1053&lt;&gt;0,'Boletins Nuppa Site'!J1053,"NULL")</f>
        <v>77.5</v>
      </c>
      <c r="H1053" s="1" t="str">
        <f aca="false">IF('Boletins Nuppa Site'!K1053&lt;&gt;0,'Boletins Nuppa Site'!K1053,"NULL")</f>
        <v>77.5</v>
      </c>
      <c r="J1053" s="1" t="str">
        <f aca="false">"INSERT INTO COTACAO (blt_id, pap_id, cot_prc_comum, cot_prc_min, cot_prc_max, cot_prc_med, cot_prc_mediana) VALUES ("&amp;B1053&amp;", "&amp;C1053&amp;", "&amp;D1053&amp;", "&amp;E1053&amp;", "&amp;F1053&amp;", "&amp;G1053&amp;", "&amp;H1053&amp;");"</f>
        <v>INSERT INTO COTACAO (blt_id, pap_id, cot_prc_comum, cot_prc_min, cot_prc_max, cot_prc_med, cot_prc_mediana) VALUES (28, 20, NULL, 75, 80, 77.5, 77.5);</v>
      </c>
    </row>
    <row r="1054" customFormat="false" ht="14.25" hidden="false" customHeight="false" outlineLevel="0" collapsed="false">
      <c r="A1054" s="1" t="n">
        <v>1053</v>
      </c>
      <c r="B1054" s="1" t="n">
        <v>28</v>
      </c>
      <c r="C1054" s="1" t="n">
        <v>21</v>
      </c>
      <c r="D1054" s="16" t="n">
        <f aca="false">IF('Boletins Nuppa Site'!G1054&lt;&gt;0,'Boletins Nuppa Site'!G1054,"NULL")</f>
        <v>50</v>
      </c>
      <c r="E1054" s="16" t="n">
        <f aca="false">IF('Boletins Nuppa Site'!H1054&lt;&gt;0,'Boletins Nuppa Site'!H1054,"NULL")</f>
        <v>40</v>
      </c>
      <c r="F1054" s="16" t="n">
        <f aca="false">IF('Boletins Nuppa Site'!I1054&lt;&gt;0,'Boletins Nuppa Site'!I1054,"NULL")</f>
        <v>60</v>
      </c>
      <c r="G1054" s="16" t="n">
        <f aca="false">IF('Boletins Nuppa Site'!J1054&lt;&gt;0,'Boletins Nuppa Site'!J1054,"NULL")</f>
        <v>51</v>
      </c>
      <c r="H1054" s="16" t="n">
        <f aca="false">IF('Boletins Nuppa Site'!K1054&lt;&gt;0,'Boletins Nuppa Site'!K1054,"NULL")</f>
        <v>50</v>
      </c>
      <c r="J1054" s="1" t="str">
        <f aca="false">"INSERT INTO COTACAO (blt_id, pap_id, cot_prc_comum, cot_prc_min, cot_prc_max, cot_prc_med, cot_prc_mediana) VALUES ("&amp;B1054&amp;", "&amp;C1054&amp;", "&amp;D1054&amp;", "&amp;E1054&amp;", "&amp;F1054&amp;", "&amp;G1054&amp;", "&amp;H1054&amp;");"</f>
        <v>INSERT INTO COTACAO (blt_id, pap_id, cot_prc_comum, cot_prc_min, cot_prc_max, cot_prc_med, cot_prc_mediana) VALUES (28, 21, 50, 40, 60, 51, 50);</v>
      </c>
    </row>
    <row r="1055" customFormat="false" ht="14.25" hidden="false" customHeight="false" outlineLevel="0" collapsed="false">
      <c r="A1055" s="1" t="n">
        <v>1054</v>
      </c>
      <c r="B1055" s="1" t="n">
        <v>28</v>
      </c>
      <c r="C1055" s="1" t="n">
        <v>22</v>
      </c>
      <c r="D1055" s="16" t="n">
        <f aca="false">IF('Boletins Nuppa Site'!G1055&lt;&gt;0,'Boletins Nuppa Site'!G1055,"NULL")</f>
        <v>70</v>
      </c>
      <c r="E1055" s="16" t="n">
        <f aca="false">IF('Boletins Nuppa Site'!H1055&lt;&gt;0,'Boletins Nuppa Site'!H1055,"NULL")</f>
        <v>40</v>
      </c>
      <c r="F1055" s="16" t="n">
        <f aca="false">IF('Boletins Nuppa Site'!I1055&lt;&gt;0,'Boletins Nuppa Site'!I1055,"NULL")</f>
        <v>70</v>
      </c>
      <c r="G1055" s="16" t="n">
        <f aca="false">IF('Boletins Nuppa Site'!J1055&lt;&gt;0,'Boletins Nuppa Site'!J1055,"NULL")</f>
        <v>55</v>
      </c>
      <c r="H1055" s="16" t="n">
        <f aca="false">IF('Boletins Nuppa Site'!K1055&lt;&gt;0,'Boletins Nuppa Site'!K1055,"NULL")</f>
        <v>50</v>
      </c>
      <c r="J1055" s="1" t="str">
        <f aca="false">"INSERT INTO COTACAO (blt_id, pap_id, cot_prc_comum, cot_prc_min, cot_prc_max, cot_prc_med, cot_prc_mediana) VALUES ("&amp;B1055&amp;", "&amp;C1055&amp;", "&amp;D1055&amp;", "&amp;E1055&amp;", "&amp;F1055&amp;", "&amp;G1055&amp;", "&amp;H1055&amp;");"</f>
        <v>INSERT INTO COTACAO (blt_id, pap_id, cot_prc_comum, cot_prc_min, cot_prc_max, cot_prc_med, cot_prc_mediana) VALUES (28, 22, 70, 40, 70, 55, 50);</v>
      </c>
    </row>
    <row r="1056" customFormat="false" ht="14.25" hidden="false" customHeight="false" outlineLevel="0" collapsed="false">
      <c r="A1056" s="1" t="n">
        <v>1055</v>
      </c>
      <c r="B1056" s="1" t="n">
        <v>28</v>
      </c>
      <c r="C1056" s="1" t="n">
        <v>23</v>
      </c>
      <c r="D1056" s="16" t="n">
        <f aca="false">IF('Boletins Nuppa Site'!G1056&lt;&gt;0,'Boletins Nuppa Site'!G1056,"NULL")</f>
        <v>50</v>
      </c>
      <c r="E1056" s="16" t="n">
        <f aca="false">IF('Boletins Nuppa Site'!H1056&lt;&gt;0,'Boletins Nuppa Site'!H1056,"NULL")</f>
        <v>35</v>
      </c>
      <c r="F1056" s="16" t="n">
        <f aca="false">IF('Boletins Nuppa Site'!I1056&lt;&gt;0,'Boletins Nuppa Site'!I1056,"NULL")</f>
        <v>50</v>
      </c>
      <c r="G1056" s="16" t="n">
        <f aca="false">IF('Boletins Nuppa Site'!J1056&lt;&gt;0,'Boletins Nuppa Site'!J1056,"NULL")</f>
        <v>44</v>
      </c>
      <c r="H1056" s="16" t="n">
        <f aca="false">IF('Boletins Nuppa Site'!K1056&lt;&gt;0,'Boletins Nuppa Site'!K1056,"NULL")</f>
        <v>45</v>
      </c>
      <c r="J1056" s="1" t="str">
        <f aca="false">"INSERT INTO COTACAO (blt_id, pap_id, cot_prc_comum, cot_prc_min, cot_prc_max, cot_prc_med, cot_prc_mediana) VALUES ("&amp;B1056&amp;", "&amp;C1056&amp;", "&amp;D1056&amp;", "&amp;E1056&amp;", "&amp;F1056&amp;", "&amp;G1056&amp;", "&amp;H1056&amp;");"</f>
        <v>INSERT INTO COTACAO (blt_id, pap_id, cot_prc_comum, cot_prc_min, cot_prc_max, cot_prc_med, cot_prc_mediana) VALUES (28, 23, 50, 35, 50, 44, 45);</v>
      </c>
    </row>
    <row r="1057" customFormat="false" ht="14.25" hidden="false" customHeight="false" outlineLevel="0" collapsed="false">
      <c r="A1057" s="1" t="n">
        <v>1056</v>
      </c>
      <c r="B1057" s="1" t="n">
        <v>28</v>
      </c>
      <c r="C1057" s="1" t="n">
        <v>24</v>
      </c>
      <c r="D1057" s="1" t="str">
        <f aca="false">IF('Boletins Nuppa Site'!G1057&lt;&gt;0,'Boletins Nuppa Site'!G1057,"NULL")</f>
        <v>NULL</v>
      </c>
      <c r="E1057" s="16" t="n">
        <f aca="false">IF('Boletins Nuppa Site'!H1057&lt;&gt;0,'Boletins Nuppa Site'!H1057,"NULL")</f>
        <v>90</v>
      </c>
      <c r="F1057" s="16" t="n">
        <f aca="false">IF('Boletins Nuppa Site'!I1057&lt;&gt;0,'Boletins Nuppa Site'!I1057,"NULL")</f>
        <v>100</v>
      </c>
      <c r="G1057" s="16" t="n">
        <f aca="false">IF('Boletins Nuppa Site'!J1057&lt;&gt;0,'Boletins Nuppa Site'!J1057,"NULL")</f>
        <v>95</v>
      </c>
      <c r="H1057" s="16" t="n">
        <f aca="false">IF('Boletins Nuppa Site'!K1057&lt;&gt;0,'Boletins Nuppa Site'!K1057,"NULL")</f>
        <v>95</v>
      </c>
      <c r="J1057" s="1" t="str">
        <f aca="false">"INSERT INTO COTACAO (blt_id, pap_id, cot_prc_comum, cot_prc_min, cot_prc_max, cot_prc_med, cot_prc_mediana) VALUES ("&amp;B1057&amp;", "&amp;C1057&amp;", "&amp;D1057&amp;", "&amp;E1057&amp;", "&amp;F1057&amp;", "&amp;G1057&amp;", "&amp;H1057&amp;");"</f>
        <v>INSERT INTO COTACAO (blt_id, pap_id, cot_prc_comum, cot_prc_min, cot_prc_max, cot_prc_med, cot_prc_mediana) VALUES (28, 24, NULL, 90, 100, 95, 95);</v>
      </c>
    </row>
    <row r="1058" customFormat="false" ht="14.25" hidden="false" customHeight="false" outlineLevel="0" collapsed="false">
      <c r="A1058" s="1" t="n">
        <v>1057</v>
      </c>
      <c r="B1058" s="1" t="n">
        <v>28</v>
      </c>
      <c r="C1058" s="1" t="n">
        <v>25</v>
      </c>
      <c r="D1058" s="16" t="n">
        <f aca="false">IF('Boletins Nuppa Site'!G1058&lt;&gt;0,'Boletins Nuppa Site'!G1058,"NULL")</f>
        <v>60</v>
      </c>
      <c r="E1058" s="16" t="n">
        <f aca="false">IF('Boletins Nuppa Site'!H1058&lt;&gt;0,'Boletins Nuppa Site'!H1058,"NULL")</f>
        <v>57</v>
      </c>
      <c r="F1058" s="16" t="n">
        <f aca="false">IF('Boletins Nuppa Site'!I1058&lt;&gt;0,'Boletins Nuppa Site'!I1058,"NULL")</f>
        <v>60</v>
      </c>
      <c r="G1058" s="1" t="str">
        <f aca="false">IF('Boletins Nuppa Site'!J1058&lt;&gt;0,'Boletins Nuppa Site'!J1058,"NULL")</f>
        <v>59.4</v>
      </c>
      <c r="H1058" s="16" t="n">
        <f aca="false">IF('Boletins Nuppa Site'!K1058&lt;&gt;0,'Boletins Nuppa Site'!K1058,"NULL")</f>
        <v>60</v>
      </c>
      <c r="J1058" s="1" t="str">
        <f aca="false">"INSERT INTO COTACAO (blt_id, pap_id, cot_prc_comum, cot_prc_min, cot_prc_max, cot_prc_med, cot_prc_mediana) VALUES ("&amp;B1058&amp;", "&amp;C1058&amp;", "&amp;D1058&amp;", "&amp;E1058&amp;", "&amp;F1058&amp;", "&amp;G1058&amp;", "&amp;H1058&amp;");"</f>
        <v>INSERT INTO COTACAO (blt_id, pap_id, cot_prc_comum, cot_prc_min, cot_prc_max, cot_prc_med, cot_prc_mediana) VALUES (28, 25, 60, 57, 60, 59.4, 60);</v>
      </c>
    </row>
    <row r="1059" customFormat="false" ht="14.25" hidden="false" customHeight="false" outlineLevel="0" collapsed="false">
      <c r="A1059" s="1" t="n">
        <v>1058</v>
      </c>
      <c r="B1059" s="1" t="n">
        <v>28</v>
      </c>
      <c r="C1059" s="1" t="n">
        <v>26</v>
      </c>
      <c r="D1059" s="16" t="n">
        <f aca="false">IF('Boletins Nuppa Site'!G1059&lt;&gt;0,'Boletins Nuppa Site'!G1059,"NULL")</f>
        <v>60</v>
      </c>
      <c r="E1059" s="16" t="n">
        <f aca="false">IF('Boletins Nuppa Site'!H1059&lt;&gt;0,'Boletins Nuppa Site'!H1059,"NULL")</f>
        <v>40</v>
      </c>
      <c r="F1059" s="16" t="n">
        <f aca="false">IF('Boletins Nuppa Site'!I1059&lt;&gt;0,'Boletins Nuppa Site'!I1059,"NULL")</f>
        <v>60</v>
      </c>
      <c r="G1059" s="16" t="n">
        <f aca="false">IF('Boletins Nuppa Site'!J1059&lt;&gt;0,'Boletins Nuppa Site'!J1059,"NULL")</f>
        <v>55</v>
      </c>
      <c r="H1059" s="16" t="n">
        <f aca="false">IF('Boletins Nuppa Site'!K1059&lt;&gt;0,'Boletins Nuppa Site'!K1059,"NULL")</f>
        <v>60</v>
      </c>
      <c r="J1059" s="1" t="str">
        <f aca="false">"INSERT INTO COTACAO (blt_id, pap_id, cot_prc_comum, cot_prc_min, cot_prc_max, cot_prc_med, cot_prc_mediana) VALUES ("&amp;B1059&amp;", "&amp;C1059&amp;", "&amp;D1059&amp;", "&amp;E1059&amp;", "&amp;F1059&amp;", "&amp;G1059&amp;", "&amp;H1059&amp;");"</f>
        <v>INSERT INTO COTACAO (blt_id, pap_id, cot_prc_comum, cot_prc_min, cot_prc_max, cot_prc_med, cot_prc_mediana) VALUES (28, 26, 60, 40, 60, 55, 60);</v>
      </c>
    </row>
    <row r="1060" customFormat="false" ht="14.25" hidden="false" customHeight="false" outlineLevel="0" collapsed="false">
      <c r="A1060" s="1" t="n">
        <v>1059</v>
      </c>
      <c r="B1060" s="1" t="n">
        <v>28</v>
      </c>
      <c r="C1060" s="1" t="n">
        <v>27</v>
      </c>
      <c r="D1060" s="16" t="n">
        <f aca="false">IF('Boletins Nuppa Site'!G1060&lt;&gt;0,'Boletins Nuppa Site'!G1060,"NULL")</f>
        <v>45</v>
      </c>
      <c r="E1060" s="16" t="n">
        <f aca="false">IF('Boletins Nuppa Site'!H1060&lt;&gt;0,'Boletins Nuppa Site'!H1060,"NULL")</f>
        <v>45</v>
      </c>
      <c r="F1060" s="16" t="n">
        <f aca="false">IF('Boletins Nuppa Site'!I1060&lt;&gt;0,'Boletins Nuppa Site'!I1060,"NULL")</f>
        <v>75</v>
      </c>
      <c r="G1060" s="16" t="n">
        <f aca="false">IF('Boletins Nuppa Site'!J1060&lt;&gt;0,'Boletins Nuppa Site'!J1060,"NULL")</f>
        <v>57</v>
      </c>
      <c r="H1060" s="16" t="n">
        <f aca="false">IF('Boletins Nuppa Site'!K1060&lt;&gt;0,'Boletins Nuppa Site'!K1060,"NULL")</f>
        <v>60</v>
      </c>
      <c r="J1060" s="1" t="str">
        <f aca="false">"INSERT INTO COTACAO (blt_id, pap_id, cot_prc_comum, cot_prc_min, cot_prc_max, cot_prc_med, cot_prc_mediana) VALUES ("&amp;B1060&amp;", "&amp;C1060&amp;", "&amp;D1060&amp;", "&amp;E1060&amp;", "&amp;F1060&amp;", "&amp;G1060&amp;", "&amp;H1060&amp;");"</f>
        <v>INSERT INTO COTACAO (blt_id, pap_id, cot_prc_comum, cot_prc_min, cot_prc_max, cot_prc_med, cot_prc_mediana) VALUES (28, 27, 45, 45, 75, 57, 60);</v>
      </c>
    </row>
    <row r="1061" customFormat="false" ht="14.25" hidden="false" customHeight="false" outlineLevel="0" collapsed="false">
      <c r="A1061" s="1" t="n">
        <v>1060</v>
      </c>
      <c r="B1061" s="1" t="n">
        <v>28</v>
      </c>
      <c r="C1061" s="1" t="n">
        <v>28</v>
      </c>
      <c r="D1061" s="1" t="str">
        <f aca="false">IF('Boletins Nuppa Site'!G1061&lt;&gt;0,'Boletins Nuppa Site'!G1061,"NULL")</f>
        <v>NULL</v>
      </c>
      <c r="E1061" s="16" t="n">
        <f aca="false">IF('Boletins Nuppa Site'!H1061&lt;&gt;0,'Boletins Nuppa Site'!H1061,"NULL")</f>
        <v>70</v>
      </c>
      <c r="F1061" s="16" t="n">
        <f aca="false">IF('Boletins Nuppa Site'!I1061&lt;&gt;0,'Boletins Nuppa Site'!I1061,"NULL")</f>
        <v>100</v>
      </c>
      <c r="G1061" s="16" t="n">
        <f aca="false">IF('Boletins Nuppa Site'!J1061&lt;&gt;0,'Boletins Nuppa Site'!J1061,"NULL")</f>
        <v>85</v>
      </c>
      <c r="H1061" s="16" t="n">
        <f aca="false">IF('Boletins Nuppa Site'!K1061&lt;&gt;0,'Boletins Nuppa Site'!K1061,"NULL")</f>
        <v>85</v>
      </c>
      <c r="J1061" s="1" t="str">
        <f aca="false">"INSERT INTO COTACAO (blt_id, pap_id, cot_prc_comum, cot_prc_min, cot_prc_max, cot_prc_med, cot_prc_mediana) VALUES ("&amp;B1061&amp;", "&amp;C1061&amp;", "&amp;D1061&amp;", "&amp;E1061&amp;", "&amp;F1061&amp;", "&amp;G1061&amp;", "&amp;H1061&amp;");"</f>
        <v>INSERT INTO COTACAO (blt_id, pap_id, cot_prc_comum, cot_prc_min, cot_prc_max, cot_prc_med, cot_prc_mediana) VALUES (28, 28, NULL, 70, 100, 85, 85);</v>
      </c>
    </row>
    <row r="1062" customFormat="false" ht="14.25" hidden="false" customHeight="false" outlineLevel="0" collapsed="false">
      <c r="A1062" s="1" t="n">
        <v>1061</v>
      </c>
      <c r="B1062" s="1" t="n">
        <v>28</v>
      </c>
      <c r="C1062" s="1" t="n">
        <v>29</v>
      </c>
      <c r="D1062" s="1" t="str">
        <f aca="false">IF('Boletins Nuppa Site'!G1062&lt;&gt;0,'Boletins Nuppa Site'!G1062,"NULL")</f>
        <v>NULL</v>
      </c>
      <c r="E1062" s="16" t="n">
        <f aca="false">IF('Boletins Nuppa Site'!H1062&lt;&gt;0,'Boletins Nuppa Site'!H1062,"NULL")</f>
        <v>60</v>
      </c>
      <c r="F1062" s="16" t="n">
        <f aca="false">IF('Boletins Nuppa Site'!I1062&lt;&gt;0,'Boletins Nuppa Site'!I1062,"NULL")</f>
        <v>65</v>
      </c>
      <c r="G1062" s="1" t="str">
        <f aca="false">IF('Boletins Nuppa Site'!J1062&lt;&gt;0,'Boletins Nuppa Site'!J1062,"NULL")</f>
        <v>62.5</v>
      </c>
      <c r="H1062" s="1" t="str">
        <f aca="false">IF('Boletins Nuppa Site'!K1062&lt;&gt;0,'Boletins Nuppa Site'!K1062,"NULL")</f>
        <v>62.5</v>
      </c>
      <c r="J1062" s="1" t="str">
        <f aca="false">"INSERT INTO COTACAO (blt_id, pap_id, cot_prc_comum, cot_prc_min, cot_prc_max, cot_prc_med, cot_prc_mediana) VALUES ("&amp;B1062&amp;", "&amp;C1062&amp;", "&amp;D1062&amp;", "&amp;E1062&amp;", "&amp;F1062&amp;", "&amp;G1062&amp;", "&amp;H1062&amp;");"</f>
        <v>INSERT INTO COTACAO (blt_id, pap_id, cot_prc_comum, cot_prc_min, cot_prc_max, cot_prc_med, cot_prc_mediana) VALUES (28, 29, NULL, 60, 65, 62.5, 62.5);</v>
      </c>
    </row>
    <row r="1063" customFormat="false" ht="14.25" hidden="false" customHeight="false" outlineLevel="0" collapsed="false">
      <c r="A1063" s="1" t="n">
        <v>1062</v>
      </c>
      <c r="B1063" s="1" t="n">
        <v>28</v>
      </c>
      <c r="C1063" s="1" t="n">
        <v>30</v>
      </c>
      <c r="D1063" s="16" t="n">
        <f aca="false">IF('Boletins Nuppa Site'!G1063&lt;&gt;0,'Boletins Nuppa Site'!G1063,"NULL")</f>
        <v>50</v>
      </c>
      <c r="E1063" s="16" t="n">
        <f aca="false">IF('Boletins Nuppa Site'!H1063&lt;&gt;0,'Boletins Nuppa Site'!H1063,"NULL")</f>
        <v>50</v>
      </c>
      <c r="F1063" s="16" t="n">
        <f aca="false">IF('Boletins Nuppa Site'!I1063&lt;&gt;0,'Boletins Nuppa Site'!I1063,"NULL")</f>
        <v>60</v>
      </c>
      <c r="G1063" s="1" t="str">
        <f aca="false">IF('Boletins Nuppa Site'!J1063&lt;&gt;0,'Boletins Nuppa Site'!J1063,"NULL")</f>
        <v>53.75</v>
      </c>
      <c r="H1063" s="1" t="str">
        <f aca="false">IF('Boletins Nuppa Site'!K1063&lt;&gt;0,'Boletins Nuppa Site'!K1063,"NULL")</f>
        <v>52.5</v>
      </c>
      <c r="J1063" s="1" t="str">
        <f aca="false">"INSERT INTO COTACAO (blt_id, pap_id, cot_prc_comum, cot_prc_min, cot_prc_max, cot_prc_med, cot_prc_mediana) VALUES ("&amp;B1063&amp;", "&amp;C1063&amp;", "&amp;D1063&amp;", "&amp;E1063&amp;", "&amp;F1063&amp;", "&amp;G1063&amp;", "&amp;H1063&amp;");"</f>
        <v>INSERT INTO COTACAO (blt_id, pap_id, cot_prc_comum, cot_prc_min, cot_prc_max, cot_prc_med, cot_prc_mediana) VALUES (28, 30, 50, 50, 60, 53.75, 52.5);</v>
      </c>
    </row>
    <row r="1064" customFormat="false" ht="14.25" hidden="false" customHeight="false" outlineLevel="0" collapsed="false">
      <c r="A1064" s="1" t="n">
        <v>1063</v>
      </c>
      <c r="B1064" s="1" t="n">
        <v>28</v>
      </c>
      <c r="C1064" s="1" t="n">
        <v>31</v>
      </c>
      <c r="D1064" s="16" t="n">
        <f aca="false">IF('Boletins Nuppa Site'!G1064&lt;&gt;0,'Boletins Nuppa Site'!G1064,"NULL")</f>
        <v>80</v>
      </c>
      <c r="E1064" s="16" t="n">
        <f aca="false">IF('Boletins Nuppa Site'!H1064&lt;&gt;0,'Boletins Nuppa Site'!H1064,"NULL")</f>
        <v>70</v>
      </c>
      <c r="F1064" s="16" t="n">
        <f aca="false">IF('Boletins Nuppa Site'!I1064&lt;&gt;0,'Boletins Nuppa Site'!I1064,"NULL")</f>
        <v>80</v>
      </c>
      <c r="G1064" s="16" t="n">
        <f aca="false">IF('Boletins Nuppa Site'!J1064&lt;&gt;0,'Boletins Nuppa Site'!J1064,"NULL")</f>
        <v>77</v>
      </c>
      <c r="H1064" s="16" t="n">
        <f aca="false">IF('Boletins Nuppa Site'!K1064&lt;&gt;0,'Boletins Nuppa Site'!K1064,"NULL")</f>
        <v>80</v>
      </c>
      <c r="J1064" s="1" t="str">
        <f aca="false">"INSERT INTO COTACAO (blt_id, pap_id, cot_prc_comum, cot_prc_min, cot_prc_max, cot_prc_med, cot_prc_mediana) VALUES ("&amp;B1064&amp;", "&amp;C1064&amp;", "&amp;D1064&amp;", "&amp;E1064&amp;", "&amp;F1064&amp;", "&amp;G1064&amp;", "&amp;H1064&amp;");"</f>
        <v>INSERT INTO COTACAO (blt_id, pap_id, cot_prc_comum, cot_prc_min, cot_prc_max, cot_prc_med, cot_prc_mediana) VALUES (28, 31, 80, 70, 80, 77, 80);</v>
      </c>
    </row>
    <row r="1065" customFormat="false" ht="14.25" hidden="false" customHeight="false" outlineLevel="0" collapsed="false">
      <c r="A1065" s="1" t="n">
        <v>1064</v>
      </c>
      <c r="B1065" s="1" t="n">
        <v>28</v>
      </c>
      <c r="C1065" s="1" t="n">
        <v>32</v>
      </c>
      <c r="D1065" s="16" t="n">
        <f aca="false">IF('Boletins Nuppa Site'!G1065&lt;&gt;0,'Boletins Nuppa Site'!G1065,"NULL")</f>
        <v>50</v>
      </c>
      <c r="E1065" s="16" t="n">
        <f aca="false">IF('Boletins Nuppa Site'!H1065&lt;&gt;0,'Boletins Nuppa Site'!H1065,"NULL")</f>
        <v>45</v>
      </c>
      <c r="F1065" s="16" t="n">
        <f aca="false">IF('Boletins Nuppa Site'!I1065&lt;&gt;0,'Boletins Nuppa Site'!I1065,"NULL")</f>
        <v>70</v>
      </c>
      <c r="G1065" s="16" t="n">
        <f aca="false">IF('Boletins Nuppa Site'!J1065&lt;&gt;0,'Boletins Nuppa Site'!J1065,"NULL")</f>
        <v>54</v>
      </c>
      <c r="H1065" s="16" t="n">
        <f aca="false">IF('Boletins Nuppa Site'!K1065&lt;&gt;0,'Boletins Nuppa Site'!K1065,"NULL")</f>
        <v>50</v>
      </c>
      <c r="J1065" s="1" t="str">
        <f aca="false">"INSERT INTO COTACAO (blt_id, pap_id, cot_prc_comum, cot_prc_min, cot_prc_max, cot_prc_med, cot_prc_mediana) VALUES ("&amp;B1065&amp;", "&amp;C1065&amp;", "&amp;D1065&amp;", "&amp;E1065&amp;", "&amp;F1065&amp;", "&amp;G1065&amp;", "&amp;H1065&amp;");"</f>
        <v>INSERT INTO COTACAO (blt_id, pap_id, cot_prc_comum, cot_prc_min, cot_prc_max, cot_prc_med, cot_prc_mediana) VALUES (28, 32, 50, 45, 70, 54, 50);</v>
      </c>
    </row>
    <row r="1066" customFormat="false" ht="14.25" hidden="false" customHeight="false" outlineLevel="0" collapsed="false">
      <c r="A1066" s="1" t="n">
        <v>1065</v>
      </c>
      <c r="B1066" s="1" t="n">
        <v>28</v>
      </c>
      <c r="C1066" s="1" t="n">
        <v>33</v>
      </c>
      <c r="D1066" s="16" t="n">
        <f aca="false">IF('Boletins Nuppa Site'!G1066&lt;&gt;0,'Boletins Nuppa Site'!G1066,"NULL")</f>
        <v>110</v>
      </c>
      <c r="E1066" s="16" t="n">
        <f aca="false">IF('Boletins Nuppa Site'!H1066&lt;&gt;0,'Boletins Nuppa Site'!H1066,"NULL")</f>
        <v>100</v>
      </c>
      <c r="F1066" s="16" t="n">
        <f aca="false">IF('Boletins Nuppa Site'!I1066&lt;&gt;0,'Boletins Nuppa Site'!I1066,"NULL")</f>
        <v>155</v>
      </c>
      <c r="G1066" s="1" t="str">
        <f aca="false">IF('Boletins Nuppa Site'!J1066&lt;&gt;0,'Boletins Nuppa Site'!J1066,"NULL")</f>
        <v>118.75</v>
      </c>
      <c r="H1066" s="16" t="n">
        <f aca="false">IF('Boletins Nuppa Site'!K1066&lt;&gt;0,'Boletins Nuppa Site'!K1066,"NULL")</f>
        <v>110</v>
      </c>
      <c r="J1066" s="1" t="str">
        <f aca="false">"INSERT INTO COTACAO (blt_id, pap_id, cot_prc_comum, cot_prc_min, cot_prc_max, cot_prc_med, cot_prc_mediana) VALUES ("&amp;B1066&amp;", "&amp;C1066&amp;", "&amp;D1066&amp;", "&amp;E1066&amp;", "&amp;F1066&amp;", "&amp;G1066&amp;", "&amp;H1066&amp;");"</f>
        <v>INSERT INTO COTACAO (blt_id, pap_id, cot_prc_comum, cot_prc_min, cot_prc_max, cot_prc_med, cot_prc_mediana) VALUES (28, 33, 110, 100, 155, 118.75, 110);</v>
      </c>
    </row>
    <row r="1067" customFormat="false" ht="14.25" hidden="false" customHeight="false" outlineLevel="0" collapsed="false">
      <c r="A1067" s="1" t="n">
        <v>1066</v>
      </c>
      <c r="B1067" s="1" t="n">
        <v>28</v>
      </c>
      <c r="C1067" s="1" t="n">
        <v>34</v>
      </c>
      <c r="D1067" s="16" t="n">
        <f aca="false">IF('Boletins Nuppa Site'!G1067&lt;&gt;0,'Boletins Nuppa Site'!G1067,"NULL")</f>
        <v>60</v>
      </c>
      <c r="E1067" s="16" t="n">
        <f aca="false">IF('Boletins Nuppa Site'!H1067&lt;&gt;0,'Boletins Nuppa Site'!H1067,"NULL")</f>
        <v>60</v>
      </c>
      <c r="F1067" s="16" t="n">
        <f aca="false">IF('Boletins Nuppa Site'!I1067&lt;&gt;0,'Boletins Nuppa Site'!I1067,"NULL")</f>
        <v>80</v>
      </c>
      <c r="G1067" s="16" t="n">
        <f aca="false">IF('Boletins Nuppa Site'!J1067&lt;&gt;0,'Boletins Nuppa Site'!J1067,"NULL")</f>
        <v>66</v>
      </c>
      <c r="H1067" s="16" t="n">
        <f aca="false">IF('Boletins Nuppa Site'!K1067&lt;&gt;0,'Boletins Nuppa Site'!K1067,"NULL")</f>
        <v>60</v>
      </c>
      <c r="J1067" s="1" t="str">
        <f aca="false">"INSERT INTO COTACAO (blt_id, pap_id, cot_prc_comum, cot_prc_min, cot_prc_max, cot_prc_med, cot_prc_mediana) VALUES ("&amp;B1067&amp;", "&amp;C1067&amp;", "&amp;D1067&amp;", "&amp;E1067&amp;", "&amp;F1067&amp;", "&amp;G1067&amp;", "&amp;H1067&amp;");"</f>
        <v>INSERT INTO COTACAO (blt_id, pap_id, cot_prc_comum, cot_prc_min, cot_prc_max, cot_prc_med, cot_prc_mediana) VALUES (28, 34, 60, 60, 80, 66, 60);</v>
      </c>
    </row>
    <row r="1068" customFormat="false" ht="14.25" hidden="false" customHeight="false" outlineLevel="0" collapsed="false">
      <c r="A1068" s="1" t="n">
        <v>1067</v>
      </c>
      <c r="B1068" s="1" t="n">
        <v>28</v>
      </c>
      <c r="C1068" s="1" t="n">
        <v>35</v>
      </c>
      <c r="D1068" s="1" t="str">
        <f aca="false">IF('Boletins Nuppa Site'!G1068&lt;&gt;0,'Boletins Nuppa Site'!G1068,"NULL")</f>
        <v>NULL</v>
      </c>
      <c r="E1068" s="16" t="n">
        <f aca="false">IF('Boletins Nuppa Site'!H1068&lt;&gt;0,'Boletins Nuppa Site'!H1068,"NULL")</f>
        <v>150</v>
      </c>
      <c r="F1068" s="16" t="n">
        <f aca="false">IF('Boletins Nuppa Site'!I1068&lt;&gt;0,'Boletins Nuppa Site'!I1068,"NULL")</f>
        <v>160</v>
      </c>
      <c r="G1068" s="16" t="n">
        <f aca="false">IF('Boletins Nuppa Site'!J1068&lt;&gt;0,'Boletins Nuppa Site'!J1068,"NULL")</f>
        <v>155</v>
      </c>
      <c r="H1068" s="16" t="n">
        <f aca="false">IF('Boletins Nuppa Site'!K1068&lt;&gt;0,'Boletins Nuppa Site'!K1068,"NULL")</f>
        <v>155</v>
      </c>
      <c r="J1068" s="1" t="str">
        <f aca="false">"INSERT INTO COTACAO (blt_id, pap_id, cot_prc_comum, cot_prc_min, cot_prc_max, cot_prc_med, cot_prc_mediana) VALUES ("&amp;B1068&amp;", "&amp;C1068&amp;", "&amp;D1068&amp;", "&amp;E1068&amp;", "&amp;F1068&amp;", "&amp;G1068&amp;", "&amp;H1068&amp;");"</f>
        <v>INSERT INTO COTACAO (blt_id, pap_id, cot_prc_comum, cot_prc_min, cot_prc_max, cot_prc_med, cot_prc_mediana) VALUES (28, 35, NULL, 150, 160, 155, 155);</v>
      </c>
    </row>
    <row r="1069" customFormat="false" ht="14.25" hidden="false" customHeight="false" outlineLevel="0" collapsed="false">
      <c r="A1069" s="1" t="n">
        <v>1068</v>
      </c>
      <c r="B1069" s="1" t="n">
        <v>28</v>
      </c>
      <c r="C1069" s="1" t="n">
        <v>36</v>
      </c>
      <c r="D1069" s="1" t="str">
        <f aca="false">IF('Boletins Nuppa Site'!G1069&lt;&gt;0,'Boletins Nuppa Site'!G1069,"NULL")</f>
        <v>NULL</v>
      </c>
      <c r="E1069" s="1" t="str">
        <f aca="false">IF('Boletins Nuppa Site'!H1069&lt;&gt;0,'Boletins Nuppa Site'!H1069,"NULL")</f>
        <v>NULL</v>
      </c>
      <c r="F1069" s="1" t="str">
        <f aca="false">IF('Boletins Nuppa Site'!I1069&lt;&gt;0,'Boletins Nuppa Site'!I1069,"NULL")</f>
        <v>NULL</v>
      </c>
      <c r="G1069" s="1" t="str">
        <f aca="false">IF('Boletins Nuppa Site'!J1069&lt;&gt;0,'Boletins Nuppa Site'!J1069,"NULL")</f>
        <v>NULL</v>
      </c>
      <c r="H1069" s="1" t="str">
        <f aca="false">IF('Boletins Nuppa Site'!K1069&lt;&gt;0,'Boletins Nuppa Site'!K1069,"NULL")</f>
        <v>NULL</v>
      </c>
      <c r="J1069" s="1" t="str">
        <f aca="false">"INSERT INTO COTACAO (blt_id, pap_id, cot_prc_comum, cot_prc_min, cot_prc_max, cot_prc_med, cot_prc_mediana) VALUES ("&amp;B1069&amp;", "&amp;C1069&amp;", "&amp;D1069&amp;", "&amp;E1069&amp;", "&amp;F1069&amp;", "&amp;G1069&amp;", "&amp;H1069&amp;");"</f>
        <v>INSERT INTO COTACAO (blt_id, pap_id, cot_prc_comum, cot_prc_min, cot_prc_max, cot_prc_med, cot_prc_mediana) VALUES (28, 36, NULL, NULL, NULL, NULL, NULL);</v>
      </c>
    </row>
    <row r="1070" customFormat="false" ht="14.25" hidden="false" customHeight="false" outlineLevel="0" collapsed="false">
      <c r="A1070" s="1" t="n">
        <v>1069</v>
      </c>
      <c r="B1070" s="1" t="n">
        <v>28</v>
      </c>
      <c r="C1070" s="1" t="n">
        <v>37</v>
      </c>
      <c r="D1070" s="1" t="str">
        <f aca="false">IF('Boletins Nuppa Site'!G1070&lt;&gt;0,'Boletins Nuppa Site'!G1070,"NULL")</f>
        <v>NULL</v>
      </c>
      <c r="E1070" s="1" t="str">
        <f aca="false">IF('Boletins Nuppa Site'!H1070&lt;&gt;0,'Boletins Nuppa Site'!H1070,"NULL")</f>
        <v>NULL</v>
      </c>
      <c r="F1070" s="1" t="str">
        <f aca="false">IF('Boletins Nuppa Site'!I1070&lt;&gt;0,'Boletins Nuppa Site'!I1070,"NULL")</f>
        <v>NULL</v>
      </c>
      <c r="G1070" s="1" t="str">
        <f aca="false">IF('Boletins Nuppa Site'!J1070&lt;&gt;0,'Boletins Nuppa Site'!J1070,"NULL")</f>
        <v>NULL</v>
      </c>
      <c r="H1070" s="1" t="str">
        <f aca="false">IF('Boletins Nuppa Site'!K1070&lt;&gt;0,'Boletins Nuppa Site'!K1070,"NULL")</f>
        <v>NULL</v>
      </c>
      <c r="J1070" s="1" t="str">
        <f aca="false">"INSERT INTO COTACAO (blt_id, pap_id, cot_prc_comum, cot_prc_min, cot_prc_max, cot_prc_med, cot_prc_mediana) VALUES ("&amp;B1070&amp;", "&amp;C1070&amp;", "&amp;D1070&amp;", "&amp;E1070&amp;", "&amp;F1070&amp;", "&amp;G1070&amp;", "&amp;H1070&amp;");"</f>
        <v>INSERT INTO COTACAO (blt_id, pap_id, cot_prc_comum, cot_prc_min, cot_prc_max, cot_prc_med, cot_prc_mediana) VALUES (28, 37, NULL, NULL, NULL, NULL, NULL);</v>
      </c>
    </row>
    <row r="1071" customFormat="false" ht="14.25" hidden="false" customHeight="false" outlineLevel="0" collapsed="false">
      <c r="A1071" s="1" t="n">
        <v>1070</v>
      </c>
      <c r="B1071" s="1" t="n">
        <v>28</v>
      </c>
      <c r="C1071" s="1" t="n">
        <v>38</v>
      </c>
      <c r="D1071" s="1" t="str">
        <f aca="false">IF('Boletins Nuppa Site'!G1071&lt;&gt;0,'Boletins Nuppa Site'!G1071,"NULL")</f>
        <v>NULL</v>
      </c>
      <c r="E1071" s="1" t="str">
        <f aca="false">IF('Boletins Nuppa Site'!H1071&lt;&gt;0,'Boletins Nuppa Site'!H1071,"NULL")</f>
        <v>NULL</v>
      </c>
      <c r="F1071" s="1" t="str">
        <f aca="false">IF('Boletins Nuppa Site'!I1071&lt;&gt;0,'Boletins Nuppa Site'!I1071,"NULL")</f>
        <v>NULL</v>
      </c>
      <c r="G1071" s="1" t="str">
        <f aca="false">IF('Boletins Nuppa Site'!J1071&lt;&gt;0,'Boletins Nuppa Site'!J1071,"NULL")</f>
        <v>NULL</v>
      </c>
      <c r="H1071" s="1" t="str">
        <f aca="false">IF('Boletins Nuppa Site'!K1071&lt;&gt;0,'Boletins Nuppa Site'!K1071,"NULL")</f>
        <v>NULL</v>
      </c>
      <c r="J1071" s="1" t="str">
        <f aca="false">"INSERT INTO COTACAO (blt_id, pap_id, cot_prc_comum, cot_prc_min, cot_prc_max, cot_prc_med, cot_prc_mediana) VALUES ("&amp;B1071&amp;", "&amp;C1071&amp;", "&amp;D1071&amp;", "&amp;E1071&amp;", "&amp;F1071&amp;", "&amp;G1071&amp;", "&amp;H1071&amp;");"</f>
        <v>INSERT INTO COTACAO (blt_id, pap_id, cot_prc_comum, cot_prc_min, cot_prc_max, cot_prc_med, cot_prc_mediana) VALUES (28, 38, NULL, NULL, NULL, NULL, NULL);</v>
      </c>
    </row>
    <row r="1072" customFormat="false" ht="14.25" hidden="false" customHeight="false" outlineLevel="0" collapsed="false">
      <c r="A1072" s="1" t="n">
        <v>1071</v>
      </c>
      <c r="B1072" s="1" t="n">
        <v>28</v>
      </c>
      <c r="C1072" s="1" t="n">
        <v>39</v>
      </c>
      <c r="D1072" s="1" t="str">
        <f aca="false">IF('Boletins Nuppa Site'!G1072&lt;&gt;0,'Boletins Nuppa Site'!G1072,"NULL")</f>
        <v>NULL</v>
      </c>
      <c r="E1072" s="16" t="n">
        <f aca="false">IF('Boletins Nuppa Site'!H1072&lt;&gt;0,'Boletins Nuppa Site'!H1072,"NULL")</f>
        <v>60</v>
      </c>
      <c r="F1072" s="16" t="n">
        <f aca="false">IF('Boletins Nuppa Site'!I1072&lt;&gt;0,'Boletins Nuppa Site'!I1072,"NULL")</f>
        <v>60</v>
      </c>
      <c r="G1072" s="16" t="n">
        <f aca="false">IF('Boletins Nuppa Site'!J1072&lt;&gt;0,'Boletins Nuppa Site'!J1072,"NULL")</f>
        <v>60</v>
      </c>
      <c r="H1072" s="16" t="n">
        <f aca="false">IF('Boletins Nuppa Site'!K1072&lt;&gt;0,'Boletins Nuppa Site'!K1072,"NULL")</f>
        <v>60</v>
      </c>
      <c r="J1072" s="1" t="str">
        <f aca="false">"INSERT INTO COTACAO (blt_id, pap_id, cot_prc_comum, cot_prc_min, cot_prc_max, cot_prc_med, cot_prc_mediana) VALUES ("&amp;B1072&amp;", "&amp;C1072&amp;", "&amp;D1072&amp;", "&amp;E1072&amp;", "&amp;F1072&amp;", "&amp;G1072&amp;", "&amp;H1072&amp;");"</f>
        <v>INSERT INTO COTACAO (blt_id, pap_id, cot_prc_comum, cot_prc_min, cot_prc_max, cot_prc_med, cot_prc_mediana) VALUES (28, 39, NULL, 60, 60, 60, 60);</v>
      </c>
    </row>
    <row r="1073" customFormat="false" ht="14.25" hidden="false" customHeight="false" outlineLevel="0" collapsed="false">
      <c r="A1073" s="1" t="n">
        <v>1072</v>
      </c>
      <c r="B1073" s="1" t="n">
        <v>28</v>
      </c>
      <c r="C1073" s="1" t="n">
        <v>40</v>
      </c>
      <c r="D1073" s="1" t="str">
        <f aca="false">IF('Boletins Nuppa Site'!G1073&lt;&gt;0,'Boletins Nuppa Site'!G1073,"NULL")</f>
        <v>NULL</v>
      </c>
      <c r="E1073" s="1" t="str">
        <f aca="false">IF('Boletins Nuppa Site'!H1073&lt;&gt;0,'Boletins Nuppa Site'!H1073,"NULL")</f>
        <v>NULL</v>
      </c>
      <c r="F1073" s="1" t="str">
        <f aca="false">IF('Boletins Nuppa Site'!I1073&lt;&gt;0,'Boletins Nuppa Site'!I1073,"NULL")</f>
        <v>NULL</v>
      </c>
      <c r="G1073" s="1" t="str">
        <f aca="false">IF('Boletins Nuppa Site'!J1073&lt;&gt;0,'Boletins Nuppa Site'!J1073,"NULL")</f>
        <v>NULL</v>
      </c>
      <c r="H1073" s="1" t="str">
        <f aca="false">IF('Boletins Nuppa Site'!K1073&lt;&gt;0,'Boletins Nuppa Site'!K1073,"NULL")</f>
        <v>NULL</v>
      </c>
      <c r="J1073" s="1" t="str">
        <f aca="false">"INSERT INTO COTACAO (blt_id, pap_id, cot_prc_comum, cot_prc_min, cot_prc_max, cot_prc_med, cot_prc_mediana) VALUES ("&amp;B1073&amp;", "&amp;C1073&amp;", "&amp;D1073&amp;", "&amp;E1073&amp;", "&amp;F1073&amp;", "&amp;G1073&amp;", "&amp;H1073&amp;");"</f>
        <v>INSERT INTO COTACAO (blt_id, pap_id, cot_prc_comum, cot_prc_min, cot_prc_max, cot_prc_med, cot_prc_mediana) VALUES (28, 40, NULL, NULL, NULL, NULL, NULL);</v>
      </c>
    </row>
    <row r="1074" customFormat="false" ht="14.25" hidden="false" customHeight="false" outlineLevel="0" collapsed="false">
      <c r="A1074" s="1" t="n">
        <v>1073</v>
      </c>
      <c r="B1074" s="1" t="n">
        <v>29</v>
      </c>
      <c r="C1074" s="1" t="n">
        <v>1</v>
      </c>
      <c r="D1074" s="16" t="n">
        <f aca="false">IF('Boletins Nuppa Site'!G1074&lt;&gt;0,'Boletins Nuppa Site'!G1074,"NULL")</f>
        <v>48</v>
      </c>
      <c r="E1074" s="16" t="n">
        <f aca="false">IF('Boletins Nuppa Site'!H1074&lt;&gt;0,'Boletins Nuppa Site'!H1074,"NULL")</f>
        <v>48</v>
      </c>
      <c r="F1074" s="16" t="n">
        <f aca="false">IF('Boletins Nuppa Site'!I1074&lt;&gt;0,'Boletins Nuppa Site'!I1074,"NULL")</f>
        <v>80</v>
      </c>
      <c r="G1074" s="16" t="n">
        <f aca="false">IF('Boletins Nuppa Site'!J1074&lt;&gt;0,'Boletins Nuppa Site'!J1074,"NULL")</f>
        <v>56</v>
      </c>
      <c r="H1074" s="16" t="n">
        <f aca="false">IF('Boletins Nuppa Site'!K1074&lt;&gt;0,'Boletins Nuppa Site'!K1074,"NULL")</f>
        <v>48</v>
      </c>
      <c r="J1074" s="1" t="str">
        <f aca="false">"INSERT INTO COTACAO (blt_id, pap_id, cot_prc_comum, cot_prc_min, cot_prc_max, cot_prc_med, cot_prc_mediana) VALUES ("&amp;B1074&amp;", "&amp;C1074&amp;", "&amp;D1074&amp;", "&amp;E1074&amp;", "&amp;F1074&amp;", "&amp;G1074&amp;", "&amp;H1074&amp;");"</f>
        <v>INSERT INTO COTACAO (blt_id, pap_id, cot_prc_comum, cot_prc_min, cot_prc_max, cot_prc_med, cot_prc_mediana) VALUES (29, 1, 48, 48, 80, 56, 48);</v>
      </c>
    </row>
    <row r="1075" customFormat="false" ht="14.25" hidden="false" customHeight="false" outlineLevel="0" collapsed="false">
      <c r="A1075" s="1" t="n">
        <v>1074</v>
      </c>
      <c r="B1075" s="1" t="n">
        <v>29</v>
      </c>
      <c r="C1075" s="1" t="n">
        <v>2</v>
      </c>
      <c r="D1075" s="16" t="n">
        <f aca="false">IF('Boletins Nuppa Site'!G1075&lt;&gt;0,'Boletins Nuppa Site'!G1075,"NULL")</f>
        <v>72</v>
      </c>
      <c r="E1075" s="16" t="n">
        <f aca="false">IF('Boletins Nuppa Site'!H1075&lt;&gt;0,'Boletins Nuppa Site'!H1075,"NULL")</f>
        <v>72</v>
      </c>
      <c r="F1075" s="16" t="n">
        <f aca="false">IF('Boletins Nuppa Site'!I1075&lt;&gt;0,'Boletins Nuppa Site'!I1075,"NULL")</f>
        <v>84</v>
      </c>
      <c r="G1075" s="16" t="n">
        <f aca="false">IF('Boletins Nuppa Site'!J1075&lt;&gt;0,'Boletins Nuppa Site'!J1075,"NULL")</f>
        <v>77</v>
      </c>
      <c r="H1075" s="16" t="n">
        <f aca="false">IF('Boletins Nuppa Site'!K1075&lt;&gt;0,'Boletins Nuppa Site'!K1075,"NULL")</f>
        <v>76</v>
      </c>
      <c r="J1075" s="1" t="str">
        <f aca="false">"INSERT INTO COTACAO (blt_id, pap_id, cot_prc_comum, cot_prc_min, cot_prc_max, cot_prc_med, cot_prc_mediana) VALUES ("&amp;B1075&amp;", "&amp;C1075&amp;", "&amp;D1075&amp;", "&amp;E1075&amp;", "&amp;F1075&amp;", "&amp;G1075&amp;", "&amp;H1075&amp;");"</f>
        <v>INSERT INTO COTACAO (blt_id, pap_id, cot_prc_comum, cot_prc_min, cot_prc_max, cot_prc_med, cot_prc_mediana) VALUES (29, 2, 72, 72, 84, 77, 76);</v>
      </c>
    </row>
    <row r="1076" customFormat="false" ht="14.25" hidden="false" customHeight="false" outlineLevel="0" collapsed="false">
      <c r="A1076" s="1" t="n">
        <v>1075</v>
      </c>
      <c r="B1076" s="1" t="n">
        <v>29</v>
      </c>
      <c r="C1076" s="1" t="n">
        <v>3</v>
      </c>
      <c r="D1076" s="16" t="n">
        <f aca="false">IF('Boletins Nuppa Site'!G1076&lt;&gt;0,'Boletins Nuppa Site'!G1076,"NULL")</f>
        <v>36</v>
      </c>
      <c r="E1076" s="16" t="n">
        <f aca="false">IF('Boletins Nuppa Site'!H1076&lt;&gt;0,'Boletins Nuppa Site'!H1076,"NULL")</f>
        <v>30</v>
      </c>
      <c r="F1076" s="16" t="n">
        <f aca="false">IF('Boletins Nuppa Site'!I1076&lt;&gt;0,'Boletins Nuppa Site'!I1076,"NULL")</f>
        <v>142</v>
      </c>
      <c r="G1076" s="1" t="str">
        <f aca="false">IF('Boletins Nuppa Site'!J1076&lt;&gt;0,'Boletins Nuppa Site'!J1076,"NULL")</f>
        <v>55.8</v>
      </c>
      <c r="H1076" s="16" t="n">
        <f aca="false">IF('Boletins Nuppa Site'!K1076&lt;&gt;0,'Boletins Nuppa Site'!K1076,"NULL")</f>
        <v>36</v>
      </c>
      <c r="J1076" s="1" t="str">
        <f aca="false">"INSERT INTO COTACAO (blt_id, pap_id, cot_prc_comum, cot_prc_min, cot_prc_max, cot_prc_med, cot_prc_mediana) VALUES ("&amp;B1076&amp;", "&amp;C1076&amp;", "&amp;D1076&amp;", "&amp;E1076&amp;", "&amp;F1076&amp;", "&amp;G1076&amp;", "&amp;H1076&amp;");"</f>
        <v>INSERT INTO COTACAO (blt_id, pap_id, cot_prc_comum, cot_prc_min, cot_prc_max, cot_prc_med, cot_prc_mediana) VALUES (29, 3, 36, 30, 142, 55.8, 36);</v>
      </c>
    </row>
    <row r="1077" customFormat="false" ht="14.25" hidden="false" customHeight="false" outlineLevel="0" collapsed="false">
      <c r="A1077" s="1" t="n">
        <v>1076</v>
      </c>
      <c r="B1077" s="1" t="n">
        <v>29</v>
      </c>
      <c r="C1077" s="1" t="n">
        <v>4</v>
      </c>
      <c r="D1077" s="16" t="n">
        <f aca="false">IF('Boletins Nuppa Site'!G1077&lt;&gt;0,'Boletins Nuppa Site'!G1077,"NULL")</f>
        <v>24</v>
      </c>
      <c r="E1077" s="16" t="n">
        <f aca="false">IF('Boletins Nuppa Site'!H1077&lt;&gt;0,'Boletins Nuppa Site'!H1077,"NULL")</f>
        <v>18</v>
      </c>
      <c r="F1077" s="16" t="n">
        <f aca="false">IF('Boletins Nuppa Site'!I1077&lt;&gt;0,'Boletins Nuppa Site'!I1077,"NULL")</f>
        <v>36</v>
      </c>
      <c r="G1077" s="1" t="str">
        <f aca="false">IF('Boletins Nuppa Site'!J1077&lt;&gt;0,'Boletins Nuppa Site'!J1077,"NULL")</f>
        <v>25.2</v>
      </c>
      <c r="H1077" s="16" t="n">
        <f aca="false">IF('Boletins Nuppa Site'!K1077&lt;&gt;0,'Boletins Nuppa Site'!K1077,"NULL")</f>
        <v>24</v>
      </c>
      <c r="J1077" s="1" t="str">
        <f aca="false">"INSERT INTO COTACAO (blt_id, pap_id, cot_prc_comum, cot_prc_min, cot_prc_max, cot_prc_med, cot_prc_mediana) VALUES ("&amp;B1077&amp;", "&amp;C1077&amp;", "&amp;D1077&amp;", "&amp;E1077&amp;", "&amp;F1077&amp;", "&amp;G1077&amp;", "&amp;H1077&amp;");"</f>
        <v>INSERT INTO COTACAO (blt_id, pap_id, cot_prc_comum, cot_prc_min, cot_prc_max, cot_prc_med, cot_prc_mediana) VALUES (29, 4, 24, 18, 36, 25.2, 24);</v>
      </c>
    </row>
    <row r="1078" customFormat="false" ht="14.25" hidden="false" customHeight="false" outlineLevel="0" collapsed="false">
      <c r="A1078" s="1" t="n">
        <v>1077</v>
      </c>
      <c r="B1078" s="1" t="n">
        <v>29</v>
      </c>
      <c r="C1078" s="1" t="n">
        <v>5</v>
      </c>
      <c r="D1078" s="16" t="n">
        <f aca="false">IF('Boletins Nuppa Site'!G1078&lt;&gt;0,'Boletins Nuppa Site'!G1078,"NULL")</f>
        <v>24</v>
      </c>
      <c r="E1078" s="16" t="n">
        <f aca="false">IF('Boletins Nuppa Site'!H1078&lt;&gt;0,'Boletins Nuppa Site'!H1078,"NULL")</f>
        <v>18</v>
      </c>
      <c r="F1078" s="16" t="n">
        <f aca="false">IF('Boletins Nuppa Site'!I1078&lt;&gt;0,'Boletins Nuppa Site'!I1078,"NULL")</f>
        <v>24</v>
      </c>
      <c r="G1078" s="1" t="str">
        <f aca="false">IF('Boletins Nuppa Site'!J1078&lt;&gt;0,'Boletins Nuppa Site'!J1078,"NULL")</f>
        <v>22.8</v>
      </c>
      <c r="H1078" s="16" t="n">
        <f aca="false">IF('Boletins Nuppa Site'!K1078&lt;&gt;0,'Boletins Nuppa Site'!K1078,"NULL")</f>
        <v>24</v>
      </c>
      <c r="J1078" s="1" t="str">
        <f aca="false">"INSERT INTO COTACAO (blt_id, pap_id, cot_prc_comum, cot_prc_min, cot_prc_max, cot_prc_med, cot_prc_mediana) VALUES ("&amp;B1078&amp;", "&amp;C1078&amp;", "&amp;D1078&amp;", "&amp;E1078&amp;", "&amp;F1078&amp;", "&amp;G1078&amp;", "&amp;H1078&amp;");"</f>
        <v>INSERT INTO COTACAO (blt_id, pap_id, cot_prc_comum, cot_prc_min, cot_prc_max, cot_prc_med, cot_prc_mediana) VALUES (29, 5, 24, 18, 24, 22.8, 24);</v>
      </c>
    </row>
    <row r="1079" customFormat="false" ht="14.25" hidden="false" customHeight="false" outlineLevel="0" collapsed="false">
      <c r="A1079" s="1" t="n">
        <v>1078</v>
      </c>
      <c r="B1079" s="1" t="n">
        <v>29</v>
      </c>
      <c r="C1079" s="1" t="n">
        <v>6</v>
      </c>
      <c r="D1079" s="16" t="n">
        <f aca="false">IF('Boletins Nuppa Site'!G1079&lt;&gt;0,'Boletins Nuppa Site'!G1079,"NULL")</f>
        <v>60</v>
      </c>
      <c r="E1079" s="16" t="n">
        <f aca="false">IF('Boletins Nuppa Site'!H1079&lt;&gt;0,'Boletins Nuppa Site'!H1079,"NULL")</f>
        <v>60</v>
      </c>
      <c r="F1079" s="16" t="n">
        <f aca="false">IF('Boletins Nuppa Site'!I1079&lt;&gt;0,'Boletins Nuppa Site'!I1079,"NULL")</f>
        <v>60</v>
      </c>
      <c r="G1079" s="16" t="n">
        <f aca="false">IF('Boletins Nuppa Site'!J1079&lt;&gt;0,'Boletins Nuppa Site'!J1079,"NULL")</f>
        <v>60</v>
      </c>
      <c r="H1079" s="16" t="n">
        <f aca="false">IF('Boletins Nuppa Site'!K1079&lt;&gt;0,'Boletins Nuppa Site'!K1079,"NULL")</f>
        <v>60</v>
      </c>
      <c r="J1079" s="1" t="str">
        <f aca="false">"INSERT INTO COTACAO (blt_id, pap_id, cot_prc_comum, cot_prc_min, cot_prc_max, cot_prc_med, cot_prc_mediana) VALUES ("&amp;B1079&amp;", "&amp;C1079&amp;", "&amp;D1079&amp;", "&amp;E1079&amp;", "&amp;F1079&amp;", "&amp;G1079&amp;", "&amp;H1079&amp;");"</f>
        <v>INSERT INTO COTACAO (blt_id, pap_id, cot_prc_comum, cot_prc_min, cot_prc_max, cot_prc_med, cot_prc_mediana) VALUES (29, 6, 60, 60, 60, 60, 60);</v>
      </c>
    </row>
    <row r="1080" customFormat="false" ht="14.25" hidden="false" customHeight="false" outlineLevel="0" collapsed="false">
      <c r="A1080" s="1" t="n">
        <v>1079</v>
      </c>
      <c r="B1080" s="1" t="n">
        <v>29</v>
      </c>
      <c r="C1080" s="1" t="n">
        <v>7</v>
      </c>
      <c r="D1080" s="16" t="n">
        <f aca="false">IF('Boletins Nuppa Site'!G1080&lt;&gt;0,'Boletins Nuppa Site'!G1080,"NULL")</f>
        <v>72</v>
      </c>
      <c r="E1080" s="16" t="n">
        <f aca="false">IF('Boletins Nuppa Site'!H1080&lt;&gt;0,'Boletins Nuppa Site'!H1080,"NULL")</f>
        <v>60</v>
      </c>
      <c r="F1080" s="16" t="n">
        <f aca="false">IF('Boletins Nuppa Site'!I1080&lt;&gt;0,'Boletins Nuppa Site'!I1080,"NULL")</f>
        <v>84</v>
      </c>
      <c r="G1080" s="16" t="n">
        <f aca="false">IF('Boletins Nuppa Site'!J1080&lt;&gt;0,'Boletins Nuppa Site'!J1080,"NULL")</f>
        <v>72</v>
      </c>
      <c r="H1080" s="16" t="n">
        <f aca="false">IF('Boletins Nuppa Site'!K1080&lt;&gt;0,'Boletins Nuppa Site'!K1080,"NULL")</f>
        <v>72</v>
      </c>
      <c r="J1080" s="1" t="str">
        <f aca="false">"INSERT INTO COTACAO (blt_id, pap_id, cot_prc_comum, cot_prc_min, cot_prc_max, cot_prc_med, cot_prc_mediana) VALUES ("&amp;B1080&amp;", "&amp;C1080&amp;", "&amp;D1080&amp;", "&amp;E1080&amp;", "&amp;F1080&amp;", "&amp;G1080&amp;", "&amp;H1080&amp;");"</f>
        <v>INSERT INTO COTACAO (blt_id, pap_id, cot_prc_comum, cot_prc_min, cot_prc_max, cot_prc_med, cot_prc_mediana) VALUES (29, 7, 72, 60, 84, 72, 72);</v>
      </c>
    </row>
    <row r="1081" customFormat="false" ht="14.25" hidden="false" customHeight="false" outlineLevel="0" collapsed="false">
      <c r="A1081" s="1" t="n">
        <v>1080</v>
      </c>
      <c r="B1081" s="1" t="n">
        <v>29</v>
      </c>
      <c r="C1081" s="1" t="n">
        <v>8</v>
      </c>
      <c r="D1081" s="16" t="n">
        <f aca="false">IF('Boletins Nuppa Site'!G1081&lt;&gt;0,'Boletins Nuppa Site'!G1081,"NULL")</f>
        <v>84</v>
      </c>
      <c r="E1081" s="16" t="n">
        <f aca="false">IF('Boletins Nuppa Site'!H1081&lt;&gt;0,'Boletins Nuppa Site'!H1081,"NULL")</f>
        <v>60</v>
      </c>
      <c r="F1081" s="16" t="n">
        <f aca="false">IF('Boletins Nuppa Site'!I1081&lt;&gt;0,'Boletins Nuppa Site'!I1081,"NULL")</f>
        <v>84</v>
      </c>
      <c r="G1081" s="1" t="str">
        <f aca="false">IF('Boletins Nuppa Site'!J1081&lt;&gt;0,'Boletins Nuppa Site'!J1081,"NULL")</f>
        <v>74.4</v>
      </c>
      <c r="H1081" s="16" t="n">
        <f aca="false">IF('Boletins Nuppa Site'!K1081&lt;&gt;0,'Boletins Nuppa Site'!K1081,"NULL")</f>
        <v>72</v>
      </c>
      <c r="J1081" s="1" t="str">
        <f aca="false">"INSERT INTO COTACAO (blt_id, pap_id, cot_prc_comum, cot_prc_min, cot_prc_max, cot_prc_med, cot_prc_mediana) VALUES ("&amp;B1081&amp;", "&amp;C1081&amp;", "&amp;D1081&amp;", "&amp;E1081&amp;", "&amp;F1081&amp;", "&amp;G1081&amp;", "&amp;H1081&amp;");"</f>
        <v>INSERT INTO COTACAO (blt_id, pap_id, cot_prc_comum, cot_prc_min, cot_prc_max, cot_prc_med, cot_prc_mediana) VALUES (29, 8, 84, 60, 84, 74.4, 72);</v>
      </c>
    </row>
    <row r="1082" customFormat="false" ht="14.25" hidden="false" customHeight="false" outlineLevel="0" collapsed="false">
      <c r="A1082" s="1" t="n">
        <v>1081</v>
      </c>
      <c r="B1082" s="1" t="n">
        <v>29</v>
      </c>
      <c r="C1082" s="1" t="n">
        <v>9</v>
      </c>
      <c r="D1082" s="16" t="n">
        <f aca="false">IF('Boletins Nuppa Site'!G1082&lt;&gt;0,'Boletins Nuppa Site'!G1082,"NULL")</f>
        <v>24</v>
      </c>
      <c r="E1082" s="16" t="n">
        <f aca="false">IF('Boletins Nuppa Site'!H1082&lt;&gt;0,'Boletins Nuppa Site'!H1082,"NULL")</f>
        <v>18</v>
      </c>
      <c r="F1082" s="16" t="n">
        <f aca="false">IF('Boletins Nuppa Site'!I1082&lt;&gt;0,'Boletins Nuppa Site'!I1082,"NULL")</f>
        <v>25</v>
      </c>
      <c r="G1082" s="1" t="str">
        <f aca="false">IF('Boletins Nuppa Site'!J1082&lt;&gt;0,'Boletins Nuppa Site'!J1082,"NULL")</f>
        <v>21.8</v>
      </c>
      <c r="H1082" s="16" t="n">
        <f aca="false">IF('Boletins Nuppa Site'!K1082&lt;&gt;0,'Boletins Nuppa Site'!K1082,"NULL")</f>
        <v>24</v>
      </c>
      <c r="J1082" s="1" t="str">
        <f aca="false">"INSERT INTO COTACAO (blt_id, pap_id, cot_prc_comum, cot_prc_min, cot_prc_max, cot_prc_med, cot_prc_mediana) VALUES ("&amp;B1082&amp;", "&amp;C1082&amp;", "&amp;D1082&amp;", "&amp;E1082&amp;", "&amp;F1082&amp;", "&amp;G1082&amp;", "&amp;H1082&amp;");"</f>
        <v>INSERT INTO COTACAO (blt_id, pap_id, cot_prc_comum, cot_prc_min, cot_prc_max, cot_prc_med, cot_prc_mediana) VALUES (29, 9, 24, 18, 25, 21.8, 24);</v>
      </c>
    </row>
    <row r="1083" customFormat="false" ht="14.25" hidden="false" customHeight="false" outlineLevel="0" collapsed="false">
      <c r="A1083" s="1" t="n">
        <v>1082</v>
      </c>
      <c r="B1083" s="1" t="n">
        <v>29</v>
      </c>
      <c r="C1083" s="1" t="n">
        <v>10</v>
      </c>
      <c r="D1083" s="16" t="n">
        <f aca="false">IF('Boletins Nuppa Site'!G1083&lt;&gt;0,'Boletins Nuppa Site'!G1083,"NULL")</f>
        <v>72</v>
      </c>
      <c r="E1083" s="16" t="n">
        <f aca="false">IF('Boletins Nuppa Site'!H1083&lt;&gt;0,'Boletins Nuppa Site'!H1083,"NULL")</f>
        <v>72</v>
      </c>
      <c r="F1083" s="16" t="n">
        <f aca="false">IF('Boletins Nuppa Site'!I1083&lt;&gt;0,'Boletins Nuppa Site'!I1083,"NULL")</f>
        <v>84</v>
      </c>
      <c r="G1083" s="16" t="n">
        <f aca="false">IF('Boletins Nuppa Site'!J1083&lt;&gt;0,'Boletins Nuppa Site'!J1083,"NULL")</f>
        <v>75</v>
      </c>
      <c r="H1083" s="16" t="n">
        <f aca="false">IF('Boletins Nuppa Site'!K1083&lt;&gt;0,'Boletins Nuppa Site'!K1083,"NULL")</f>
        <v>72</v>
      </c>
      <c r="J1083" s="1" t="str">
        <f aca="false">"INSERT INTO COTACAO (blt_id, pap_id, cot_prc_comum, cot_prc_min, cot_prc_max, cot_prc_med, cot_prc_mediana) VALUES ("&amp;B1083&amp;", "&amp;C1083&amp;", "&amp;D1083&amp;", "&amp;E1083&amp;", "&amp;F1083&amp;", "&amp;G1083&amp;", "&amp;H1083&amp;");"</f>
        <v>INSERT INTO COTACAO (blt_id, pap_id, cot_prc_comum, cot_prc_min, cot_prc_max, cot_prc_med, cot_prc_mediana) VALUES (29, 10, 72, 72, 84, 75, 72);</v>
      </c>
    </row>
    <row r="1084" customFormat="false" ht="14.25" hidden="false" customHeight="false" outlineLevel="0" collapsed="false">
      <c r="A1084" s="1" t="n">
        <v>1083</v>
      </c>
      <c r="B1084" s="1" t="n">
        <v>29</v>
      </c>
      <c r="C1084" s="1" t="n">
        <v>11</v>
      </c>
      <c r="D1084" s="16" t="n">
        <f aca="false">IF('Boletins Nuppa Site'!G1084&lt;&gt;0,'Boletins Nuppa Site'!G1084,"NULL")</f>
        <v>24</v>
      </c>
      <c r="E1084" s="16" t="n">
        <f aca="false">IF('Boletins Nuppa Site'!H1084&lt;&gt;0,'Boletins Nuppa Site'!H1084,"NULL")</f>
        <v>18</v>
      </c>
      <c r="F1084" s="16" t="n">
        <f aca="false">IF('Boletins Nuppa Site'!I1084&lt;&gt;0,'Boletins Nuppa Site'!I1084,"NULL")</f>
        <v>24</v>
      </c>
      <c r="G1084" s="1" t="str">
        <f aca="false">IF('Boletins Nuppa Site'!J1084&lt;&gt;0,'Boletins Nuppa Site'!J1084,"NULL")</f>
        <v>22.8</v>
      </c>
      <c r="H1084" s="16" t="n">
        <f aca="false">IF('Boletins Nuppa Site'!K1084&lt;&gt;0,'Boletins Nuppa Site'!K1084,"NULL")</f>
        <v>24</v>
      </c>
      <c r="J1084" s="1" t="str">
        <f aca="false">"INSERT INTO COTACAO (blt_id, pap_id, cot_prc_comum, cot_prc_min, cot_prc_max, cot_prc_med, cot_prc_mediana) VALUES ("&amp;B1084&amp;", "&amp;C1084&amp;", "&amp;D1084&amp;", "&amp;E1084&amp;", "&amp;F1084&amp;", "&amp;G1084&amp;", "&amp;H1084&amp;");"</f>
        <v>INSERT INTO COTACAO (blt_id, pap_id, cot_prc_comum, cot_prc_min, cot_prc_max, cot_prc_med, cot_prc_mediana) VALUES (29, 11, 24, 18, 24, 22.8, 24);</v>
      </c>
    </row>
    <row r="1085" customFormat="false" ht="14.25" hidden="false" customHeight="false" outlineLevel="0" collapsed="false">
      <c r="A1085" s="1" t="n">
        <v>1084</v>
      </c>
      <c r="B1085" s="1" t="n">
        <v>29</v>
      </c>
      <c r="C1085" s="1" t="n">
        <v>12</v>
      </c>
      <c r="D1085" s="16" t="n">
        <f aca="false">IF('Boletins Nuppa Site'!G1085&lt;&gt;0,'Boletins Nuppa Site'!G1085,"NULL")</f>
        <v>60</v>
      </c>
      <c r="E1085" s="16" t="n">
        <f aca="false">IF('Boletins Nuppa Site'!H1085&lt;&gt;0,'Boletins Nuppa Site'!H1085,"NULL")</f>
        <v>60</v>
      </c>
      <c r="F1085" s="16" t="n">
        <f aca="false">IF('Boletins Nuppa Site'!I1085&lt;&gt;0,'Boletins Nuppa Site'!I1085,"NULL")</f>
        <v>72</v>
      </c>
      <c r="G1085" s="16" t="n">
        <f aca="false">IF('Boletins Nuppa Site'!J1085&lt;&gt;0,'Boletins Nuppa Site'!J1085,"NULL")</f>
        <v>63</v>
      </c>
      <c r="H1085" s="16" t="n">
        <f aca="false">IF('Boletins Nuppa Site'!K1085&lt;&gt;0,'Boletins Nuppa Site'!K1085,"NULL")</f>
        <v>60</v>
      </c>
      <c r="J1085" s="1" t="str">
        <f aca="false">"INSERT INTO COTACAO (blt_id, pap_id, cot_prc_comum, cot_prc_min, cot_prc_max, cot_prc_med, cot_prc_mediana) VALUES ("&amp;B1085&amp;", "&amp;C1085&amp;", "&amp;D1085&amp;", "&amp;E1085&amp;", "&amp;F1085&amp;", "&amp;G1085&amp;", "&amp;H1085&amp;");"</f>
        <v>INSERT INTO COTACAO (blt_id, pap_id, cot_prc_comum, cot_prc_min, cot_prc_max, cot_prc_med, cot_prc_mediana) VALUES (29, 12, 60, 60, 72, 63, 60);</v>
      </c>
    </row>
    <row r="1086" customFormat="false" ht="14.25" hidden="false" customHeight="false" outlineLevel="0" collapsed="false">
      <c r="A1086" s="1" t="n">
        <v>1085</v>
      </c>
      <c r="B1086" s="1" t="n">
        <v>29</v>
      </c>
      <c r="C1086" s="1" t="n">
        <v>13</v>
      </c>
      <c r="D1086" s="16" t="n">
        <f aca="false">IF('Boletins Nuppa Site'!G1086&lt;&gt;0,'Boletins Nuppa Site'!G1086,"NULL")</f>
        <v>60</v>
      </c>
      <c r="E1086" s="16" t="n">
        <f aca="false">IF('Boletins Nuppa Site'!H1086&lt;&gt;0,'Boletins Nuppa Site'!H1086,"NULL")</f>
        <v>48</v>
      </c>
      <c r="F1086" s="16" t="n">
        <f aca="false">IF('Boletins Nuppa Site'!I1086&lt;&gt;0,'Boletins Nuppa Site'!I1086,"NULL")</f>
        <v>60</v>
      </c>
      <c r="G1086" s="1" t="str">
        <f aca="false">IF('Boletins Nuppa Site'!J1086&lt;&gt;0,'Boletins Nuppa Site'!J1086,"NULL")</f>
        <v>55.2</v>
      </c>
      <c r="H1086" s="16" t="n">
        <f aca="false">IF('Boletins Nuppa Site'!K1086&lt;&gt;0,'Boletins Nuppa Site'!K1086,"NULL")</f>
        <v>60</v>
      </c>
      <c r="J1086" s="1" t="str">
        <f aca="false">"INSERT INTO COTACAO (blt_id, pap_id, cot_prc_comum, cot_prc_min, cot_prc_max, cot_prc_med, cot_prc_mediana) VALUES ("&amp;B1086&amp;", "&amp;C1086&amp;", "&amp;D1086&amp;", "&amp;E1086&amp;", "&amp;F1086&amp;", "&amp;G1086&amp;", "&amp;H1086&amp;");"</f>
        <v>INSERT INTO COTACAO (blt_id, pap_id, cot_prc_comum, cot_prc_min, cot_prc_max, cot_prc_med, cot_prc_mediana) VALUES (29, 13, 60, 48, 60, 55.2, 60);</v>
      </c>
    </row>
    <row r="1087" customFormat="false" ht="14.25" hidden="false" customHeight="false" outlineLevel="0" collapsed="false">
      <c r="A1087" s="1" t="n">
        <v>1086</v>
      </c>
      <c r="B1087" s="1" t="n">
        <v>29</v>
      </c>
      <c r="C1087" s="1" t="n">
        <v>14</v>
      </c>
      <c r="D1087" s="16" t="n">
        <f aca="false">IF('Boletins Nuppa Site'!G1087&lt;&gt;0,'Boletins Nuppa Site'!G1087,"NULL")</f>
        <v>48</v>
      </c>
      <c r="E1087" s="16" t="n">
        <f aca="false">IF('Boletins Nuppa Site'!H1087&lt;&gt;0,'Boletins Nuppa Site'!H1087,"NULL")</f>
        <v>45</v>
      </c>
      <c r="F1087" s="16" t="n">
        <f aca="false">IF('Boletins Nuppa Site'!I1087&lt;&gt;0,'Boletins Nuppa Site'!I1087,"NULL")</f>
        <v>72</v>
      </c>
      <c r="G1087" s="1" t="str">
        <f aca="false">IF('Boletins Nuppa Site'!J1087&lt;&gt;0,'Boletins Nuppa Site'!J1087,"NULL")</f>
        <v>53.25</v>
      </c>
      <c r="H1087" s="16" t="n">
        <f aca="false">IF('Boletins Nuppa Site'!K1087&lt;&gt;0,'Boletins Nuppa Site'!K1087,"NULL")</f>
        <v>48</v>
      </c>
      <c r="J1087" s="1" t="str">
        <f aca="false">"INSERT INTO COTACAO (blt_id, pap_id, cot_prc_comum, cot_prc_min, cot_prc_max, cot_prc_med, cot_prc_mediana) VALUES ("&amp;B1087&amp;", "&amp;C1087&amp;", "&amp;D1087&amp;", "&amp;E1087&amp;", "&amp;F1087&amp;", "&amp;G1087&amp;", "&amp;H1087&amp;");"</f>
        <v>INSERT INTO COTACAO (blt_id, pap_id, cot_prc_comum, cot_prc_min, cot_prc_max, cot_prc_med, cot_prc_mediana) VALUES (29, 14, 48, 45, 72, 53.25, 48);</v>
      </c>
    </row>
    <row r="1088" customFormat="false" ht="14.25" hidden="false" customHeight="false" outlineLevel="0" collapsed="false">
      <c r="A1088" s="1" t="n">
        <v>1087</v>
      </c>
      <c r="B1088" s="1" t="n">
        <v>29</v>
      </c>
      <c r="C1088" s="1" t="n">
        <v>15</v>
      </c>
      <c r="D1088" s="16" t="n">
        <f aca="false">IF('Boletins Nuppa Site'!G1088&lt;&gt;0,'Boletins Nuppa Site'!G1088,"NULL")</f>
        <v>40</v>
      </c>
      <c r="E1088" s="16" t="n">
        <f aca="false">IF('Boletins Nuppa Site'!H1088&lt;&gt;0,'Boletins Nuppa Site'!H1088,"NULL")</f>
        <v>36</v>
      </c>
      <c r="F1088" s="16" t="n">
        <f aca="false">IF('Boletins Nuppa Site'!I1088&lt;&gt;0,'Boletins Nuppa Site'!I1088,"NULL")</f>
        <v>42</v>
      </c>
      <c r="G1088" s="1" t="str">
        <f aca="false">IF('Boletins Nuppa Site'!J1088&lt;&gt;0,'Boletins Nuppa Site'!J1088,"NULL")</f>
        <v>38.8</v>
      </c>
      <c r="H1088" s="16" t="n">
        <f aca="false">IF('Boletins Nuppa Site'!K1088&lt;&gt;0,'Boletins Nuppa Site'!K1088,"NULL")</f>
        <v>40</v>
      </c>
      <c r="J1088" s="1" t="str">
        <f aca="false">"INSERT INTO COTACAO (blt_id, pap_id, cot_prc_comum, cot_prc_min, cot_prc_max, cot_prc_med, cot_prc_mediana) VALUES ("&amp;B1088&amp;", "&amp;C1088&amp;", "&amp;D1088&amp;", "&amp;E1088&amp;", "&amp;F1088&amp;", "&amp;G1088&amp;", "&amp;H1088&amp;");"</f>
        <v>INSERT INTO COTACAO (blt_id, pap_id, cot_prc_comum, cot_prc_min, cot_prc_max, cot_prc_med, cot_prc_mediana) VALUES (29, 15, 40, 36, 42, 38.8, 40);</v>
      </c>
    </row>
    <row r="1089" customFormat="false" ht="14.25" hidden="false" customHeight="false" outlineLevel="0" collapsed="false">
      <c r="A1089" s="1" t="n">
        <v>1088</v>
      </c>
      <c r="B1089" s="1" t="n">
        <v>29</v>
      </c>
      <c r="C1089" s="1" t="n">
        <v>16</v>
      </c>
      <c r="D1089" s="16" t="n">
        <f aca="false">IF('Boletins Nuppa Site'!G1089&lt;&gt;0,'Boletins Nuppa Site'!G1089,"NULL")</f>
        <v>48</v>
      </c>
      <c r="E1089" s="16" t="n">
        <f aca="false">IF('Boletins Nuppa Site'!H1089&lt;&gt;0,'Boletins Nuppa Site'!H1089,"NULL")</f>
        <v>48</v>
      </c>
      <c r="F1089" s="16" t="n">
        <f aca="false">IF('Boletins Nuppa Site'!I1089&lt;&gt;0,'Boletins Nuppa Site'!I1089,"NULL")</f>
        <v>54</v>
      </c>
      <c r="G1089" s="1" t="str">
        <f aca="false">IF('Boletins Nuppa Site'!J1089&lt;&gt;0,'Boletins Nuppa Site'!J1089,"NULL")</f>
        <v>49.2</v>
      </c>
      <c r="H1089" s="16" t="n">
        <f aca="false">IF('Boletins Nuppa Site'!K1089&lt;&gt;0,'Boletins Nuppa Site'!K1089,"NULL")</f>
        <v>48</v>
      </c>
      <c r="J1089" s="1" t="str">
        <f aca="false">"INSERT INTO COTACAO (blt_id, pap_id, cot_prc_comum, cot_prc_min, cot_prc_max, cot_prc_med, cot_prc_mediana) VALUES ("&amp;B1089&amp;", "&amp;C1089&amp;", "&amp;D1089&amp;", "&amp;E1089&amp;", "&amp;F1089&amp;", "&amp;G1089&amp;", "&amp;H1089&amp;");"</f>
        <v>INSERT INTO COTACAO (blt_id, pap_id, cot_prc_comum, cot_prc_min, cot_prc_max, cot_prc_med, cot_prc_mediana) VALUES (29, 16, 48, 48, 54, 49.2, 48);</v>
      </c>
    </row>
    <row r="1090" customFormat="false" ht="14.25" hidden="false" customHeight="false" outlineLevel="0" collapsed="false">
      <c r="A1090" s="1" t="n">
        <v>1089</v>
      </c>
      <c r="B1090" s="1" t="n">
        <v>29</v>
      </c>
      <c r="C1090" s="1" t="n">
        <v>17</v>
      </c>
      <c r="D1090" s="16" t="n">
        <f aca="false">IF('Boletins Nuppa Site'!G1090&lt;&gt;0,'Boletins Nuppa Site'!G1090,"NULL")</f>
        <v>48</v>
      </c>
      <c r="E1090" s="16" t="n">
        <f aca="false">IF('Boletins Nuppa Site'!H1090&lt;&gt;0,'Boletins Nuppa Site'!H1090,"NULL")</f>
        <v>48</v>
      </c>
      <c r="F1090" s="16" t="n">
        <f aca="false">IF('Boletins Nuppa Site'!I1090&lt;&gt;0,'Boletins Nuppa Site'!I1090,"NULL")</f>
        <v>80</v>
      </c>
      <c r="G1090" s="16" t="n">
        <f aca="false">IF('Boletins Nuppa Site'!J1090&lt;&gt;0,'Boletins Nuppa Site'!J1090,"NULL")</f>
        <v>56</v>
      </c>
      <c r="H1090" s="16" t="n">
        <f aca="false">IF('Boletins Nuppa Site'!K1090&lt;&gt;0,'Boletins Nuppa Site'!K1090,"NULL")</f>
        <v>48</v>
      </c>
      <c r="J1090" s="1" t="str">
        <f aca="false">"INSERT INTO COTACAO (blt_id, pap_id, cot_prc_comum, cot_prc_min, cot_prc_max, cot_prc_med, cot_prc_mediana) VALUES ("&amp;B1090&amp;", "&amp;C1090&amp;", "&amp;D1090&amp;", "&amp;E1090&amp;", "&amp;F1090&amp;", "&amp;G1090&amp;", "&amp;H1090&amp;");"</f>
        <v>INSERT INTO COTACAO (blt_id, pap_id, cot_prc_comum, cot_prc_min, cot_prc_max, cot_prc_med, cot_prc_mediana) VALUES (29, 17, 48, 48, 80, 56, 48);</v>
      </c>
    </row>
    <row r="1091" customFormat="false" ht="14.25" hidden="false" customHeight="false" outlineLevel="0" collapsed="false">
      <c r="A1091" s="1" t="n">
        <v>1090</v>
      </c>
      <c r="B1091" s="1" t="n">
        <v>29</v>
      </c>
      <c r="C1091" s="1" t="n">
        <v>18</v>
      </c>
      <c r="D1091" s="16" t="n">
        <f aca="false">IF('Boletins Nuppa Site'!G1091&lt;&gt;0,'Boletins Nuppa Site'!G1091,"NULL")</f>
        <v>72</v>
      </c>
      <c r="E1091" s="16" t="n">
        <f aca="false">IF('Boletins Nuppa Site'!H1091&lt;&gt;0,'Boletins Nuppa Site'!H1091,"NULL")</f>
        <v>72</v>
      </c>
      <c r="F1091" s="16" t="n">
        <f aca="false">IF('Boletins Nuppa Site'!I1091&lt;&gt;0,'Boletins Nuppa Site'!I1091,"NULL")</f>
        <v>84</v>
      </c>
      <c r="G1091" s="16" t="n">
        <f aca="false">IF('Boletins Nuppa Site'!J1091&lt;&gt;0,'Boletins Nuppa Site'!J1091,"NULL")</f>
        <v>77</v>
      </c>
      <c r="H1091" s="16" t="n">
        <f aca="false">IF('Boletins Nuppa Site'!K1091&lt;&gt;0,'Boletins Nuppa Site'!K1091,"NULL")</f>
        <v>76</v>
      </c>
      <c r="J1091" s="1" t="str">
        <f aca="false">"INSERT INTO COTACAO (blt_id, pap_id, cot_prc_comum, cot_prc_min, cot_prc_max, cot_prc_med, cot_prc_mediana) VALUES ("&amp;B1091&amp;", "&amp;C1091&amp;", "&amp;D1091&amp;", "&amp;E1091&amp;", "&amp;F1091&amp;", "&amp;G1091&amp;", "&amp;H1091&amp;");"</f>
        <v>INSERT INTO COTACAO (blt_id, pap_id, cot_prc_comum, cot_prc_min, cot_prc_max, cot_prc_med, cot_prc_mediana) VALUES (29, 18, 72, 72, 84, 77, 76);</v>
      </c>
    </row>
    <row r="1092" customFormat="false" ht="14.25" hidden="false" customHeight="false" outlineLevel="0" collapsed="false">
      <c r="A1092" s="1" t="n">
        <v>1091</v>
      </c>
      <c r="B1092" s="1" t="n">
        <v>29</v>
      </c>
      <c r="C1092" s="1" t="n">
        <v>19</v>
      </c>
      <c r="D1092" s="16" t="n">
        <f aca="false">IF('Boletins Nuppa Site'!G1092&lt;&gt;0,'Boletins Nuppa Site'!G1092,"NULL")</f>
        <v>36</v>
      </c>
      <c r="E1092" s="16" t="n">
        <f aca="false">IF('Boletins Nuppa Site'!H1092&lt;&gt;0,'Boletins Nuppa Site'!H1092,"NULL")</f>
        <v>30</v>
      </c>
      <c r="F1092" s="16" t="n">
        <f aca="false">IF('Boletins Nuppa Site'!I1092&lt;&gt;0,'Boletins Nuppa Site'!I1092,"NULL")</f>
        <v>142</v>
      </c>
      <c r="G1092" s="1" t="str">
        <f aca="false">IF('Boletins Nuppa Site'!J1092&lt;&gt;0,'Boletins Nuppa Site'!J1092,"NULL")</f>
        <v>55.8</v>
      </c>
      <c r="H1092" s="16" t="n">
        <f aca="false">IF('Boletins Nuppa Site'!K1092&lt;&gt;0,'Boletins Nuppa Site'!K1092,"NULL")</f>
        <v>36</v>
      </c>
      <c r="J1092" s="1" t="str">
        <f aca="false">"INSERT INTO COTACAO (blt_id, pap_id, cot_prc_comum, cot_prc_min, cot_prc_max, cot_prc_med, cot_prc_mediana) VALUES ("&amp;B1092&amp;", "&amp;C1092&amp;", "&amp;D1092&amp;", "&amp;E1092&amp;", "&amp;F1092&amp;", "&amp;G1092&amp;", "&amp;H1092&amp;");"</f>
        <v>INSERT INTO COTACAO (blt_id, pap_id, cot_prc_comum, cot_prc_min, cot_prc_max, cot_prc_med, cot_prc_mediana) VALUES (29, 19, 36, 30, 142, 55.8, 36);</v>
      </c>
    </row>
    <row r="1093" customFormat="false" ht="14.25" hidden="false" customHeight="false" outlineLevel="0" collapsed="false">
      <c r="A1093" s="1" t="n">
        <v>1092</v>
      </c>
      <c r="B1093" s="1" t="n">
        <v>29</v>
      </c>
      <c r="C1093" s="1" t="n">
        <v>20</v>
      </c>
      <c r="D1093" s="1" t="str">
        <f aca="false">IF('Boletins Nuppa Site'!G1093&lt;&gt;0,'Boletins Nuppa Site'!G1093,"NULL")</f>
        <v>NULL</v>
      </c>
      <c r="E1093" s="16" t="n">
        <f aca="false">IF('Boletins Nuppa Site'!H1093&lt;&gt;0,'Boletins Nuppa Site'!H1093,"NULL")</f>
        <v>70</v>
      </c>
      <c r="F1093" s="16" t="n">
        <f aca="false">IF('Boletins Nuppa Site'!I1093&lt;&gt;0,'Boletins Nuppa Site'!I1093,"NULL")</f>
        <v>70</v>
      </c>
      <c r="G1093" s="16" t="n">
        <f aca="false">IF('Boletins Nuppa Site'!J1093&lt;&gt;0,'Boletins Nuppa Site'!J1093,"NULL")</f>
        <v>70</v>
      </c>
      <c r="H1093" s="16" t="n">
        <f aca="false">IF('Boletins Nuppa Site'!K1093&lt;&gt;0,'Boletins Nuppa Site'!K1093,"NULL")</f>
        <v>70</v>
      </c>
      <c r="J1093" s="1" t="str">
        <f aca="false">"INSERT INTO COTACAO (blt_id, pap_id, cot_prc_comum, cot_prc_min, cot_prc_max, cot_prc_med, cot_prc_mediana) VALUES ("&amp;B1093&amp;", "&amp;C1093&amp;", "&amp;D1093&amp;", "&amp;E1093&amp;", "&amp;F1093&amp;", "&amp;G1093&amp;", "&amp;H1093&amp;");"</f>
        <v>INSERT INTO COTACAO (blt_id, pap_id, cot_prc_comum, cot_prc_min, cot_prc_max, cot_prc_med, cot_prc_mediana) VALUES (29, 20, NULL, 70, 70, 70, 70);</v>
      </c>
    </row>
    <row r="1094" customFormat="false" ht="14.25" hidden="false" customHeight="false" outlineLevel="0" collapsed="false">
      <c r="A1094" s="1" t="n">
        <v>1093</v>
      </c>
      <c r="B1094" s="1" t="n">
        <v>29</v>
      </c>
      <c r="C1094" s="1" t="n">
        <v>21</v>
      </c>
      <c r="D1094" s="16" t="n">
        <f aca="false">IF('Boletins Nuppa Site'!G1094&lt;&gt;0,'Boletins Nuppa Site'!G1094,"NULL")</f>
        <v>80</v>
      </c>
      <c r="E1094" s="16" t="n">
        <f aca="false">IF('Boletins Nuppa Site'!H1094&lt;&gt;0,'Boletins Nuppa Site'!H1094,"NULL")</f>
        <v>70</v>
      </c>
      <c r="F1094" s="16" t="n">
        <f aca="false">IF('Boletins Nuppa Site'!I1094&lt;&gt;0,'Boletins Nuppa Site'!I1094,"NULL")</f>
        <v>80</v>
      </c>
      <c r="G1094" s="16" t="n">
        <f aca="false">IF('Boletins Nuppa Site'!J1094&lt;&gt;0,'Boletins Nuppa Site'!J1094,"NULL")</f>
        <v>75</v>
      </c>
      <c r="H1094" s="16" t="n">
        <f aca="false">IF('Boletins Nuppa Site'!K1094&lt;&gt;0,'Boletins Nuppa Site'!K1094,"NULL")</f>
        <v>75</v>
      </c>
      <c r="J1094" s="1" t="str">
        <f aca="false">"INSERT INTO COTACAO (blt_id, pap_id, cot_prc_comum, cot_prc_min, cot_prc_max, cot_prc_med, cot_prc_mediana) VALUES ("&amp;B1094&amp;", "&amp;C1094&amp;", "&amp;D1094&amp;", "&amp;E1094&amp;", "&amp;F1094&amp;", "&amp;G1094&amp;", "&amp;H1094&amp;");"</f>
        <v>INSERT INTO COTACAO (blt_id, pap_id, cot_prc_comum, cot_prc_min, cot_prc_max, cot_prc_med, cot_prc_mediana) VALUES (29, 21, 80, 70, 80, 75, 75);</v>
      </c>
    </row>
    <row r="1095" customFormat="false" ht="14.25" hidden="false" customHeight="false" outlineLevel="0" collapsed="false">
      <c r="A1095" s="1" t="n">
        <v>1094</v>
      </c>
      <c r="B1095" s="1" t="n">
        <v>29</v>
      </c>
      <c r="C1095" s="1" t="n">
        <v>22</v>
      </c>
      <c r="D1095" s="16" t="n">
        <f aca="false">IF('Boletins Nuppa Site'!G1095&lt;&gt;0,'Boletins Nuppa Site'!G1095,"NULL")</f>
        <v>70</v>
      </c>
      <c r="E1095" s="16" t="n">
        <f aca="false">IF('Boletins Nuppa Site'!H1095&lt;&gt;0,'Boletins Nuppa Site'!H1095,"NULL")</f>
        <v>30</v>
      </c>
      <c r="F1095" s="16" t="n">
        <f aca="false">IF('Boletins Nuppa Site'!I1095&lt;&gt;0,'Boletins Nuppa Site'!I1095,"NULL")</f>
        <v>70</v>
      </c>
      <c r="G1095" s="16" t="n">
        <f aca="false">IF('Boletins Nuppa Site'!J1095&lt;&gt;0,'Boletins Nuppa Site'!J1095,"NULL")</f>
        <v>53</v>
      </c>
      <c r="H1095" s="16" t="n">
        <f aca="false">IF('Boletins Nuppa Site'!K1095&lt;&gt;0,'Boletins Nuppa Site'!K1095,"NULL")</f>
        <v>50</v>
      </c>
      <c r="J1095" s="1" t="str">
        <f aca="false">"INSERT INTO COTACAO (blt_id, pap_id, cot_prc_comum, cot_prc_min, cot_prc_max, cot_prc_med, cot_prc_mediana) VALUES ("&amp;B1095&amp;", "&amp;C1095&amp;", "&amp;D1095&amp;", "&amp;E1095&amp;", "&amp;F1095&amp;", "&amp;G1095&amp;", "&amp;H1095&amp;");"</f>
        <v>INSERT INTO COTACAO (blt_id, pap_id, cot_prc_comum, cot_prc_min, cot_prc_max, cot_prc_med, cot_prc_mediana) VALUES (29, 22, 70, 30, 70, 53, 50);</v>
      </c>
    </row>
    <row r="1096" customFormat="false" ht="14.25" hidden="false" customHeight="false" outlineLevel="0" collapsed="false">
      <c r="A1096" s="1" t="n">
        <v>1095</v>
      </c>
      <c r="B1096" s="1" t="n">
        <v>29</v>
      </c>
      <c r="C1096" s="1" t="n">
        <v>23</v>
      </c>
      <c r="D1096" s="16" t="n">
        <f aca="false">IF('Boletins Nuppa Site'!G1096&lt;&gt;0,'Boletins Nuppa Site'!G1096,"NULL")</f>
        <v>50</v>
      </c>
      <c r="E1096" s="16" t="n">
        <f aca="false">IF('Boletins Nuppa Site'!H1096&lt;&gt;0,'Boletins Nuppa Site'!H1096,"NULL")</f>
        <v>45</v>
      </c>
      <c r="F1096" s="16" t="n">
        <f aca="false">IF('Boletins Nuppa Site'!I1096&lt;&gt;0,'Boletins Nuppa Site'!I1096,"NULL")</f>
        <v>60</v>
      </c>
      <c r="G1096" s="1" t="str">
        <f aca="false">IF('Boletins Nuppa Site'!J1096&lt;&gt;0,'Boletins Nuppa Site'!J1096,"NULL")</f>
        <v>51.25</v>
      </c>
      <c r="H1096" s="16" t="n">
        <f aca="false">IF('Boletins Nuppa Site'!K1096&lt;&gt;0,'Boletins Nuppa Site'!K1096,"NULL")</f>
        <v>50</v>
      </c>
      <c r="J1096" s="1" t="str">
        <f aca="false">"INSERT INTO COTACAO (blt_id, pap_id, cot_prc_comum, cot_prc_min, cot_prc_max, cot_prc_med, cot_prc_mediana) VALUES ("&amp;B1096&amp;", "&amp;C1096&amp;", "&amp;D1096&amp;", "&amp;E1096&amp;", "&amp;F1096&amp;", "&amp;G1096&amp;", "&amp;H1096&amp;");"</f>
        <v>INSERT INTO COTACAO (blt_id, pap_id, cot_prc_comum, cot_prc_min, cot_prc_max, cot_prc_med, cot_prc_mediana) VALUES (29, 23, 50, 45, 60, 51.25, 50);</v>
      </c>
    </row>
    <row r="1097" customFormat="false" ht="14.25" hidden="false" customHeight="false" outlineLevel="0" collapsed="false">
      <c r="A1097" s="1" t="n">
        <v>1096</v>
      </c>
      <c r="B1097" s="1" t="n">
        <v>29</v>
      </c>
      <c r="C1097" s="1" t="n">
        <v>24</v>
      </c>
      <c r="D1097" s="1" t="str">
        <f aca="false">IF('Boletins Nuppa Site'!G1097&lt;&gt;0,'Boletins Nuppa Site'!G1097,"NULL")</f>
        <v>NULL</v>
      </c>
      <c r="E1097" s="16" t="n">
        <f aca="false">IF('Boletins Nuppa Site'!H1097&lt;&gt;0,'Boletins Nuppa Site'!H1097,"NULL")</f>
        <v>90</v>
      </c>
      <c r="F1097" s="16" t="n">
        <f aca="false">IF('Boletins Nuppa Site'!I1097&lt;&gt;0,'Boletins Nuppa Site'!I1097,"NULL")</f>
        <v>100</v>
      </c>
      <c r="G1097" s="16" t="n">
        <f aca="false">IF('Boletins Nuppa Site'!J1097&lt;&gt;0,'Boletins Nuppa Site'!J1097,"NULL")</f>
        <v>95</v>
      </c>
      <c r="H1097" s="16" t="n">
        <f aca="false">IF('Boletins Nuppa Site'!K1097&lt;&gt;0,'Boletins Nuppa Site'!K1097,"NULL")</f>
        <v>95</v>
      </c>
      <c r="J1097" s="1" t="str">
        <f aca="false">"INSERT INTO COTACAO (blt_id, pap_id, cot_prc_comum, cot_prc_min, cot_prc_max, cot_prc_med, cot_prc_mediana) VALUES ("&amp;B1097&amp;", "&amp;C1097&amp;", "&amp;D1097&amp;", "&amp;E1097&amp;", "&amp;F1097&amp;", "&amp;G1097&amp;", "&amp;H1097&amp;");"</f>
        <v>INSERT INTO COTACAO (blt_id, pap_id, cot_prc_comum, cot_prc_min, cot_prc_max, cot_prc_med, cot_prc_mediana) VALUES (29, 24, NULL, 90, 100, 95, 95);</v>
      </c>
    </row>
    <row r="1098" customFormat="false" ht="14.25" hidden="false" customHeight="false" outlineLevel="0" collapsed="false">
      <c r="A1098" s="1" t="n">
        <v>1097</v>
      </c>
      <c r="B1098" s="1" t="n">
        <v>29</v>
      </c>
      <c r="C1098" s="1" t="n">
        <v>25</v>
      </c>
      <c r="D1098" s="16" t="n">
        <f aca="false">IF('Boletins Nuppa Site'!G1098&lt;&gt;0,'Boletins Nuppa Site'!G1098,"NULL")</f>
        <v>70</v>
      </c>
      <c r="E1098" s="16" t="n">
        <f aca="false">IF('Boletins Nuppa Site'!H1098&lt;&gt;0,'Boletins Nuppa Site'!H1098,"NULL")</f>
        <v>60</v>
      </c>
      <c r="F1098" s="16" t="n">
        <f aca="false">IF('Boletins Nuppa Site'!I1098&lt;&gt;0,'Boletins Nuppa Site'!I1098,"NULL")</f>
        <v>70</v>
      </c>
      <c r="G1098" s="16" t="n">
        <f aca="false">IF('Boletins Nuppa Site'!J1098&lt;&gt;0,'Boletins Nuppa Site'!J1098,"NULL")</f>
        <v>65</v>
      </c>
      <c r="H1098" s="16" t="n">
        <f aca="false">IF('Boletins Nuppa Site'!K1098&lt;&gt;0,'Boletins Nuppa Site'!K1098,"NULL")</f>
        <v>65</v>
      </c>
      <c r="J1098" s="1" t="str">
        <f aca="false">"INSERT INTO COTACAO (blt_id, pap_id, cot_prc_comum, cot_prc_min, cot_prc_max, cot_prc_med, cot_prc_mediana) VALUES ("&amp;B1098&amp;", "&amp;C1098&amp;", "&amp;D1098&amp;", "&amp;E1098&amp;", "&amp;F1098&amp;", "&amp;G1098&amp;", "&amp;H1098&amp;");"</f>
        <v>INSERT INTO COTACAO (blt_id, pap_id, cot_prc_comum, cot_prc_min, cot_prc_max, cot_prc_med, cot_prc_mediana) VALUES (29, 25, 70, 60, 70, 65, 65);</v>
      </c>
    </row>
    <row r="1099" customFormat="false" ht="14.25" hidden="false" customHeight="false" outlineLevel="0" collapsed="false">
      <c r="A1099" s="1" t="n">
        <v>1098</v>
      </c>
      <c r="B1099" s="1" t="n">
        <v>29</v>
      </c>
      <c r="C1099" s="1" t="n">
        <v>26</v>
      </c>
      <c r="D1099" s="16" t="n">
        <f aca="false">IF('Boletins Nuppa Site'!G1099&lt;&gt;0,'Boletins Nuppa Site'!G1099,"NULL")</f>
        <v>60</v>
      </c>
      <c r="E1099" s="16" t="n">
        <f aca="false">IF('Boletins Nuppa Site'!H1099&lt;&gt;0,'Boletins Nuppa Site'!H1099,"NULL")</f>
        <v>45</v>
      </c>
      <c r="F1099" s="16" t="n">
        <f aca="false">IF('Boletins Nuppa Site'!I1099&lt;&gt;0,'Boletins Nuppa Site'!I1099,"NULL")</f>
        <v>60</v>
      </c>
      <c r="G1099" s="1" t="str">
        <f aca="false">IF('Boletins Nuppa Site'!J1099&lt;&gt;0,'Boletins Nuppa Site'!J1099,"NULL")</f>
        <v>53.75</v>
      </c>
      <c r="H1099" s="16" t="n">
        <f aca="false">IF('Boletins Nuppa Site'!K1099&lt;&gt;0,'Boletins Nuppa Site'!K1099,"NULL")</f>
        <v>55</v>
      </c>
      <c r="J1099" s="1" t="str">
        <f aca="false">"INSERT INTO COTACAO (blt_id, pap_id, cot_prc_comum, cot_prc_min, cot_prc_max, cot_prc_med, cot_prc_mediana) VALUES ("&amp;B1099&amp;", "&amp;C1099&amp;", "&amp;D1099&amp;", "&amp;E1099&amp;", "&amp;F1099&amp;", "&amp;G1099&amp;", "&amp;H1099&amp;");"</f>
        <v>INSERT INTO COTACAO (blt_id, pap_id, cot_prc_comum, cot_prc_min, cot_prc_max, cot_prc_med, cot_prc_mediana) VALUES (29, 26, 60, 45, 60, 53.75, 55);</v>
      </c>
    </row>
    <row r="1100" customFormat="false" ht="14.25" hidden="false" customHeight="false" outlineLevel="0" collapsed="false">
      <c r="A1100" s="1" t="n">
        <v>1099</v>
      </c>
      <c r="B1100" s="1" t="n">
        <v>29</v>
      </c>
      <c r="C1100" s="1" t="n">
        <v>27</v>
      </c>
      <c r="D1100" s="1" t="str">
        <f aca="false">IF('Boletins Nuppa Site'!G1100&lt;&gt;0,'Boletins Nuppa Site'!G1100,"NULL")</f>
        <v>NULL</v>
      </c>
      <c r="E1100" s="16" t="n">
        <f aca="false">IF('Boletins Nuppa Site'!H1100&lt;&gt;0,'Boletins Nuppa Site'!H1100,"NULL")</f>
        <v>50</v>
      </c>
      <c r="F1100" s="16" t="n">
        <f aca="false">IF('Boletins Nuppa Site'!I1100&lt;&gt;0,'Boletins Nuppa Site'!I1100,"NULL")</f>
        <v>70</v>
      </c>
      <c r="G1100" s="1" t="str">
        <f aca="false">IF('Boletins Nuppa Site'!J1100&lt;&gt;0,'Boletins Nuppa Site'!J1100,"NULL")</f>
        <v>61.25</v>
      </c>
      <c r="H1100" s="1" t="str">
        <f aca="false">IF('Boletins Nuppa Site'!K1100&lt;&gt;0,'Boletins Nuppa Site'!K1100,"NULL")</f>
        <v>62.5</v>
      </c>
      <c r="J1100" s="1" t="str">
        <f aca="false">"INSERT INTO COTACAO (blt_id, pap_id, cot_prc_comum, cot_prc_min, cot_prc_max, cot_prc_med, cot_prc_mediana) VALUES ("&amp;B1100&amp;", "&amp;C1100&amp;", "&amp;D1100&amp;", "&amp;E1100&amp;", "&amp;F1100&amp;", "&amp;G1100&amp;", "&amp;H1100&amp;");"</f>
        <v>INSERT INTO COTACAO (blt_id, pap_id, cot_prc_comum, cot_prc_min, cot_prc_max, cot_prc_med, cot_prc_mediana) VALUES (29, 27, NULL, 50, 70, 61.25, 62.5);</v>
      </c>
    </row>
    <row r="1101" customFormat="false" ht="14.25" hidden="false" customHeight="false" outlineLevel="0" collapsed="false">
      <c r="A1101" s="1" t="n">
        <v>1100</v>
      </c>
      <c r="B1101" s="1" t="n">
        <v>29</v>
      </c>
      <c r="C1101" s="1" t="n">
        <v>28</v>
      </c>
      <c r="D1101" s="1" t="str">
        <f aca="false">IF('Boletins Nuppa Site'!G1101&lt;&gt;0,'Boletins Nuppa Site'!G1101,"NULL")</f>
        <v>NULL</v>
      </c>
      <c r="E1101" s="16" t="n">
        <f aca="false">IF('Boletins Nuppa Site'!H1101&lt;&gt;0,'Boletins Nuppa Site'!H1101,"NULL")</f>
        <v>70</v>
      </c>
      <c r="F1101" s="16" t="n">
        <f aca="false">IF('Boletins Nuppa Site'!I1101&lt;&gt;0,'Boletins Nuppa Site'!I1101,"NULL")</f>
        <v>100</v>
      </c>
      <c r="G1101" s="1" t="str">
        <f aca="false">IF('Boletins Nuppa Site'!J1101&lt;&gt;0,'Boletins Nuppa Site'!J1101,"NULL")</f>
        <v>86.67</v>
      </c>
      <c r="H1101" s="16" t="n">
        <f aca="false">IF('Boletins Nuppa Site'!K1101&lt;&gt;0,'Boletins Nuppa Site'!K1101,"NULL")</f>
        <v>90</v>
      </c>
      <c r="J1101" s="1" t="str">
        <f aca="false">"INSERT INTO COTACAO (blt_id, pap_id, cot_prc_comum, cot_prc_min, cot_prc_max, cot_prc_med, cot_prc_mediana) VALUES ("&amp;B1101&amp;", "&amp;C1101&amp;", "&amp;D1101&amp;", "&amp;E1101&amp;", "&amp;F1101&amp;", "&amp;G1101&amp;", "&amp;H1101&amp;");"</f>
        <v>INSERT INTO COTACAO (blt_id, pap_id, cot_prc_comum, cot_prc_min, cot_prc_max, cot_prc_med, cot_prc_mediana) VALUES (29, 28, NULL, 70, 100, 86.67, 90);</v>
      </c>
    </row>
    <row r="1102" customFormat="false" ht="14.25" hidden="false" customHeight="false" outlineLevel="0" collapsed="false">
      <c r="A1102" s="1" t="n">
        <v>1101</v>
      </c>
      <c r="B1102" s="1" t="n">
        <v>29</v>
      </c>
      <c r="C1102" s="1" t="n">
        <v>29</v>
      </c>
      <c r="D1102" s="1" t="str">
        <f aca="false">IF('Boletins Nuppa Site'!G1102&lt;&gt;0,'Boletins Nuppa Site'!G1102,"NULL")</f>
        <v>NULL</v>
      </c>
      <c r="E1102" s="16" t="n">
        <f aca="false">IF('Boletins Nuppa Site'!H1102&lt;&gt;0,'Boletins Nuppa Site'!H1102,"NULL")</f>
        <v>60</v>
      </c>
      <c r="F1102" s="16" t="n">
        <f aca="false">IF('Boletins Nuppa Site'!I1102&lt;&gt;0,'Boletins Nuppa Site'!I1102,"NULL")</f>
        <v>65</v>
      </c>
      <c r="G1102" s="1" t="str">
        <f aca="false">IF('Boletins Nuppa Site'!J1102&lt;&gt;0,'Boletins Nuppa Site'!J1102,"NULL")</f>
        <v>62.5</v>
      </c>
      <c r="H1102" s="1" t="str">
        <f aca="false">IF('Boletins Nuppa Site'!K1102&lt;&gt;0,'Boletins Nuppa Site'!K1102,"NULL")</f>
        <v>62.5</v>
      </c>
      <c r="J1102" s="1" t="str">
        <f aca="false">"INSERT INTO COTACAO (blt_id, pap_id, cot_prc_comum, cot_prc_min, cot_prc_max, cot_prc_med, cot_prc_mediana) VALUES ("&amp;B1102&amp;", "&amp;C1102&amp;", "&amp;D1102&amp;", "&amp;E1102&amp;", "&amp;F1102&amp;", "&amp;G1102&amp;", "&amp;H1102&amp;");"</f>
        <v>INSERT INTO COTACAO (blt_id, pap_id, cot_prc_comum, cot_prc_min, cot_prc_max, cot_prc_med, cot_prc_mediana) VALUES (29, 29, NULL, 60, 65, 62.5, 62.5);</v>
      </c>
    </row>
    <row r="1103" customFormat="false" ht="14.25" hidden="false" customHeight="false" outlineLevel="0" collapsed="false">
      <c r="A1103" s="1" t="n">
        <v>1102</v>
      </c>
      <c r="B1103" s="1" t="n">
        <v>29</v>
      </c>
      <c r="C1103" s="1" t="n">
        <v>30</v>
      </c>
      <c r="D1103" s="1" t="str">
        <f aca="false">IF('Boletins Nuppa Site'!G1103&lt;&gt;0,'Boletins Nuppa Site'!G1103,"NULL")</f>
        <v>NULL</v>
      </c>
      <c r="E1103" s="16" t="n">
        <f aca="false">IF('Boletins Nuppa Site'!H1103&lt;&gt;0,'Boletins Nuppa Site'!H1103,"NULL")</f>
        <v>55</v>
      </c>
      <c r="F1103" s="16" t="n">
        <f aca="false">IF('Boletins Nuppa Site'!I1103&lt;&gt;0,'Boletins Nuppa Site'!I1103,"NULL")</f>
        <v>80</v>
      </c>
      <c r="G1103" s="1" t="str">
        <f aca="false">IF('Boletins Nuppa Site'!J1103&lt;&gt;0,'Boletins Nuppa Site'!J1103,"NULL")</f>
        <v>66.25</v>
      </c>
      <c r="H1103" s="16" t="n">
        <f aca="false">IF('Boletins Nuppa Site'!K1103&lt;&gt;0,'Boletins Nuppa Site'!K1103,"NULL")</f>
        <v>65</v>
      </c>
      <c r="J1103" s="1" t="str">
        <f aca="false">"INSERT INTO COTACAO (blt_id, pap_id, cot_prc_comum, cot_prc_min, cot_prc_max, cot_prc_med, cot_prc_mediana) VALUES ("&amp;B1103&amp;", "&amp;C1103&amp;", "&amp;D1103&amp;", "&amp;E1103&amp;", "&amp;F1103&amp;", "&amp;G1103&amp;", "&amp;H1103&amp;");"</f>
        <v>INSERT INTO COTACAO (blt_id, pap_id, cot_prc_comum, cot_prc_min, cot_prc_max, cot_prc_med, cot_prc_mediana) VALUES (29, 30, NULL, 55, 80, 66.25, 65);</v>
      </c>
    </row>
    <row r="1104" customFormat="false" ht="14.25" hidden="false" customHeight="false" outlineLevel="0" collapsed="false">
      <c r="A1104" s="1" t="n">
        <v>1103</v>
      </c>
      <c r="B1104" s="1" t="n">
        <v>29</v>
      </c>
      <c r="C1104" s="1" t="n">
        <v>31</v>
      </c>
      <c r="D1104" s="16" t="n">
        <f aca="false">IF('Boletins Nuppa Site'!G1104&lt;&gt;0,'Boletins Nuppa Site'!G1104,"NULL")</f>
        <v>90</v>
      </c>
      <c r="E1104" s="16" t="n">
        <f aca="false">IF('Boletins Nuppa Site'!H1104&lt;&gt;0,'Boletins Nuppa Site'!H1104,"NULL")</f>
        <v>70</v>
      </c>
      <c r="F1104" s="16" t="n">
        <f aca="false">IF('Boletins Nuppa Site'!I1104&lt;&gt;0,'Boletins Nuppa Site'!I1104,"NULL")</f>
        <v>100</v>
      </c>
      <c r="G1104" s="16" t="n">
        <f aca="false">IF('Boletins Nuppa Site'!J1104&lt;&gt;0,'Boletins Nuppa Site'!J1104,"NULL")</f>
        <v>86</v>
      </c>
      <c r="H1104" s="16" t="n">
        <f aca="false">IF('Boletins Nuppa Site'!K1104&lt;&gt;0,'Boletins Nuppa Site'!K1104,"NULL")</f>
        <v>90</v>
      </c>
      <c r="J1104" s="1" t="str">
        <f aca="false">"INSERT INTO COTACAO (blt_id, pap_id, cot_prc_comum, cot_prc_min, cot_prc_max, cot_prc_med, cot_prc_mediana) VALUES ("&amp;B1104&amp;", "&amp;C1104&amp;", "&amp;D1104&amp;", "&amp;E1104&amp;", "&amp;F1104&amp;", "&amp;G1104&amp;", "&amp;H1104&amp;");"</f>
        <v>INSERT INTO COTACAO (blt_id, pap_id, cot_prc_comum, cot_prc_min, cot_prc_max, cot_prc_med, cot_prc_mediana) VALUES (29, 31, 90, 70, 100, 86, 90);</v>
      </c>
    </row>
    <row r="1105" customFormat="false" ht="14.25" hidden="false" customHeight="false" outlineLevel="0" collapsed="false">
      <c r="A1105" s="1" t="n">
        <v>1104</v>
      </c>
      <c r="B1105" s="1" t="n">
        <v>29</v>
      </c>
      <c r="C1105" s="1" t="n">
        <v>32</v>
      </c>
      <c r="D1105" s="16" t="n">
        <f aca="false">IF('Boletins Nuppa Site'!G1105&lt;&gt;0,'Boletins Nuppa Site'!G1105,"NULL")</f>
        <v>50</v>
      </c>
      <c r="E1105" s="16" t="n">
        <f aca="false">IF('Boletins Nuppa Site'!H1105&lt;&gt;0,'Boletins Nuppa Site'!H1105,"NULL")</f>
        <v>30</v>
      </c>
      <c r="F1105" s="16" t="n">
        <f aca="false">IF('Boletins Nuppa Site'!I1105&lt;&gt;0,'Boletins Nuppa Site'!I1105,"NULL")</f>
        <v>50</v>
      </c>
      <c r="G1105" s="16" t="n">
        <f aca="false">IF('Boletins Nuppa Site'!J1105&lt;&gt;0,'Boletins Nuppa Site'!J1105,"NULL")</f>
        <v>45</v>
      </c>
      <c r="H1105" s="16" t="n">
        <f aca="false">IF('Boletins Nuppa Site'!K1105&lt;&gt;0,'Boletins Nuppa Site'!K1105,"NULL")</f>
        <v>50</v>
      </c>
      <c r="J1105" s="1" t="str">
        <f aca="false">"INSERT INTO COTACAO (blt_id, pap_id, cot_prc_comum, cot_prc_min, cot_prc_max, cot_prc_med, cot_prc_mediana) VALUES ("&amp;B1105&amp;", "&amp;C1105&amp;", "&amp;D1105&amp;", "&amp;E1105&amp;", "&amp;F1105&amp;", "&amp;G1105&amp;", "&amp;H1105&amp;");"</f>
        <v>INSERT INTO COTACAO (blt_id, pap_id, cot_prc_comum, cot_prc_min, cot_prc_max, cot_prc_med, cot_prc_mediana) VALUES (29, 32, 50, 30, 50, 45, 50);</v>
      </c>
    </row>
    <row r="1106" customFormat="false" ht="14.25" hidden="false" customHeight="false" outlineLevel="0" collapsed="false">
      <c r="A1106" s="1" t="n">
        <v>1105</v>
      </c>
      <c r="B1106" s="1" t="n">
        <v>29</v>
      </c>
      <c r="C1106" s="1" t="n">
        <v>33</v>
      </c>
      <c r="D1106" s="1" t="str">
        <f aca="false">IF('Boletins Nuppa Site'!G1106&lt;&gt;0,'Boletins Nuppa Site'!G1106,"NULL")</f>
        <v>NULL</v>
      </c>
      <c r="E1106" s="16" t="n">
        <f aca="false">IF('Boletins Nuppa Site'!H1106&lt;&gt;0,'Boletins Nuppa Site'!H1106,"NULL")</f>
        <v>100</v>
      </c>
      <c r="F1106" s="16" t="n">
        <f aca="false">IF('Boletins Nuppa Site'!I1106&lt;&gt;0,'Boletins Nuppa Site'!I1106,"NULL")</f>
        <v>200</v>
      </c>
      <c r="G1106" s="1" t="str">
        <f aca="false">IF('Boletins Nuppa Site'!J1106&lt;&gt;0,'Boletins Nuppa Site'!J1106,"NULL")</f>
        <v>157.5</v>
      </c>
      <c r="H1106" s="16" t="n">
        <f aca="false">IF('Boletins Nuppa Site'!K1106&lt;&gt;0,'Boletins Nuppa Site'!K1106,"NULL")</f>
        <v>165</v>
      </c>
      <c r="J1106" s="1" t="str">
        <f aca="false">"INSERT INTO COTACAO (blt_id, pap_id, cot_prc_comum, cot_prc_min, cot_prc_max, cot_prc_med, cot_prc_mediana) VALUES ("&amp;B1106&amp;", "&amp;C1106&amp;", "&amp;D1106&amp;", "&amp;E1106&amp;", "&amp;F1106&amp;", "&amp;G1106&amp;", "&amp;H1106&amp;");"</f>
        <v>INSERT INTO COTACAO (blt_id, pap_id, cot_prc_comum, cot_prc_min, cot_prc_max, cot_prc_med, cot_prc_mediana) VALUES (29, 33, NULL, 100, 200, 157.5, 165);</v>
      </c>
    </row>
    <row r="1107" customFormat="false" ht="14.25" hidden="false" customHeight="false" outlineLevel="0" collapsed="false">
      <c r="A1107" s="1" t="n">
        <v>1106</v>
      </c>
      <c r="B1107" s="1" t="n">
        <v>29</v>
      </c>
      <c r="C1107" s="1" t="n">
        <v>34</v>
      </c>
      <c r="D1107" s="16" t="n">
        <f aca="false">IF('Boletins Nuppa Site'!G1107&lt;&gt;0,'Boletins Nuppa Site'!G1107,"NULL")</f>
        <v>90</v>
      </c>
      <c r="E1107" s="16" t="n">
        <f aca="false">IF('Boletins Nuppa Site'!H1107&lt;&gt;0,'Boletins Nuppa Site'!H1107,"NULL")</f>
        <v>50</v>
      </c>
      <c r="F1107" s="16" t="n">
        <f aca="false">IF('Boletins Nuppa Site'!I1107&lt;&gt;0,'Boletins Nuppa Site'!I1107,"NULL")</f>
        <v>90</v>
      </c>
      <c r="G1107" s="16" t="n">
        <f aca="false">IF('Boletins Nuppa Site'!J1107&lt;&gt;0,'Boletins Nuppa Site'!J1107,"NULL")</f>
        <v>70</v>
      </c>
      <c r="H1107" s="16" t="n">
        <f aca="false">IF('Boletins Nuppa Site'!K1107&lt;&gt;0,'Boletins Nuppa Site'!K1107,"NULL")</f>
        <v>60</v>
      </c>
      <c r="J1107" s="1" t="str">
        <f aca="false">"INSERT INTO COTACAO (blt_id, pap_id, cot_prc_comum, cot_prc_min, cot_prc_max, cot_prc_med, cot_prc_mediana) VALUES ("&amp;B1107&amp;", "&amp;C1107&amp;", "&amp;D1107&amp;", "&amp;E1107&amp;", "&amp;F1107&amp;", "&amp;G1107&amp;", "&amp;H1107&amp;");"</f>
        <v>INSERT INTO COTACAO (blt_id, pap_id, cot_prc_comum, cot_prc_min, cot_prc_max, cot_prc_med, cot_prc_mediana) VALUES (29, 34, 90, 50, 90, 70, 60);</v>
      </c>
    </row>
    <row r="1108" customFormat="false" ht="14.25" hidden="false" customHeight="false" outlineLevel="0" collapsed="false">
      <c r="A1108" s="1" t="n">
        <v>1107</v>
      </c>
      <c r="B1108" s="1" t="n">
        <v>29</v>
      </c>
      <c r="C1108" s="1" t="n">
        <v>35</v>
      </c>
      <c r="D1108" s="16" t="n">
        <f aca="false">IF('Boletins Nuppa Site'!G1108&lt;&gt;0,'Boletins Nuppa Site'!G1108,"NULL")</f>
        <v>150</v>
      </c>
      <c r="E1108" s="16" t="n">
        <f aca="false">IF('Boletins Nuppa Site'!H1108&lt;&gt;0,'Boletins Nuppa Site'!H1108,"NULL")</f>
        <v>100</v>
      </c>
      <c r="F1108" s="16" t="n">
        <f aca="false">IF('Boletins Nuppa Site'!I1108&lt;&gt;0,'Boletins Nuppa Site'!I1108,"NULL")</f>
        <v>200</v>
      </c>
      <c r="G1108" s="16" t="n">
        <f aca="false">IF('Boletins Nuppa Site'!J1108&lt;&gt;0,'Boletins Nuppa Site'!J1108,"NULL")</f>
        <v>150</v>
      </c>
      <c r="H1108" s="16" t="n">
        <f aca="false">IF('Boletins Nuppa Site'!K1108&lt;&gt;0,'Boletins Nuppa Site'!K1108,"NULL")</f>
        <v>150</v>
      </c>
      <c r="J1108" s="1" t="str">
        <f aca="false">"INSERT INTO COTACAO (blt_id, pap_id, cot_prc_comum, cot_prc_min, cot_prc_max, cot_prc_med, cot_prc_mediana) VALUES ("&amp;B1108&amp;", "&amp;C1108&amp;", "&amp;D1108&amp;", "&amp;E1108&amp;", "&amp;F1108&amp;", "&amp;G1108&amp;", "&amp;H1108&amp;");"</f>
        <v>INSERT INTO COTACAO (blt_id, pap_id, cot_prc_comum, cot_prc_min, cot_prc_max, cot_prc_med, cot_prc_mediana) VALUES (29, 35, 150, 100, 200, 150, 150);</v>
      </c>
    </row>
    <row r="1109" customFormat="false" ht="14.25" hidden="false" customHeight="false" outlineLevel="0" collapsed="false">
      <c r="A1109" s="1" t="n">
        <v>1108</v>
      </c>
      <c r="B1109" s="1" t="n">
        <v>29</v>
      </c>
      <c r="C1109" s="1" t="n">
        <v>36</v>
      </c>
      <c r="D1109" s="1" t="str">
        <f aca="false">IF('Boletins Nuppa Site'!G1109&lt;&gt;0,'Boletins Nuppa Site'!G1109,"NULL")</f>
        <v>NULL</v>
      </c>
      <c r="E1109" s="1" t="str">
        <f aca="false">IF('Boletins Nuppa Site'!H1109&lt;&gt;0,'Boletins Nuppa Site'!H1109,"NULL")</f>
        <v>NULL</v>
      </c>
      <c r="F1109" s="1" t="str">
        <f aca="false">IF('Boletins Nuppa Site'!I1109&lt;&gt;0,'Boletins Nuppa Site'!I1109,"NULL")</f>
        <v>NULL</v>
      </c>
      <c r="G1109" s="1" t="str">
        <f aca="false">IF('Boletins Nuppa Site'!J1109&lt;&gt;0,'Boletins Nuppa Site'!J1109,"NULL")</f>
        <v>NULL</v>
      </c>
      <c r="H1109" s="1" t="str">
        <f aca="false">IF('Boletins Nuppa Site'!K1109&lt;&gt;0,'Boletins Nuppa Site'!K1109,"NULL")</f>
        <v>NULL</v>
      </c>
      <c r="J1109" s="1" t="str">
        <f aca="false">"INSERT INTO COTACAO (blt_id, pap_id, cot_prc_comum, cot_prc_min, cot_prc_max, cot_prc_med, cot_prc_mediana) VALUES ("&amp;B1109&amp;", "&amp;C1109&amp;", "&amp;D1109&amp;", "&amp;E1109&amp;", "&amp;F1109&amp;", "&amp;G1109&amp;", "&amp;H1109&amp;");"</f>
        <v>INSERT INTO COTACAO (blt_id, pap_id, cot_prc_comum, cot_prc_min, cot_prc_max, cot_prc_med, cot_prc_mediana) VALUES (29, 36, NULL, NULL, NULL, NULL, NULL);</v>
      </c>
    </row>
    <row r="1110" customFormat="false" ht="14.25" hidden="false" customHeight="false" outlineLevel="0" collapsed="false">
      <c r="A1110" s="1" t="n">
        <v>1109</v>
      </c>
      <c r="B1110" s="1" t="n">
        <v>29</v>
      </c>
      <c r="C1110" s="1" t="n">
        <v>37</v>
      </c>
      <c r="D1110" s="1" t="str">
        <f aca="false">IF('Boletins Nuppa Site'!G1110&lt;&gt;0,'Boletins Nuppa Site'!G1110,"NULL")</f>
        <v>NULL</v>
      </c>
      <c r="E1110" s="1" t="str">
        <f aca="false">IF('Boletins Nuppa Site'!H1110&lt;&gt;0,'Boletins Nuppa Site'!H1110,"NULL")</f>
        <v>NULL</v>
      </c>
      <c r="F1110" s="1" t="str">
        <f aca="false">IF('Boletins Nuppa Site'!I1110&lt;&gt;0,'Boletins Nuppa Site'!I1110,"NULL")</f>
        <v>NULL</v>
      </c>
      <c r="G1110" s="1" t="str">
        <f aca="false">IF('Boletins Nuppa Site'!J1110&lt;&gt;0,'Boletins Nuppa Site'!J1110,"NULL")</f>
        <v>NULL</v>
      </c>
      <c r="H1110" s="1" t="str">
        <f aca="false">IF('Boletins Nuppa Site'!K1110&lt;&gt;0,'Boletins Nuppa Site'!K1110,"NULL")</f>
        <v>NULL</v>
      </c>
      <c r="J1110" s="1" t="str">
        <f aca="false">"INSERT INTO COTACAO (blt_id, pap_id, cot_prc_comum, cot_prc_min, cot_prc_max, cot_prc_med, cot_prc_mediana) VALUES ("&amp;B1110&amp;", "&amp;C1110&amp;", "&amp;D1110&amp;", "&amp;E1110&amp;", "&amp;F1110&amp;", "&amp;G1110&amp;", "&amp;H1110&amp;");"</f>
        <v>INSERT INTO COTACAO (blt_id, pap_id, cot_prc_comum, cot_prc_min, cot_prc_max, cot_prc_med, cot_prc_mediana) VALUES (29, 37, NULL, NULL, NULL, NULL, NULL);</v>
      </c>
    </row>
    <row r="1111" customFormat="false" ht="14.25" hidden="false" customHeight="false" outlineLevel="0" collapsed="false">
      <c r="A1111" s="1" t="n">
        <v>1110</v>
      </c>
      <c r="B1111" s="1" t="n">
        <v>29</v>
      </c>
      <c r="C1111" s="1" t="n">
        <v>38</v>
      </c>
      <c r="D1111" s="1" t="str">
        <f aca="false">IF('Boletins Nuppa Site'!G1111&lt;&gt;0,'Boletins Nuppa Site'!G1111,"NULL")</f>
        <v>NULL</v>
      </c>
      <c r="E1111" s="1" t="str">
        <f aca="false">IF('Boletins Nuppa Site'!H1111&lt;&gt;0,'Boletins Nuppa Site'!H1111,"NULL")</f>
        <v>NULL</v>
      </c>
      <c r="F1111" s="1" t="str">
        <f aca="false">IF('Boletins Nuppa Site'!I1111&lt;&gt;0,'Boletins Nuppa Site'!I1111,"NULL")</f>
        <v>NULL</v>
      </c>
      <c r="G1111" s="1" t="str">
        <f aca="false">IF('Boletins Nuppa Site'!J1111&lt;&gt;0,'Boletins Nuppa Site'!J1111,"NULL")</f>
        <v>NULL</v>
      </c>
      <c r="H1111" s="1" t="str">
        <f aca="false">IF('Boletins Nuppa Site'!K1111&lt;&gt;0,'Boletins Nuppa Site'!K1111,"NULL")</f>
        <v>NULL</v>
      </c>
      <c r="J1111" s="1" t="str">
        <f aca="false">"INSERT INTO COTACAO (blt_id, pap_id, cot_prc_comum, cot_prc_min, cot_prc_max, cot_prc_med, cot_prc_mediana) VALUES ("&amp;B1111&amp;", "&amp;C1111&amp;", "&amp;D1111&amp;", "&amp;E1111&amp;", "&amp;F1111&amp;", "&amp;G1111&amp;", "&amp;H1111&amp;");"</f>
        <v>INSERT INTO COTACAO (blt_id, pap_id, cot_prc_comum, cot_prc_min, cot_prc_max, cot_prc_med, cot_prc_mediana) VALUES (29, 38, NULL, NULL, NULL, NULL, NULL);</v>
      </c>
    </row>
    <row r="1112" customFormat="false" ht="14.25" hidden="false" customHeight="false" outlineLevel="0" collapsed="false">
      <c r="A1112" s="1" t="n">
        <v>1111</v>
      </c>
      <c r="B1112" s="1" t="n">
        <v>29</v>
      </c>
      <c r="C1112" s="1" t="n">
        <v>39</v>
      </c>
      <c r="D1112" s="1" t="str">
        <f aca="false">IF('Boletins Nuppa Site'!G1112&lt;&gt;0,'Boletins Nuppa Site'!G1112,"NULL")</f>
        <v>NULL</v>
      </c>
      <c r="E1112" s="16" t="n">
        <f aca="false">IF('Boletins Nuppa Site'!H1112&lt;&gt;0,'Boletins Nuppa Site'!H1112,"NULL")</f>
        <v>60</v>
      </c>
      <c r="F1112" s="16" t="n">
        <f aca="false">IF('Boletins Nuppa Site'!I1112&lt;&gt;0,'Boletins Nuppa Site'!I1112,"NULL")</f>
        <v>60</v>
      </c>
      <c r="G1112" s="16" t="n">
        <f aca="false">IF('Boletins Nuppa Site'!J1112&lt;&gt;0,'Boletins Nuppa Site'!J1112,"NULL")</f>
        <v>60</v>
      </c>
      <c r="H1112" s="16" t="n">
        <f aca="false">IF('Boletins Nuppa Site'!K1112&lt;&gt;0,'Boletins Nuppa Site'!K1112,"NULL")</f>
        <v>60</v>
      </c>
      <c r="J1112" s="1" t="str">
        <f aca="false">"INSERT INTO COTACAO (blt_id, pap_id, cot_prc_comum, cot_prc_min, cot_prc_max, cot_prc_med, cot_prc_mediana) VALUES ("&amp;B1112&amp;", "&amp;C1112&amp;", "&amp;D1112&amp;", "&amp;E1112&amp;", "&amp;F1112&amp;", "&amp;G1112&amp;", "&amp;H1112&amp;");"</f>
        <v>INSERT INTO COTACAO (blt_id, pap_id, cot_prc_comum, cot_prc_min, cot_prc_max, cot_prc_med, cot_prc_mediana) VALUES (29, 39, NULL, 60, 60, 60, 60);</v>
      </c>
    </row>
    <row r="1113" customFormat="false" ht="14.25" hidden="false" customHeight="false" outlineLevel="0" collapsed="false">
      <c r="A1113" s="1" t="n">
        <v>1112</v>
      </c>
      <c r="B1113" s="1" t="n">
        <v>29</v>
      </c>
      <c r="C1113" s="1" t="n">
        <v>40</v>
      </c>
      <c r="D1113" s="1" t="str">
        <f aca="false">IF('Boletins Nuppa Site'!G1113&lt;&gt;0,'Boletins Nuppa Site'!G1113,"NULL")</f>
        <v>NULL</v>
      </c>
      <c r="E1113" s="1" t="str">
        <f aca="false">IF('Boletins Nuppa Site'!H1113&lt;&gt;0,'Boletins Nuppa Site'!H1113,"NULL")</f>
        <v>NULL</v>
      </c>
      <c r="F1113" s="1" t="str">
        <f aca="false">IF('Boletins Nuppa Site'!I1113&lt;&gt;0,'Boletins Nuppa Site'!I1113,"NULL")</f>
        <v>NULL</v>
      </c>
      <c r="G1113" s="1" t="str">
        <f aca="false">IF('Boletins Nuppa Site'!J1113&lt;&gt;0,'Boletins Nuppa Site'!J1113,"NULL")</f>
        <v>NULL</v>
      </c>
      <c r="H1113" s="1" t="str">
        <f aca="false">IF('Boletins Nuppa Site'!K1113&lt;&gt;0,'Boletins Nuppa Site'!K1113,"NULL")</f>
        <v>NULL</v>
      </c>
      <c r="J1113" s="1" t="str">
        <f aca="false">"INSERT INTO COTACAO (blt_id, pap_id, cot_prc_comum, cot_prc_min, cot_prc_max, cot_prc_med, cot_prc_mediana) VALUES ("&amp;B1113&amp;", "&amp;C1113&amp;", "&amp;D1113&amp;", "&amp;E1113&amp;", "&amp;F1113&amp;", "&amp;G1113&amp;", "&amp;H1113&amp;");"</f>
        <v>INSERT INTO COTACAO (blt_id, pap_id, cot_prc_comum, cot_prc_min, cot_prc_max, cot_prc_med, cot_prc_mediana) VALUES (29, 40, NULL, NULL, NULL, NULL, NULL);</v>
      </c>
    </row>
    <row r="1114" customFormat="false" ht="14.25" hidden="false" customHeight="false" outlineLevel="0" collapsed="false">
      <c r="A1114" s="1" t="n">
        <v>1113</v>
      </c>
      <c r="B1114" s="1" t="n">
        <v>30</v>
      </c>
      <c r="C1114" s="1" t="n">
        <v>1</v>
      </c>
      <c r="D1114" s="1" t="str">
        <f aca="false">IF('Boletins Nuppa Site'!G1114&lt;&gt;0,'Boletins Nuppa Site'!G1114,"NULL")</f>
        <v>NULL</v>
      </c>
      <c r="E1114" s="16" t="n">
        <f aca="false">IF('Boletins Nuppa Site'!H1114&lt;&gt;0,'Boletins Nuppa Site'!H1114,"NULL")</f>
        <v>36</v>
      </c>
      <c r="F1114" s="16" t="n">
        <f aca="false">IF('Boletins Nuppa Site'!I1114&lt;&gt;0,'Boletins Nuppa Site'!I1114,"NULL")</f>
        <v>60</v>
      </c>
      <c r="G1114" s="16" t="n">
        <f aca="false">IF('Boletins Nuppa Site'!J1114&lt;&gt;0,'Boletins Nuppa Site'!J1114,"NULL")</f>
        <v>48</v>
      </c>
      <c r="H1114" s="16" t="n">
        <f aca="false">IF('Boletins Nuppa Site'!K1114&lt;&gt;0,'Boletins Nuppa Site'!K1114,"NULL")</f>
        <v>48</v>
      </c>
      <c r="J1114" s="1" t="str">
        <f aca="false">"INSERT INTO COTACAO (blt_id, pap_id, cot_prc_comum, cot_prc_min, cot_prc_max, cot_prc_med, cot_prc_mediana) VALUES ("&amp;B1114&amp;", "&amp;C1114&amp;", "&amp;D1114&amp;", "&amp;E1114&amp;", "&amp;F1114&amp;", "&amp;G1114&amp;", "&amp;H1114&amp;");"</f>
        <v>INSERT INTO COTACAO (blt_id, pap_id, cot_prc_comum, cot_prc_min, cot_prc_max, cot_prc_med, cot_prc_mediana) VALUES (30, 1, NULL, 36, 60, 48, 48);</v>
      </c>
    </row>
    <row r="1115" customFormat="false" ht="14.25" hidden="false" customHeight="false" outlineLevel="0" collapsed="false">
      <c r="A1115" s="1" t="n">
        <v>1114</v>
      </c>
      <c r="B1115" s="1" t="n">
        <v>30</v>
      </c>
      <c r="C1115" s="1" t="n">
        <v>2</v>
      </c>
      <c r="D1115" s="16" t="n">
        <f aca="false">IF('Boletins Nuppa Site'!G1115&lt;&gt;0,'Boletins Nuppa Site'!G1115,"NULL")</f>
        <v>72</v>
      </c>
      <c r="E1115" s="16" t="n">
        <f aca="false">IF('Boletins Nuppa Site'!H1115&lt;&gt;0,'Boletins Nuppa Site'!H1115,"NULL")</f>
        <v>72</v>
      </c>
      <c r="F1115" s="16" t="n">
        <f aca="false">IF('Boletins Nuppa Site'!I1115&lt;&gt;0,'Boletins Nuppa Site'!I1115,"NULL")</f>
        <v>84</v>
      </c>
      <c r="G1115" s="16" t="n">
        <f aca="false">IF('Boletins Nuppa Site'!J1115&lt;&gt;0,'Boletins Nuppa Site'!J1115,"NULL")</f>
        <v>76</v>
      </c>
      <c r="H1115" s="16" t="n">
        <f aca="false">IF('Boletins Nuppa Site'!K1115&lt;&gt;0,'Boletins Nuppa Site'!K1115,"NULL")</f>
        <v>72</v>
      </c>
      <c r="J1115" s="1" t="str">
        <f aca="false">"INSERT INTO COTACAO (blt_id, pap_id, cot_prc_comum, cot_prc_min, cot_prc_max, cot_prc_med, cot_prc_mediana) VALUES ("&amp;B1115&amp;", "&amp;C1115&amp;", "&amp;D1115&amp;", "&amp;E1115&amp;", "&amp;F1115&amp;", "&amp;G1115&amp;", "&amp;H1115&amp;");"</f>
        <v>INSERT INTO COTACAO (blt_id, pap_id, cot_prc_comum, cot_prc_min, cot_prc_max, cot_prc_med, cot_prc_mediana) VALUES (30, 2, 72, 72, 84, 76, 72);</v>
      </c>
    </row>
    <row r="1116" customFormat="false" ht="14.25" hidden="false" customHeight="false" outlineLevel="0" collapsed="false">
      <c r="A1116" s="1" t="n">
        <v>1115</v>
      </c>
      <c r="B1116" s="1" t="n">
        <v>30</v>
      </c>
      <c r="C1116" s="1" t="n">
        <v>3</v>
      </c>
      <c r="D1116" s="16" t="n">
        <f aca="false">IF('Boletins Nuppa Site'!G1116&lt;&gt;0,'Boletins Nuppa Site'!G1116,"NULL")</f>
        <v>36</v>
      </c>
      <c r="E1116" s="16" t="n">
        <f aca="false">IF('Boletins Nuppa Site'!H1116&lt;&gt;0,'Boletins Nuppa Site'!H1116,"NULL")</f>
        <v>30</v>
      </c>
      <c r="F1116" s="16" t="n">
        <f aca="false">IF('Boletins Nuppa Site'!I1116&lt;&gt;0,'Boletins Nuppa Site'!I1116,"NULL")</f>
        <v>42</v>
      </c>
      <c r="G1116" s="16" t="n">
        <f aca="false">IF('Boletins Nuppa Site'!J1116&lt;&gt;0,'Boletins Nuppa Site'!J1116,"NULL")</f>
        <v>36</v>
      </c>
      <c r="H1116" s="16" t="n">
        <f aca="false">IF('Boletins Nuppa Site'!K1116&lt;&gt;0,'Boletins Nuppa Site'!K1116,"NULL")</f>
        <v>36</v>
      </c>
      <c r="J1116" s="1" t="str">
        <f aca="false">"INSERT INTO COTACAO (blt_id, pap_id, cot_prc_comum, cot_prc_min, cot_prc_max, cot_prc_med, cot_prc_mediana) VALUES ("&amp;B1116&amp;", "&amp;C1116&amp;", "&amp;D1116&amp;", "&amp;E1116&amp;", "&amp;F1116&amp;", "&amp;G1116&amp;", "&amp;H1116&amp;");"</f>
        <v>INSERT INTO COTACAO (blt_id, pap_id, cot_prc_comum, cot_prc_min, cot_prc_max, cot_prc_med, cot_prc_mediana) VALUES (30, 3, 36, 30, 42, 36, 36);</v>
      </c>
    </row>
    <row r="1117" customFormat="false" ht="14.25" hidden="false" customHeight="false" outlineLevel="0" collapsed="false">
      <c r="A1117" s="1" t="n">
        <v>1116</v>
      </c>
      <c r="B1117" s="1" t="n">
        <v>30</v>
      </c>
      <c r="C1117" s="1" t="n">
        <v>4</v>
      </c>
      <c r="D1117" s="16" t="n">
        <f aca="false">IF('Boletins Nuppa Site'!G1117&lt;&gt;0,'Boletins Nuppa Site'!G1117,"NULL")</f>
        <v>18</v>
      </c>
      <c r="E1117" s="16" t="n">
        <f aca="false">IF('Boletins Nuppa Site'!H1117&lt;&gt;0,'Boletins Nuppa Site'!H1117,"NULL")</f>
        <v>18</v>
      </c>
      <c r="F1117" s="16" t="n">
        <f aca="false">IF('Boletins Nuppa Site'!I1117&lt;&gt;0,'Boletins Nuppa Site'!I1117,"NULL")</f>
        <v>24</v>
      </c>
      <c r="G1117" s="16" t="n">
        <f aca="false">IF('Boletins Nuppa Site'!J1117&lt;&gt;0,'Boletins Nuppa Site'!J1117,"NULL")</f>
        <v>21</v>
      </c>
      <c r="H1117" s="16" t="n">
        <f aca="false">IF('Boletins Nuppa Site'!K1117&lt;&gt;0,'Boletins Nuppa Site'!K1117,"NULL")</f>
        <v>21</v>
      </c>
      <c r="J1117" s="1" t="str">
        <f aca="false">"INSERT INTO COTACAO (blt_id, pap_id, cot_prc_comum, cot_prc_min, cot_prc_max, cot_prc_med, cot_prc_mediana) VALUES ("&amp;B1117&amp;", "&amp;C1117&amp;", "&amp;D1117&amp;", "&amp;E1117&amp;", "&amp;F1117&amp;", "&amp;G1117&amp;", "&amp;H1117&amp;");"</f>
        <v>INSERT INTO COTACAO (blt_id, pap_id, cot_prc_comum, cot_prc_min, cot_prc_max, cot_prc_med, cot_prc_mediana) VALUES (30, 4, 18, 18, 24, 21, 21);</v>
      </c>
    </row>
    <row r="1118" customFormat="false" ht="14.25" hidden="false" customHeight="false" outlineLevel="0" collapsed="false">
      <c r="A1118" s="1" t="n">
        <v>1117</v>
      </c>
      <c r="B1118" s="1" t="n">
        <v>30</v>
      </c>
      <c r="C1118" s="1" t="n">
        <v>5</v>
      </c>
      <c r="D1118" s="16" t="n">
        <f aca="false">IF('Boletins Nuppa Site'!G1118&lt;&gt;0,'Boletins Nuppa Site'!G1118,"NULL")</f>
        <v>24</v>
      </c>
      <c r="E1118" s="16" t="n">
        <f aca="false">IF('Boletins Nuppa Site'!H1118&lt;&gt;0,'Boletins Nuppa Site'!H1118,"NULL")</f>
        <v>18</v>
      </c>
      <c r="F1118" s="16" t="n">
        <f aca="false">IF('Boletins Nuppa Site'!I1118&lt;&gt;0,'Boletins Nuppa Site'!I1118,"NULL")</f>
        <v>24</v>
      </c>
      <c r="G1118" s="16" t="n">
        <f aca="false">IF('Boletins Nuppa Site'!J1118&lt;&gt;0,'Boletins Nuppa Site'!J1118,"NULL")</f>
        <v>22</v>
      </c>
      <c r="H1118" s="16" t="n">
        <f aca="false">IF('Boletins Nuppa Site'!K1118&lt;&gt;0,'Boletins Nuppa Site'!K1118,"NULL")</f>
        <v>24</v>
      </c>
      <c r="J1118" s="1" t="str">
        <f aca="false">"INSERT INTO COTACAO (blt_id, pap_id, cot_prc_comum, cot_prc_min, cot_prc_max, cot_prc_med, cot_prc_mediana) VALUES ("&amp;B1118&amp;", "&amp;C1118&amp;", "&amp;D1118&amp;", "&amp;E1118&amp;", "&amp;F1118&amp;", "&amp;G1118&amp;", "&amp;H1118&amp;");"</f>
        <v>INSERT INTO COTACAO (blt_id, pap_id, cot_prc_comum, cot_prc_min, cot_prc_max, cot_prc_med, cot_prc_mediana) VALUES (30, 5, 24, 18, 24, 22, 24);</v>
      </c>
    </row>
    <row r="1119" customFormat="false" ht="14.25" hidden="false" customHeight="false" outlineLevel="0" collapsed="false">
      <c r="A1119" s="1" t="n">
        <v>1118</v>
      </c>
      <c r="B1119" s="1" t="n">
        <v>30</v>
      </c>
      <c r="C1119" s="1" t="n">
        <v>6</v>
      </c>
      <c r="D1119" s="16" t="n">
        <f aca="false">IF('Boletins Nuppa Site'!G1119&lt;&gt;0,'Boletins Nuppa Site'!G1119,"NULL")</f>
        <v>60</v>
      </c>
      <c r="E1119" s="16" t="n">
        <f aca="false">IF('Boletins Nuppa Site'!H1119&lt;&gt;0,'Boletins Nuppa Site'!H1119,"NULL")</f>
        <v>60</v>
      </c>
      <c r="F1119" s="16" t="n">
        <f aca="false">IF('Boletins Nuppa Site'!I1119&lt;&gt;0,'Boletins Nuppa Site'!I1119,"NULL")</f>
        <v>60</v>
      </c>
      <c r="G1119" s="16" t="n">
        <f aca="false">IF('Boletins Nuppa Site'!J1119&lt;&gt;0,'Boletins Nuppa Site'!J1119,"NULL")</f>
        <v>60</v>
      </c>
      <c r="H1119" s="16" t="n">
        <f aca="false">IF('Boletins Nuppa Site'!K1119&lt;&gt;0,'Boletins Nuppa Site'!K1119,"NULL")</f>
        <v>60</v>
      </c>
      <c r="J1119" s="1" t="str">
        <f aca="false">"INSERT INTO COTACAO (blt_id, pap_id, cot_prc_comum, cot_prc_min, cot_prc_max, cot_prc_med, cot_prc_mediana) VALUES ("&amp;B1119&amp;", "&amp;C1119&amp;", "&amp;D1119&amp;", "&amp;E1119&amp;", "&amp;F1119&amp;", "&amp;G1119&amp;", "&amp;H1119&amp;");"</f>
        <v>INSERT INTO COTACAO (blt_id, pap_id, cot_prc_comum, cot_prc_min, cot_prc_max, cot_prc_med, cot_prc_mediana) VALUES (30, 6, 60, 60, 60, 60, 60);</v>
      </c>
    </row>
    <row r="1120" customFormat="false" ht="14.25" hidden="false" customHeight="false" outlineLevel="0" collapsed="false">
      <c r="A1120" s="1" t="n">
        <v>1119</v>
      </c>
      <c r="B1120" s="1" t="n">
        <v>30</v>
      </c>
      <c r="C1120" s="1" t="n">
        <v>7</v>
      </c>
      <c r="D1120" s="16" t="n">
        <f aca="false">IF('Boletins Nuppa Site'!G1120&lt;&gt;0,'Boletins Nuppa Site'!G1120,"NULL")</f>
        <v>60</v>
      </c>
      <c r="E1120" s="16" t="n">
        <f aca="false">IF('Boletins Nuppa Site'!H1120&lt;&gt;0,'Boletins Nuppa Site'!H1120,"NULL")</f>
        <v>48</v>
      </c>
      <c r="F1120" s="16" t="n">
        <f aca="false">IF('Boletins Nuppa Site'!I1120&lt;&gt;0,'Boletins Nuppa Site'!I1120,"NULL")</f>
        <v>66</v>
      </c>
      <c r="G1120" s="1" t="str">
        <f aca="false">IF('Boletins Nuppa Site'!J1120&lt;&gt;0,'Boletins Nuppa Site'!J1120,"NULL")</f>
        <v>58.5</v>
      </c>
      <c r="H1120" s="16" t="n">
        <f aca="false">IF('Boletins Nuppa Site'!K1120&lt;&gt;0,'Boletins Nuppa Site'!K1120,"NULL")</f>
        <v>60</v>
      </c>
      <c r="J1120" s="1" t="str">
        <f aca="false">"INSERT INTO COTACAO (blt_id, pap_id, cot_prc_comum, cot_prc_min, cot_prc_max, cot_prc_med, cot_prc_mediana) VALUES ("&amp;B1120&amp;", "&amp;C1120&amp;", "&amp;D1120&amp;", "&amp;E1120&amp;", "&amp;F1120&amp;", "&amp;G1120&amp;", "&amp;H1120&amp;");"</f>
        <v>INSERT INTO COTACAO (blt_id, pap_id, cot_prc_comum, cot_prc_min, cot_prc_max, cot_prc_med, cot_prc_mediana) VALUES (30, 7, 60, 48, 66, 58.5, 60);</v>
      </c>
    </row>
    <row r="1121" customFormat="false" ht="14.25" hidden="false" customHeight="false" outlineLevel="0" collapsed="false">
      <c r="A1121" s="1" t="n">
        <v>1120</v>
      </c>
      <c r="B1121" s="1" t="n">
        <v>30</v>
      </c>
      <c r="C1121" s="1" t="n">
        <v>8</v>
      </c>
      <c r="D1121" s="16" t="n">
        <f aca="false">IF('Boletins Nuppa Site'!G1121&lt;&gt;0,'Boletins Nuppa Site'!G1121,"NULL")</f>
        <v>60</v>
      </c>
      <c r="E1121" s="16" t="n">
        <f aca="false">IF('Boletins Nuppa Site'!H1121&lt;&gt;0,'Boletins Nuppa Site'!H1121,"NULL")</f>
        <v>60</v>
      </c>
      <c r="F1121" s="16" t="n">
        <f aca="false">IF('Boletins Nuppa Site'!I1121&lt;&gt;0,'Boletins Nuppa Site'!I1121,"NULL")</f>
        <v>72</v>
      </c>
      <c r="G1121" s="16" t="n">
        <f aca="false">IF('Boletins Nuppa Site'!J1121&lt;&gt;0,'Boletins Nuppa Site'!J1121,"NULL")</f>
        <v>66</v>
      </c>
      <c r="H1121" s="16" t="n">
        <f aca="false">IF('Boletins Nuppa Site'!K1121&lt;&gt;0,'Boletins Nuppa Site'!K1121,"NULL")</f>
        <v>66</v>
      </c>
      <c r="J1121" s="1" t="str">
        <f aca="false">"INSERT INTO COTACAO (blt_id, pap_id, cot_prc_comum, cot_prc_min, cot_prc_max, cot_prc_med, cot_prc_mediana) VALUES ("&amp;B1121&amp;", "&amp;C1121&amp;", "&amp;D1121&amp;", "&amp;E1121&amp;", "&amp;F1121&amp;", "&amp;G1121&amp;", "&amp;H1121&amp;");"</f>
        <v>INSERT INTO COTACAO (blt_id, pap_id, cot_prc_comum, cot_prc_min, cot_prc_max, cot_prc_med, cot_prc_mediana) VALUES (30, 8, 60, 60, 72, 66, 66);</v>
      </c>
    </row>
    <row r="1122" customFormat="false" ht="14.25" hidden="false" customHeight="false" outlineLevel="0" collapsed="false">
      <c r="A1122" s="1" t="n">
        <v>1121</v>
      </c>
      <c r="B1122" s="1" t="n">
        <v>30</v>
      </c>
      <c r="C1122" s="1" t="n">
        <v>9</v>
      </c>
      <c r="D1122" s="16" t="n">
        <f aca="false">IF('Boletins Nuppa Site'!G1122&lt;&gt;0,'Boletins Nuppa Site'!G1122,"NULL")</f>
        <v>18</v>
      </c>
      <c r="E1122" s="16" t="n">
        <f aca="false">IF('Boletins Nuppa Site'!H1122&lt;&gt;0,'Boletins Nuppa Site'!H1122,"NULL")</f>
        <v>18</v>
      </c>
      <c r="F1122" s="16" t="n">
        <f aca="false">IF('Boletins Nuppa Site'!I1122&lt;&gt;0,'Boletins Nuppa Site'!I1122,"NULL")</f>
        <v>24</v>
      </c>
      <c r="G1122" s="16" t="n">
        <f aca="false">IF('Boletins Nuppa Site'!J1122&lt;&gt;0,'Boletins Nuppa Site'!J1122,"NULL")</f>
        <v>20</v>
      </c>
      <c r="H1122" s="16" t="n">
        <f aca="false">IF('Boletins Nuppa Site'!K1122&lt;&gt;0,'Boletins Nuppa Site'!K1122,"NULL")</f>
        <v>19</v>
      </c>
      <c r="J1122" s="1" t="str">
        <f aca="false">"INSERT INTO COTACAO (blt_id, pap_id, cot_prc_comum, cot_prc_min, cot_prc_max, cot_prc_med, cot_prc_mediana) VALUES ("&amp;B1122&amp;", "&amp;C1122&amp;", "&amp;D1122&amp;", "&amp;E1122&amp;", "&amp;F1122&amp;", "&amp;G1122&amp;", "&amp;H1122&amp;");"</f>
        <v>INSERT INTO COTACAO (blt_id, pap_id, cot_prc_comum, cot_prc_min, cot_prc_max, cot_prc_med, cot_prc_mediana) VALUES (30, 9, 18, 18, 24, 20, 19);</v>
      </c>
    </row>
    <row r="1123" customFormat="false" ht="14.25" hidden="false" customHeight="false" outlineLevel="0" collapsed="false">
      <c r="A1123" s="1" t="n">
        <v>1122</v>
      </c>
      <c r="B1123" s="1" t="n">
        <v>30</v>
      </c>
      <c r="C1123" s="1" t="n">
        <v>10</v>
      </c>
      <c r="D1123" s="1" t="str">
        <f aca="false">IF('Boletins Nuppa Site'!G1123&lt;&gt;0,'Boletins Nuppa Site'!G1123,"NULL")</f>
        <v>NULL</v>
      </c>
      <c r="E1123" s="16" t="n">
        <f aca="false">IF('Boletins Nuppa Site'!H1123&lt;&gt;0,'Boletins Nuppa Site'!H1123,"NULL")</f>
        <v>48</v>
      </c>
      <c r="F1123" s="16" t="n">
        <f aca="false">IF('Boletins Nuppa Site'!I1123&lt;&gt;0,'Boletins Nuppa Site'!I1123,"NULL")</f>
        <v>72</v>
      </c>
      <c r="G1123" s="1" t="str">
        <f aca="false">IF('Boletins Nuppa Site'!J1123&lt;&gt;0,'Boletins Nuppa Site'!J1123,"NULL")</f>
        <v>56.67</v>
      </c>
      <c r="H1123" s="16" t="n">
        <f aca="false">IF('Boletins Nuppa Site'!K1123&lt;&gt;0,'Boletins Nuppa Site'!K1123,"NULL")</f>
        <v>50</v>
      </c>
      <c r="J1123" s="1" t="str">
        <f aca="false">"INSERT INTO COTACAO (blt_id, pap_id, cot_prc_comum, cot_prc_min, cot_prc_max, cot_prc_med, cot_prc_mediana) VALUES ("&amp;B1123&amp;", "&amp;C1123&amp;", "&amp;D1123&amp;", "&amp;E1123&amp;", "&amp;F1123&amp;", "&amp;G1123&amp;", "&amp;H1123&amp;");"</f>
        <v>INSERT INTO COTACAO (blt_id, pap_id, cot_prc_comum, cot_prc_min, cot_prc_max, cot_prc_med, cot_prc_mediana) VALUES (30, 10, NULL, 48, 72, 56.67, 50);</v>
      </c>
    </row>
    <row r="1124" customFormat="false" ht="14.25" hidden="false" customHeight="false" outlineLevel="0" collapsed="false">
      <c r="A1124" s="1" t="n">
        <v>1123</v>
      </c>
      <c r="B1124" s="1" t="n">
        <v>30</v>
      </c>
      <c r="C1124" s="1" t="n">
        <v>11</v>
      </c>
      <c r="D1124" s="16" t="n">
        <f aca="false">IF('Boletins Nuppa Site'!G1124&lt;&gt;0,'Boletins Nuppa Site'!G1124,"NULL")</f>
        <v>18</v>
      </c>
      <c r="E1124" s="16" t="n">
        <f aca="false">IF('Boletins Nuppa Site'!H1124&lt;&gt;0,'Boletins Nuppa Site'!H1124,"NULL")</f>
        <v>18</v>
      </c>
      <c r="F1124" s="16" t="n">
        <f aca="false">IF('Boletins Nuppa Site'!I1124&lt;&gt;0,'Boletins Nuppa Site'!I1124,"NULL")</f>
        <v>24</v>
      </c>
      <c r="G1124" s="16" t="n">
        <f aca="false">IF('Boletins Nuppa Site'!J1124&lt;&gt;0,'Boletins Nuppa Site'!J1124,"NULL")</f>
        <v>21</v>
      </c>
      <c r="H1124" s="16" t="n">
        <f aca="false">IF('Boletins Nuppa Site'!K1124&lt;&gt;0,'Boletins Nuppa Site'!K1124,"NULL")</f>
        <v>21</v>
      </c>
      <c r="J1124" s="1" t="str">
        <f aca="false">"INSERT INTO COTACAO (blt_id, pap_id, cot_prc_comum, cot_prc_min, cot_prc_max, cot_prc_med, cot_prc_mediana) VALUES ("&amp;B1124&amp;", "&amp;C1124&amp;", "&amp;D1124&amp;", "&amp;E1124&amp;", "&amp;F1124&amp;", "&amp;G1124&amp;", "&amp;H1124&amp;");"</f>
        <v>INSERT INTO COTACAO (blt_id, pap_id, cot_prc_comum, cot_prc_min, cot_prc_max, cot_prc_med, cot_prc_mediana) VALUES (30, 11, 18, 18, 24, 21, 21);</v>
      </c>
    </row>
    <row r="1125" customFormat="false" ht="14.25" hidden="false" customHeight="false" outlineLevel="0" collapsed="false">
      <c r="A1125" s="1" t="n">
        <v>1124</v>
      </c>
      <c r="B1125" s="1" t="n">
        <v>30</v>
      </c>
      <c r="C1125" s="1" t="n">
        <v>12</v>
      </c>
      <c r="D1125" s="16" t="n">
        <f aca="false">IF('Boletins Nuppa Site'!G1125&lt;&gt;0,'Boletins Nuppa Site'!G1125,"NULL")</f>
        <v>60</v>
      </c>
      <c r="E1125" s="16" t="n">
        <f aca="false">IF('Boletins Nuppa Site'!H1125&lt;&gt;0,'Boletins Nuppa Site'!H1125,"NULL")</f>
        <v>48</v>
      </c>
      <c r="F1125" s="16" t="n">
        <f aca="false">IF('Boletins Nuppa Site'!I1125&lt;&gt;0,'Boletins Nuppa Site'!I1125,"NULL")</f>
        <v>60</v>
      </c>
      <c r="G1125" s="16" t="n">
        <f aca="false">IF('Boletins Nuppa Site'!J1125&lt;&gt;0,'Boletins Nuppa Site'!J1125,"NULL")</f>
        <v>56</v>
      </c>
      <c r="H1125" s="16" t="n">
        <f aca="false">IF('Boletins Nuppa Site'!K1125&lt;&gt;0,'Boletins Nuppa Site'!K1125,"NULL")</f>
        <v>60</v>
      </c>
      <c r="J1125" s="1" t="str">
        <f aca="false">"INSERT INTO COTACAO (blt_id, pap_id, cot_prc_comum, cot_prc_min, cot_prc_max, cot_prc_med, cot_prc_mediana) VALUES ("&amp;B1125&amp;", "&amp;C1125&amp;", "&amp;D1125&amp;", "&amp;E1125&amp;", "&amp;F1125&amp;", "&amp;G1125&amp;", "&amp;H1125&amp;");"</f>
        <v>INSERT INTO COTACAO (blt_id, pap_id, cot_prc_comum, cot_prc_min, cot_prc_max, cot_prc_med, cot_prc_mediana) VALUES (30, 12, 60, 48, 60, 56, 60);</v>
      </c>
    </row>
    <row r="1126" customFormat="false" ht="14.25" hidden="false" customHeight="false" outlineLevel="0" collapsed="false">
      <c r="A1126" s="1" t="n">
        <v>1125</v>
      </c>
      <c r="B1126" s="1" t="n">
        <v>30</v>
      </c>
      <c r="C1126" s="1" t="n">
        <v>13</v>
      </c>
      <c r="D1126" s="16" t="n">
        <f aca="false">IF('Boletins Nuppa Site'!G1126&lt;&gt;0,'Boletins Nuppa Site'!G1126,"NULL")</f>
        <v>48</v>
      </c>
      <c r="E1126" s="16" t="n">
        <f aca="false">IF('Boletins Nuppa Site'!H1126&lt;&gt;0,'Boletins Nuppa Site'!H1126,"NULL")</f>
        <v>48</v>
      </c>
      <c r="F1126" s="16" t="n">
        <f aca="false">IF('Boletins Nuppa Site'!I1126&lt;&gt;0,'Boletins Nuppa Site'!I1126,"NULL")</f>
        <v>60</v>
      </c>
      <c r="G1126" s="16" t="n">
        <f aca="false">IF('Boletins Nuppa Site'!J1126&lt;&gt;0,'Boletins Nuppa Site'!J1126,"NULL")</f>
        <v>54</v>
      </c>
      <c r="H1126" s="16" t="n">
        <f aca="false">IF('Boletins Nuppa Site'!K1126&lt;&gt;0,'Boletins Nuppa Site'!K1126,"NULL")</f>
        <v>54</v>
      </c>
      <c r="J1126" s="1" t="str">
        <f aca="false">"INSERT INTO COTACAO (blt_id, pap_id, cot_prc_comum, cot_prc_min, cot_prc_max, cot_prc_med, cot_prc_mediana) VALUES ("&amp;B1126&amp;", "&amp;C1126&amp;", "&amp;D1126&amp;", "&amp;E1126&amp;", "&amp;F1126&amp;", "&amp;G1126&amp;", "&amp;H1126&amp;");"</f>
        <v>INSERT INTO COTACAO (blt_id, pap_id, cot_prc_comum, cot_prc_min, cot_prc_max, cot_prc_med, cot_prc_mediana) VALUES (30, 13, 48, 48, 60, 54, 54);</v>
      </c>
    </row>
    <row r="1127" customFormat="false" ht="14.25" hidden="false" customHeight="false" outlineLevel="0" collapsed="false">
      <c r="A1127" s="1" t="n">
        <v>1126</v>
      </c>
      <c r="B1127" s="1" t="n">
        <v>30</v>
      </c>
      <c r="C1127" s="1" t="n">
        <v>14</v>
      </c>
      <c r="D1127" s="16" t="n">
        <f aca="false">IF('Boletins Nuppa Site'!G1127&lt;&gt;0,'Boletins Nuppa Site'!G1127,"NULL")</f>
        <v>60</v>
      </c>
      <c r="E1127" s="16" t="n">
        <f aca="false">IF('Boletins Nuppa Site'!H1127&lt;&gt;0,'Boletins Nuppa Site'!H1127,"NULL")</f>
        <v>48</v>
      </c>
      <c r="F1127" s="16" t="n">
        <f aca="false">IF('Boletins Nuppa Site'!I1127&lt;&gt;0,'Boletins Nuppa Site'!I1127,"NULL")</f>
        <v>60</v>
      </c>
      <c r="G1127" s="16" t="n">
        <f aca="false">IF('Boletins Nuppa Site'!J1127&lt;&gt;0,'Boletins Nuppa Site'!J1127,"NULL")</f>
        <v>56</v>
      </c>
      <c r="H1127" s="16" t="n">
        <f aca="false">IF('Boletins Nuppa Site'!K1127&lt;&gt;0,'Boletins Nuppa Site'!K1127,"NULL")</f>
        <v>60</v>
      </c>
      <c r="J1127" s="1" t="str">
        <f aca="false">"INSERT INTO COTACAO (blt_id, pap_id, cot_prc_comum, cot_prc_min, cot_prc_max, cot_prc_med, cot_prc_mediana) VALUES ("&amp;B1127&amp;", "&amp;C1127&amp;", "&amp;D1127&amp;", "&amp;E1127&amp;", "&amp;F1127&amp;", "&amp;G1127&amp;", "&amp;H1127&amp;");"</f>
        <v>INSERT INTO COTACAO (blt_id, pap_id, cot_prc_comum, cot_prc_min, cot_prc_max, cot_prc_med, cot_prc_mediana) VALUES (30, 14, 60, 48, 60, 56, 60);</v>
      </c>
    </row>
    <row r="1128" customFormat="false" ht="14.25" hidden="false" customHeight="false" outlineLevel="0" collapsed="false">
      <c r="A1128" s="1" t="n">
        <v>1127</v>
      </c>
      <c r="B1128" s="1" t="n">
        <v>30</v>
      </c>
      <c r="C1128" s="1" t="n">
        <v>15</v>
      </c>
      <c r="D1128" s="16" t="n">
        <f aca="false">IF('Boletins Nuppa Site'!G1128&lt;&gt;0,'Boletins Nuppa Site'!G1128,"NULL")</f>
        <v>36</v>
      </c>
      <c r="E1128" s="16" t="n">
        <f aca="false">IF('Boletins Nuppa Site'!H1128&lt;&gt;0,'Boletins Nuppa Site'!H1128,"NULL")</f>
        <v>36</v>
      </c>
      <c r="F1128" s="16" t="n">
        <f aca="false">IF('Boletins Nuppa Site'!I1128&lt;&gt;0,'Boletins Nuppa Site'!I1128,"NULL")</f>
        <v>45</v>
      </c>
      <c r="G1128" s="1" t="str">
        <f aca="false">IF('Boletins Nuppa Site'!J1128&lt;&gt;0,'Boletins Nuppa Site'!J1128,"NULL")</f>
        <v>39.25</v>
      </c>
      <c r="H1128" s="16" t="n">
        <f aca="false">IF('Boletins Nuppa Site'!K1128&lt;&gt;0,'Boletins Nuppa Site'!K1128,"NULL")</f>
        <v>38</v>
      </c>
      <c r="J1128" s="1" t="str">
        <f aca="false">"INSERT INTO COTACAO (blt_id, pap_id, cot_prc_comum, cot_prc_min, cot_prc_max, cot_prc_med, cot_prc_mediana) VALUES ("&amp;B1128&amp;", "&amp;C1128&amp;", "&amp;D1128&amp;", "&amp;E1128&amp;", "&amp;F1128&amp;", "&amp;G1128&amp;", "&amp;H1128&amp;");"</f>
        <v>INSERT INTO COTACAO (blt_id, pap_id, cot_prc_comum, cot_prc_min, cot_prc_max, cot_prc_med, cot_prc_mediana) VALUES (30, 15, 36, 36, 45, 39.25, 38);</v>
      </c>
    </row>
    <row r="1129" customFormat="false" ht="14.25" hidden="false" customHeight="false" outlineLevel="0" collapsed="false">
      <c r="A1129" s="1" t="n">
        <v>1128</v>
      </c>
      <c r="B1129" s="1" t="n">
        <v>30</v>
      </c>
      <c r="C1129" s="1" t="n">
        <v>16</v>
      </c>
      <c r="D1129" s="16" t="n">
        <f aca="false">IF('Boletins Nuppa Site'!G1129&lt;&gt;0,'Boletins Nuppa Site'!G1129,"NULL")</f>
        <v>48</v>
      </c>
      <c r="E1129" s="16" t="n">
        <f aca="false">IF('Boletins Nuppa Site'!H1129&lt;&gt;0,'Boletins Nuppa Site'!H1129,"NULL")</f>
        <v>42</v>
      </c>
      <c r="F1129" s="16" t="n">
        <f aca="false">IF('Boletins Nuppa Site'!I1129&lt;&gt;0,'Boletins Nuppa Site'!I1129,"NULL")</f>
        <v>48</v>
      </c>
      <c r="G1129" s="1" t="str">
        <f aca="false">IF('Boletins Nuppa Site'!J1129&lt;&gt;0,'Boletins Nuppa Site'!J1129,"NULL")</f>
        <v>46.5</v>
      </c>
      <c r="H1129" s="16" t="n">
        <f aca="false">IF('Boletins Nuppa Site'!K1129&lt;&gt;0,'Boletins Nuppa Site'!K1129,"NULL")</f>
        <v>48</v>
      </c>
      <c r="J1129" s="1" t="str">
        <f aca="false">"INSERT INTO COTACAO (blt_id, pap_id, cot_prc_comum, cot_prc_min, cot_prc_max, cot_prc_med, cot_prc_mediana) VALUES ("&amp;B1129&amp;", "&amp;C1129&amp;", "&amp;D1129&amp;", "&amp;E1129&amp;", "&amp;F1129&amp;", "&amp;G1129&amp;", "&amp;H1129&amp;");"</f>
        <v>INSERT INTO COTACAO (blt_id, pap_id, cot_prc_comum, cot_prc_min, cot_prc_max, cot_prc_med, cot_prc_mediana) VALUES (30, 16, 48, 42, 48, 46.5, 48);</v>
      </c>
    </row>
    <row r="1130" customFormat="false" ht="14.25" hidden="false" customHeight="false" outlineLevel="0" collapsed="false">
      <c r="A1130" s="1" t="n">
        <v>1129</v>
      </c>
      <c r="B1130" s="1" t="n">
        <v>30</v>
      </c>
      <c r="C1130" s="1" t="n">
        <v>17</v>
      </c>
      <c r="D1130" s="16" t="n">
        <f aca="false">IF('Boletins Nuppa Site'!G1130&lt;&gt;0,'Boletins Nuppa Site'!G1130,"NULL")</f>
        <v>5</v>
      </c>
      <c r="E1130" s="16" t="n">
        <f aca="false">IF('Boletins Nuppa Site'!H1130&lt;&gt;0,'Boletins Nuppa Site'!H1130,"NULL")</f>
        <v>5</v>
      </c>
      <c r="F1130" s="1" t="str">
        <f aca="false">IF('Boletins Nuppa Site'!I1130&lt;&gt;0,'Boletins Nuppa Site'!I1130,"NULL")</f>
        <v>5.5</v>
      </c>
      <c r="G1130" s="1" t="str">
        <f aca="false">IF('Boletins Nuppa Site'!J1130&lt;&gt;0,'Boletins Nuppa Site'!J1130,"NULL")</f>
        <v>5.13</v>
      </c>
      <c r="H1130" s="16" t="n">
        <f aca="false">IF('Boletins Nuppa Site'!K1130&lt;&gt;0,'Boletins Nuppa Site'!K1130,"NULL")</f>
        <v>5</v>
      </c>
      <c r="J1130" s="1" t="str">
        <f aca="false">"INSERT INTO COTACAO (blt_id, pap_id, cot_prc_comum, cot_prc_min, cot_prc_max, cot_prc_med, cot_prc_mediana) VALUES ("&amp;B1130&amp;", "&amp;C1130&amp;", "&amp;D1130&amp;", "&amp;E1130&amp;", "&amp;F1130&amp;", "&amp;G1130&amp;", "&amp;H1130&amp;");"</f>
        <v>INSERT INTO COTACAO (blt_id, pap_id, cot_prc_comum, cot_prc_min, cot_prc_max, cot_prc_med, cot_prc_mediana) VALUES (30, 17, 5, 5, 5.5, 5.13, 5);</v>
      </c>
    </row>
    <row r="1131" customFormat="false" ht="14.25" hidden="false" customHeight="false" outlineLevel="0" collapsed="false">
      <c r="A1131" s="1" t="n">
        <v>1130</v>
      </c>
      <c r="B1131" s="1" t="n">
        <v>30</v>
      </c>
      <c r="C1131" s="1" t="n">
        <v>18</v>
      </c>
      <c r="D1131" s="16" t="n">
        <f aca="false">IF('Boletins Nuppa Site'!G1131&lt;&gt;0,'Boletins Nuppa Site'!G1131,"NULL")</f>
        <v>12</v>
      </c>
      <c r="E1131" s="16" t="n">
        <f aca="false">IF('Boletins Nuppa Site'!H1131&lt;&gt;0,'Boletins Nuppa Site'!H1131,"NULL")</f>
        <v>10</v>
      </c>
      <c r="F1131" s="16" t="n">
        <f aca="false">IF('Boletins Nuppa Site'!I1131&lt;&gt;0,'Boletins Nuppa Site'!I1131,"NULL")</f>
        <v>12</v>
      </c>
      <c r="G1131" s="16" t="n">
        <f aca="false">IF('Boletins Nuppa Site'!J1131&lt;&gt;0,'Boletins Nuppa Site'!J1131,"NULL")</f>
        <v>11</v>
      </c>
      <c r="H1131" s="16" t="n">
        <f aca="false">IF('Boletins Nuppa Site'!K1131&lt;&gt;0,'Boletins Nuppa Site'!K1131,"NULL")</f>
        <v>11</v>
      </c>
      <c r="J1131" s="1" t="str">
        <f aca="false">"INSERT INTO COTACAO (blt_id, pap_id, cot_prc_comum, cot_prc_min, cot_prc_max, cot_prc_med, cot_prc_mediana) VALUES ("&amp;B1131&amp;", "&amp;C1131&amp;", "&amp;D1131&amp;", "&amp;E1131&amp;", "&amp;F1131&amp;", "&amp;G1131&amp;", "&amp;H1131&amp;");"</f>
        <v>INSERT INTO COTACAO (blt_id, pap_id, cot_prc_comum, cot_prc_min, cot_prc_max, cot_prc_med, cot_prc_mediana) VALUES (30, 18, 12, 10, 12, 11, 11);</v>
      </c>
    </row>
    <row r="1132" customFormat="false" ht="14.25" hidden="false" customHeight="false" outlineLevel="0" collapsed="false">
      <c r="A1132" s="1" t="n">
        <v>1131</v>
      </c>
      <c r="B1132" s="1" t="n">
        <v>30</v>
      </c>
      <c r="C1132" s="1" t="n">
        <v>19</v>
      </c>
      <c r="D1132" s="1" t="str">
        <f aca="false">IF('Boletins Nuppa Site'!G1132&lt;&gt;0,'Boletins Nuppa Site'!G1132,"NULL")</f>
        <v>NULL</v>
      </c>
      <c r="E1132" s="16" t="n">
        <f aca="false">IF('Boletins Nuppa Site'!H1132&lt;&gt;0,'Boletins Nuppa Site'!H1132,"NULL")</f>
        <v>10</v>
      </c>
      <c r="F1132" s="16" t="n">
        <f aca="false">IF('Boletins Nuppa Site'!I1132&lt;&gt;0,'Boletins Nuppa Site'!I1132,"NULL")</f>
        <v>30</v>
      </c>
      <c r="G1132" s="1" t="str">
        <f aca="false">IF('Boletins Nuppa Site'!J1132&lt;&gt;0,'Boletins Nuppa Site'!J1132,"NULL")</f>
        <v>18.75</v>
      </c>
      <c r="H1132" s="1" t="str">
        <f aca="false">IF('Boletins Nuppa Site'!K1132&lt;&gt;0,'Boletins Nuppa Site'!K1132,"NULL")</f>
        <v>17.5</v>
      </c>
      <c r="J1132" s="1" t="str">
        <f aca="false">"INSERT INTO COTACAO (blt_id, pap_id, cot_prc_comum, cot_prc_min, cot_prc_max, cot_prc_med, cot_prc_mediana) VALUES ("&amp;B1132&amp;", "&amp;C1132&amp;", "&amp;D1132&amp;", "&amp;E1132&amp;", "&amp;F1132&amp;", "&amp;G1132&amp;", "&amp;H1132&amp;");"</f>
        <v>INSERT INTO COTACAO (blt_id, pap_id, cot_prc_comum, cot_prc_min, cot_prc_max, cot_prc_med, cot_prc_mediana) VALUES (30, 19, NULL, 10, 30, 18.75, 17.5);</v>
      </c>
    </row>
    <row r="1133" customFormat="false" ht="14.25" hidden="false" customHeight="false" outlineLevel="0" collapsed="false">
      <c r="A1133" s="1" t="n">
        <v>1132</v>
      </c>
      <c r="B1133" s="1" t="n">
        <v>30</v>
      </c>
      <c r="C1133" s="1" t="n">
        <v>20</v>
      </c>
      <c r="D1133" s="1" t="str">
        <f aca="false">IF('Boletins Nuppa Site'!G1133&lt;&gt;0,'Boletins Nuppa Site'!G1133,"NULL")</f>
        <v>NULL</v>
      </c>
      <c r="E1133" s="16" t="n">
        <f aca="false">IF('Boletins Nuppa Site'!H1133&lt;&gt;0,'Boletins Nuppa Site'!H1133,"NULL")</f>
        <v>75</v>
      </c>
      <c r="F1133" s="16" t="n">
        <f aca="false">IF('Boletins Nuppa Site'!I1133&lt;&gt;0,'Boletins Nuppa Site'!I1133,"NULL")</f>
        <v>75</v>
      </c>
      <c r="G1133" s="16" t="n">
        <f aca="false">IF('Boletins Nuppa Site'!J1133&lt;&gt;0,'Boletins Nuppa Site'!J1133,"NULL")</f>
        <v>75</v>
      </c>
      <c r="H1133" s="16" t="n">
        <f aca="false">IF('Boletins Nuppa Site'!K1133&lt;&gt;0,'Boletins Nuppa Site'!K1133,"NULL")</f>
        <v>75</v>
      </c>
      <c r="J1133" s="1" t="str">
        <f aca="false">"INSERT INTO COTACAO (blt_id, pap_id, cot_prc_comum, cot_prc_min, cot_prc_max, cot_prc_med, cot_prc_mediana) VALUES ("&amp;B1133&amp;", "&amp;C1133&amp;", "&amp;D1133&amp;", "&amp;E1133&amp;", "&amp;F1133&amp;", "&amp;G1133&amp;", "&amp;H1133&amp;");"</f>
        <v>INSERT INTO COTACAO (blt_id, pap_id, cot_prc_comum, cot_prc_min, cot_prc_max, cot_prc_med, cot_prc_mediana) VALUES (30, 20, NULL, 75, 75, 75, 75);</v>
      </c>
    </row>
    <row r="1134" customFormat="false" ht="14.25" hidden="false" customHeight="false" outlineLevel="0" collapsed="false">
      <c r="A1134" s="1" t="n">
        <v>1133</v>
      </c>
      <c r="B1134" s="1" t="n">
        <v>30</v>
      </c>
      <c r="C1134" s="1" t="n">
        <v>21</v>
      </c>
      <c r="D1134" s="16" t="n">
        <f aca="false">IF('Boletins Nuppa Site'!G1134&lt;&gt;0,'Boletins Nuppa Site'!G1134,"NULL")</f>
        <v>60</v>
      </c>
      <c r="E1134" s="16" t="n">
        <f aca="false">IF('Boletins Nuppa Site'!H1134&lt;&gt;0,'Boletins Nuppa Site'!H1134,"NULL")</f>
        <v>50</v>
      </c>
      <c r="F1134" s="16" t="n">
        <f aca="false">IF('Boletins Nuppa Site'!I1134&lt;&gt;0,'Boletins Nuppa Site'!I1134,"NULL")</f>
        <v>60</v>
      </c>
      <c r="G1134" s="16" t="n">
        <f aca="false">IF('Boletins Nuppa Site'!J1134&lt;&gt;0,'Boletins Nuppa Site'!J1134,"NULL")</f>
        <v>57</v>
      </c>
      <c r="H1134" s="16" t="n">
        <f aca="false">IF('Boletins Nuppa Site'!K1134&lt;&gt;0,'Boletins Nuppa Site'!K1134,"NULL")</f>
        <v>60</v>
      </c>
      <c r="J1134" s="1" t="str">
        <f aca="false">"INSERT INTO COTACAO (blt_id, pap_id, cot_prc_comum, cot_prc_min, cot_prc_max, cot_prc_med, cot_prc_mediana) VALUES ("&amp;B1134&amp;", "&amp;C1134&amp;", "&amp;D1134&amp;", "&amp;E1134&amp;", "&amp;F1134&amp;", "&amp;G1134&amp;", "&amp;H1134&amp;");"</f>
        <v>INSERT INTO COTACAO (blt_id, pap_id, cot_prc_comum, cot_prc_min, cot_prc_max, cot_prc_med, cot_prc_mediana) VALUES (30, 21, 60, 50, 60, 57, 60);</v>
      </c>
    </row>
    <row r="1135" customFormat="false" ht="14.25" hidden="false" customHeight="false" outlineLevel="0" collapsed="false">
      <c r="A1135" s="1" t="n">
        <v>1134</v>
      </c>
      <c r="B1135" s="1" t="n">
        <v>30</v>
      </c>
      <c r="C1135" s="1" t="n">
        <v>22</v>
      </c>
      <c r="D1135" s="16" t="n">
        <f aca="false">IF('Boletins Nuppa Site'!G1135&lt;&gt;0,'Boletins Nuppa Site'!G1135,"NULL")</f>
        <v>70</v>
      </c>
      <c r="E1135" s="16" t="n">
        <f aca="false">IF('Boletins Nuppa Site'!H1135&lt;&gt;0,'Boletins Nuppa Site'!H1135,"NULL")</f>
        <v>45</v>
      </c>
      <c r="F1135" s="16" t="n">
        <f aca="false">IF('Boletins Nuppa Site'!I1135&lt;&gt;0,'Boletins Nuppa Site'!I1135,"NULL")</f>
        <v>70</v>
      </c>
      <c r="G1135" s="16" t="n">
        <f aca="false">IF('Boletins Nuppa Site'!J1135&lt;&gt;0,'Boletins Nuppa Site'!J1135,"NULL")</f>
        <v>63</v>
      </c>
      <c r="H1135" s="16" t="n">
        <f aca="false">IF('Boletins Nuppa Site'!K1135&lt;&gt;0,'Boletins Nuppa Site'!K1135,"NULL")</f>
        <v>70</v>
      </c>
      <c r="J1135" s="1" t="str">
        <f aca="false">"INSERT INTO COTACAO (blt_id, pap_id, cot_prc_comum, cot_prc_min, cot_prc_max, cot_prc_med, cot_prc_mediana) VALUES ("&amp;B1135&amp;", "&amp;C1135&amp;", "&amp;D1135&amp;", "&amp;E1135&amp;", "&amp;F1135&amp;", "&amp;G1135&amp;", "&amp;H1135&amp;");"</f>
        <v>INSERT INTO COTACAO (blt_id, pap_id, cot_prc_comum, cot_prc_min, cot_prc_max, cot_prc_med, cot_prc_mediana) VALUES (30, 22, 70, 45, 70, 63, 70);</v>
      </c>
    </row>
    <row r="1136" customFormat="false" ht="14.25" hidden="false" customHeight="false" outlineLevel="0" collapsed="false">
      <c r="A1136" s="1" t="n">
        <v>1135</v>
      </c>
      <c r="B1136" s="1" t="n">
        <v>30</v>
      </c>
      <c r="C1136" s="1" t="n">
        <v>23</v>
      </c>
      <c r="D1136" s="16" t="n">
        <f aca="false">IF('Boletins Nuppa Site'!G1136&lt;&gt;0,'Boletins Nuppa Site'!G1136,"NULL")</f>
        <v>50</v>
      </c>
      <c r="E1136" s="16" t="n">
        <f aca="false">IF('Boletins Nuppa Site'!H1136&lt;&gt;0,'Boletins Nuppa Site'!H1136,"NULL")</f>
        <v>45</v>
      </c>
      <c r="F1136" s="16" t="n">
        <f aca="false">IF('Boletins Nuppa Site'!I1136&lt;&gt;0,'Boletins Nuppa Site'!I1136,"NULL")</f>
        <v>60</v>
      </c>
      <c r="G1136" s="16" t="n">
        <f aca="false">IF('Boletins Nuppa Site'!J1136&lt;&gt;0,'Boletins Nuppa Site'!J1136,"NULL")</f>
        <v>52</v>
      </c>
      <c r="H1136" s="16" t="n">
        <f aca="false">IF('Boletins Nuppa Site'!K1136&lt;&gt;0,'Boletins Nuppa Site'!K1136,"NULL")</f>
        <v>50</v>
      </c>
      <c r="J1136" s="1" t="str">
        <f aca="false">"INSERT INTO COTACAO (blt_id, pap_id, cot_prc_comum, cot_prc_min, cot_prc_max, cot_prc_med, cot_prc_mediana) VALUES ("&amp;B1136&amp;", "&amp;C1136&amp;", "&amp;D1136&amp;", "&amp;E1136&amp;", "&amp;F1136&amp;", "&amp;G1136&amp;", "&amp;H1136&amp;");"</f>
        <v>INSERT INTO COTACAO (blt_id, pap_id, cot_prc_comum, cot_prc_min, cot_prc_max, cot_prc_med, cot_prc_mediana) VALUES (30, 23, 50, 45, 60, 52, 50);</v>
      </c>
    </row>
    <row r="1137" customFormat="false" ht="14.25" hidden="false" customHeight="false" outlineLevel="0" collapsed="false">
      <c r="A1137" s="1" t="n">
        <v>1136</v>
      </c>
      <c r="B1137" s="1" t="n">
        <v>30</v>
      </c>
      <c r="C1137" s="1" t="n">
        <v>24</v>
      </c>
      <c r="D1137" s="1" t="str">
        <f aca="false">IF('Boletins Nuppa Site'!G1137&lt;&gt;0,'Boletins Nuppa Site'!G1137,"NULL")</f>
        <v>NULL</v>
      </c>
      <c r="E1137" s="16" t="n">
        <f aca="false">IF('Boletins Nuppa Site'!H1137&lt;&gt;0,'Boletins Nuppa Site'!H1137,"NULL")</f>
        <v>90</v>
      </c>
      <c r="F1137" s="16" t="n">
        <f aca="false">IF('Boletins Nuppa Site'!I1137&lt;&gt;0,'Boletins Nuppa Site'!I1137,"NULL")</f>
        <v>90</v>
      </c>
      <c r="G1137" s="16" t="n">
        <f aca="false">IF('Boletins Nuppa Site'!J1137&lt;&gt;0,'Boletins Nuppa Site'!J1137,"NULL")</f>
        <v>90</v>
      </c>
      <c r="H1137" s="16" t="n">
        <f aca="false">IF('Boletins Nuppa Site'!K1137&lt;&gt;0,'Boletins Nuppa Site'!K1137,"NULL")</f>
        <v>90</v>
      </c>
      <c r="J1137" s="1" t="str">
        <f aca="false">"INSERT INTO COTACAO (blt_id, pap_id, cot_prc_comum, cot_prc_min, cot_prc_max, cot_prc_med, cot_prc_mediana) VALUES ("&amp;B1137&amp;", "&amp;C1137&amp;", "&amp;D1137&amp;", "&amp;E1137&amp;", "&amp;F1137&amp;", "&amp;G1137&amp;", "&amp;H1137&amp;");"</f>
        <v>INSERT INTO COTACAO (blt_id, pap_id, cot_prc_comum, cot_prc_min, cot_prc_max, cot_prc_med, cot_prc_mediana) VALUES (30, 24, NULL, 90, 90, 90, 90);</v>
      </c>
    </row>
    <row r="1138" customFormat="false" ht="14.25" hidden="false" customHeight="false" outlineLevel="0" collapsed="false">
      <c r="A1138" s="1" t="n">
        <v>1137</v>
      </c>
      <c r="B1138" s="1" t="n">
        <v>30</v>
      </c>
      <c r="C1138" s="1" t="n">
        <v>25</v>
      </c>
      <c r="D1138" s="16" t="n">
        <f aca="false">IF('Boletins Nuppa Site'!G1138&lt;&gt;0,'Boletins Nuppa Site'!G1138,"NULL")</f>
        <v>70</v>
      </c>
      <c r="E1138" s="16" t="n">
        <f aca="false">IF('Boletins Nuppa Site'!H1138&lt;&gt;0,'Boletins Nuppa Site'!H1138,"NULL")</f>
        <v>60</v>
      </c>
      <c r="F1138" s="16" t="n">
        <f aca="false">IF('Boletins Nuppa Site'!I1138&lt;&gt;0,'Boletins Nuppa Site'!I1138,"NULL")</f>
        <v>70</v>
      </c>
      <c r="G1138" s="16" t="n">
        <f aca="false">IF('Boletins Nuppa Site'!J1138&lt;&gt;0,'Boletins Nuppa Site'!J1138,"NULL")</f>
        <v>65</v>
      </c>
      <c r="H1138" s="16" t="n">
        <f aca="false">IF('Boletins Nuppa Site'!K1138&lt;&gt;0,'Boletins Nuppa Site'!K1138,"NULL")</f>
        <v>65</v>
      </c>
      <c r="J1138" s="1" t="str">
        <f aca="false">"INSERT INTO COTACAO (blt_id, pap_id, cot_prc_comum, cot_prc_min, cot_prc_max, cot_prc_med, cot_prc_mediana) VALUES ("&amp;B1138&amp;", "&amp;C1138&amp;", "&amp;D1138&amp;", "&amp;E1138&amp;", "&amp;F1138&amp;", "&amp;G1138&amp;", "&amp;H1138&amp;");"</f>
        <v>INSERT INTO COTACAO (blt_id, pap_id, cot_prc_comum, cot_prc_min, cot_prc_max, cot_prc_med, cot_prc_mediana) VALUES (30, 25, 70, 60, 70, 65, 65);</v>
      </c>
    </row>
    <row r="1139" customFormat="false" ht="14.25" hidden="false" customHeight="false" outlineLevel="0" collapsed="false">
      <c r="A1139" s="1" t="n">
        <v>1138</v>
      </c>
      <c r="B1139" s="1" t="n">
        <v>30</v>
      </c>
      <c r="C1139" s="1" t="n">
        <v>26</v>
      </c>
      <c r="D1139" s="16" t="n">
        <f aca="false">IF('Boletins Nuppa Site'!G1139&lt;&gt;0,'Boletins Nuppa Site'!G1139,"NULL")</f>
        <v>60</v>
      </c>
      <c r="E1139" s="16" t="n">
        <f aca="false">IF('Boletins Nuppa Site'!H1139&lt;&gt;0,'Boletins Nuppa Site'!H1139,"NULL")</f>
        <v>45</v>
      </c>
      <c r="F1139" s="16" t="n">
        <f aca="false">IF('Boletins Nuppa Site'!I1139&lt;&gt;0,'Boletins Nuppa Site'!I1139,"NULL")</f>
        <v>65</v>
      </c>
      <c r="G1139" s="16" t="n">
        <f aca="false">IF('Boletins Nuppa Site'!J1139&lt;&gt;0,'Boletins Nuppa Site'!J1139,"NULL")</f>
        <v>57</v>
      </c>
      <c r="H1139" s="16" t="n">
        <f aca="false">IF('Boletins Nuppa Site'!K1139&lt;&gt;0,'Boletins Nuppa Site'!K1139,"NULL")</f>
        <v>60</v>
      </c>
      <c r="J1139" s="1" t="str">
        <f aca="false">"INSERT INTO COTACAO (blt_id, pap_id, cot_prc_comum, cot_prc_min, cot_prc_max, cot_prc_med, cot_prc_mediana) VALUES ("&amp;B1139&amp;", "&amp;C1139&amp;", "&amp;D1139&amp;", "&amp;E1139&amp;", "&amp;F1139&amp;", "&amp;G1139&amp;", "&amp;H1139&amp;");"</f>
        <v>INSERT INTO COTACAO (blt_id, pap_id, cot_prc_comum, cot_prc_min, cot_prc_max, cot_prc_med, cot_prc_mediana) VALUES (30, 26, 60, 45, 65, 57, 60);</v>
      </c>
    </row>
    <row r="1140" customFormat="false" ht="14.25" hidden="false" customHeight="false" outlineLevel="0" collapsed="false">
      <c r="A1140" s="1" t="n">
        <v>1139</v>
      </c>
      <c r="B1140" s="1" t="n">
        <v>30</v>
      </c>
      <c r="C1140" s="1" t="n">
        <v>27</v>
      </c>
      <c r="D1140" s="16" t="n">
        <f aca="false">IF('Boletins Nuppa Site'!G1140&lt;&gt;0,'Boletins Nuppa Site'!G1140,"NULL")</f>
        <v>60</v>
      </c>
      <c r="E1140" s="16" t="n">
        <f aca="false">IF('Boletins Nuppa Site'!H1140&lt;&gt;0,'Boletins Nuppa Site'!H1140,"NULL")</f>
        <v>55</v>
      </c>
      <c r="F1140" s="16" t="n">
        <f aca="false">IF('Boletins Nuppa Site'!I1140&lt;&gt;0,'Boletins Nuppa Site'!I1140,"NULL")</f>
        <v>80</v>
      </c>
      <c r="G1140" s="16" t="n">
        <f aca="false">IF('Boletins Nuppa Site'!J1140&lt;&gt;0,'Boletins Nuppa Site'!J1140,"NULL")</f>
        <v>66</v>
      </c>
      <c r="H1140" s="16" t="n">
        <f aca="false">IF('Boletins Nuppa Site'!K1140&lt;&gt;0,'Boletins Nuppa Site'!K1140,"NULL")</f>
        <v>60</v>
      </c>
      <c r="J1140" s="1" t="str">
        <f aca="false">"INSERT INTO COTACAO (blt_id, pap_id, cot_prc_comum, cot_prc_min, cot_prc_max, cot_prc_med, cot_prc_mediana) VALUES ("&amp;B1140&amp;", "&amp;C1140&amp;", "&amp;D1140&amp;", "&amp;E1140&amp;", "&amp;F1140&amp;", "&amp;G1140&amp;", "&amp;H1140&amp;");"</f>
        <v>INSERT INTO COTACAO (blt_id, pap_id, cot_prc_comum, cot_prc_min, cot_prc_max, cot_prc_med, cot_prc_mediana) VALUES (30, 27, 60, 55, 80, 66, 60);</v>
      </c>
    </row>
    <row r="1141" customFormat="false" ht="14.25" hidden="false" customHeight="false" outlineLevel="0" collapsed="false">
      <c r="A1141" s="1" t="n">
        <v>1140</v>
      </c>
      <c r="B1141" s="1" t="n">
        <v>30</v>
      </c>
      <c r="C1141" s="1" t="n">
        <v>28</v>
      </c>
      <c r="D1141" s="16" t="n">
        <f aca="false">IF('Boletins Nuppa Site'!G1141&lt;&gt;0,'Boletins Nuppa Site'!G1141,"NULL")</f>
        <v>90</v>
      </c>
      <c r="E1141" s="16" t="n">
        <f aca="false">IF('Boletins Nuppa Site'!H1141&lt;&gt;0,'Boletins Nuppa Site'!H1141,"NULL")</f>
        <v>90</v>
      </c>
      <c r="F1141" s="16" t="n">
        <f aca="false">IF('Boletins Nuppa Site'!I1141&lt;&gt;0,'Boletins Nuppa Site'!I1141,"NULL")</f>
        <v>100</v>
      </c>
      <c r="G1141" s="1" t="str">
        <f aca="false">IF('Boletins Nuppa Site'!J1141&lt;&gt;0,'Boletins Nuppa Site'!J1141,"NULL")</f>
        <v>93.75</v>
      </c>
      <c r="H1141" s="1" t="str">
        <f aca="false">IF('Boletins Nuppa Site'!K1141&lt;&gt;0,'Boletins Nuppa Site'!K1141,"NULL")</f>
        <v>92.5</v>
      </c>
      <c r="J1141" s="1" t="str">
        <f aca="false">"INSERT INTO COTACAO (blt_id, pap_id, cot_prc_comum, cot_prc_min, cot_prc_max, cot_prc_med, cot_prc_mediana) VALUES ("&amp;B1141&amp;", "&amp;C1141&amp;", "&amp;D1141&amp;", "&amp;E1141&amp;", "&amp;F1141&amp;", "&amp;G1141&amp;", "&amp;H1141&amp;");"</f>
        <v>INSERT INTO COTACAO (blt_id, pap_id, cot_prc_comum, cot_prc_min, cot_prc_max, cot_prc_med, cot_prc_mediana) VALUES (30, 28, 90, 90, 100, 93.75, 92.5);</v>
      </c>
    </row>
    <row r="1142" customFormat="false" ht="14.25" hidden="false" customHeight="false" outlineLevel="0" collapsed="false">
      <c r="A1142" s="1" t="n">
        <v>1141</v>
      </c>
      <c r="B1142" s="1" t="n">
        <v>30</v>
      </c>
      <c r="C1142" s="1" t="n">
        <v>29</v>
      </c>
      <c r="D1142" s="1" t="str">
        <f aca="false">IF('Boletins Nuppa Site'!G1142&lt;&gt;0,'Boletins Nuppa Site'!G1142,"NULL")</f>
        <v>NULL</v>
      </c>
      <c r="E1142" s="16" t="n">
        <f aca="false">IF('Boletins Nuppa Site'!H1142&lt;&gt;0,'Boletins Nuppa Site'!H1142,"NULL")</f>
        <v>50</v>
      </c>
      <c r="F1142" s="16" t="n">
        <f aca="false">IF('Boletins Nuppa Site'!I1142&lt;&gt;0,'Boletins Nuppa Site'!I1142,"NULL")</f>
        <v>65</v>
      </c>
      <c r="G1142" s="1" t="str">
        <f aca="false">IF('Boletins Nuppa Site'!J1142&lt;&gt;0,'Boletins Nuppa Site'!J1142,"NULL")</f>
        <v>57.5</v>
      </c>
      <c r="H1142" s="1" t="str">
        <f aca="false">IF('Boletins Nuppa Site'!K1142&lt;&gt;0,'Boletins Nuppa Site'!K1142,"NULL")</f>
        <v>57.5</v>
      </c>
      <c r="J1142" s="1" t="str">
        <f aca="false">"INSERT INTO COTACAO (blt_id, pap_id, cot_prc_comum, cot_prc_min, cot_prc_max, cot_prc_med, cot_prc_mediana) VALUES ("&amp;B1142&amp;", "&amp;C1142&amp;", "&amp;D1142&amp;", "&amp;E1142&amp;", "&amp;F1142&amp;", "&amp;G1142&amp;", "&amp;H1142&amp;");"</f>
        <v>INSERT INTO COTACAO (blt_id, pap_id, cot_prc_comum, cot_prc_min, cot_prc_max, cot_prc_med, cot_prc_mediana) VALUES (30, 29, NULL, 50, 65, 57.5, 57.5);</v>
      </c>
    </row>
    <row r="1143" customFormat="false" ht="14.25" hidden="false" customHeight="false" outlineLevel="0" collapsed="false">
      <c r="A1143" s="1" t="n">
        <v>1142</v>
      </c>
      <c r="B1143" s="1" t="n">
        <v>30</v>
      </c>
      <c r="C1143" s="1" t="n">
        <v>30</v>
      </c>
      <c r="D1143" s="1" t="str">
        <f aca="false">IF('Boletins Nuppa Site'!G1143&lt;&gt;0,'Boletins Nuppa Site'!G1143,"NULL")</f>
        <v>NULL</v>
      </c>
      <c r="E1143" s="16" t="n">
        <f aca="false">IF('Boletins Nuppa Site'!H1143&lt;&gt;0,'Boletins Nuppa Site'!H1143,"NULL")</f>
        <v>60</v>
      </c>
      <c r="F1143" s="16" t="n">
        <f aca="false">IF('Boletins Nuppa Site'!I1143&lt;&gt;0,'Boletins Nuppa Site'!I1143,"NULL")</f>
        <v>85</v>
      </c>
      <c r="G1143" s="1" t="str">
        <f aca="false">IF('Boletins Nuppa Site'!J1143&lt;&gt;0,'Boletins Nuppa Site'!J1143,"NULL")</f>
        <v>71.25</v>
      </c>
      <c r="H1143" s="16" t="n">
        <f aca="false">IF('Boletins Nuppa Site'!K1143&lt;&gt;0,'Boletins Nuppa Site'!K1143,"NULL")</f>
        <v>70</v>
      </c>
      <c r="J1143" s="1" t="str">
        <f aca="false">"INSERT INTO COTACAO (blt_id, pap_id, cot_prc_comum, cot_prc_min, cot_prc_max, cot_prc_med, cot_prc_mediana) VALUES ("&amp;B1143&amp;", "&amp;C1143&amp;", "&amp;D1143&amp;", "&amp;E1143&amp;", "&amp;F1143&amp;", "&amp;G1143&amp;", "&amp;H1143&amp;");"</f>
        <v>INSERT INTO COTACAO (blt_id, pap_id, cot_prc_comum, cot_prc_min, cot_prc_max, cot_prc_med, cot_prc_mediana) VALUES (30, 30, NULL, 60, 85, 71.25, 70);</v>
      </c>
    </row>
    <row r="1144" customFormat="false" ht="14.25" hidden="false" customHeight="false" outlineLevel="0" collapsed="false">
      <c r="A1144" s="1" t="n">
        <v>1143</v>
      </c>
      <c r="B1144" s="1" t="n">
        <v>30</v>
      </c>
      <c r="C1144" s="1" t="n">
        <v>31</v>
      </c>
      <c r="D1144" s="16" t="n">
        <f aca="false">IF('Boletins Nuppa Site'!G1144&lt;&gt;0,'Boletins Nuppa Site'!G1144,"NULL")</f>
        <v>90</v>
      </c>
      <c r="E1144" s="16" t="n">
        <f aca="false">IF('Boletins Nuppa Site'!H1144&lt;&gt;0,'Boletins Nuppa Site'!H1144,"NULL")</f>
        <v>80</v>
      </c>
      <c r="F1144" s="16" t="n">
        <f aca="false">IF('Boletins Nuppa Site'!I1144&lt;&gt;0,'Boletins Nuppa Site'!I1144,"NULL")</f>
        <v>100</v>
      </c>
      <c r="G1144" s="16" t="n">
        <f aca="false">IF('Boletins Nuppa Site'!J1144&lt;&gt;0,'Boletins Nuppa Site'!J1144,"NULL")</f>
        <v>90</v>
      </c>
      <c r="H1144" s="16" t="n">
        <f aca="false">IF('Boletins Nuppa Site'!K1144&lt;&gt;0,'Boletins Nuppa Site'!K1144,"NULL")</f>
        <v>90</v>
      </c>
      <c r="J1144" s="1" t="str">
        <f aca="false">"INSERT INTO COTACAO (blt_id, pap_id, cot_prc_comum, cot_prc_min, cot_prc_max, cot_prc_med, cot_prc_mediana) VALUES ("&amp;B1144&amp;", "&amp;C1144&amp;", "&amp;D1144&amp;", "&amp;E1144&amp;", "&amp;F1144&amp;", "&amp;G1144&amp;", "&amp;H1144&amp;");"</f>
        <v>INSERT INTO COTACAO (blt_id, pap_id, cot_prc_comum, cot_prc_min, cot_prc_max, cot_prc_med, cot_prc_mediana) VALUES (30, 31, 90, 80, 100, 90, 90);</v>
      </c>
    </row>
    <row r="1145" customFormat="false" ht="14.25" hidden="false" customHeight="false" outlineLevel="0" collapsed="false">
      <c r="A1145" s="1" t="n">
        <v>1144</v>
      </c>
      <c r="B1145" s="1" t="n">
        <v>30</v>
      </c>
      <c r="C1145" s="1" t="n">
        <v>32</v>
      </c>
      <c r="D1145" s="16" t="n">
        <f aca="false">IF('Boletins Nuppa Site'!G1145&lt;&gt;0,'Boletins Nuppa Site'!G1145,"NULL")</f>
        <v>55</v>
      </c>
      <c r="E1145" s="16" t="n">
        <f aca="false">IF('Boletins Nuppa Site'!H1145&lt;&gt;0,'Boletins Nuppa Site'!H1145,"NULL")</f>
        <v>50</v>
      </c>
      <c r="F1145" s="16" t="n">
        <f aca="false">IF('Boletins Nuppa Site'!I1145&lt;&gt;0,'Boletins Nuppa Site'!I1145,"NULL")</f>
        <v>70</v>
      </c>
      <c r="G1145" s="16" t="n">
        <f aca="false">IF('Boletins Nuppa Site'!J1145&lt;&gt;0,'Boletins Nuppa Site'!J1145,"NULL")</f>
        <v>56</v>
      </c>
      <c r="H1145" s="16" t="n">
        <f aca="false">IF('Boletins Nuppa Site'!K1145&lt;&gt;0,'Boletins Nuppa Site'!K1145,"NULL")</f>
        <v>55</v>
      </c>
      <c r="J1145" s="1" t="str">
        <f aca="false">"INSERT INTO COTACAO (blt_id, pap_id, cot_prc_comum, cot_prc_min, cot_prc_max, cot_prc_med, cot_prc_mediana) VALUES ("&amp;B1145&amp;", "&amp;C1145&amp;", "&amp;D1145&amp;", "&amp;E1145&amp;", "&amp;F1145&amp;", "&amp;G1145&amp;", "&amp;H1145&amp;");"</f>
        <v>INSERT INTO COTACAO (blt_id, pap_id, cot_prc_comum, cot_prc_min, cot_prc_max, cot_prc_med, cot_prc_mediana) VALUES (30, 32, 55, 50, 70, 56, 55);</v>
      </c>
    </row>
    <row r="1146" customFormat="false" ht="14.25" hidden="false" customHeight="false" outlineLevel="0" collapsed="false">
      <c r="A1146" s="1" t="n">
        <v>1145</v>
      </c>
      <c r="B1146" s="1" t="n">
        <v>30</v>
      </c>
      <c r="C1146" s="1" t="n">
        <v>33</v>
      </c>
      <c r="D1146" s="16" t="n">
        <f aca="false">IF('Boletins Nuppa Site'!G1146&lt;&gt;0,'Boletins Nuppa Site'!G1146,"NULL")</f>
        <v>130</v>
      </c>
      <c r="E1146" s="16" t="n">
        <f aca="false">IF('Boletins Nuppa Site'!H1146&lt;&gt;0,'Boletins Nuppa Site'!H1146,"NULL")</f>
        <v>130</v>
      </c>
      <c r="F1146" s="16" t="n">
        <f aca="false">IF('Boletins Nuppa Site'!I1146&lt;&gt;0,'Boletins Nuppa Site'!I1146,"NULL")</f>
        <v>150</v>
      </c>
      <c r="G1146" s="1" t="str">
        <f aca="false">IF('Boletins Nuppa Site'!J1146&lt;&gt;0,'Boletins Nuppa Site'!J1146,"NULL")</f>
        <v>137.5</v>
      </c>
      <c r="H1146" s="16" t="n">
        <f aca="false">IF('Boletins Nuppa Site'!K1146&lt;&gt;0,'Boletins Nuppa Site'!K1146,"NULL")</f>
        <v>135</v>
      </c>
      <c r="J1146" s="1" t="str">
        <f aca="false">"INSERT INTO COTACAO (blt_id, pap_id, cot_prc_comum, cot_prc_min, cot_prc_max, cot_prc_med, cot_prc_mediana) VALUES ("&amp;B1146&amp;", "&amp;C1146&amp;", "&amp;D1146&amp;", "&amp;E1146&amp;", "&amp;F1146&amp;", "&amp;G1146&amp;", "&amp;H1146&amp;");"</f>
        <v>INSERT INTO COTACAO (blt_id, pap_id, cot_prc_comum, cot_prc_min, cot_prc_max, cot_prc_med, cot_prc_mediana) VALUES (30, 33, 130, 130, 150, 137.5, 135);</v>
      </c>
    </row>
    <row r="1147" customFormat="false" ht="14.25" hidden="false" customHeight="false" outlineLevel="0" collapsed="false">
      <c r="A1147" s="1" t="n">
        <v>1146</v>
      </c>
      <c r="B1147" s="1" t="n">
        <v>30</v>
      </c>
      <c r="C1147" s="1" t="n">
        <v>34</v>
      </c>
      <c r="D1147" s="16" t="n">
        <f aca="false">IF('Boletins Nuppa Site'!G1147&lt;&gt;0,'Boletins Nuppa Site'!G1147,"NULL")</f>
        <v>60</v>
      </c>
      <c r="E1147" s="16" t="n">
        <f aca="false">IF('Boletins Nuppa Site'!H1147&lt;&gt;0,'Boletins Nuppa Site'!H1147,"NULL")</f>
        <v>45</v>
      </c>
      <c r="F1147" s="16" t="n">
        <f aca="false">IF('Boletins Nuppa Site'!I1147&lt;&gt;0,'Boletins Nuppa Site'!I1147,"NULL")</f>
        <v>65</v>
      </c>
      <c r="G1147" s="16" t="n">
        <f aca="false">IF('Boletins Nuppa Site'!J1147&lt;&gt;0,'Boletins Nuppa Site'!J1147,"NULL")</f>
        <v>58</v>
      </c>
      <c r="H1147" s="16" t="n">
        <f aca="false">IF('Boletins Nuppa Site'!K1147&lt;&gt;0,'Boletins Nuppa Site'!K1147,"NULL")</f>
        <v>60</v>
      </c>
      <c r="J1147" s="1" t="str">
        <f aca="false">"INSERT INTO COTACAO (blt_id, pap_id, cot_prc_comum, cot_prc_min, cot_prc_max, cot_prc_med, cot_prc_mediana) VALUES ("&amp;B1147&amp;", "&amp;C1147&amp;", "&amp;D1147&amp;", "&amp;E1147&amp;", "&amp;F1147&amp;", "&amp;G1147&amp;", "&amp;H1147&amp;");"</f>
        <v>INSERT INTO COTACAO (blt_id, pap_id, cot_prc_comum, cot_prc_min, cot_prc_max, cot_prc_med, cot_prc_mediana) VALUES (30, 34, 60, 45, 65, 58, 60);</v>
      </c>
    </row>
    <row r="1148" customFormat="false" ht="14.25" hidden="false" customHeight="false" outlineLevel="0" collapsed="false">
      <c r="A1148" s="1" t="n">
        <v>1147</v>
      </c>
      <c r="B1148" s="1" t="n">
        <v>30</v>
      </c>
      <c r="C1148" s="1" t="n">
        <v>35</v>
      </c>
      <c r="D1148" s="16" t="n">
        <f aca="false">IF('Boletins Nuppa Site'!G1148&lt;&gt;0,'Boletins Nuppa Site'!G1148,"NULL")</f>
        <v>150</v>
      </c>
      <c r="E1148" s="16" t="n">
        <f aca="false">IF('Boletins Nuppa Site'!H1148&lt;&gt;0,'Boletins Nuppa Site'!H1148,"NULL")</f>
        <v>140</v>
      </c>
      <c r="F1148" s="16" t="n">
        <f aca="false">IF('Boletins Nuppa Site'!I1148&lt;&gt;0,'Boletins Nuppa Site'!I1148,"NULL")</f>
        <v>150</v>
      </c>
      <c r="G1148" s="1" t="str">
        <f aca="false">IF('Boletins Nuppa Site'!J1148&lt;&gt;0,'Boletins Nuppa Site'!J1148,"NULL")</f>
        <v>147.5</v>
      </c>
      <c r="H1148" s="16" t="n">
        <f aca="false">IF('Boletins Nuppa Site'!K1148&lt;&gt;0,'Boletins Nuppa Site'!K1148,"NULL")</f>
        <v>150</v>
      </c>
      <c r="J1148" s="1" t="str">
        <f aca="false">"INSERT INTO COTACAO (blt_id, pap_id, cot_prc_comum, cot_prc_min, cot_prc_max, cot_prc_med, cot_prc_mediana) VALUES ("&amp;B1148&amp;", "&amp;C1148&amp;", "&amp;D1148&amp;", "&amp;E1148&amp;", "&amp;F1148&amp;", "&amp;G1148&amp;", "&amp;H1148&amp;");"</f>
        <v>INSERT INTO COTACAO (blt_id, pap_id, cot_prc_comum, cot_prc_min, cot_prc_max, cot_prc_med, cot_prc_mediana) VALUES (30, 35, 150, 140, 150, 147.5, 150);</v>
      </c>
    </row>
    <row r="1149" customFormat="false" ht="14.25" hidden="false" customHeight="false" outlineLevel="0" collapsed="false">
      <c r="A1149" s="1" t="n">
        <v>1148</v>
      </c>
      <c r="B1149" s="1" t="n">
        <v>30</v>
      </c>
      <c r="C1149" s="1" t="n">
        <v>36</v>
      </c>
      <c r="D1149" s="1" t="str">
        <f aca="false">IF('Boletins Nuppa Site'!G1149&lt;&gt;0,'Boletins Nuppa Site'!G1149,"NULL")</f>
        <v>NULL</v>
      </c>
      <c r="E1149" s="1" t="str">
        <f aca="false">IF('Boletins Nuppa Site'!H1149&lt;&gt;0,'Boletins Nuppa Site'!H1149,"NULL")</f>
        <v>NULL</v>
      </c>
      <c r="F1149" s="1" t="str">
        <f aca="false">IF('Boletins Nuppa Site'!I1149&lt;&gt;0,'Boletins Nuppa Site'!I1149,"NULL")</f>
        <v>NULL</v>
      </c>
      <c r="G1149" s="1" t="str">
        <f aca="false">IF('Boletins Nuppa Site'!J1149&lt;&gt;0,'Boletins Nuppa Site'!J1149,"NULL")</f>
        <v>NULL</v>
      </c>
      <c r="H1149" s="1" t="str">
        <f aca="false">IF('Boletins Nuppa Site'!K1149&lt;&gt;0,'Boletins Nuppa Site'!K1149,"NULL")</f>
        <v>NULL</v>
      </c>
      <c r="J1149" s="1" t="str">
        <f aca="false">"INSERT INTO COTACAO (blt_id, pap_id, cot_prc_comum, cot_prc_min, cot_prc_max, cot_prc_med, cot_prc_mediana) VALUES ("&amp;B1149&amp;", "&amp;C1149&amp;", "&amp;D1149&amp;", "&amp;E1149&amp;", "&amp;F1149&amp;", "&amp;G1149&amp;", "&amp;H1149&amp;");"</f>
        <v>INSERT INTO COTACAO (blt_id, pap_id, cot_prc_comum, cot_prc_min, cot_prc_max, cot_prc_med, cot_prc_mediana) VALUES (30, 36, NULL, NULL, NULL, NULL, NULL);</v>
      </c>
    </row>
    <row r="1150" customFormat="false" ht="14.25" hidden="false" customHeight="false" outlineLevel="0" collapsed="false">
      <c r="A1150" s="1" t="n">
        <v>1149</v>
      </c>
      <c r="B1150" s="1" t="n">
        <v>30</v>
      </c>
      <c r="C1150" s="1" t="n">
        <v>37</v>
      </c>
      <c r="D1150" s="1" t="str">
        <f aca="false">IF('Boletins Nuppa Site'!G1150&lt;&gt;0,'Boletins Nuppa Site'!G1150,"NULL")</f>
        <v>NULL</v>
      </c>
      <c r="E1150" s="1" t="str">
        <f aca="false">IF('Boletins Nuppa Site'!H1150&lt;&gt;0,'Boletins Nuppa Site'!H1150,"NULL")</f>
        <v>NULL</v>
      </c>
      <c r="F1150" s="1" t="str">
        <f aca="false">IF('Boletins Nuppa Site'!I1150&lt;&gt;0,'Boletins Nuppa Site'!I1150,"NULL")</f>
        <v>NULL</v>
      </c>
      <c r="G1150" s="1" t="str">
        <f aca="false">IF('Boletins Nuppa Site'!J1150&lt;&gt;0,'Boletins Nuppa Site'!J1150,"NULL")</f>
        <v>NULL</v>
      </c>
      <c r="H1150" s="1" t="str">
        <f aca="false">IF('Boletins Nuppa Site'!K1150&lt;&gt;0,'Boletins Nuppa Site'!K1150,"NULL")</f>
        <v>NULL</v>
      </c>
      <c r="J1150" s="1" t="str">
        <f aca="false">"INSERT INTO COTACAO (blt_id, pap_id, cot_prc_comum, cot_prc_min, cot_prc_max, cot_prc_med, cot_prc_mediana) VALUES ("&amp;B1150&amp;", "&amp;C1150&amp;", "&amp;D1150&amp;", "&amp;E1150&amp;", "&amp;F1150&amp;", "&amp;G1150&amp;", "&amp;H1150&amp;");"</f>
        <v>INSERT INTO COTACAO (blt_id, pap_id, cot_prc_comum, cot_prc_min, cot_prc_max, cot_prc_med, cot_prc_mediana) VALUES (30, 37, NULL, NULL, NULL, NULL, NULL);</v>
      </c>
    </row>
    <row r="1151" customFormat="false" ht="14.25" hidden="false" customHeight="false" outlineLevel="0" collapsed="false">
      <c r="A1151" s="1" t="n">
        <v>1150</v>
      </c>
      <c r="B1151" s="1" t="n">
        <v>30</v>
      </c>
      <c r="C1151" s="1" t="n">
        <v>38</v>
      </c>
      <c r="D1151" s="1" t="str">
        <f aca="false">IF('Boletins Nuppa Site'!G1151&lt;&gt;0,'Boletins Nuppa Site'!G1151,"NULL")</f>
        <v>NULL</v>
      </c>
      <c r="E1151" s="1" t="str">
        <f aca="false">IF('Boletins Nuppa Site'!H1151&lt;&gt;0,'Boletins Nuppa Site'!H1151,"NULL")</f>
        <v>NULL</v>
      </c>
      <c r="F1151" s="1" t="str">
        <f aca="false">IF('Boletins Nuppa Site'!I1151&lt;&gt;0,'Boletins Nuppa Site'!I1151,"NULL")</f>
        <v>NULL</v>
      </c>
      <c r="G1151" s="1" t="str">
        <f aca="false">IF('Boletins Nuppa Site'!J1151&lt;&gt;0,'Boletins Nuppa Site'!J1151,"NULL")</f>
        <v>NULL</v>
      </c>
      <c r="H1151" s="1" t="str">
        <f aca="false">IF('Boletins Nuppa Site'!K1151&lt;&gt;0,'Boletins Nuppa Site'!K1151,"NULL")</f>
        <v>NULL</v>
      </c>
      <c r="J1151" s="1" t="str">
        <f aca="false">"INSERT INTO COTACAO (blt_id, pap_id, cot_prc_comum, cot_prc_min, cot_prc_max, cot_prc_med, cot_prc_mediana) VALUES ("&amp;B1151&amp;", "&amp;C1151&amp;", "&amp;D1151&amp;", "&amp;E1151&amp;", "&amp;F1151&amp;", "&amp;G1151&amp;", "&amp;H1151&amp;");"</f>
        <v>INSERT INTO COTACAO (blt_id, pap_id, cot_prc_comum, cot_prc_min, cot_prc_max, cot_prc_med, cot_prc_mediana) VALUES (30, 38, NULL, NULL, NULL, NULL, NULL);</v>
      </c>
    </row>
    <row r="1152" customFormat="false" ht="14.25" hidden="false" customHeight="false" outlineLevel="0" collapsed="false">
      <c r="A1152" s="1" t="n">
        <v>1151</v>
      </c>
      <c r="B1152" s="1" t="n">
        <v>30</v>
      </c>
      <c r="C1152" s="1" t="n">
        <v>39</v>
      </c>
      <c r="D1152" s="1" t="str">
        <f aca="false">IF('Boletins Nuppa Site'!G1152&lt;&gt;0,'Boletins Nuppa Site'!G1152,"NULL")</f>
        <v>NULL</v>
      </c>
      <c r="E1152" s="16" t="n">
        <f aca="false">IF('Boletins Nuppa Site'!H1152&lt;&gt;0,'Boletins Nuppa Site'!H1152,"NULL")</f>
        <v>60</v>
      </c>
      <c r="F1152" s="16" t="n">
        <f aca="false">IF('Boletins Nuppa Site'!I1152&lt;&gt;0,'Boletins Nuppa Site'!I1152,"NULL")</f>
        <v>60</v>
      </c>
      <c r="G1152" s="16" t="n">
        <f aca="false">IF('Boletins Nuppa Site'!J1152&lt;&gt;0,'Boletins Nuppa Site'!J1152,"NULL")</f>
        <v>60</v>
      </c>
      <c r="H1152" s="16" t="n">
        <f aca="false">IF('Boletins Nuppa Site'!K1152&lt;&gt;0,'Boletins Nuppa Site'!K1152,"NULL")</f>
        <v>60</v>
      </c>
      <c r="J1152" s="1" t="str">
        <f aca="false">"INSERT INTO COTACAO (blt_id, pap_id, cot_prc_comum, cot_prc_min, cot_prc_max, cot_prc_med, cot_prc_mediana) VALUES ("&amp;B1152&amp;", "&amp;C1152&amp;", "&amp;D1152&amp;", "&amp;E1152&amp;", "&amp;F1152&amp;", "&amp;G1152&amp;", "&amp;H1152&amp;");"</f>
        <v>INSERT INTO COTACAO (blt_id, pap_id, cot_prc_comum, cot_prc_min, cot_prc_max, cot_prc_med, cot_prc_mediana) VALUES (30, 39, NULL, 60, 60, 60, 60);</v>
      </c>
    </row>
    <row r="1153" customFormat="false" ht="14.25" hidden="false" customHeight="false" outlineLevel="0" collapsed="false">
      <c r="A1153" s="1" t="n">
        <v>1152</v>
      </c>
      <c r="B1153" s="1" t="n">
        <v>30</v>
      </c>
      <c r="C1153" s="1" t="n">
        <v>40</v>
      </c>
      <c r="D1153" s="1" t="str">
        <f aca="false">IF('Boletins Nuppa Site'!G1153&lt;&gt;0,'Boletins Nuppa Site'!G1153,"NULL")</f>
        <v>NULL</v>
      </c>
      <c r="E1153" s="1" t="str">
        <f aca="false">IF('Boletins Nuppa Site'!H1153&lt;&gt;0,'Boletins Nuppa Site'!H1153,"NULL")</f>
        <v>NULL</v>
      </c>
      <c r="F1153" s="1" t="str">
        <f aca="false">IF('Boletins Nuppa Site'!I1153&lt;&gt;0,'Boletins Nuppa Site'!I1153,"NULL")</f>
        <v>NULL</v>
      </c>
      <c r="G1153" s="1" t="str">
        <f aca="false">IF('Boletins Nuppa Site'!J1153&lt;&gt;0,'Boletins Nuppa Site'!J1153,"NULL")</f>
        <v>NULL</v>
      </c>
      <c r="H1153" s="1" t="str">
        <f aca="false">IF('Boletins Nuppa Site'!K1153&lt;&gt;0,'Boletins Nuppa Site'!K1153,"NULL")</f>
        <v>NULL</v>
      </c>
      <c r="J1153" s="1" t="str">
        <f aca="false">"INSERT INTO COTACAO (blt_id, pap_id, cot_prc_comum, cot_prc_min, cot_prc_max, cot_prc_med, cot_prc_mediana) VALUES ("&amp;B1153&amp;", "&amp;C1153&amp;", "&amp;D1153&amp;", "&amp;E1153&amp;", "&amp;F1153&amp;", "&amp;G1153&amp;", "&amp;H1153&amp;");"</f>
        <v>INSERT INTO COTACAO (blt_id, pap_id, cot_prc_comum, cot_prc_min, cot_prc_max, cot_prc_med, cot_prc_mediana) VALUES (30, 40, NULL, NULL, NULL, NULL, NULL);</v>
      </c>
    </row>
    <row r="1154" customFormat="false" ht="14.25" hidden="false" customHeight="false" outlineLevel="0" collapsed="false">
      <c r="A1154" s="1" t="n">
        <v>1153</v>
      </c>
      <c r="B1154" s="1" t="n">
        <v>31</v>
      </c>
      <c r="C1154" s="1" t="n">
        <v>1</v>
      </c>
      <c r="D1154" s="16" t="n">
        <f aca="false">IF('Boletins Nuppa Site'!G1154&lt;&gt;0,'Boletins Nuppa Site'!G1154,"NULL")</f>
        <v>48</v>
      </c>
      <c r="E1154" s="16" t="n">
        <f aca="false">IF('Boletins Nuppa Site'!H1154&lt;&gt;0,'Boletins Nuppa Site'!H1154,"NULL")</f>
        <v>48</v>
      </c>
      <c r="F1154" s="16" t="n">
        <f aca="false">IF('Boletins Nuppa Site'!I1154&lt;&gt;0,'Boletins Nuppa Site'!I1154,"NULL")</f>
        <v>48</v>
      </c>
      <c r="G1154" s="16" t="n">
        <f aca="false">IF('Boletins Nuppa Site'!J1154&lt;&gt;0,'Boletins Nuppa Site'!J1154,"NULL")</f>
        <v>48</v>
      </c>
      <c r="H1154" s="16" t="n">
        <f aca="false">IF('Boletins Nuppa Site'!K1154&lt;&gt;0,'Boletins Nuppa Site'!K1154,"NULL")</f>
        <v>48</v>
      </c>
      <c r="J1154" s="1" t="str">
        <f aca="false">"INSERT INTO COTACAO (blt_id, pap_id, cot_prc_comum, cot_prc_min, cot_prc_max, cot_prc_med, cot_prc_mediana) VALUES ("&amp;B1154&amp;", "&amp;C1154&amp;", "&amp;D1154&amp;", "&amp;E1154&amp;", "&amp;F1154&amp;", "&amp;G1154&amp;", "&amp;H1154&amp;");"</f>
        <v>INSERT INTO COTACAO (blt_id, pap_id, cot_prc_comum, cot_prc_min, cot_prc_max, cot_prc_med, cot_prc_mediana) VALUES (31, 1, 48, 48, 48, 48, 48);</v>
      </c>
    </row>
    <row r="1155" customFormat="false" ht="14.25" hidden="false" customHeight="false" outlineLevel="0" collapsed="false">
      <c r="A1155" s="1" t="n">
        <v>1154</v>
      </c>
      <c r="B1155" s="1" t="n">
        <v>31</v>
      </c>
      <c r="C1155" s="1" t="n">
        <v>2</v>
      </c>
      <c r="D1155" s="1" t="str">
        <f aca="false">IF('Boletins Nuppa Site'!G1155&lt;&gt;0,'Boletins Nuppa Site'!G1155,"NULL")</f>
        <v>NULL</v>
      </c>
      <c r="E1155" s="16" t="n">
        <f aca="false">IF('Boletins Nuppa Site'!H1155&lt;&gt;0,'Boletins Nuppa Site'!H1155,"NULL")</f>
        <v>60</v>
      </c>
      <c r="F1155" s="16" t="n">
        <f aca="false">IF('Boletins Nuppa Site'!I1155&lt;&gt;0,'Boletins Nuppa Site'!I1155,"NULL")</f>
        <v>84</v>
      </c>
      <c r="G1155" s="16" t="n">
        <f aca="false">IF('Boletins Nuppa Site'!J1155&lt;&gt;0,'Boletins Nuppa Site'!J1155,"NULL")</f>
        <v>72</v>
      </c>
      <c r="H1155" s="16" t="n">
        <f aca="false">IF('Boletins Nuppa Site'!K1155&lt;&gt;0,'Boletins Nuppa Site'!K1155,"NULL")</f>
        <v>72</v>
      </c>
      <c r="J1155" s="1" t="str">
        <f aca="false">"INSERT INTO COTACAO (blt_id, pap_id, cot_prc_comum, cot_prc_min, cot_prc_max, cot_prc_med, cot_prc_mediana) VALUES ("&amp;B1155&amp;", "&amp;C1155&amp;", "&amp;D1155&amp;", "&amp;E1155&amp;", "&amp;F1155&amp;", "&amp;G1155&amp;", "&amp;H1155&amp;");"</f>
        <v>INSERT INTO COTACAO (blt_id, pap_id, cot_prc_comum, cot_prc_min, cot_prc_max, cot_prc_med, cot_prc_mediana) VALUES (31, 2, NULL, 60, 84, 72, 72);</v>
      </c>
    </row>
    <row r="1156" customFormat="false" ht="14.25" hidden="false" customHeight="false" outlineLevel="0" collapsed="false">
      <c r="A1156" s="1" t="n">
        <v>1155</v>
      </c>
      <c r="B1156" s="1" t="n">
        <v>31</v>
      </c>
      <c r="C1156" s="1" t="n">
        <v>3</v>
      </c>
      <c r="D1156" s="16" t="n">
        <f aca="false">IF('Boletins Nuppa Site'!G1156&lt;&gt;0,'Boletins Nuppa Site'!G1156,"NULL")</f>
        <v>30</v>
      </c>
      <c r="E1156" s="16" t="n">
        <f aca="false">IF('Boletins Nuppa Site'!H1156&lt;&gt;0,'Boletins Nuppa Site'!H1156,"NULL")</f>
        <v>30</v>
      </c>
      <c r="F1156" s="16" t="n">
        <f aca="false">IF('Boletins Nuppa Site'!I1156&lt;&gt;0,'Boletins Nuppa Site'!I1156,"NULL")</f>
        <v>42</v>
      </c>
      <c r="G1156" s="1" t="str">
        <f aca="false">IF('Boletins Nuppa Site'!J1156&lt;&gt;0,'Boletins Nuppa Site'!J1156,"NULL")</f>
        <v>34.5</v>
      </c>
      <c r="H1156" s="16" t="n">
        <f aca="false">IF('Boletins Nuppa Site'!K1156&lt;&gt;0,'Boletins Nuppa Site'!K1156,"NULL")</f>
        <v>33</v>
      </c>
      <c r="J1156" s="1" t="str">
        <f aca="false">"INSERT INTO COTACAO (blt_id, pap_id, cot_prc_comum, cot_prc_min, cot_prc_max, cot_prc_med, cot_prc_mediana) VALUES ("&amp;B1156&amp;", "&amp;C1156&amp;", "&amp;D1156&amp;", "&amp;E1156&amp;", "&amp;F1156&amp;", "&amp;G1156&amp;", "&amp;H1156&amp;");"</f>
        <v>INSERT INTO COTACAO (blt_id, pap_id, cot_prc_comum, cot_prc_min, cot_prc_max, cot_prc_med, cot_prc_mediana) VALUES (31, 3, 30, 30, 42, 34.5, 33);</v>
      </c>
    </row>
    <row r="1157" customFormat="false" ht="14.25" hidden="false" customHeight="false" outlineLevel="0" collapsed="false">
      <c r="A1157" s="1" t="n">
        <v>1156</v>
      </c>
      <c r="B1157" s="1" t="n">
        <v>31</v>
      </c>
      <c r="C1157" s="1" t="n">
        <v>4</v>
      </c>
      <c r="D1157" s="16" t="n">
        <f aca="false">IF('Boletins Nuppa Site'!G1157&lt;&gt;0,'Boletins Nuppa Site'!G1157,"NULL")</f>
        <v>24</v>
      </c>
      <c r="E1157" s="16" t="n">
        <f aca="false">IF('Boletins Nuppa Site'!H1157&lt;&gt;0,'Boletins Nuppa Site'!H1157,"NULL")</f>
        <v>18</v>
      </c>
      <c r="F1157" s="16" t="n">
        <f aca="false">IF('Boletins Nuppa Site'!I1157&lt;&gt;0,'Boletins Nuppa Site'!I1157,"NULL")</f>
        <v>24</v>
      </c>
      <c r="G1157" s="16" t="n">
        <f aca="false">IF('Boletins Nuppa Site'!J1157&lt;&gt;0,'Boletins Nuppa Site'!J1157,"NULL")</f>
        <v>21</v>
      </c>
      <c r="H1157" s="16" t="n">
        <f aca="false">IF('Boletins Nuppa Site'!K1157&lt;&gt;0,'Boletins Nuppa Site'!K1157,"NULL")</f>
        <v>21</v>
      </c>
      <c r="J1157" s="1" t="str">
        <f aca="false">"INSERT INTO COTACAO (blt_id, pap_id, cot_prc_comum, cot_prc_min, cot_prc_max, cot_prc_med, cot_prc_mediana) VALUES ("&amp;B1157&amp;", "&amp;C1157&amp;", "&amp;D1157&amp;", "&amp;E1157&amp;", "&amp;F1157&amp;", "&amp;G1157&amp;", "&amp;H1157&amp;");"</f>
        <v>INSERT INTO COTACAO (blt_id, pap_id, cot_prc_comum, cot_prc_min, cot_prc_max, cot_prc_med, cot_prc_mediana) VALUES (31, 4, 24, 18, 24, 21, 21);</v>
      </c>
    </row>
    <row r="1158" customFormat="false" ht="14.25" hidden="false" customHeight="false" outlineLevel="0" collapsed="false">
      <c r="A1158" s="1" t="n">
        <v>1157</v>
      </c>
      <c r="B1158" s="1" t="n">
        <v>31</v>
      </c>
      <c r="C1158" s="1" t="n">
        <v>5</v>
      </c>
      <c r="D1158" s="16" t="n">
        <f aca="false">IF('Boletins Nuppa Site'!G1158&lt;&gt;0,'Boletins Nuppa Site'!G1158,"NULL")</f>
        <v>24</v>
      </c>
      <c r="E1158" s="16" t="n">
        <f aca="false">IF('Boletins Nuppa Site'!H1158&lt;&gt;0,'Boletins Nuppa Site'!H1158,"NULL")</f>
        <v>18</v>
      </c>
      <c r="F1158" s="16" t="n">
        <f aca="false">IF('Boletins Nuppa Site'!I1158&lt;&gt;0,'Boletins Nuppa Site'!I1158,"NULL")</f>
        <v>24</v>
      </c>
      <c r="G1158" s="16" t="n">
        <f aca="false">IF('Boletins Nuppa Site'!J1158&lt;&gt;0,'Boletins Nuppa Site'!J1158,"NULL")</f>
        <v>22</v>
      </c>
      <c r="H1158" s="16" t="n">
        <f aca="false">IF('Boletins Nuppa Site'!K1158&lt;&gt;0,'Boletins Nuppa Site'!K1158,"NULL")</f>
        <v>24</v>
      </c>
      <c r="J1158" s="1" t="str">
        <f aca="false">"INSERT INTO COTACAO (blt_id, pap_id, cot_prc_comum, cot_prc_min, cot_prc_max, cot_prc_med, cot_prc_mediana) VALUES ("&amp;B1158&amp;", "&amp;C1158&amp;", "&amp;D1158&amp;", "&amp;E1158&amp;", "&amp;F1158&amp;", "&amp;G1158&amp;", "&amp;H1158&amp;");"</f>
        <v>INSERT INTO COTACAO (blt_id, pap_id, cot_prc_comum, cot_prc_min, cot_prc_max, cot_prc_med, cot_prc_mediana) VALUES (31, 5, 24, 18, 24, 22, 24);</v>
      </c>
    </row>
    <row r="1159" customFormat="false" ht="14.25" hidden="false" customHeight="false" outlineLevel="0" collapsed="false">
      <c r="A1159" s="1" t="n">
        <v>1158</v>
      </c>
      <c r="B1159" s="1" t="n">
        <v>31</v>
      </c>
      <c r="C1159" s="1" t="n">
        <v>6</v>
      </c>
      <c r="D1159" s="16" t="n">
        <f aca="false">IF('Boletins Nuppa Site'!G1159&lt;&gt;0,'Boletins Nuppa Site'!G1159,"NULL")</f>
        <v>60</v>
      </c>
      <c r="E1159" s="16" t="n">
        <f aca="false">IF('Boletins Nuppa Site'!H1159&lt;&gt;0,'Boletins Nuppa Site'!H1159,"NULL")</f>
        <v>48</v>
      </c>
      <c r="F1159" s="16" t="n">
        <f aca="false">IF('Boletins Nuppa Site'!I1159&lt;&gt;0,'Boletins Nuppa Site'!I1159,"NULL")</f>
        <v>60</v>
      </c>
      <c r="G1159" s="16" t="n">
        <f aca="false">IF('Boletins Nuppa Site'!J1159&lt;&gt;0,'Boletins Nuppa Site'!J1159,"NULL")</f>
        <v>56</v>
      </c>
      <c r="H1159" s="16" t="n">
        <f aca="false">IF('Boletins Nuppa Site'!K1159&lt;&gt;0,'Boletins Nuppa Site'!K1159,"NULL")</f>
        <v>60</v>
      </c>
      <c r="J1159" s="1" t="str">
        <f aca="false">"INSERT INTO COTACAO (blt_id, pap_id, cot_prc_comum, cot_prc_min, cot_prc_max, cot_prc_med, cot_prc_mediana) VALUES ("&amp;B1159&amp;", "&amp;C1159&amp;", "&amp;D1159&amp;", "&amp;E1159&amp;", "&amp;F1159&amp;", "&amp;G1159&amp;", "&amp;H1159&amp;");"</f>
        <v>INSERT INTO COTACAO (blt_id, pap_id, cot_prc_comum, cot_prc_min, cot_prc_max, cot_prc_med, cot_prc_mediana) VALUES (31, 6, 60, 48, 60, 56, 60);</v>
      </c>
    </row>
    <row r="1160" customFormat="false" ht="14.25" hidden="false" customHeight="false" outlineLevel="0" collapsed="false">
      <c r="A1160" s="1" t="n">
        <v>1159</v>
      </c>
      <c r="B1160" s="1" t="n">
        <v>31</v>
      </c>
      <c r="C1160" s="1" t="n">
        <v>7</v>
      </c>
      <c r="D1160" s="16" t="n">
        <f aca="false">IF('Boletins Nuppa Site'!G1160&lt;&gt;0,'Boletins Nuppa Site'!G1160,"NULL")</f>
        <v>60</v>
      </c>
      <c r="E1160" s="16" t="n">
        <f aca="false">IF('Boletins Nuppa Site'!H1160&lt;&gt;0,'Boletins Nuppa Site'!H1160,"NULL")</f>
        <v>60</v>
      </c>
      <c r="F1160" s="16" t="n">
        <f aca="false">IF('Boletins Nuppa Site'!I1160&lt;&gt;0,'Boletins Nuppa Site'!I1160,"NULL")</f>
        <v>60</v>
      </c>
      <c r="G1160" s="16" t="n">
        <f aca="false">IF('Boletins Nuppa Site'!J1160&lt;&gt;0,'Boletins Nuppa Site'!J1160,"NULL")</f>
        <v>60</v>
      </c>
      <c r="H1160" s="16" t="n">
        <f aca="false">IF('Boletins Nuppa Site'!K1160&lt;&gt;0,'Boletins Nuppa Site'!K1160,"NULL")</f>
        <v>60</v>
      </c>
      <c r="J1160" s="1" t="str">
        <f aca="false">"INSERT INTO COTACAO (blt_id, pap_id, cot_prc_comum, cot_prc_min, cot_prc_max, cot_prc_med, cot_prc_mediana) VALUES ("&amp;B1160&amp;", "&amp;C1160&amp;", "&amp;D1160&amp;", "&amp;E1160&amp;", "&amp;F1160&amp;", "&amp;G1160&amp;", "&amp;H1160&amp;");"</f>
        <v>INSERT INTO COTACAO (blt_id, pap_id, cot_prc_comum, cot_prc_min, cot_prc_max, cot_prc_med, cot_prc_mediana) VALUES (31, 7, 60, 60, 60, 60, 60);</v>
      </c>
    </row>
    <row r="1161" customFormat="false" ht="14.25" hidden="false" customHeight="false" outlineLevel="0" collapsed="false">
      <c r="A1161" s="1" t="n">
        <v>1160</v>
      </c>
      <c r="B1161" s="1" t="n">
        <v>31</v>
      </c>
      <c r="C1161" s="1" t="n">
        <v>8</v>
      </c>
      <c r="D1161" s="16" t="n">
        <f aca="false">IF('Boletins Nuppa Site'!G1161&lt;&gt;0,'Boletins Nuppa Site'!G1161,"NULL")</f>
        <v>72</v>
      </c>
      <c r="E1161" s="16" t="n">
        <f aca="false">IF('Boletins Nuppa Site'!H1161&lt;&gt;0,'Boletins Nuppa Site'!H1161,"NULL")</f>
        <v>40</v>
      </c>
      <c r="F1161" s="16" t="n">
        <f aca="false">IF('Boletins Nuppa Site'!I1161&lt;&gt;0,'Boletins Nuppa Site'!I1161,"NULL")</f>
        <v>72</v>
      </c>
      <c r="G1161" s="16" t="n">
        <f aca="false">IF('Boletins Nuppa Site'!J1161&lt;&gt;0,'Boletins Nuppa Site'!J1161,"NULL")</f>
        <v>64</v>
      </c>
      <c r="H1161" s="16" t="n">
        <f aca="false">IF('Boletins Nuppa Site'!K1161&lt;&gt;0,'Boletins Nuppa Site'!K1161,"NULL")</f>
        <v>72</v>
      </c>
      <c r="J1161" s="1" t="str">
        <f aca="false">"INSERT INTO COTACAO (blt_id, pap_id, cot_prc_comum, cot_prc_min, cot_prc_max, cot_prc_med, cot_prc_mediana) VALUES ("&amp;B1161&amp;", "&amp;C1161&amp;", "&amp;D1161&amp;", "&amp;E1161&amp;", "&amp;F1161&amp;", "&amp;G1161&amp;", "&amp;H1161&amp;");"</f>
        <v>INSERT INTO COTACAO (blt_id, pap_id, cot_prc_comum, cot_prc_min, cot_prc_max, cot_prc_med, cot_prc_mediana) VALUES (31, 8, 72, 40, 72, 64, 72);</v>
      </c>
    </row>
    <row r="1162" customFormat="false" ht="14.25" hidden="false" customHeight="false" outlineLevel="0" collapsed="false">
      <c r="A1162" s="1" t="n">
        <v>1161</v>
      </c>
      <c r="B1162" s="1" t="n">
        <v>31</v>
      </c>
      <c r="C1162" s="1" t="n">
        <v>9</v>
      </c>
      <c r="D1162" s="16" t="n">
        <f aca="false">IF('Boletins Nuppa Site'!G1162&lt;&gt;0,'Boletins Nuppa Site'!G1162,"NULL")</f>
        <v>24</v>
      </c>
      <c r="E1162" s="16" t="n">
        <f aca="false">IF('Boletins Nuppa Site'!H1162&lt;&gt;0,'Boletins Nuppa Site'!H1162,"NULL")</f>
        <v>15</v>
      </c>
      <c r="F1162" s="16" t="n">
        <f aca="false">IF('Boletins Nuppa Site'!I1162&lt;&gt;0,'Boletins Nuppa Site'!I1162,"NULL")</f>
        <v>24</v>
      </c>
      <c r="G1162" s="1" t="str">
        <f aca="false">IF('Boletins Nuppa Site'!J1162&lt;&gt;0,'Boletins Nuppa Site'!J1162,"NULL")</f>
        <v>20.25</v>
      </c>
      <c r="H1162" s="16" t="n">
        <f aca="false">IF('Boletins Nuppa Site'!K1162&lt;&gt;0,'Boletins Nuppa Site'!K1162,"NULL")</f>
        <v>21</v>
      </c>
      <c r="J1162" s="1" t="str">
        <f aca="false">"INSERT INTO COTACAO (blt_id, pap_id, cot_prc_comum, cot_prc_min, cot_prc_max, cot_prc_med, cot_prc_mediana) VALUES ("&amp;B1162&amp;", "&amp;C1162&amp;", "&amp;D1162&amp;", "&amp;E1162&amp;", "&amp;F1162&amp;", "&amp;G1162&amp;", "&amp;H1162&amp;");"</f>
        <v>INSERT INTO COTACAO (blt_id, pap_id, cot_prc_comum, cot_prc_min, cot_prc_max, cot_prc_med, cot_prc_mediana) VALUES (31, 9, 24, 15, 24, 20.25, 21);</v>
      </c>
    </row>
    <row r="1163" customFormat="false" ht="14.25" hidden="false" customHeight="false" outlineLevel="0" collapsed="false">
      <c r="A1163" s="1" t="n">
        <v>1162</v>
      </c>
      <c r="B1163" s="1" t="n">
        <v>31</v>
      </c>
      <c r="C1163" s="1" t="n">
        <v>10</v>
      </c>
      <c r="D1163" s="16" t="n">
        <f aca="false">IF('Boletins Nuppa Site'!G1163&lt;&gt;0,'Boletins Nuppa Site'!G1163,"NULL")</f>
        <v>60</v>
      </c>
      <c r="E1163" s="16" t="n">
        <f aca="false">IF('Boletins Nuppa Site'!H1163&lt;&gt;0,'Boletins Nuppa Site'!H1163,"NULL")</f>
        <v>60</v>
      </c>
      <c r="F1163" s="16" t="n">
        <f aca="false">IF('Boletins Nuppa Site'!I1163&lt;&gt;0,'Boletins Nuppa Site'!I1163,"NULL")</f>
        <v>72</v>
      </c>
      <c r="G1163" s="16" t="n">
        <f aca="false">IF('Boletins Nuppa Site'!J1163&lt;&gt;0,'Boletins Nuppa Site'!J1163,"NULL")</f>
        <v>64</v>
      </c>
      <c r="H1163" s="16" t="n">
        <f aca="false">IF('Boletins Nuppa Site'!K1163&lt;&gt;0,'Boletins Nuppa Site'!K1163,"NULL")</f>
        <v>60</v>
      </c>
      <c r="J1163" s="1" t="str">
        <f aca="false">"INSERT INTO COTACAO (blt_id, pap_id, cot_prc_comum, cot_prc_min, cot_prc_max, cot_prc_med, cot_prc_mediana) VALUES ("&amp;B1163&amp;", "&amp;C1163&amp;", "&amp;D1163&amp;", "&amp;E1163&amp;", "&amp;F1163&amp;", "&amp;G1163&amp;", "&amp;H1163&amp;");"</f>
        <v>INSERT INTO COTACAO (blt_id, pap_id, cot_prc_comum, cot_prc_min, cot_prc_max, cot_prc_med, cot_prc_mediana) VALUES (31, 10, 60, 60, 72, 64, 60);</v>
      </c>
    </row>
    <row r="1164" customFormat="false" ht="14.25" hidden="false" customHeight="false" outlineLevel="0" collapsed="false">
      <c r="A1164" s="1" t="n">
        <v>1163</v>
      </c>
      <c r="B1164" s="1" t="n">
        <v>31</v>
      </c>
      <c r="C1164" s="1" t="n">
        <v>11</v>
      </c>
      <c r="D1164" s="16" t="n">
        <f aca="false">IF('Boletins Nuppa Site'!G1164&lt;&gt;0,'Boletins Nuppa Site'!G1164,"NULL")</f>
        <v>24</v>
      </c>
      <c r="E1164" s="16" t="n">
        <f aca="false">IF('Boletins Nuppa Site'!H1164&lt;&gt;0,'Boletins Nuppa Site'!H1164,"NULL")</f>
        <v>18</v>
      </c>
      <c r="F1164" s="16" t="n">
        <f aca="false">IF('Boletins Nuppa Site'!I1164&lt;&gt;0,'Boletins Nuppa Site'!I1164,"NULL")</f>
        <v>24</v>
      </c>
      <c r="G1164" s="1" t="str">
        <f aca="false">IF('Boletins Nuppa Site'!J1164&lt;&gt;0,'Boletins Nuppa Site'!J1164,"NULL")</f>
        <v>22.5</v>
      </c>
      <c r="H1164" s="16" t="n">
        <f aca="false">IF('Boletins Nuppa Site'!K1164&lt;&gt;0,'Boletins Nuppa Site'!K1164,"NULL")</f>
        <v>24</v>
      </c>
      <c r="J1164" s="1" t="str">
        <f aca="false">"INSERT INTO COTACAO (blt_id, pap_id, cot_prc_comum, cot_prc_min, cot_prc_max, cot_prc_med, cot_prc_mediana) VALUES ("&amp;B1164&amp;", "&amp;C1164&amp;", "&amp;D1164&amp;", "&amp;E1164&amp;", "&amp;F1164&amp;", "&amp;G1164&amp;", "&amp;H1164&amp;");"</f>
        <v>INSERT INTO COTACAO (blt_id, pap_id, cot_prc_comum, cot_prc_min, cot_prc_max, cot_prc_med, cot_prc_mediana) VALUES (31, 11, 24, 18, 24, 22.5, 24);</v>
      </c>
    </row>
    <row r="1165" customFormat="false" ht="14.25" hidden="false" customHeight="false" outlineLevel="0" collapsed="false">
      <c r="A1165" s="1" t="n">
        <v>1164</v>
      </c>
      <c r="B1165" s="1" t="n">
        <v>31</v>
      </c>
      <c r="C1165" s="1" t="n">
        <v>12</v>
      </c>
      <c r="D1165" s="16" t="n">
        <f aca="false">IF('Boletins Nuppa Site'!G1165&lt;&gt;0,'Boletins Nuppa Site'!G1165,"NULL")</f>
        <v>60</v>
      </c>
      <c r="E1165" s="16" t="n">
        <f aca="false">IF('Boletins Nuppa Site'!H1165&lt;&gt;0,'Boletins Nuppa Site'!H1165,"NULL")</f>
        <v>48</v>
      </c>
      <c r="F1165" s="16" t="n">
        <f aca="false">IF('Boletins Nuppa Site'!I1165&lt;&gt;0,'Boletins Nuppa Site'!I1165,"NULL")</f>
        <v>60</v>
      </c>
      <c r="G1165" s="16" t="n">
        <f aca="false">IF('Boletins Nuppa Site'!J1165&lt;&gt;0,'Boletins Nuppa Site'!J1165,"NULL")</f>
        <v>56</v>
      </c>
      <c r="H1165" s="16" t="n">
        <f aca="false">IF('Boletins Nuppa Site'!K1165&lt;&gt;0,'Boletins Nuppa Site'!K1165,"NULL")</f>
        <v>60</v>
      </c>
      <c r="J1165" s="1" t="str">
        <f aca="false">"INSERT INTO COTACAO (blt_id, pap_id, cot_prc_comum, cot_prc_min, cot_prc_max, cot_prc_med, cot_prc_mediana) VALUES ("&amp;B1165&amp;", "&amp;C1165&amp;", "&amp;D1165&amp;", "&amp;E1165&amp;", "&amp;F1165&amp;", "&amp;G1165&amp;", "&amp;H1165&amp;");"</f>
        <v>INSERT INTO COTACAO (blt_id, pap_id, cot_prc_comum, cot_prc_min, cot_prc_max, cot_prc_med, cot_prc_mediana) VALUES (31, 12, 60, 48, 60, 56, 60);</v>
      </c>
    </row>
    <row r="1166" customFormat="false" ht="14.25" hidden="false" customHeight="false" outlineLevel="0" collapsed="false">
      <c r="A1166" s="1" t="n">
        <v>1165</v>
      </c>
      <c r="B1166" s="1" t="n">
        <v>31</v>
      </c>
      <c r="C1166" s="1" t="n">
        <v>13</v>
      </c>
      <c r="D1166" s="16" t="n">
        <f aca="false">IF('Boletins Nuppa Site'!G1166&lt;&gt;0,'Boletins Nuppa Site'!G1166,"NULL")</f>
        <v>48</v>
      </c>
      <c r="E1166" s="16" t="n">
        <f aca="false">IF('Boletins Nuppa Site'!H1166&lt;&gt;0,'Boletins Nuppa Site'!H1166,"NULL")</f>
        <v>42</v>
      </c>
      <c r="F1166" s="16" t="n">
        <f aca="false">IF('Boletins Nuppa Site'!I1166&lt;&gt;0,'Boletins Nuppa Site'!I1166,"NULL")</f>
        <v>48</v>
      </c>
      <c r="G1166" s="1" t="str">
        <f aca="false">IF('Boletins Nuppa Site'!J1166&lt;&gt;0,'Boletins Nuppa Site'!J1166,"NULL")</f>
        <v>46.5</v>
      </c>
      <c r="H1166" s="16" t="n">
        <f aca="false">IF('Boletins Nuppa Site'!K1166&lt;&gt;0,'Boletins Nuppa Site'!K1166,"NULL")</f>
        <v>48</v>
      </c>
      <c r="J1166" s="1" t="str">
        <f aca="false">"INSERT INTO COTACAO (blt_id, pap_id, cot_prc_comum, cot_prc_min, cot_prc_max, cot_prc_med, cot_prc_mediana) VALUES ("&amp;B1166&amp;", "&amp;C1166&amp;", "&amp;D1166&amp;", "&amp;E1166&amp;", "&amp;F1166&amp;", "&amp;G1166&amp;", "&amp;H1166&amp;");"</f>
        <v>INSERT INTO COTACAO (blt_id, pap_id, cot_prc_comum, cot_prc_min, cot_prc_max, cot_prc_med, cot_prc_mediana) VALUES (31, 13, 48, 42, 48, 46.5, 48);</v>
      </c>
    </row>
    <row r="1167" customFormat="false" ht="14.25" hidden="false" customHeight="false" outlineLevel="0" collapsed="false">
      <c r="A1167" s="1" t="n">
        <v>1166</v>
      </c>
      <c r="B1167" s="1" t="n">
        <v>31</v>
      </c>
      <c r="C1167" s="1" t="n">
        <v>14</v>
      </c>
      <c r="D1167" s="16" t="n">
        <f aca="false">IF('Boletins Nuppa Site'!G1167&lt;&gt;0,'Boletins Nuppa Site'!G1167,"NULL")</f>
        <v>60</v>
      </c>
      <c r="E1167" s="16" t="n">
        <f aca="false">IF('Boletins Nuppa Site'!H1167&lt;&gt;0,'Boletins Nuppa Site'!H1167,"NULL")</f>
        <v>60</v>
      </c>
      <c r="F1167" s="16" t="n">
        <f aca="false">IF('Boletins Nuppa Site'!I1167&lt;&gt;0,'Boletins Nuppa Site'!I1167,"NULL")</f>
        <v>60</v>
      </c>
      <c r="G1167" s="16" t="n">
        <f aca="false">IF('Boletins Nuppa Site'!J1167&lt;&gt;0,'Boletins Nuppa Site'!J1167,"NULL")</f>
        <v>60</v>
      </c>
      <c r="H1167" s="16" t="n">
        <f aca="false">IF('Boletins Nuppa Site'!K1167&lt;&gt;0,'Boletins Nuppa Site'!K1167,"NULL")</f>
        <v>60</v>
      </c>
      <c r="J1167" s="1" t="str">
        <f aca="false">"INSERT INTO COTACAO (blt_id, pap_id, cot_prc_comum, cot_prc_min, cot_prc_max, cot_prc_med, cot_prc_mediana) VALUES ("&amp;B1167&amp;", "&amp;C1167&amp;", "&amp;D1167&amp;", "&amp;E1167&amp;", "&amp;F1167&amp;", "&amp;G1167&amp;", "&amp;H1167&amp;");"</f>
        <v>INSERT INTO COTACAO (blt_id, pap_id, cot_prc_comum, cot_prc_min, cot_prc_max, cot_prc_med, cot_prc_mediana) VALUES (31, 14, 60, 60, 60, 60, 60);</v>
      </c>
    </row>
    <row r="1168" customFormat="false" ht="14.25" hidden="false" customHeight="false" outlineLevel="0" collapsed="false">
      <c r="A1168" s="1" t="n">
        <v>1167</v>
      </c>
      <c r="B1168" s="1" t="n">
        <v>31</v>
      </c>
      <c r="C1168" s="1" t="n">
        <v>15</v>
      </c>
      <c r="D1168" s="16" t="n">
        <f aca="false">IF('Boletins Nuppa Site'!G1168&lt;&gt;0,'Boletins Nuppa Site'!G1168,"NULL")</f>
        <v>36</v>
      </c>
      <c r="E1168" s="16" t="n">
        <f aca="false">IF('Boletins Nuppa Site'!H1168&lt;&gt;0,'Boletins Nuppa Site'!H1168,"NULL")</f>
        <v>30</v>
      </c>
      <c r="F1168" s="16" t="n">
        <f aca="false">IF('Boletins Nuppa Site'!I1168&lt;&gt;0,'Boletins Nuppa Site'!I1168,"NULL")</f>
        <v>36</v>
      </c>
      <c r="G1168" s="1" t="str">
        <f aca="false">IF('Boletins Nuppa Site'!J1168&lt;&gt;0,'Boletins Nuppa Site'!J1168,"NULL")</f>
        <v>34.25</v>
      </c>
      <c r="H1168" s="1" t="str">
        <f aca="false">IF('Boletins Nuppa Site'!K1168&lt;&gt;0,'Boletins Nuppa Site'!K1168,"NULL")</f>
        <v>35.5</v>
      </c>
      <c r="J1168" s="1" t="str">
        <f aca="false">"INSERT INTO COTACAO (blt_id, pap_id, cot_prc_comum, cot_prc_min, cot_prc_max, cot_prc_med, cot_prc_mediana) VALUES ("&amp;B1168&amp;", "&amp;C1168&amp;", "&amp;D1168&amp;", "&amp;E1168&amp;", "&amp;F1168&amp;", "&amp;G1168&amp;", "&amp;H1168&amp;");"</f>
        <v>INSERT INTO COTACAO (blt_id, pap_id, cot_prc_comum, cot_prc_min, cot_prc_max, cot_prc_med, cot_prc_mediana) VALUES (31, 15, 36, 30, 36, 34.25, 35.5);</v>
      </c>
    </row>
    <row r="1169" customFormat="false" ht="14.25" hidden="false" customHeight="false" outlineLevel="0" collapsed="false">
      <c r="A1169" s="1" t="n">
        <v>1168</v>
      </c>
      <c r="B1169" s="1" t="n">
        <v>31</v>
      </c>
      <c r="C1169" s="1" t="n">
        <v>16</v>
      </c>
      <c r="D1169" s="16" t="n">
        <f aca="false">IF('Boletins Nuppa Site'!G1169&lt;&gt;0,'Boletins Nuppa Site'!G1169,"NULL")</f>
        <v>48</v>
      </c>
      <c r="E1169" s="16" t="n">
        <f aca="false">IF('Boletins Nuppa Site'!H1169&lt;&gt;0,'Boletins Nuppa Site'!H1169,"NULL")</f>
        <v>48</v>
      </c>
      <c r="F1169" s="16" t="n">
        <f aca="false">IF('Boletins Nuppa Site'!I1169&lt;&gt;0,'Boletins Nuppa Site'!I1169,"NULL")</f>
        <v>54</v>
      </c>
      <c r="G1169" s="1" t="str">
        <f aca="false">IF('Boletins Nuppa Site'!J1169&lt;&gt;0,'Boletins Nuppa Site'!J1169,"NULL")</f>
        <v>49.5</v>
      </c>
      <c r="H1169" s="16" t="n">
        <f aca="false">IF('Boletins Nuppa Site'!K1169&lt;&gt;0,'Boletins Nuppa Site'!K1169,"NULL")</f>
        <v>48</v>
      </c>
      <c r="J1169" s="1" t="str">
        <f aca="false">"INSERT INTO COTACAO (blt_id, pap_id, cot_prc_comum, cot_prc_min, cot_prc_max, cot_prc_med, cot_prc_mediana) VALUES ("&amp;B1169&amp;", "&amp;C1169&amp;", "&amp;D1169&amp;", "&amp;E1169&amp;", "&amp;F1169&amp;", "&amp;G1169&amp;", "&amp;H1169&amp;");"</f>
        <v>INSERT INTO COTACAO (blt_id, pap_id, cot_prc_comum, cot_prc_min, cot_prc_max, cot_prc_med, cot_prc_mediana) VALUES (31, 16, 48, 48, 54, 49.5, 48);</v>
      </c>
    </row>
    <row r="1170" customFormat="false" ht="14.25" hidden="false" customHeight="false" outlineLevel="0" collapsed="false">
      <c r="A1170" s="1" t="n">
        <v>1169</v>
      </c>
      <c r="B1170" s="1" t="n">
        <v>31</v>
      </c>
      <c r="C1170" s="1" t="n">
        <v>17</v>
      </c>
      <c r="D1170" s="16" t="n">
        <f aca="false">IF('Boletins Nuppa Site'!G1170&lt;&gt;0,'Boletins Nuppa Site'!G1170,"NULL")</f>
        <v>5</v>
      </c>
      <c r="E1170" s="16" t="n">
        <f aca="false">IF('Boletins Nuppa Site'!H1170&lt;&gt;0,'Boletins Nuppa Site'!H1170,"NULL")</f>
        <v>5</v>
      </c>
      <c r="F1170" s="16" t="n">
        <f aca="false">IF('Boletins Nuppa Site'!I1170&lt;&gt;0,'Boletins Nuppa Site'!I1170,"NULL")</f>
        <v>5</v>
      </c>
      <c r="G1170" s="16" t="n">
        <f aca="false">IF('Boletins Nuppa Site'!J1170&lt;&gt;0,'Boletins Nuppa Site'!J1170,"NULL")</f>
        <v>5</v>
      </c>
      <c r="H1170" s="16" t="n">
        <f aca="false">IF('Boletins Nuppa Site'!K1170&lt;&gt;0,'Boletins Nuppa Site'!K1170,"NULL")</f>
        <v>5</v>
      </c>
      <c r="J1170" s="1" t="str">
        <f aca="false">"INSERT INTO COTACAO (blt_id, pap_id, cot_prc_comum, cot_prc_min, cot_prc_max, cot_prc_med, cot_prc_mediana) VALUES ("&amp;B1170&amp;", "&amp;C1170&amp;", "&amp;D1170&amp;", "&amp;E1170&amp;", "&amp;F1170&amp;", "&amp;G1170&amp;", "&amp;H1170&amp;");"</f>
        <v>INSERT INTO COTACAO (blt_id, pap_id, cot_prc_comum, cot_prc_min, cot_prc_max, cot_prc_med, cot_prc_mediana) VALUES (31, 17, 5, 5, 5, 5, 5);</v>
      </c>
    </row>
    <row r="1171" customFormat="false" ht="14.25" hidden="false" customHeight="false" outlineLevel="0" collapsed="false">
      <c r="A1171" s="1" t="n">
        <v>1170</v>
      </c>
      <c r="B1171" s="1" t="n">
        <v>31</v>
      </c>
      <c r="C1171" s="1" t="n">
        <v>18</v>
      </c>
      <c r="D1171" s="16" t="n">
        <f aca="false">IF('Boletins Nuppa Site'!G1171&lt;&gt;0,'Boletins Nuppa Site'!G1171,"NULL")</f>
        <v>10</v>
      </c>
      <c r="E1171" s="16" t="n">
        <f aca="false">IF('Boletins Nuppa Site'!H1171&lt;&gt;0,'Boletins Nuppa Site'!H1171,"NULL")</f>
        <v>10</v>
      </c>
      <c r="F1171" s="16" t="n">
        <f aca="false">IF('Boletins Nuppa Site'!I1171&lt;&gt;0,'Boletins Nuppa Site'!I1171,"NULL")</f>
        <v>10</v>
      </c>
      <c r="G1171" s="16" t="n">
        <f aca="false">IF('Boletins Nuppa Site'!J1171&lt;&gt;0,'Boletins Nuppa Site'!J1171,"NULL")</f>
        <v>10</v>
      </c>
      <c r="H1171" s="16" t="n">
        <f aca="false">IF('Boletins Nuppa Site'!K1171&lt;&gt;0,'Boletins Nuppa Site'!K1171,"NULL")</f>
        <v>10</v>
      </c>
      <c r="J1171" s="1" t="str">
        <f aca="false">"INSERT INTO COTACAO (blt_id, pap_id, cot_prc_comum, cot_prc_min, cot_prc_max, cot_prc_med, cot_prc_mediana) VALUES ("&amp;B1171&amp;", "&amp;C1171&amp;", "&amp;D1171&amp;", "&amp;E1171&amp;", "&amp;F1171&amp;", "&amp;G1171&amp;", "&amp;H1171&amp;");"</f>
        <v>INSERT INTO COTACAO (blt_id, pap_id, cot_prc_comum, cot_prc_min, cot_prc_max, cot_prc_med, cot_prc_mediana) VALUES (31, 18, 10, 10, 10, 10, 10);</v>
      </c>
    </row>
    <row r="1172" customFormat="false" ht="14.25" hidden="false" customHeight="false" outlineLevel="0" collapsed="false">
      <c r="A1172" s="1" t="n">
        <v>1171</v>
      </c>
      <c r="B1172" s="1" t="n">
        <v>31</v>
      </c>
      <c r="C1172" s="1" t="n">
        <v>19</v>
      </c>
      <c r="D1172" s="16" t="n">
        <f aca="false">IF('Boletins Nuppa Site'!G1172&lt;&gt;0,'Boletins Nuppa Site'!G1172,"NULL")</f>
        <v>20</v>
      </c>
      <c r="E1172" s="16" t="n">
        <f aca="false">IF('Boletins Nuppa Site'!H1172&lt;&gt;0,'Boletins Nuppa Site'!H1172,"NULL")</f>
        <v>20</v>
      </c>
      <c r="F1172" s="16" t="n">
        <f aca="false">IF('Boletins Nuppa Site'!I1172&lt;&gt;0,'Boletins Nuppa Site'!I1172,"NULL")</f>
        <v>30</v>
      </c>
      <c r="G1172" s="1" t="str">
        <f aca="false">IF('Boletins Nuppa Site'!J1172&lt;&gt;0,'Boletins Nuppa Site'!J1172,"NULL")</f>
        <v>23.75</v>
      </c>
      <c r="H1172" s="1" t="str">
        <f aca="false">IF('Boletins Nuppa Site'!K1172&lt;&gt;0,'Boletins Nuppa Site'!K1172,"NULL")</f>
        <v>22.5</v>
      </c>
      <c r="J1172" s="1" t="str">
        <f aca="false">"INSERT INTO COTACAO (blt_id, pap_id, cot_prc_comum, cot_prc_min, cot_prc_max, cot_prc_med, cot_prc_mediana) VALUES ("&amp;B1172&amp;", "&amp;C1172&amp;", "&amp;D1172&amp;", "&amp;E1172&amp;", "&amp;F1172&amp;", "&amp;G1172&amp;", "&amp;H1172&amp;");"</f>
        <v>INSERT INTO COTACAO (blt_id, pap_id, cot_prc_comum, cot_prc_min, cot_prc_max, cot_prc_med, cot_prc_mediana) VALUES (31, 19, 20, 20, 30, 23.75, 22.5);</v>
      </c>
    </row>
    <row r="1173" customFormat="false" ht="14.25" hidden="false" customHeight="false" outlineLevel="0" collapsed="false">
      <c r="A1173" s="1" t="n">
        <v>1172</v>
      </c>
      <c r="B1173" s="1" t="n">
        <v>31</v>
      </c>
      <c r="C1173" s="1" t="n">
        <v>20</v>
      </c>
      <c r="D1173" s="1" t="str">
        <f aca="false">IF('Boletins Nuppa Site'!G1173&lt;&gt;0,'Boletins Nuppa Site'!G1173,"NULL")</f>
        <v>NULL</v>
      </c>
      <c r="E1173" s="16" t="n">
        <f aca="false">IF('Boletins Nuppa Site'!H1173&lt;&gt;0,'Boletins Nuppa Site'!H1173,"NULL")</f>
        <v>70</v>
      </c>
      <c r="F1173" s="16" t="n">
        <f aca="false">IF('Boletins Nuppa Site'!I1173&lt;&gt;0,'Boletins Nuppa Site'!I1173,"NULL")</f>
        <v>80</v>
      </c>
      <c r="G1173" s="16" t="n">
        <f aca="false">IF('Boletins Nuppa Site'!J1173&lt;&gt;0,'Boletins Nuppa Site'!J1173,"NULL")</f>
        <v>75</v>
      </c>
      <c r="H1173" s="16" t="n">
        <f aca="false">IF('Boletins Nuppa Site'!K1173&lt;&gt;0,'Boletins Nuppa Site'!K1173,"NULL")</f>
        <v>75</v>
      </c>
      <c r="J1173" s="1" t="str">
        <f aca="false">"INSERT INTO COTACAO (blt_id, pap_id, cot_prc_comum, cot_prc_min, cot_prc_max, cot_prc_med, cot_prc_mediana) VALUES ("&amp;B1173&amp;", "&amp;C1173&amp;", "&amp;D1173&amp;", "&amp;E1173&amp;", "&amp;F1173&amp;", "&amp;G1173&amp;", "&amp;H1173&amp;");"</f>
        <v>INSERT INTO COTACAO (blt_id, pap_id, cot_prc_comum, cot_prc_min, cot_prc_max, cot_prc_med, cot_prc_mediana) VALUES (31, 20, NULL, 70, 80, 75, 75);</v>
      </c>
    </row>
    <row r="1174" customFormat="false" ht="14.25" hidden="false" customHeight="false" outlineLevel="0" collapsed="false">
      <c r="A1174" s="1" t="n">
        <v>1173</v>
      </c>
      <c r="B1174" s="1" t="n">
        <v>31</v>
      </c>
      <c r="C1174" s="1" t="n">
        <v>21</v>
      </c>
      <c r="D1174" s="16" t="n">
        <f aca="false">IF('Boletins Nuppa Site'!G1174&lt;&gt;0,'Boletins Nuppa Site'!G1174,"NULL")</f>
        <v>60</v>
      </c>
      <c r="E1174" s="16" t="n">
        <f aca="false">IF('Boletins Nuppa Site'!H1174&lt;&gt;0,'Boletins Nuppa Site'!H1174,"NULL")</f>
        <v>50</v>
      </c>
      <c r="F1174" s="16" t="n">
        <f aca="false">IF('Boletins Nuppa Site'!I1174&lt;&gt;0,'Boletins Nuppa Site'!I1174,"NULL")</f>
        <v>60</v>
      </c>
      <c r="G1174" s="1" t="str">
        <f aca="false">IF('Boletins Nuppa Site'!J1174&lt;&gt;0,'Boletins Nuppa Site'!J1174,"NULL")</f>
        <v>57.5</v>
      </c>
      <c r="H1174" s="16" t="n">
        <f aca="false">IF('Boletins Nuppa Site'!K1174&lt;&gt;0,'Boletins Nuppa Site'!K1174,"NULL")</f>
        <v>60</v>
      </c>
      <c r="J1174" s="1" t="str">
        <f aca="false">"INSERT INTO COTACAO (blt_id, pap_id, cot_prc_comum, cot_prc_min, cot_prc_max, cot_prc_med, cot_prc_mediana) VALUES ("&amp;B1174&amp;", "&amp;C1174&amp;", "&amp;D1174&amp;", "&amp;E1174&amp;", "&amp;F1174&amp;", "&amp;G1174&amp;", "&amp;H1174&amp;");"</f>
        <v>INSERT INTO COTACAO (blt_id, pap_id, cot_prc_comum, cot_prc_min, cot_prc_max, cot_prc_med, cot_prc_mediana) VALUES (31, 21, 60, 50, 60, 57.5, 60);</v>
      </c>
    </row>
    <row r="1175" customFormat="false" ht="14.25" hidden="false" customHeight="false" outlineLevel="0" collapsed="false">
      <c r="A1175" s="1" t="n">
        <v>1174</v>
      </c>
      <c r="B1175" s="1" t="n">
        <v>31</v>
      </c>
      <c r="C1175" s="1" t="n">
        <v>22</v>
      </c>
      <c r="D1175" s="1" t="str">
        <f aca="false">IF('Boletins Nuppa Site'!G1175&lt;&gt;0,'Boletins Nuppa Site'!G1175,"NULL")</f>
        <v>NULL</v>
      </c>
      <c r="E1175" s="16" t="n">
        <f aca="false">IF('Boletins Nuppa Site'!H1175&lt;&gt;0,'Boletins Nuppa Site'!H1175,"NULL")</f>
        <v>35</v>
      </c>
      <c r="F1175" s="16" t="n">
        <f aca="false">IF('Boletins Nuppa Site'!I1175&lt;&gt;0,'Boletins Nuppa Site'!I1175,"NULL")</f>
        <v>80</v>
      </c>
      <c r="G1175" s="16" t="n">
        <f aca="false">IF('Boletins Nuppa Site'!J1175&lt;&gt;0,'Boletins Nuppa Site'!J1175,"NULL")</f>
        <v>56</v>
      </c>
      <c r="H1175" s="16" t="n">
        <f aca="false">IF('Boletins Nuppa Site'!K1175&lt;&gt;0,'Boletins Nuppa Site'!K1175,"NULL")</f>
        <v>50</v>
      </c>
      <c r="J1175" s="1" t="str">
        <f aca="false">"INSERT INTO COTACAO (blt_id, pap_id, cot_prc_comum, cot_prc_min, cot_prc_max, cot_prc_med, cot_prc_mediana) VALUES ("&amp;B1175&amp;", "&amp;C1175&amp;", "&amp;D1175&amp;", "&amp;E1175&amp;", "&amp;F1175&amp;", "&amp;G1175&amp;", "&amp;H1175&amp;");"</f>
        <v>INSERT INTO COTACAO (blt_id, pap_id, cot_prc_comum, cot_prc_min, cot_prc_max, cot_prc_med, cot_prc_mediana) VALUES (31, 22, NULL, 35, 80, 56, 50);</v>
      </c>
    </row>
    <row r="1176" customFormat="false" ht="14.25" hidden="false" customHeight="false" outlineLevel="0" collapsed="false">
      <c r="A1176" s="1" t="n">
        <v>1175</v>
      </c>
      <c r="B1176" s="1" t="n">
        <v>31</v>
      </c>
      <c r="C1176" s="1" t="n">
        <v>23</v>
      </c>
      <c r="D1176" s="16" t="n">
        <f aca="false">IF('Boletins Nuppa Site'!G1176&lt;&gt;0,'Boletins Nuppa Site'!G1176,"NULL")</f>
        <v>45</v>
      </c>
      <c r="E1176" s="16" t="n">
        <f aca="false">IF('Boletins Nuppa Site'!H1176&lt;&gt;0,'Boletins Nuppa Site'!H1176,"NULL")</f>
        <v>45</v>
      </c>
      <c r="F1176" s="16" t="n">
        <f aca="false">IF('Boletins Nuppa Site'!I1176&lt;&gt;0,'Boletins Nuppa Site'!I1176,"NULL")</f>
        <v>60</v>
      </c>
      <c r="G1176" s="16" t="n">
        <f aca="false">IF('Boletins Nuppa Site'!J1176&lt;&gt;0,'Boletins Nuppa Site'!J1176,"NULL")</f>
        <v>50</v>
      </c>
      <c r="H1176" s="1" t="str">
        <f aca="false">IF('Boletins Nuppa Site'!K1176&lt;&gt;0,'Boletins Nuppa Site'!K1176,"NULL")</f>
        <v>47.5</v>
      </c>
      <c r="J1176" s="1" t="str">
        <f aca="false">"INSERT INTO COTACAO (blt_id, pap_id, cot_prc_comum, cot_prc_min, cot_prc_max, cot_prc_med, cot_prc_mediana) VALUES ("&amp;B1176&amp;", "&amp;C1176&amp;", "&amp;D1176&amp;", "&amp;E1176&amp;", "&amp;F1176&amp;", "&amp;G1176&amp;", "&amp;H1176&amp;");"</f>
        <v>INSERT INTO COTACAO (blt_id, pap_id, cot_prc_comum, cot_prc_min, cot_prc_max, cot_prc_med, cot_prc_mediana) VALUES (31, 23, 45, 45, 60, 50, 47.5);</v>
      </c>
    </row>
    <row r="1177" customFormat="false" ht="14.25" hidden="false" customHeight="false" outlineLevel="0" collapsed="false">
      <c r="A1177" s="1" t="n">
        <v>1176</v>
      </c>
      <c r="B1177" s="1" t="n">
        <v>31</v>
      </c>
      <c r="C1177" s="1" t="n">
        <v>24</v>
      </c>
      <c r="D1177" s="1" t="str">
        <f aca="false">IF('Boletins Nuppa Site'!G1177&lt;&gt;0,'Boletins Nuppa Site'!G1177,"NULL")</f>
        <v>NULL</v>
      </c>
      <c r="E1177" s="1" t="str">
        <f aca="false">IF('Boletins Nuppa Site'!H1177&lt;&gt;0,'Boletins Nuppa Site'!H1177,"NULL")</f>
        <v>NULL</v>
      </c>
      <c r="F1177" s="1" t="str">
        <f aca="false">IF('Boletins Nuppa Site'!I1177&lt;&gt;0,'Boletins Nuppa Site'!I1177,"NULL")</f>
        <v>NULL</v>
      </c>
      <c r="G1177" s="1" t="str">
        <f aca="false">IF('Boletins Nuppa Site'!J1177&lt;&gt;0,'Boletins Nuppa Site'!J1177,"NULL")</f>
        <v>NULL</v>
      </c>
      <c r="H1177" s="1" t="str">
        <f aca="false">IF('Boletins Nuppa Site'!K1177&lt;&gt;0,'Boletins Nuppa Site'!K1177,"NULL")</f>
        <v>NULL</v>
      </c>
      <c r="J1177" s="1" t="str">
        <f aca="false">"INSERT INTO COTACAO (blt_id, pap_id, cot_prc_comum, cot_prc_min, cot_prc_max, cot_prc_med, cot_prc_mediana) VALUES ("&amp;B1177&amp;", "&amp;C1177&amp;", "&amp;D1177&amp;", "&amp;E1177&amp;", "&amp;F1177&amp;", "&amp;G1177&amp;", "&amp;H1177&amp;");"</f>
        <v>INSERT INTO COTACAO (blt_id, pap_id, cot_prc_comum, cot_prc_min, cot_prc_max, cot_prc_med, cot_prc_mediana) VALUES (31, 24, NULL, NULL, NULL, NULL, NULL);</v>
      </c>
    </row>
    <row r="1178" customFormat="false" ht="14.25" hidden="false" customHeight="false" outlineLevel="0" collapsed="false">
      <c r="A1178" s="1" t="n">
        <v>1177</v>
      </c>
      <c r="B1178" s="1" t="n">
        <v>31</v>
      </c>
      <c r="C1178" s="1" t="n">
        <v>25</v>
      </c>
      <c r="D1178" s="16" t="n">
        <f aca="false">IF('Boletins Nuppa Site'!G1178&lt;&gt;0,'Boletins Nuppa Site'!G1178,"NULL")</f>
        <v>60</v>
      </c>
      <c r="E1178" s="16" t="n">
        <f aca="false">IF('Boletins Nuppa Site'!H1178&lt;&gt;0,'Boletins Nuppa Site'!H1178,"NULL")</f>
        <v>35</v>
      </c>
      <c r="F1178" s="16" t="n">
        <f aca="false">IF('Boletins Nuppa Site'!I1178&lt;&gt;0,'Boletins Nuppa Site'!I1178,"NULL")</f>
        <v>70</v>
      </c>
      <c r="G1178" s="16" t="n">
        <f aca="false">IF('Boletins Nuppa Site'!J1178&lt;&gt;0,'Boletins Nuppa Site'!J1178,"NULL")</f>
        <v>57</v>
      </c>
      <c r="H1178" s="16" t="n">
        <f aca="false">IF('Boletins Nuppa Site'!K1178&lt;&gt;0,'Boletins Nuppa Site'!K1178,"NULL")</f>
        <v>60</v>
      </c>
      <c r="J1178" s="1" t="str">
        <f aca="false">"INSERT INTO COTACAO (blt_id, pap_id, cot_prc_comum, cot_prc_min, cot_prc_max, cot_prc_med, cot_prc_mediana) VALUES ("&amp;B1178&amp;", "&amp;C1178&amp;", "&amp;D1178&amp;", "&amp;E1178&amp;", "&amp;F1178&amp;", "&amp;G1178&amp;", "&amp;H1178&amp;");"</f>
        <v>INSERT INTO COTACAO (blt_id, pap_id, cot_prc_comum, cot_prc_min, cot_prc_max, cot_prc_med, cot_prc_mediana) VALUES (31, 25, 60, 35, 70, 57, 60);</v>
      </c>
    </row>
    <row r="1179" customFormat="false" ht="14.25" hidden="false" customHeight="false" outlineLevel="0" collapsed="false">
      <c r="A1179" s="1" t="n">
        <v>1178</v>
      </c>
      <c r="B1179" s="1" t="n">
        <v>31</v>
      </c>
      <c r="C1179" s="1" t="n">
        <v>26</v>
      </c>
      <c r="D1179" s="16" t="n">
        <f aca="false">IF('Boletins Nuppa Site'!G1179&lt;&gt;0,'Boletins Nuppa Site'!G1179,"NULL")</f>
        <v>60</v>
      </c>
      <c r="E1179" s="16" t="n">
        <f aca="false">IF('Boletins Nuppa Site'!H1179&lt;&gt;0,'Boletins Nuppa Site'!H1179,"NULL")</f>
        <v>35</v>
      </c>
      <c r="F1179" s="16" t="n">
        <f aca="false">IF('Boletins Nuppa Site'!I1179&lt;&gt;0,'Boletins Nuppa Site'!I1179,"NULL")</f>
        <v>60</v>
      </c>
      <c r="G1179" s="16" t="n">
        <f aca="false">IF('Boletins Nuppa Site'!J1179&lt;&gt;0,'Boletins Nuppa Site'!J1179,"NULL")</f>
        <v>46</v>
      </c>
      <c r="H1179" s="16" t="n">
        <f aca="false">IF('Boletins Nuppa Site'!K1179&lt;&gt;0,'Boletins Nuppa Site'!K1179,"NULL")</f>
        <v>40</v>
      </c>
      <c r="J1179" s="1" t="str">
        <f aca="false">"INSERT INTO COTACAO (blt_id, pap_id, cot_prc_comum, cot_prc_min, cot_prc_max, cot_prc_med, cot_prc_mediana) VALUES ("&amp;B1179&amp;", "&amp;C1179&amp;", "&amp;D1179&amp;", "&amp;E1179&amp;", "&amp;F1179&amp;", "&amp;G1179&amp;", "&amp;H1179&amp;");"</f>
        <v>INSERT INTO COTACAO (blt_id, pap_id, cot_prc_comum, cot_prc_min, cot_prc_max, cot_prc_med, cot_prc_mediana) VALUES (31, 26, 60, 35, 60, 46, 40);</v>
      </c>
    </row>
    <row r="1180" customFormat="false" ht="14.25" hidden="false" customHeight="false" outlineLevel="0" collapsed="false">
      <c r="A1180" s="1" t="n">
        <v>1179</v>
      </c>
      <c r="B1180" s="1" t="n">
        <v>31</v>
      </c>
      <c r="C1180" s="1" t="n">
        <v>27</v>
      </c>
      <c r="D1180" s="1" t="str">
        <f aca="false">IF('Boletins Nuppa Site'!G1180&lt;&gt;0,'Boletins Nuppa Site'!G1180,"NULL")</f>
        <v>NULL</v>
      </c>
      <c r="E1180" s="16" t="n">
        <f aca="false">IF('Boletins Nuppa Site'!H1180&lt;&gt;0,'Boletins Nuppa Site'!H1180,"NULL")</f>
        <v>50</v>
      </c>
      <c r="F1180" s="16" t="n">
        <f aca="false">IF('Boletins Nuppa Site'!I1180&lt;&gt;0,'Boletins Nuppa Site'!I1180,"NULL")</f>
        <v>80</v>
      </c>
      <c r="G1180" s="16" t="n">
        <f aca="false">IF('Boletins Nuppa Site'!J1180&lt;&gt;0,'Boletins Nuppa Site'!J1180,"NULL")</f>
        <v>65</v>
      </c>
      <c r="H1180" s="16" t="n">
        <f aca="false">IF('Boletins Nuppa Site'!K1180&lt;&gt;0,'Boletins Nuppa Site'!K1180,"NULL")</f>
        <v>65</v>
      </c>
      <c r="J1180" s="1" t="str">
        <f aca="false">"INSERT INTO COTACAO (blt_id, pap_id, cot_prc_comum, cot_prc_min, cot_prc_max, cot_prc_med, cot_prc_mediana) VALUES ("&amp;B1180&amp;", "&amp;C1180&amp;", "&amp;D1180&amp;", "&amp;E1180&amp;", "&amp;F1180&amp;", "&amp;G1180&amp;", "&amp;H1180&amp;");"</f>
        <v>INSERT INTO COTACAO (blt_id, pap_id, cot_prc_comum, cot_prc_min, cot_prc_max, cot_prc_med, cot_prc_mediana) VALUES (31, 27, NULL, 50, 80, 65, 65);</v>
      </c>
    </row>
    <row r="1181" customFormat="false" ht="14.25" hidden="false" customHeight="false" outlineLevel="0" collapsed="false">
      <c r="A1181" s="1" t="n">
        <v>1180</v>
      </c>
      <c r="B1181" s="1" t="n">
        <v>31</v>
      </c>
      <c r="C1181" s="1" t="n">
        <v>28</v>
      </c>
      <c r="D1181" s="1" t="str">
        <f aca="false">IF('Boletins Nuppa Site'!G1181&lt;&gt;0,'Boletins Nuppa Site'!G1181,"NULL")</f>
        <v>NULL</v>
      </c>
      <c r="E1181" s="16" t="n">
        <f aca="false">IF('Boletins Nuppa Site'!H1181&lt;&gt;0,'Boletins Nuppa Site'!H1181,"NULL")</f>
        <v>80</v>
      </c>
      <c r="F1181" s="16" t="n">
        <f aca="false">IF('Boletins Nuppa Site'!I1181&lt;&gt;0,'Boletins Nuppa Site'!I1181,"NULL")</f>
        <v>110</v>
      </c>
      <c r="G1181" s="16" t="n">
        <f aca="false">IF('Boletins Nuppa Site'!J1181&lt;&gt;0,'Boletins Nuppa Site'!J1181,"NULL")</f>
        <v>95</v>
      </c>
      <c r="H1181" s="16" t="n">
        <f aca="false">IF('Boletins Nuppa Site'!K1181&lt;&gt;0,'Boletins Nuppa Site'!K1181,"NULL")</f>
        <v>95</v>
      </c>
      <c r="J1181" s="1" t="str">
        <f aca="false">"INSERT INTO COTACAO (blt_id, pap_id, cot_prc_comum, cot_prc_min, cot_prc_max, cot_prc_med, cot_prc_mediana) VALUES ("&amp;B1181&amp;", "&amp;C1181&amp;", "&amp;D1181&amp;", "&amp;E1181&amp;", "&amp;F1181&amp;", "&amp;G1181&amp;", "&amp;H1181&amp;");"</f>
        <v>INSERT INTO COTACAO (blt_id, pap_id, cot_prc_comum, cot_prc_min, cot_prc_max, cot_prc_med, cot_prc_mediana) VALUES (31, 28, NULL, 80, 110, 95, 95);</v>
      </c>
    </row>
    <row r="1182" customFormat="false" ht="14.25" hidden="false" customHeight="false" outlineLevel="0" collapsed="false">
      <c r="A1182" s="1" t="n">
        <v>1181</v>
      </c>
      <c r="B1182" s="1" t="n">
        <v>31</v>
      </c>
      <c r="C1182" s="1" t="n">
        <v>29</v>
      </c>
      <c r="D1182" s="1" t="str">
        <f aca="false">IF('Boletins Nuppa Site'!G1182&lt;&gt;0,'Boletins Nuppa Site'!G1182,"NULL")</f>
        <v>NULL</v>
      </c>
      <c r="E1182" s="1" t="str">
        <f aca="false">IF('Boletins Nuppa Site'!H1182&lt;&gt;0,'Boletins Nuppa Site'!H1182,"NULL")</f>
        <v>NULL</v>
      </c>
      <c r="F1182" s="1" t="str">
        <f aca="false">IF('Boletins Nuppa Site'!I1182&lt;&gt;0,'Boletins Nuppa Site'!I1182,"NULL")</f>
        <v>NULL</v>
      </c>
      <c r="G1182" s="1" t="str">
        <f aca="false">IF('Boletins Nuppa Site'!J1182&lt;&gt;0,'Boletins Nuppa Site'!J1182,"NULL")</f>
        <v>NULL</v>
      </c>
      <c r="H1182" s="1" t="str">
        <f aca="false">IF('Boletins Nuppa Site'!K1182&lt;&gt;0,'Boletins Nuppa Site'!K1182,"NULL")</f>
        <v>NULL</v>
      </c>
      <c r="J1182" s="1" t="str">
        <f aca="false">"INSERT INTO COTACAO (blt_id, pap_id, cot_prc_comum, cot_prc_min, cot_prc_max, cot_prc_med, cot_prc_mediana) VALUES ("&amp;B1182&amp;", "&amp;C1182&amp;", "&amp;D1182&amp;", "&amp;E1182&amp;", "&amp;F1182&amp;", "&amp;G1182&amp;", "&amp;H1182&amp;");"</f>
        <v>INSERT INTO COTACAO (blt_id, pap_id, cot_prc_comum, cot_prc_min, cot_prc_max, cot_prc_med, cot_prc_mediana) VALUES (31, 29, NULL, NULL, NULL, NULL, NULL);</v>
      </c>
    </row>
    <row r="1183" customFormat="false" ht="14.25" hidden="false" customHeight="false" outlineLevel="0" collapsed="false">
      <c r="A1183" s="1" t="n">
        <v>1182</v>
      </c>
      <c r="B1183" s="1" t="n">
        <v>31</v>
      </c>
      <c r="C1183" s="1" t="n">
        <v>30</v>
      </c>
      <c r="D1183" s="1" t="str">
        <f aca="false">IF('Boletins Nuppa Site'!G1183&lt;&gt;0,'Boletins Nuppa Site'!G1183,"NULL")</f>
        <v>NULL</v>
      </c>
      <c r="E1183" s="16" t="n">
        <f aca="false">IF('Boletins Nuppa Site'!H1183&lt;&gt;0,'Boletins Nuppa Site'!H1183,"NULL")</f>
        <v>25</v>
      </c>
      <c r="F1183" s="16" t="n">
        <f aca="false">IF('Boletins Nuppa Site'!I1183&lt;&gt;0,'Boletins Nuppa Site'!I1183,"NULL")</f>
        <v>80</v>
      </c>
      <c r="G1183" s="1" t="str">
        <f aca="false">IF('Boletins Nuppa Site'!J1183&lt;&gt;0,'Boletins Nuppa Site'!J1183,"NULL")</f>
        <v>58.33</v>
      </c>
      <c r="H1183" s="16" t="n">
        <f aca="false">IF('Boletins Nuppa Site'!K1183&lt;&gt;0,'Boletins Nuppa Site'!K1183,"NULL")</f>
        <v>70</v>
      </c>
      <c r="J1183" s="1" t="str">
        <f aca="false">"INSERT INTO COTACAO (blt_id, pap_id, cot_prc_comum, cot_prc_min, cot_prc_max, cot_prc_med, cot_prc_mediana) VALUES ("&amp;B1183&amp;", "&amp;C1183&amp;", "&amp;D1183&amp;", "&amp;E1183&amp;", "&amp;F1183&amp;", "&amp;G1183&amp;", "&amp;H1183&amp;");"</f>
        <v>INSERT INTO COTACAO (blt_id, pap_id, cot_prc_comum, cot_prc_min, cot_prc_max, cot_prc_med, cot_prc_mediana) VALUES (31, 30, NULL, 25, 80, 58.33, 70);</v>
      </c>
    </row>
    <row r="1184" customFormat="false" ht="14.25" hidden="false" customHeight="false" outlineLevel="0" collapsed="false">
      <c r="A1184" s="1" t="n">
        <v>1183</v>
      </c>
      <c r="B1184" s="1" t="n">
        <v>31</v>
      </c>
      <c r="C1184" s="1" t="n">
        <v>31</v>
      </c>
      <c r="D1184" s="1" t="str">
        <f aca="false">IF('Boletins Nuppa Site'!G1184&lt;&gt;0,'Boletins Nuppa Site'!G1184,"NULL")</f>
        <v>NULL</v>
      </c>
      <c r="E1184" s="16" t="n">
        <f aca="false">IF('Boletins Nuppa Site'!H1184&lt;&gt;0,'Boletins Nuppa Site'!H1184,"NULL")</f>
        <v>70</v>
      </c>
      <c r="F1184" s="16" t="n">
        <f aca="false">IF('Boletins Nuppa Site'!I1184&lt;&gt;0,'Boletins Nuppa Site'!I1184,"NULL")</f>
        <v>120</v>
      </c>
      <c r="G1184" s="16" t="n">
        <f aca="false">IF('Boletins Nuppa Site'!J1184&lt;&gt;0,'Boletins Nuppa Site'!J1184,"NULL")</f>
        <v>90</v>
      </c>
      <c r="H1184" s="16" t="n">
        <f aca="false">IF('Boletins Nuppa Site'!K1184&lt;&gt;0,'Boletins Nuppa Site'!K1184,"NULL")</f>
        <v>80</v>
      </c>
      <c r="J1184" s="1" t="str">
        <f aca="false">"INSERT INTO COTACAO (blt_id, pap_id, cot_prc_comum, cot_prc_min, cot_prc_max, cot_prc_med, cot_prc_mediana) VALUES ("&amp;B1184&amp;", "&amp;C1184&amp;", "&amp;D1184&amp;", "&amp;E1184&amp;", "&amp;F1184&amp;", "&amp;G1184&amp;", "&amp;H1184&amp;");"</f>
        <v>INSERT INTO COTACAO (blt_id, pap_id, cot_prc_comum, cot_prc_min, cot_prc_max, cot_prc_med, cot_prc_mediana) VALUES (31, 31, NULL, 70, 120, 90, 80);</v>
      </c>
    </row>
    <row r="1185" customFormat="false" ht="14.25" hidden="false" customHeight="false" outlineLevel="0" collapsed="false">
      <c r="A1185" s="1" t="n">
        <v>1184</v>
      </c>
      <c r="B1185" s="1" t="n">
        <v>31</v>
      </c>
      <c r="C1185" s="1" t="n">
        <v>32</v>
      </c>
      <c r="D1185" s="16" t="n">
        <f aca="false">IF('Boletins Nuppa Site'!G1185&lt;&gt;0,'Boletins Nuppa Site'!G1185,"NULL")</f>
        <v>50</v>
      </c>
      <c r="E1185" s="16" t="n">
        <f aca="false">IF('Boletins Nuppa Site'!H1185&lt;&gt;0,'Boletins Nuppa Site'!H1185,"NULL")</f>
        <v>25</v>
      </c>
      <c r="F1185" s="16" t="n">
        <f aca="false">IF('Boletins Nuppa Site'!I1185&lt;&gt;0,'Boletins Nuppa Site'!I1185,"NULL")</f>
        <v>60</v>
      </c>
      <c r="G1185" s="16" t="n">
        <f aca="false">IF('Boletins Nuppa Site'!J1185&lt;&gt;0,'Boletins Nuppa Site'!J1185,"NULL")</f>
        <v>48</v>
      </c>
      <c r="H1185" s="16" t="n">
        <f aca="false">IF('Boletins Nuppa Site'!K1185&lt;&gt;0,'Boletins Nuppa Site'!K1185,"NULL")</f>
        <v>50</v>
      </c>
      <c r="J1185" s="1" t="str">
        <f aca="false">"INSERT INTO COTACAO (blt_id, pap_id, cot_prc_comum, cot_prc_min, cot_prc_max, cot_prc_med, cot_prc_mediana) VALUES ("&amp;B1185&amp;", "&amp;C1185&amp;", "&amp;D1185&amp;", "&amp;E1185&amp;", "&amp;F1185&amp;", "&amp;G1185&amp;", "&amp;H1185&amp;");"</f>
        <v>INSERT INTO COTACAO (blt_id, pap_id, cot_prc_comum, cot_prc_min, cot_prc_max, cot_prc_med, cot_prc_mediana) VALUES (31, 32, 50, 25, 60, 48, 50);</v>
      </c>
    </row>
    <row r="1186" customFormat="false" ht="14.25" hidden="false" customHeight="false" outlineLevel="0" collapsed="false">
      <c r="A1186" s="1" t="n">
        <v>1185</v>
      </c>
      <c r="B1186" s="1" t="n">
        <v>31</v>
      </c>
      <c r="C1186" s="1" t="n">
        <v>33</v>
      </c>
      <c r="D1186" s="1" t="str">
        <f aca="false">IF('Boletins Nuppa Site'!G1186&lt;&gt;0,'Boletins Nuppa Site'!G1186,"NULL")</f>
        <v>NULL</v>
      </c>
      <c r="E1186" s="16" t="n">
        <f aca="false">IF('Boletins Nuppa Site'!H1186&lt;&gt;0,'Boletins Nuppa Site'!H1186,"NULL")</f>
        <v>120</v>
      </c>
      <c r="F1186" s="16" t="n">
        <f aca="false">IF('Boletins Nuppa Site'!I1186&lt;&gt;0,'Boletins Nuppa Site'!I1186,"NULL")</f>
        <v>140</v>
      </c>
      <c r="G1186" s="16" t="n">
        <f aca="false">IF('Boletins Nuppa Site'!J1186&lt;&gt;0,'Boletins Nuppa Site'!J1186,"NULL")</f>
        <v>130</v>
      </c>
      <c r="H1186" s="16" t="n">
        <f aca="false">IF('Boletins Nuppa Site'!K1186&lt;&gt;0,'Boletins Nuppa Site'!K1186,"NULL")</f>
        <v>130</v>
      </c>
      <c r="J1186" s="1" t="str">
        <f aca="false">"INSERT INTO COTACAO (blt_id, pap_id, cot_prc_comum, cot_prc_min, cot_prc_max, cot_prc_med, cot_prc_mediana) VALUES ("&amp;B1186&amp;", "&amp;C1186&amp;", "&amp;D1186&amp;", "&amp;E1186&amp;", "&amp;F1186&amp;", "&amp;G1186&amp;", "&amp;H1186&amp;");"</f>
        <v>INSERT INTO COTACAO (blt_id, pap_id, cot_prc_comum, cot_prc_min, cot_prc_max, cot_prc_med, cot_prc_mediana) VALUES (31, 33, NULL, 120, 140, 130, 130);</v>
      </c>
    </row>
    <row r="1187" customFormat="false" ht="14.25" hidden="false" customHeight="false" outlineLevel="0" collapsed="false">
      <c r="A1187" s="1" t="n">
        <v>1186</v>
      </c>
      <c r="B1187" s="1" t="n">
        <v>31</v>
      </c>
      <c r="C1187" s="1" t="n">
        <v>34</v>
      </c>
      <c r="D1187" s="16" t="n">
        <f aca="false">IF('Boletins Nuppa Site'!G1187&lt;&gt;0,'Boletins Nuppa Site'!G1187,"NULL")</f>
        <v>60</v>
      </c>
      <c r="E1187" s="16" t="n">
        <f aca="false">IF('Boletins Nuppa Site'!H1187&lt;&gt;0,'Boletins Nuppa Site'!H1187,"NULL")</f>
        <v>45</v>
      </c>
      <c r="F1187" s="16" t="n">
        <f aca="false">IF('Boletins Nuppa Site'!I1187&lt;&gt;0,'Boletins Nuppa Site'!I1187,"NULL")</f>
        <v>60</v>
      </c>
      <c r="G1187" s="1" t="str">
        <f aca="false">IF('Boletins Nuppa Site'!J1187&lt;&gt;0,'Boletins Nuppa Site'!J1187,"NULL")</f>
        <v>53.75</v>
      </c>
      <c r="H1187" s="16" t="n">
        <f aca="false">IF('Boletins Nuppa Site'!K1187&lt;&gt;0,'Boletins Nuppa Site'!K1187,"NULL")</f>
        <v>55</v>
      </c>
      <c r="J1187" s="1" t="str">
        <f aca="false">"INSERT INTO COTACAO (blt_id, pap_id, cot_prc_comum, cot_prc_min, cot_prc_max, cot_prc_med, cot_prc_mediana) VALUES ("&amp;B1187&amp;", "&amp;C1187&amp;", "&amp;D1187&amp;", "&amp;E1187&amp;", "&amp;F1187&amp;", "&amp;G1187&amp;", "&amp;H1187&amp;");"</f>
        <v>INSERT INTO COTACAO (blt_id, pap_id, cot_prc_comum, cot_prc_min, cot_prc_max, cot_prc_med, cot_prc_mediana) VALUES (31, 34, 60, 45, 60, 53.75, 55);</v>
      </c>
    </row>
    <row r="1188" customFormat="false" ht="14.25" hidden="false" customHeight="false" outlineLevel="0" collapsed="false">
      <c r="A1188" s="1" t="n">
        <v>1187</v>
      </c>
      <c r="B1188" s="1" t="n">
        <v>31</v>
      </c>
      <c r="C1188" s="1" t="n">
        <v>35</v>
      </c>
      <c r="D1188" s="1" t="str">
        <f aca="false">IF('Boletins Nuppa Site'!G1188&lt;&gt;0,'Boletins Nuppa Site'!G1188,"NULL")</f>
        <v>NULL</v>
      </c>
      <c r="E1188" s="16" t="n">
        <f aca="false">IF('Boletins Nuppa Site'!H1188&lt;&gt;0,'Boletins Nuppa Site'!H1188,"NULL")</f>
        <v>120</v>
      </c>
      <c r="F1188" s="16" t="n">
        <f aca="false">IF('Boletins Nuppa Site'!I1188&lt;&gt;0,'Boletins Nuppa Site'!I1188,"NULL")</f>
        <v>120</v>
      </c>
      <c r="G1188" s="16" t="n">
        <f aca="false">IF('Boletins Nuppa Site'!J1188&lt;&gt;0,'Boletins Nuppa Site'!J1188,"NULL")</f>
        <v>120</v>
      </c>
      <c r="H1188" s="16" t="n">
        <f aca="false">IF('Boletins Nuppa Site'!K1188&lt;&gt;0,'Boletins Nuppa Site'!K1188,"NULL")</f>
        <v>120</v>
      </c>
      <c r="J1188" s="1" t="str">
        <f aca="false">"INSERT INTO COTACAO (blt_id, pap_id, cot_prc_comum, cot_prc_min, cot_prc_max, cot_prc_med, cot_prc_mediana) VALUES ("&amp;B1188&amp;", "&amp;C1188&amp;", "&amp;D1188&amp;", "&amp;E1188&amp;", "&amp;F1188&amp;", "&amp;G1188&amp;", "&amp;H1188&amp;");"</f>
        <v>INSERT INTO COTACAO (blt_id, pap_id, cot_prc_comum, cot_prc_min, cot_prc_max, cot_prc_med, cot_prc_mediana) VALUES (31, 35, NULL, 120, 120, 120, 120);</v>
      </c>
    </row>
    <row r="1189" customFormat="false" ht="14.25" hidden="false" customHeight="false" outlineLevel="0" collapsed="false">
      <c r="A1189" s="1" t="n">
        <v>1188</v>
      </c>
      <c r="B1189" s="1" t="n">
        <v>31</v>
      </c>
      <c r="C1189" s="1" t="n">
        <v>36</v>
      </c>
      <c r="D1189" s="1" t="str">
        <f aca="false">IF('Boletins Nuppa Site'!G1189&lt;&gt;0,'Boletins Nuppa Site'!G1189,"NULL")</f>
        <v>NULL</v>
      </c>
      <c r="E1189" s="1" t="str">
        <f aca="false">IF('Boletins Nuppa Site'!H1189&lt;&gt;0,'Boletins Nuppa Site'!H1189,"NULL")</f>
        <v>NULL</v>
      </c>
      <c r="F1189" s="1" t="str">
        <f aca="false">IF('Boletins Nuppa Site'!I1189&lt;&gt;0,'Boletins Nuppa Site'!I1189,"NULL")</f>
        <v>NULL</v>
      </c>
      <c r="G1189" s="1" t="str">
        <f aca="false">IF('Boletins Nuppa Site'!J1189&lt;&gt;0,'Boletins Nuppa Site'!J1189,"NULL")</f>
        <v>NULL</v>
      </c>
      <c r="H1189" s="1" t="str">
        <f aca="false">IF('Boletins Nuppa Site'!K1189&lt;&gt;0,'Boletins Nuppa Site'!K1189,"NULL")</f>
        <v>NULL</v>
      </c>
      <c r="J1189" s="1" t="str">
        <f aca="false">"INSERT INTO COTACAO (blt_id, pap_id, cot_prc_comum, cot_prc_min, cot_prc_max, cot_prc_med, cot_prc_mediana) VALUES ("&amp;B1189&amp;", "&amp;C1189&amp;", "&amp;D1189&amp;", "&amp;E1189&amp;", "&amp;F1189&amp;", "&amp;G1189&amp;", "&amp;H1189&amp;");"</f>
        <v>INSERT INTO COTACAO (blt_id, pap_id, cot_prc_comum, cot_prc_min, cot_prc_max, cot_prc_med, cot_prc_mediana) VALUES (31, 36, NULL, NULL, NULL, NULL, NULL);</v>
      </c>
    </row>
    <row r="1190" customFormat="false" ht="14.25" hidden="false" customHeight="false" outlineLevel="0" collapsed="false">
      <c r="A1190" s="1" t="n">
        <v>1189</v>
      </c>
      <c r="B1190" s="1" t="n">
        <v>31</v>
      </c>
      <c r="C1190" s="1" t="n">
        <v>37</v>
      </c>
      <c r="D1190" s="1" t="str">
        <f aca="false">IF('Boletins Nuppa Site'!G1190&lt;&gt;0,'Boletins Nuppa Site'!G1190,"NULL")</f>
        <v>NULL</v>
      </c>
      <c r="E1190" s="1" t="str">
        <f aca="false">IF('Boletins Nuppa Site'!H1190&lt;&gt;0,'Boletins Nuppa Site'!H1190,"NULL")</f>
        <v>NULL</v>
      </c>
      <c r="F1190" s="1" t="str">
        <f aca="false">IF('Boletins Nuppa Site'!I1190&lt;&gt;0,'Boletins Nuppa Site'!I1190,"NULL")</f>
        <v>NULL</v>
      </c>
      <c r="G1190" s="1" t="str">
        <f aca="false">IF('Boletins Nuppa Site'!J1190&lt;&gt;0,'Boletins Nuppa Site'!J1190,"NULL")</f>
        <v>NULL</v>
      </c>
      <c r="H1190" s="1" t="str">
        <f aca="false">IF('Boletins Nuppa Site'!K1190&lt;&gt;0,'Boletins Nuppa Site'!K1190,"NULL")</f>
        <v>NULL</v>
      </c>
      <c r="J1190" s="1" t="str">
        <f aca="false">"INSERT INTO COTACAO (blt_id, pap_id, cot_prc_comum, cot_prc_min, cot_prc_max, cot_prc_med, cot_prc_mediana) VALUES ("&amp;B1190&amp;", "&amp;C1190&amp;", "&amp;D1190&amp;", "&amp;E1190&amp;", "&amp;F1190&amp;", "&amp;G1190&amp;", "&amp;H1190&amp;");"</f>
        <v>INSERT INTO COTACAO (blt_id, pap_id, cot_prc_comum, cot_prc_min, cot_prc_max, cot_prc_med, cot_prc_mediana) VALUES (31, 37, NULL, NULL, NULL, NULL, NULL);</v>
      </c>
    </row>
    <row r="1191" customFormat="false" ht="14.25" hidden="false" customHeight="false" outlineLevel="0" collapsed="false">
      <c r="A1191" s="1" t="n">
        <v>1190</v>
      </c>
      <c r="B1191" s="1" t="n">
        <v>31</v>
      </c>
      <c r="C1191" s="1" t="n">
        <v>38</v>
      </c>
      <c r="D1191" s="1" t="str">
        <f aca="false">IF('Boletins Nuppa Site'!G1191&lt;&gt;0,'Boletins Nuppa Site'!G1191,"NULL")</f>
        <v>NULL</v>
      </c>
      <c r="E1191" s="1" t="str">
        <f aca="false">IF('Boletins Nuppa Site'!H1191&lt;&gt;0,'Boletins Nuppa Site'!H1191,"NULL")</f>
        <v>NULL</v>
      </c>
      <c r="F1191" s="1" t="str">
        <f aca="false">IF('Boletins Nuppa Site'!I1191&lt;&gt;0,'Boletins Nuppa Site'!I1191,"NULL")</f>
        <v>NULL</v>
      </c>
      <c r="G1191" s="1" t="str">
        <f aca="false">IF('Boletins Nuppa Site'!J1191&lt;&gt;0,'Boletins Nuppa Site'!J1191,"NULL")</f>
        <v>NULL</v>
      </c>
      <c r="H1191" s="1" t="str">
        <f aca="false">IF('Boletins Nuppa Site'!K1191&lt;&gt;0,'Boletins Nuppa Site'!K1191,"NULL")</f>
        <v>NULL</v>
      </c>
      <c r="J1191" s="1" t="str">
        <f aca="false">"INSERT INTO COTACAO (blt_id, pap_id, cot_prc_comum, cot_prc_min, cot_prc_max, cot_prc_med, cot_prc_mediana) VALUES ("&amp;B1191&amp;", "&amp;C1191&amp;", "&amp;D1191&amp;", "&amp;E1191&amp;", "&amp;F1191&amp;", "&amp;G1191&amp;", "&amp;H1191&amp;");"</f>
        <v>INSERT INTO COTACAO (blt_id, pap_id, cot_prc_comum, cot_prc_min, cot_prc_max, cot_prc_med, cot_prc_mediana) VALUES (31, 38, NULL, NULL, NULL, NULL, NULL);</v>
      </c>
    </row>
    <row r="1192" customFormat="false" ht="14.25" hidden="false" customHeight="false" outlineLevel="0" collapsed="false">
      <c r="A1192" s="1" t="n">
        <v>1191</v>
      </c>
      <c r="B1192" s="1" t="n">
        <v>31</v>
      </c>
      <c r="C1192" s="1" t="n">
        <v>39</v>
      </c>
      <c r="D1192" s="1" t="str">
        <f aca="false">IF('Boletins Nuppa Site'!G1192&lt;&gt;0,'Boletins Nuppa Site'!G1192,"NULL")</f>
        <v>NULL</v>
      </c>
      <c r="E1192" s="16" t="n">
        <f aca="false">IF('Boletins Nuppa Site'!H1192&lt;&gt;0,'Boletins Nuppa Site'!H1192,"NULL")</f>
        <v>60</v>
      </c>
      <c r="F1192" s="16" t="n">
        <f aca="false">IF('Boletins Nuppa Site'!I1192&lt;&gt;0,'Boletins Nuppa Site'!I1192,"NULL")</f>
        <v>60</v>
      </c>
      <c r="G1192" s="16" t="n">
        <f aca="false">IF('Boletins Nuppa Site'!J1192&lt;&gt;0,'Boletins Nuppa Site'!J1192,"NULL")</f>
        <v>60</v>
      </c>
      <c r="H1192" s="16" t="n">
        <f aca="false">IF('Boletins Nuppa Site'!K1192&lt;&gt;0,'Boletins Nuppa Site'!K1192,"NULL")</f>
        <v>60</v>
      </c>
      <c r="J1192" s="1" t="str">
        <f aca="false">"INSERT INTO COTACAO (blt_id, pap_id, cot_prc_comum, cot_prc_min, cot_prc_max, cot_prc_med, cot_prc_mediana) VALUES ("&amp;B1192&amp;", "&amp;C1192&amp;", "&amp;D1192&amp;", "&amp;E1192&amp;", "&amp;F1192&amp;", "&amp;G1192&amp;", "&amp;H1192&amp;");"</f>
        <v>INSERT INTO COTACAO (blt_id, pap_id, cot_prc_comum, cot_prc_min, cot_prc_max, cot_prc_med, cot_prc_mediana) VALUES (31, 39, NULL, 60, 60, 60, 60);</v>
      </c>
    </row>
    <row r="1193" customFormat="false" ht="14.25" hidden="false" customHeight="false" outlineLevel="0" collapsed="false">
      <c r="A1193" s="1" t="n">
        <v>1192</v>
      </c>
      <c r="B1193" s="1" t="n">
        <v>31</v>
      </c>
      <c r="C1193" s="1" t="n">
        <v>40</v>
      </c>
      <c r="D1193" s="1" t="str">
        <f aca="false">IF('Boletins Nuppa Site'!G1193&lt;&gt;0,'Boletins Nuppa Site'!G1193,"NULL")</f>
        <v>NULL</v>
      </c>
      <c r="E1193" s="16" t="n">
        <f aca="false">IF('Boletins Nuppa Site'!H1193&lt;&gt;0,'Boletins Nuppa Site'!H1193,"NULL")</f>
        <v>80</v>
      </c>
      <c r="F1193" s="16" t="n">
        <f aca="false">IF('Boletins Nuppa Site'!I1193&lt;&gt;0,'Boletins Nuppa Site'!I1193,"NULL")</f>
        <v>80</v>
      </c>
      <c r="G1193" s="16" t="n">
        <f aca="false">IF('Boletins Nuppa Site'!J1193&lt;&gt;0,'Boletins Nuppa Site'!J1193,"NULL")</f>
        <v>80</v>
      </c>
      <c r="H1193" s="16" t="n">
        <f aca="false">IF('Boletins Nuppa Site'!K1193&lt;&gt;0,'Boletins Nuppa Site'!K1193,"NULL")</f>
        <v>80</v>
      </c>
      <c r="J1193" s="1" t="str">
        <f aca="false">"INSERT INTO COTACAO (blt_id, pap_id, cot_prc_comum, cot_prc_min, cot_prc_max, cot_prc_med, cot_prc_mediana) VALUES ("&amp;B1193&amp;", "&amp;C1193&amp;", "&amp;D1193&amp;", "&amp;E1193&amp;", "&amp;F1193&amp;", "&amp;G1193&amp;", "&amp;H1193&amp;");"</f>
        <v>INSERT INTO COTACAO (blt_id, pap_id, cot_prc_comum, cot_prc_min, cot_prc_max, cot_prc_med, cot_prc_mediana) VALUES (31, 40, NULL, 80, 80, 80, 80);</v>
      </c>
    </row>
    <row r="1194" customFormat="false" ht="14.25" hidden="false" customHeight="false" outlineLevel="0" collapsed="false">
      <c r="A1194" s="1" t="n">
        <v>1193</v>
      </c>
      <c r="B1194" s="1" t="n">
        <v>32</v>
      </c>
      <c r="C1194" s="1" t="n">
        <v>1</v>
      </c>
      <c r="D1194" s="16" t="n">
        <f aca="false">IF('Boletins Nuppa Site'!G1194&lt;&gt;0,'Boletins Nuppa Site'!G1194,"NULL")</f>
        <v>48</v>
      </c>
      <c r="E1194" s="16" t="n">
        <f aca="false">IF('Boletins Nuppa Site'!H1194&lt;&gt;0,'Boletins Nuppa Site'!H1194,"NULL")</f>
        <v>48</v>
      </c>
      <c r="F1194" s="16" t="n">
        <f aca="false">IF('Boletins Nuppa Site'!I1194&lt;&gt;0,'Boletins Nuppa Site'!I1194,"NULL")</f>
        <v>60</v>
      </c>
      <c r="G1194" s="1" t="str">
        <f aca="false">IF('Boletins Nuppa Site'!J1194&lt;&gt;0,'Boletins Nuppa Site'!J1194,"NULL")</f>
        <v>50.4</v>
      </c>
      <c r="H1194" s="16" t="n">
        <f aca="false">IF('Boletins Nuppa Site'!K1194&lt;&gt;0,'Boletins Nuppa Site'!K1194,"NULL")</f>
        <v>48</v>
      </c>
      <c r="J1194" s="1" t="str">
        <f aca="false">"INSERT INTO COTACAO (blt_id, pap_id, cot_prc_comum, cot_prc_min, cot_prc_max, cot_prc_med, cot_prc_mediana) VALUES ("&amp;B1194&amp;", "&amp;C1194&amp;", "&amp;D1194&amp;", "&amp;E1194&amp;", "&amp;F1194&amp;", "&amp;G1194&amp;", "&amp;H1194&amp;");"</f>
        <v>INSERT INTO COTACAO (blt_id, pap_id, cot_prc_comum, cot_prc_min, cot_prc_max, cot_prc_med, cot_prc_mediana) VALUES (32, 1, 48, 48, 60, 50.4, 48);</v>
      </c>
    </row>
    <row r="1195" customFormat="false" ht="14.25" hidden="false" customHeight="false" outlineLevel="0" collapsed="false">
      <c r="A1195" s="1" t="n">
        <v>1194</v>
      </c>
      <c r="B1195" s="1" t="n">
        <v>32</v>
      </c>
      <c r="C1195" s="1" t="n">
        <v>2</v>
      </c>
      <c r="D1195" s="16" t="n">
        <f aca="false">IF('Boletins Nuppa Site'!G1195&lt;&gt;0,'Boletins Nuppa Site'!G1195,"NULL")</f>
        <v>72</v>
      </c>
      <c r="E1195" s="16" t="n">
        <f aca="false">IF('Boletins Nuppa Site'!H1195&lt;&gt;0,'Boletins Nuppa Site'!H1195,"NULL")</f>
        <v>72</v>
      </c>
      <c r="F1195" s="16" t="n">
        <f aca="false">IF('Boletins Nuppa Site'!I1195&lt;&gt;0,'Boletins Nuppa Site'!I1195,"NULL")</f>
        <v>96</v>
      </c>
      <c r="G1195" s="16" t="n">
        <f aca="false">IF('Boletins Nuppa Site'!J1195&lt;&gt;0,'Boletins Nuppa Site'!J1195,"NULL")</f>
        <v>81</v>
      </c>
      <c r="H1195" s="16" t="n">
        <f aca="false">IF('Boletins Nuppa Site'!K1195&lt;&gt;0,'Boletins Nuppa Site'!K1195,"NULL")</f>
        <v>78</v>
      </c>
      <c r="J1195" s="1" t="str">
        <f aca="false">"INSERT INTO COTACAO (blt_id, pap_id, cot_prc_comum, cot_prc_min, cot_prc_max, cot_prc_med, cot_prc_mediana) VALUES ("&amp;B1195&amp;", "&amp;C1195&amp;", "&amp;D1195&amp;", "&amp;E1195&amp;", "&amp;F1195&amp;", "&amp;G1195&amp;", "&amp;H1195&amp;");"</f>
        <v>INSERT INTO COTACAO (blt_id, pap_id, cot_prc_comum, cot_prc_min, cot_prc_max, cot_prc_med, cot_prc_mediana) VALUES (32, 2, 72, 72, 96, 81, 78);</v>
      </c>
    </row>
    <row r="1196" customFormat="false" ht="14.25" hidden="false" customHeight="false" outlineLevel="0" collapsed="false">
      <c r="A1196" s="1" t="n">
        <v>1195</v>
      </c>
      <c r="B1196" s="1" t="n">
        <v>32</v>
      </c>
      <c r="C1196" s="1" t="n">
        <v>3</v>
      </c>
      <c r="D1196" s="16" t="n">
        <f aca="false">IF('Boletins Nuppa Site'!G1196&lt;&gt;0,'Boletins Nuppa Site'!G1196,"NULL")</f>
        <v>36</v>
      </c>
      <c r="E1196" s="16" t="n">
        <f aca="false">IF('Boletins Nuppa Site'!H1196&lt;&gt;0,'Boletins Nuppa Site'!H1196,"NULL")</f>
        <v>25</v>
      </c>
      <c r="F1196" s="16" t="n">
        <f aca="false">IF('Boletins Nuppa Site'!I1196&lt;&gt;0,'Boletins Nuppa Site'!I1196,"NULL")</f>
        <v>42</v>
      </c>
      <c r="G1196" s="16" t="n">
        <f aca="false">IF('Boletins Nuppa Site'!J1196&lt;&gt;0,'Boletins Nuppa Site'!J1196,"NULL")</f>
        <v>35</v>
      </c>
      <c r="H1196" s="16" t="n">
        <f aca="false">IF('Boletins Nuppa Site'!K1196&lt;&gt;0,'Boletins Nuppa Site'!K1196,"NULL")</f>
        <v>36</v>
      </c>
      <c r="J1196" s="1" t="str">
        <f aca="false">"INSERT INTO COTACAO (blt_id, pap_id, cot_prc_comum, cot_prc_min, cot_prc_max, cot_prc_med, cot_prc_mediana) VALUES ("&amp;B1196&amp;", "&amp;C1196&amp;", "&amp;D1196&amp;", "&amp;E1196&amp;", "&amp;F1196&amp;", "&amp;G1196&amp;", "&amp;H1196&amp;");"</f>
        <v>INSERT INTO COTACAO (blt_id, pap_id, cot_prc_comum, cot_prc_min, cot_prc_max, cot_prc_med, cot_prc_mediana) VALUES (32, 3, 36, 25, 42, 35, 36);</v>
      </c>
    </row>
    <row r="1197" customFormat="false" ht="14.25" hidden="false" customHeight="false" outlineLevel="0" collapsed="false">
      <c r="A1197" s="1" t="n">
        <v>1196</v>
      </c>
      <c r="B1197" s="1" t="n">
        <v>32</v>
      </c>
      <c r="C1197" s="1" t="n">
        <v>4</v>
      </c>
      <c r="D1197" s="16" t="n">
        <f aca="false">IF('Boletins Nuppa Site'!G1197&lt;&gt;0,'Boletins Nuppa Site'!G1197,"NULL")</f>
        <v>24</v>
      </c>
      <c r="E1197" s="16" t="n">
        <f aca="false">IF('Boletins Nuppa Site'!H1197&lt;&gt;0,'Boletins Nuppa Site'!H1197,"NULL")</f>
        <v>18</v>
      </c>
      <c r="F1197" s="16" t="n">
        <f aca="false">IF('Boletins Nuppa Site'!I1197&lt;&gt;0,'Boletins Nuppa Site'!I1197,"NULL")</f>
        <v>24</v>
      </c>
      <c r="G1197" s="1" t="str">
        <f aca="false">IF('Boletins Nuppa Site'!J1197&lt;&gt;0,'Boletins Nuppa Site'!J1197,"NULL")</f>
        <v>21.6</v>
      </c>
      <c r="H1197" s="16" t="n">
        <f aca="false">IF('Boletins Nuppa Site'!K1197&lt;&gt;0,'Boletins Nuppa Site'!K1197,"NULL")</f>
        <v>24</v>
      </c>
      <c r="J1197" s="1" t="str">
        <f aca="false">"INSERT INTO COTACAO (blt_id, pap_id, cot_prc_comum, cot_prc_min, cot_prc_max, cot_prc_med, cot_prc_mediana) VALUES ("&amp;B1197&amp;", "&amp;C1197&amp;", "&amp;D1197&amp;", "&amp;E1197&amp;", "&amp;F1197&amp;", "&amp;G1197&amp;", "&amp;H1197&amp;");"</f>
        <v>INSERT INTO COTACAO (blt_id, pap_id, cot_prc_comum, cot_prc_min, cot_prc_max, cot_prc_med, cot_prc_mediana) VALUES (32, 4, 24, 18, 24, 21.6, 24);</v>
      </c>
    </row>
    <row r="1198" customFormat="false" ht="14.25" hidden="false" customHeight="false" outlineLevel="0" collapsed="false">
      <c r="A1198" s="1" t="n">
        <v>1197</v>
      </c>
      <c r="B1198" s="1" t="n">
        <v>32</v>
      </c>
      <c r="C1198" s="1" t="n">
        <v>5</v>
      </c>
      <c r="D1198" s="16" t="n">
        <f aca="false">IF('Boletins Nuppa Site'!G1198&lt;&gt;0,'Boletins Nuppa Site'!G1198,"NULL")</f>
        <v>24</v>
      </c>
      <c r="E1198" s="16" t="n">
        <f aca="false">IF('Boletins Nuppa Site'!H1198&lt;&gt;0,'Boletins Nuppa Site'!H1198,"NULL")</f>
        <v>18</v>
      </c>
      <c r="F1198" s="16" t="n">
        <f aca="false">IF('Boletins Nuppa Site'!I1198&lt;&gt;0,'Boletins Nuppa Site'!I1198,"NULL")</f>
        <v>24</v>
      </c>
      <c r="G1198" s="16" t="n">
        <f aca="false">IF('Boletins Nuppa Site'!J1198&lt;&gt;0,'Boletins Nuppa Site'!J1198,"NULL")</f>
        <v>21</v>
      </c>
      <c r="H1198" s="16" t="n">
        <f aca="false">IF('Boletins Nuppa Site'!K1198&lt;&gt;0,'Boletins Nuppa Site'!K1198,"NULL")</f>
        <v>21</v>
      </c>
      <c r="J1198" s="1" t="str">
        <f aca="false">"INSERT INTO COTACAO (blt_id, pap_id, cot_prc_comum, cot_prc_min, cot_prc_max, cot_prc_med, cot_prc_mediana) VALUES ("&amp;B1198&amp;", "&amp;C1198&amp;", "&amp;D1198&amp;", "&amp;E1198&amp;", "&amp;F1198&amp;", "&amp;G1198&amp;", "&amp;H1198&amp;");"</f>
        <v>INSERT INTO COTACAO (blt_id, pap_id, cot_prc_comum, cot_prc_min, cot_prc_max, cot_prc_med, cot_prc_mediana) VALUES (32, 5, 24, 18, 24, 21, 21);</v>
      </c>
    </row>
    <row r="1199" customFormat="false" ht="14.25" hidden="false" customHeight="false" outlineLevel="0" collapsed="false">
      <c r="A1199" s="1" t="n">
        <v>1198</v>
      </c>
      <c r="B1199" s="1" t="n">
        <v>32</v>
      </c>
      <c r="C1199" s="1" t="n">
        <v>6</v>
      </c>
      <c r="D1199" s="16" t="n">
        <f aca="false">IF('Boletins Nuppa Site'!G1199&lt;&gt;0,'Boletins Nuppa Site'!G1199,"NULL")</f>
        <v>60</v>
      </c>
      <c r="E1199" s="16" t="n">
        <f aca="false">IF('Boletins Nuppa Site'!H1199&lt;&gt;0,'Boletins Nuppa Site'!H1199,"NULL")</f>
        <v>48</v>
      </c>
      <c r="F1199" s="16" t="n">
        <f aca="false">IF('Boletins Nuppa Site'!I1199&lt;&gt;0,'Boletins Nuppa Site'!I1199,"NULL")</f>
        <v>60</v>
      </c>
      <c r="G1199" s="16" t="n">
        <f aca="false">IF('Boletins Nuppa Site'!J1199&lt;&gt;0,'Boletins Nuppa Site'!J1199,"NULL")</f>
        <v>54</v>
      </c>
      <c r="H1199" s="16" t="n">
        <f aca="false">IF('Boletins Nuppa Site'!K1199&lt;&gt;0,'Boletins Nuppa Site'!K1199,"NULL")</f>
        <v>54</v>
      </c>
      <c r="J1199" s="1" t="str">
        <f aca="false">"INSERT INTO COTACAO (blt_id, pap_id, cot_prc_comum, cot_prc_min, cot_prc_max, cot_prc_med, cot_prc_mediana) VALUES ("&amp;B1199&amp;", "&amp;C1199&amp;", "&amp;D1199&amp;", "&amp;E1199&amp;", "&amp;F1199&amp;", "&amp;G1199&amp;", "&amp;H1199&amp;");"</f>
        <v>INSERT INTO COTACAO (blt_id, pap_id, cot_prc_comum, cot_prc_min, cot_prc_max, cot_prc_med, cot_prc_mediana) VALUES (32, 6, 60, 48, 60, 54, 54);</v>
      </c>
    </row>
    <row r="1200" customFormat="false" ht="14.25" hidden="false" customHeight="false" outlineLevel="0" collapsed="false">
      <c r="A1200" s="1" t="n">
        <v>1199</v>
      </c>
      <c r="B1200" s="1" t="n">
        <v>32</v>
      </c>
      <c r="C1200" s="1" t="n">
        <v>7</v>
      </c>
      <c r="D1200" s="16" t="n">
        <f aca="false">IF('Boletins Nuppa Site'!G1200&lt;&gt;0,'Boletins Nuppa Site'!G1200,"NULL")</f>
        <v>60</v>
      </c>
      <c r="E1200" s="16" t="n">
        <f aca="false">IF('Boletins Nuppa Site'!H1200&lt;&gt;0,'Boletins Nuppa Site'!H1200,"NULL")</f>
        <v>48</v>
      </c>
      <c r="F1200" s="16" t="n">
        <f aca="false">IF('Boletins Nuppa Site'!I1200&lt;&gt;0,'Boletins Nuppa Site'!I1200,"NULL")</f>
        <v>72</v>
      </c>
      <c r="G1200" s="16" t="n">
        <f aca="false">IF('Boletins Nuppa Site'!J1200&lt;&gt;0,'Boletins Nuppa Site'!J1200,"NULL")</f>
        <v>60</v>
      </c>
      <c r="H1200" s="16" t="n">
        <f aca="false">IF('Boletins Nuppa Site'!K1200&lt;&gt;0,'Boletins Nuppa Site'!K1200,"NULL")</f>
        <v>60</v>
      </c>
      <c r="J1200" s="1" t="str">
        <f aca="false">"INSERT INTO COTACAO (blt_id, pap_id, cot_prc_comum, cot_prc_min, cot_prc_max, cot_prc_med, cot_prc_mediana) VALUES ("&amp;B1200&amp;", "&amp;C1200&amp;", "&amp;D1200&amp;", "&amp;E1200&amp;", "&amp;F1200&amp;", "&amp;G1200&amp;", "&amp;H1200&amp;");"</f>
        <v>INSERT INTO COTACAO (blt_id, pap_id, cot_prc_comum, cot_prc_min, cot_prc_max, cot_prc_med, cot_prc_mediana) VALUES (32, 7, 60, 48, 72, 60, 60);</v>
      </c>
    </row>
    <row r="1201" customFormat="false" ht="14.25" hidden="false" customHeight="false" outlineLevel="0" collapsed="false">
      <c r="A1201" s="1" t="n">
        <v>1200</v>
      </c>
      <c r="B1201" s="1" t="n">
        <v>32</v>
      </c>
      <c r="C1201" s="1" t="n">
        <v>8</v>
      </c>
      <c r="D1201" s="16" t="n">
        <f aca="false">IF('Boletins Nuppa Site'!G1201&lt;&gt;0,'Boletins Nuppa Site'!G1201,"NULL")</f>
        <v>72</v>
      </c>
      <c r="E1201" s="16" t="n">
        <f aca="false">IF('Boletins Nuppa Site'!H1201&lt;&gt;0,'Boletins Nuppa Site'!H1201,"NULL")</f>
        <v>60</v>
      </c>
      <c r="F1201" s="16" t="n">
        <f aca="false">IF('Boletins Nuppa Site'!I1201&lt;&gt;0,'Boletins Nuppa Site'!I1201,"NULL")</f>
        <v>72</v>
      </c>
      <c r="G1201" s="1" t="str">
        <f aca="false">IF('Boletins Nuppa Site'!J1201&lt;&gt;0,'Boletins Nuppa Site'!J1201,"NULL")</f>
        <v>69.6</v>
      </c>
      <c r="H1201" s="16" t="n">
        <f aca="false">IF('Boletins Nuppa Site'!K1201&lt;&gt;0,'Boletins Nuppa Site'!K1201,"NULL")</f>
        <v>72</v>
      </c>
      <c r="J1201" s="1" t="str">
        <f aca="false">"INSERT INTO COTACAO (blt_id, pap_id, cot_prc_comum, cot_prc_min, cot_prc_max, cot_prc_med, cot_prc_mediana) VALUES ("&amp;B1201&amp;", "&amp;C1201&amp;", "&amp;D1201&amp;", "&amp;E1201&amp;", "&amp;F1201&amp;", "&amp;G1201&amp;", "&amp;H1201&amp;");"</f>
        <v>INSERT INTO COTACAO (blt_id, pap_id, cot_prc_comum, cot_prc_min, cot_prc_max, cot_prc_med, cot_prc_mediana) VALUES (32, 8, 72, 60, 72, 69.6, 72);</v>
      </c>
    </row>
    <row r="1202" customFormat="false" ht="14.25" hidden="false" customHeight="false" outlineLevel="0" collapsed="false">
      <c r="A1202" s="1" t="n">
        <v>1201</v>
      </c>
      <c r="B1202" s="1" t="n">
        <v>32</v>
      </c>
      <c r="C1202" s="1" t="n">
        <v>9</v>
      </c>
      <c r="D1202" s="16" t="n">
        <f aca="false">IF('Boletins Nuppa Site'!G1202&lt;&gt;0,'Boletins Nuppa Site'!G1202,"NULL")</f>
        <v>18</v>
      </c>
      <c r="E1202" s="16" t="n">
        <f aca="false">IF('Boletins Nuppa Site'!H1202&lt;&gt;0,'Boletins Nuppa Site'!H1202,"NULL")</f>
        <v>18</v>
      </c>
      <c r="F1202" s="16" t="n">
        <f aca="false">IF('Boletins Nuppa Site'!I1202&lt;&gt;0,'Boletins Nuppa Site'!I1202,"NULL")</f>
        <v>24</v>
      </c>
      <c r="G1202" s="1" t="str">
        <f aca="false">IF('Boletins Nuppa Site'!J1202&lt;&gt;0,'Boletins Nuppa Site'!J1202,"NULL")</f>
        <v>20.4</v>
      </c>
      <c r="H1202" s="16" t="n">
        <f aca="false">IF('Boletins Nuppa Site'!K1202&lt;&gt;0,'Boletins Nuppa Site'!K1202,"NULL")</f>
        <v>18</v>
      </c>
      <c r="J1202" s="1" t="str">
        <f aca="false">"INSERT INTO COTACAO (blt_id, pap_id, cot_prc_comum, cot_prc_min, cot_prc_max, cot_prc_med, cot_prc_mediana) VALUES ("&amp;B1202&amp;", "&amp;C1202&amp;", "&amp;D1202&amp;", "&amp;E1202&amp;", "&amp;F1202&amp;", "&amp;G1202&amp;", "&amp;H1202&amp;");"</f>
        <v>INSERT INTO COTACAO (blt_id, pap_id, cot_prc_comum, cot_prc_min, cot_prc_max, cot_prc_med, cot_prc_mediana) VALUES (32, 9, 18, 18, 24, 20.4, 18);</v>
      </c>
    </row>
    <row r="1203" customFormat="false" ht="14.25" hidden="false" customHeight="false" outlineLevel="0" collapsed="false">
      <c r="A1203" s="1" t="n">
        <v>1202</v>
      </c>
      <c r="B1203" s="1" t="n">
        <v>32</v>
      </c>
      <c r="C1203" s="1" t="n">
        <v>10</v>
      </c>
      <c r="D1203" s="16" t="n">
        <f aca="false">IF('Boletins Nuppa Site'!G1203&lt;&gt;0,'Boletins Nuppa Site'!G1203,"NULL")</f>
        <v>60</v>
      </c>
      <c r="E1203" s="16" t="n">
        <f aca="false">IF('Boletins Nuppa Site'!H1203&lt;&gt;0,'Boletins Nuppa Site'!H1203,"NULL")</f>
        <v>60</v>
      </c>
      <c r="F1203" s="16" t="n">
        <f aca="false">IF('Boletins Nuppa Site'!I1203&lt;&gt;0,'Boletins Nuppa Site'!I1203,"NULL")</f>
        <v>78</v>
      </c>
      <c r="G1203" s="1" t="str">
        <f aca="false">IF('Boletins Nuppa Site'!J1203&lt;&gt;0,'Boletins Nuppa Site'!J1203,"NULL")</f>
        <v>64.5</v>
      </c>
      <c r="H1203" s="16" t="n">
        <f aca="false">IF('Boletins Nuppa Site'!K1203&lt;&gt;0,'Boletins Nuppa Site'!K1203,"NULL")</f>
        <v>60</v>
      </c>
      <c r="J1203" s="1" t="str">
        <f aca="false">"INSERT INTO COTACAO (blt_id, pap_id, cot_prc_comum, cot_prc_min, cot_prc_max, cot_prc_med, cot_prc_mediana) VALUES ("&amp;B1203&amp;", "&amp;C1203&amp;", "&amp;D1203&amp;", "&amp;E1203&amp;", "&amp;F1203&amp;", "&amp;G1203&amp;", "&amp;H1203&amp;");"</f>
        <v>INSERT INTO COTACAO (blt_id, pap_id, cot_prc_comum, cot_prc_min, cot_prc_max, cot_prc_med, cot_prc_mediana) VALUES (32, 10, 60, 60, 78, 64.5, 60);</v>
      </c>
    </row>
    <row r="1204" customFormat="false" ht="14.25" hidden="false" customHeight="false" outlineLevel="0" collapsed="false">
      <c r="A1204" s="1" t="n">
        <v>1203</v>
      </c>
      <c r="B1204" s="1" t="n">
        <v>32</v>
      </c>
      <c r="C1204" s="1" t="n">
        <v>11</v>
      </c>
      <c r="D1204" s="16" t="n">
        <f aca="false">IF('Boletins Nuppa Site'!G1204&lt;&gt;0,'Boletins Nuppa Site'!G1204,"NULL")</f>
        <v>24</v>
      </c>
      <c r="E1204" s="16" t="n">
        <f aca="false">IF('Boletins Nuppa Site'!H1204&lt;&gt;0,'Boletins Nuppa Site'!H1204,"NULL")</f>
        <v>18</v>
      </c>
      <c r="F1204" s="16" t="n">
        <f aca="false">IF('Boletins Nuppa Site'!I1204&lt;&gt;0,'Boletins Nuppa Site'!I1204,"NULL")</f>
        <v>24</v>
      </c>
      <c r="G1204" s="1" t="str">
        <f aca="false">IF('Boletins Nuppa Site'!J1204&lt;&gt;0,'Boletins Nuppa Site'!J1204,"NULL")</f>
        <v>22.8</v>
      </c>
      <c r="H1204" s="16" t="n">
        <f aca="false">IF('Boletins Nuppa Site'!K1204&lt;&gt;0,'Boletins Nuppa Site'!K1204,"NULL")</f>
        <v>24</v>
      </c>
      <c r="J1204" s="1" t="str">
        <f aca="false">"INSERT INTO COTACAO (blt_id, pap_id, cot_prc_comum, cot_prc_min, cot_prc_max, cot_prc_med, cot_prc_mediana) VALUES ("&amp;B1204&amp;", "&amp;C1204&amp;", "&amp;D1204&amp;", "&amp;E1204&amp;", "&amp;F1204&amp;", "&amp;G1204&amp;", "&amp;H1204&amp;");"</f>
        <v>INSERT INTO COTACAO (blt_id, pap_id, cot_prc_comum, cot_prc_min, cot_prc_max, cot_prc_med, cot_prc_mediana) VALUES (32, 11, 24, 18, 24, 22.8, 24);</v>
      </c>
    </row>
    <row r="1205" customFormat="false" ht="14.25" hidden="false" customHeight="false" outlineLevel="0" collapsed="false">
      <c r="A1205" s="1" t="n">
        <v>1204</v>
      </c>
      <c r="B1205" s="1" t="n">
        <v>32</v>
      </c>
      <c r="C1205" s="1" t="n">
        <v>12</v>
      </c>
      <c r="D1205" s="16" t="n">
        <f aca="false">IF('Boletins Nuppa Site'!G1205&lt;&gt;0,'Boletins Nuppa Site'!G1205,"NULL")</f>
        <v>60</v>
      </c>
      <c r="E1205" s="16" t="n">
        <f aca="false">IF('Boletins Nuppa Site'!H1205&lt;&gt;0,'Boletins Nuppa Site'!H1205,"NULL")</f>
        <v>48</v>
      </c>
      <c r="F1205" s="16" t="n">
        <f aca="false">IF('Boletins Nuppa Site'!I1205&lt;&gt;0,'Boletins Nuppa Site'!I1205,"NULL")</f>
        <v>60</v>
      </c>
      <c r="G1205" s="16" t="n">
        <f aca="false">IF('Boletins Nuppa Site'!J1205&lt;&gt;0,'Boletins Nuppa Site'!J1205,"NULL")</f>
        <v>54</v>
      </c>
      <c r="H1205" s="16" t="n">
        <f aca="false">IF('Boletins Nuppa Site'!K1205&lt;&gt;0,'Boletins Nuppa Site'!K1205,"NULL")</f>
        <v>54</v>
      </c>
      <c r="J1205" s="1" t="str">
        <f aca="false">"INSERT INTO COTACAO (blt_id, pap_id, cot_prc_comum, cot_prc_min, cot_prc_max, cot_prc_med, cot_prc_mediana) VALUES ("&amp;B1205&amp;", "&amp;C1205&amp;", "&amp;D1205&amp;", "&amp;E1205&amp;", "&amp;F1205&amp;", "&amp;G1205&amp;", "&amp;H1205&amp;");"</f>
        <v>INSERT INTO COTACAO (blt_id, pap_id, cot_prc_comum, cot_prc_min, cot_prc_max, cot_prc_med, cot_prc_mediana) VALUES (32, 12, 60, 48, 60, 54, 54);</v>
      </c>
    </row>
    <row r="1206" customFormat="false" ht="14.25" hidden="false" customHeight="false" outlineLevel="0" collapsed="false">
      <c r="A1206" s="1" t="n">
        <v>1205</v>
      </c>
      <c r="B1206" s="1" t="n">
        <v>32</v>
      </c>
      <c r="C1206" s="1" t="n">
        <v>13</v>
      </c>
      <c r="D1206" s="16" t="n">
        <f aca="false">IF('Boletins Nuppa Site'!G1206&lt;&gt;0,'Boletins Nuppa Site'!G1206,"NULL")</f>
        <v>48</v>
      </c>
      <c r="E1206" s="16" t="n">
        <f aca="false">IF('Boletins Nuppa Site'!H1206&lt;&gt;0,'Boletins Nuppa Site'!H1206,"NULL")</f>
        <v>42</v>
      </c>
      <c r="F1206" s="16" t="n">
        <f aca="false">IF('Boletins Nuppa Site'!I1206&lt;&gt;0,'Boletins Nuppa Site'!I1206,"NULL")</f>
        <v>60</v>
      </c>
      <c r="G1206" s="1" t="str">
        <f aca="false">IF('Boletins Nuppa Site'!J1206&lt;&gt;0,'Boletins Nuppa Site'!J1206,"NULL")</f>
        <v>49.2</v>
      </c>
      <c r="H1206" s="16" t="n">
        <f aca="false">IF('Boletins Nuppa Site'!K1206&lt;&gt;0,'Boletins Nuppa Site'!K1206,"NULL")</f>
        <v>48</v>
      </c>
      <c r="J1206" s="1" t="str">
        <f aca="false">"INSERT INTO COTACAO (blt_id, pap_id, cot_prc_comum, cot_prc_min, cot_prc_max, cot_prc_med, cot_prc_mediana) VALUES ("&amp;B1206&amp;", "&amp;C1206&amp;", "&amp;D1206&amp;", "&amp;E1206&amp;", "&amp;F1206&amp;", "&amp;G1206&amp;", "&amp;H1206&amp;");"</f>
        <v>INSERT INTO COTACAO (blt_id, pap_id, cot_prc_comum, cot_prc_min, cot_prc_max, cot_prc_med, cot_prc_mediana) VALUES (32, 13, 48, 42, 60, 49.2, 48);</v>
      </c>
    </row>
    <row r="1207" customFormat="false" ht="14.25" hidden="false" customHeight="false" outlineLevel="0" collapsed="false">
      <c r="A1207" s="1" t="n">
        <v>1206</v>
      </c>
      <c r="B1207" s="1" t="n">
        <v>32</v>
      </c>
      <c r="C1207" s="1" t="n">
        <v>14</v>
      </c>
      <c r="D1207" s="16" t="n">
        <f aca="false">IF('Boletins Nuppa Site'!G1207&lt;&gt;0,'Boletins Nuppa Site'!G1207,"NULL")</f>
        <v>48</v>
      </c>
      <c r="E1207" s="16" t="n">
        <f aca="false">IF('Boletins Nuppa Site'!H1207&lt;&gt;0,'Boletins Nuppa Site'!H1207,"NULL")</f>
        <v>48</v>
      </c>
      <c r="F1207" s="16" t="n">
        <f aca="false">IF('Boletins Nuppa Site'!I1207&lt;&gt;0,'Boletins Nuppa Site'!I1207,"NULL")</f>
        <v>84</v>
      </c>
      <c r="G1207" s="16" t="n">
        <f aca="false">IF('Boletins Nuppa Site'!J1207&lt;&gt;0,'Boletins Nuppa Site'!J1207,"NULL")</f>
        <v>60</v>
      </c>
      <c r="H1207" s="16" t="n">
        <f aca="false">IF('Boletins Nuppa Site'!K1207&lt;&gt;0,'Boletins Nuppa Site'!K1207,"NULL")</f>
        <v>54</v>
      </c>
      <c r="J1207" s="1" t="str">
        <f aca="false">"INSERT INTO COTACAO (blt_id, pap_id, cot_prc_comum, cot_prc_min, cot_prc_max, cot_prc_med, cot_prc_mediana) VALUES ("&amp;B1207&amp;", "&amp;C1207&amp;", "&amp;D1207&amp;", "&amp;E1207&amp;", "&amp;F1207&amp;", "&amp;G1207&amp;", "&amp;H1207&amp;");"</f>
        <v>INSERT INTO COTACAO (blt_id, pap_id, cot_prc_comum, cot_prc_min, cot_prc_max, cot_prc_med, cot_prc_mediana) VALUES (32, 14, 48, 48, 84, 60, 54);</v>
      </c>
    </row>
    <row r="1208" customFormat="false" ht="14.25" hidden="false" customHeight="false" outlineLevel="0" collapsed="false">
      <c r="A1208" s="1" t="n">
        <v>1207</v>
      </c>
      <c r="B1208" s="1" t="n">
        <v>32</v>
      </c>
      <c r="C1208" s="1" t="n">
        <v>15</v>
      </c>
      <c r="D1208" s="16" t="n">
        <f aca="false">IF('Boletins Nuppa Site'!G1208&lt;&gt;0,'Boletins Nuppa Site'!G1208,"NULL")</f>
        <v>36</v>
      </c>
      <c r="E1208" s="16" t="n">
        <f aca="false">IF('Boletins Nuppa Site'!H1208&lt;&gt;0,'Boletins Nuppa Site'!H1208,"NULL")</f>
        <v>20</v>
      </c>
      <c r="F1208" s="16" t="n">
        <f aca="false">IF('Boletins Nuppa Site'!I1208&lt;&gt;0,'Boletins Nuppa Site'!I1208,"NULL")</f>
        <v>40</v>
      </c>
      <c r="G1208" s="1" t="str">
        <f aca="false">IF('Boletins Nuppa Site'!J1208&lt;&gt;0,'Boletins Nuppa Site'!J1208,"NULL")</f>
        <v>33.6</v>
      </c>
      <c r="H1208" s="16" t="n">
        <f aca="false">IF('Boletins Nuppa Site'!K1208&lt;&gt;0,'Boletins Nuppa Site'!K1208,"NULL")</f>
        <v>36</v>
      </c>
      <c r="J1208" s="1" t="str">
        <f aca="false">"INSERT INTO COTACAO (blt_id, pap_id, cot_prc_comum, cot_prc_min, cot_prc_max, cot_prc_med, cot_prc_mediana) VALUES ("&amp;B1208&amp;", "&amp;C1208&amp;", "&amp;D1208&amp;", "&amp;E1208&amp;", "&amp;F1208&amp;", "&amp;G1208&amp;", "&amp;H1208&amp;");"</f>
        <v>INSERT INTO COTACAO (blt_id, pap_id, cot_prc_comum, cot_prc_min, cot_prc_max, cot_prc_med, cot_prc_mediana) VALUES (32, 15, 36, 20, 40, 33.6, 36);</v>
      </c>
    </row>
    <row r="1209" customFormat="false" ht="14.25" hidden="false" customHeight="false" outlineLevel="0" collapsed="false">
      <c r="A1209" s="1" t="n">
        <v>1208</v>
      </c>
      <c r="B1209" s="1" t="n">
        <v>32</v>
      </c>
      <c r="C1209" s="1" t="n">
        <v>16</v>
      </c>
      <c r="D1209" s="16" t="n">
        <f aca="false">IF('Boletins Nuppa Site'!G1209&lt;&gt;0,'Boletins Nuppa Site'!G1209,"NULL")</f>
        <v>48</v>
      </c>
      <c r="E1209" s="16" t="n">
        <f aca="false">IF('Boletins Nuppa Site'!H1209&lt;&gt;0,'Boletins Nuppa Site'!H1209,"NULL")</f>
        <v>48</v>
      </c>
      <c r="F1209" s="16" t="n">
        <f aca="false">IF('Boletins Nuppa Site'!I1209&lt;&gt;0,'Boletins Nuppa Site'!I1209,"NULL")</f>
        <v>54</v>
      </c>
      <c r="G1209" s="1" t="str">
        <f aca="false">IF('Boletins Nuppa Site'!J1209&lt;&gt;0,'Boletins Nuppa Site'!J1209,"NULL")</f>
        <v>49.2</v>
      </c>
      <c r="H1209" s="16" t="n">
        <f aca="false">IF('Boletins Nuppa Site'!K1209&lt;&gt;0,'Boletins Nuppa Site'!K1209,"NULL")</f>
        <v>48</v>
      </c>
      <c r="J1209" s="1" t="str">
        <f aca="false">"INSERT INTO COTACAO (blt_id, pap_id, cot_prc_comum, cot_prc_min, cot_prc_max, cot_prc_med, cot_prc_mediana) VALUES ("&amp;B1209&amp;", "&amp;C1209&amp;", "&amp;D1209&amp;", "&amp;E1209&amp;", "&amp;F1209&amp;", "&amp;G1209&amp;", "&amp;H1209&amp;");"</f>
        <v>INSERT INTO COTACAO (blt_id, pap_id, cot_prc_comum, cot_prc_min, cot_prc_max, cot_prc_med, cot_prc_mediana) VALUES (32, 16, 48, 48, 54, 49.2, 48);</v>
      </c>
    </row>
    <row r="1210" customFormat="false" ht="14.25" hidden="false" customHeight="false" outlineLevel="0" collapsed="false">
      <c r="A1210" s="1" t="n">
        <v>1209</v>
      </c>
      <c r="B1210" s="1" t="n">
        <v>32</v>
      </c>
      <c r="C1210" s="1" t="n">
        <v>17</v>
      </c>
      <c r="D1210" s="16" t="n">
        <f aca="false">IF('Boletins Nuppa Site'!G1210&lt;&gt;0,'Boletins Nuppa Site'!G1210,"NULL")</f>
        <v>5</v>
      </c>
      <c r="E1210" s="16" t="n">
        <f aca="false">IF('Boletins Nuppa Site'!H1210&lt;&gt;0,'Boletins Nuppa Site'!H1210,"NULL")</f>
        <v>5</v>
      </c>
      <c r="F1210" s="16" t="n">
        <f aca="false">IF('Boletins Nuppa Site'!I1210&lt;&gt;0,'Boletins Nuppa Site'!I1210,"NULL")</f>
        <v>5</v>
      </c>
      <c r="G1210" s="16" t="n">
        <f aca="false">IF('Boletins Nuppa Site'!J1210&lt;&gt;0,'Boletins Nuppa Site'!J1210,"NULL")</f>
        <v>5</v>
      </c>
      <c r="H1210" s="16" t="n">
        <f aca="false">IF('Boletins Nuppa Site'!K1210&lt;&gt;0,'Boletins Nuppa Site'!K1210,"NULL")</f>
        <v>5</v>
      </c>
      <c r="J1210" s="1" t="str">
        <f aca="false">"INSERT INTO COTACAO (blt_id, pap_id, cot_prc_comum, cot_prc_min, cot_prc_max, cot_prc_med, cot_prc_mediana) VALUES ("&amp;B1210&amp;", "&amp;C1210&amp;", "&amp;D1210&amp;", "&amp;E1210&amp;", "&amp;F1210&amp;", "&amp;G1210&amp;", "&amp;H1210&amp;");"</f>
        <v>INSERT INTO COTACAO (blt_id, pap_id, cot_prc_comum, cot_prc_min, cot_prc_max, cot_prc_med, cot_prc_mediana) VALUES (32, 17, 5, 5, 5, 5, 5);</v>
      </c>
    </row>
    <row r="1211" customFormat="false" ht="14.25" hidden="false" customHeight="false" outlineLevel="0" collapsed="false">
      <c r="A1211" s="1" t="n">
        <v>1210</v>
      </c>
      <c r="B1211" s="1" t="n">
        <v>32</v>
      </c>
      <c r="C1211" s="1" t="n">
        <v>18</v>
      </c>
      <c r="D1211" s="16" t="n">
        <f aca="false">IF('Boletins Nuppa Site'!G1211&lt;&gt;0,'Boletins Nuppa Site'!G1211,"NULL")</f>
        <v>10</v>
      </c>
      <c r="E1211" s="16" t="n">
        <f aca="false">IF('Boletins Nuppa Site'!H1211&lt;&gt;0,'Boletins Nuppa Site'!H1211,"NULL")</f>
        <v>10</v>
      </c>
      <c r="F1211" s="16" t="n">
        <f aca="false">IF('Boletins Nuppa Site'!I1211&lt;&gt;0,'Boletins Nuppa Site'!I1211,"NULL")</f>
        <v>10</v>
      </c>
      <c r="G1211" s="16" t="n">
        <f aca="false">IF('Boletins Nuppa Site'!J1211&lt;&gt;0,'Boletins Nuppa Site'!J1211,"NULL")</f>
        <v>10</v>
      </c>
      <c r="H1211" s="16" t="n">
        <f aca="false">IF('Boletins Nuppa Site'!K1211&lt;&gt;0,'Boletins Nuppa Site'!K1211,"NULL")</f>
        <v>10</v>
      </c>
      <c r="J1211" s="1" t="str">
        <f aca="false">"INSERT INTO COTACAO (blt_id, pap_id, cot_prc_comum, cot_prc_min, cot_prc_max, cot_prc_med, cot_prc_mediana) VALUES ("&amp;B1211&amp;", "&amp;C1211&amp;", "&amp;D1211&amp;", "&amp;E1211&amp;", "&amp;F1211&amp;", "&amp;G1211&amp;", "&amp;H1211&amp;");"</f>
        <v>INSERT INTO COTACAO (blt_id, pap_id, cot_prc_comum, cot_prc_min, cot_prc_max, cot_prc_med, cot_prc_mediana) VALUES (32, 18, 10, 10, 10, 10, 10);</v>
      </c>
    </row>
    <row r="1212" customFormat="false" ht="14.25" hidden="false" customHeight="false" outlineLevel="0" collapsed="false">
      <c r="A1212" s="1" t="n">
        <v>1211</v>
      </c>
      <c r="B1212" s="1" t="n">
        <v>32</v>
      </c>
      <c r="C1212" s="1" t="n">
        <v>19</v>
      </c>
      <c r="D1212" s="16" t="n">
        <f aca="false">IF('Boletins Nuppa Site'!G1212&lt;&gt;0,'Boletins Nuppa Site'!G1212,"NULL")</f>
        <v>15</v>
      </c>
      <c r="E1212" s="16" t="n">
        <f aca="false">IF('Boletins Nuppa Site'!H1212&lt;&gt;0,'Boletins Nuppa Site'!H1212,"NULL")</f>
        <v>15</v>
      </c>
      <c r="F1212" s="16" t="n">
        <f aca="false">IF('Boletins Nuppa Site'!I1212&lt;&gt;0,'Boletins Nuppa Site'!I1212,"NULL")</f>
        <v>30</v>
      </c>
      <c r="G1212" s="16" t="n">
        <f aca="false">IF('Boletins Nuppa Site'!J1212&lt;&gt;0,'Boletins Nuppa Site'!J1212,"NULL")</f>
        <v>21</v>
      </c>
      <c r="H1212" s="16" t="n">
        <f aca="false">IF('Boletins Nuppa Site'!K1212&lt;&gt;0,'Boletins Nuppa Site'!K1212,"NULL")</f>
        <v>20</v>
      </c>
      <c r="J1212" s="1" t="str">
        <f aca="false">"INSERT INTO COTACAO (blt_id, pap_id, cot_prc_comum, cot_prc_min, cot_prc_max, cot_prc_med, cot_prc_mediana) VALUES ("&amp;B1212&amp;", "&amp;C1212&amp;", "&amp;D1212&amp;", "&amp;E1212&amp;", "&amp;F1212&amp;", "&amp;G1212&amp;", "&amp;H1212&amp;");"</f>
        <v>INSERT INTO COTACAO (blt_id, pap_id, cot_prc_comum, cot_prc_min, cot_prc_max, cot_prc_med, cot_prc_mediana) VALUES (32, 19, 15, 15, 30, 21, 20);</v>
      </c>
    </row>
    <row r="1213" customFormat="false" ht="14.25" hidden="false" customHeight="false" outlineLevel="0" collapsed="false">
      <c r="A1213" s="1" t="n">
        <v>1212</v>
      </c>
      <c r="B1213" s="1" t="n">
        <v>32</v>
      </c>
      <c r="C1213" s="1" t="n">
        <v>20</v>
      </c>
      <c r="D1213" s="16" t="n">
        <f aca="false">IF('Boletins Nuppa Site'!G1213&lt;&gt;0,'Boletins Nuppa Site'!G1213,"NULL")</f>
        <v>75</v>
      </c>
      <c r="E1213" s="16" t="n">
        <f aca="false">IF('Boletins Nuppa Site'!H1213&lt;&gt;0,'Boletins Nuppa Site'!H1213,"NULL")</f>
        <v>75</v>
      </c>
      <c r="F1213" s="16" t="n">
        <f aca="false">IF('Boletins Nuppa Site'!I1213&lt;&gt;0,'Boletins Nuppa Site'!I1213,"NULL")</f>
        <v>75</v>
      </c>
      <c r="G1213" s="16" t="n">
        <f aca="false">IF('Boletins Nuppa Site'!J1213&lt;&gt;0,'Boletins Nuppa Site'!J1213,"NULL")</f>
        <v>75</v>
      </c>
      <c r="H1213" s="16" t="n">
        <f aca="false">IF('Boletins Nuppa Site'!K1213&lt;&gt;0,'Boletins Nuppa Site'!K1213,"NULL")</f>
        <v>75</v>
      </c>
      <c r="J1213" s="1" t="str">
        <f aca="false">"INSERT INTO COTACAO (blt_id, pap_id, cot_prc_comum, cot_prc_min, cot_prc_max, cot_prc_med, cot_prc_mediana) VALUES ("&amp;B1213&amp;", "&amp;C1213&amp;", "&amp;D1213&amp;", "&amp;E1213&amp;", "&amp;F1213&amp;", "&amp;G1213&amp;", "&amp;H1213&amp;");"</f>
        <v>INSERT INTO COTACAO (blt_id, pap_id, cot_prc_comum, cot_prc_min, cot_prc_max, cot_prc_med, cot_prc_mediana) VALUES (32, 20, 75, 75, 75, 75, 75);</v>
      </c>
    </row>
    <row r="1214" customFormat="false" ht="14.25" hidden="false" customHeight="false" outlineLevel="0" collapsed="false">
      <c r="A1214" s="1" t="n">
        <v>1213</v>
      </c>
      <c r="B1214" s="1" t="n">
        <v>32</v>
      </c>
      <c r="C1214" s="1" t="n">
        <v>21</v>
      </c>
      <c r="D1214" s="16" t="n">
        <f aca="false">IF('Boletins Nuppa Site'!G1214&lt;&gt;0,'Boletins Nuppa Site'!G1214,"NULL")</f>
        <v>45</v>
      </c>
      <c r="E1214" s="16" t="n">
        <f aca="false">IF('Boletins Nuppa Site'!H1214&lt;&gt;0,'Boletins Nuppa Site'!H1214,"NULL")</f>
        <v>30</v>
      </c>
      <c r="F1214" s="16" t="n">
        <f aca="false">IF('Boletins Nuppa Site'!I1214&lt;&gt;0,'Boletins Nuppa Site'!I1214,"NULL")</f>
        <v>50</v>
      </c>
      <c r="G1214" s="16" t="n">
        <f aca="false">IF('Boletins Nuppa Site'!J1214&lt;&gt;0,'Boletins Nuppa Site'!J1214,"NULL")</f>
        <v>42</v>
      </c>
      <c r="H1214" s="16" t="n">
        <f aca="false">IF('Boletins Nuppa Site'!K1214&lt;&gt;0,'Boletins Nuppa Site'!K1214,"NULL")</f>
        <v>45</v>
      </c>
      <c r="J1214" s="1" t="str">
        <f aca="false">"INSERT INTO COTACAO (blt_id, pap_id, cot_prc_comum, cot_prc_min, cot_prc_max, cot_prc_med, cot_prc_mediana) VALUES ("&amp;B1214&amp;", "&amp;C1214&amp;", "&amp;D1214&amp;", "&amp;E1214&amp;", "&amp;F1214&amp;", "&amp;G1214&amp;", "&amp;H1214&amp;");"</f>
        <v>INSERT INTO COTACAO (blt_id, pap_id, cot_prc_comum, cot_prc_min, cot_prc_max, cot_prc_med, cot_prc_mediana) VALUES (32, 21, 45, 30, 50, 42, 45);</v>
      </c>
    </row>
    <row r="1215" customFormat="false" ht="14.25" hidden="false" customHeight="false" outlineLevel="0" collapsed="false">
      <c r="A1215" s="1" t="n">
        <v>1214</v>
      </c>
      <c r="B1215" s="1" t="n">
        <v>32</v>
      </c>
      <c r="C1215" s="1" t="n">
        <v>22</v>
      </c>
      <c r="D1215" s="16" t="n">
        <f aca="false">IF('Boletins Nuppa Site'!G1215&lt;&gt;0,'Boletins Nuppa Site'!G1215,"NULL")</f>
        <v>70</v>
      </c>
      <c r="E1215" s="16" t="n">
        <f aca="false">IF('Boletins Nuppa Site'!H1215&lt;&gt;0,'Boletins Nuppa Site'!H1215,"NULL")</f>
        <v>45</v>
      </c>
      <c r="F1215" s="16" t="n">
        <f aca="false">IF('Boletins Nuppa Site'!I1215&lt;&gt;0,'Boletins Nuppa Site'!I1215,"NULL")</f>
        <v>70</v>
      </c>
      <c r="G1215" s="16" t="n">
        <f aca="false">IF('Boletins Nuppa Site'!J1215&lt;&gt;0,'Boletins Nuppa Site'!J1215,"NULL")</f>
        <v>60</v>
      </c>
      <c r="H1215" s="16" t="n">
        <f aca="false">IF('Boletins Nuppa Site'!K1215&lt;&gt;0,'Boletins Nuppa Site'!K1215,"NULL")</f>
        <v>65</v>
      </c>
      <c r="J1215" s="1" t="str">
        <f aca="false">"INSERT INTO COTACAO (blt_id, pap_id, cot_prc_comum, cot_prc_min, cot_prc_max, cot_prc_med, cot_prc_mediana) VALUES ("&amp;B1215&amp;", "&amp;C1215&amp;", "&amp;D1215&amp;", "&amp;E1215&amp;", "&amp;F1215&amp;", "&amp;G1215&amp;", "&amp;H1215&amp;");"</f>
        <v>INSERT INTO COTACAO (blt_id, pap_id, cot_prc_comum, cot_prc_min, cot_prc_max, cot_prc_med, cot_prc_mediana) VALUES (32, 22, 70, 45, 70, 60, 65);</v>
      </c>
    </row>
    <row r="1216" customFormat="false" ht="14.25" hidden="false" customHeight="false" outlineLevel="0" collapsed="false">
      <c r="A1216" s="1" t="n">
        <v>1215</v>
      </c>
      <c r="B1216" s="1" t="n">
        <v>32</v>
      </c>
      <c r="C1216" s="1" t="n">
        <v>23</v>
      </c>
      <c r="D1216" s="16" t="n">
        <f aca="false">IF('Boletins Nuppa Site'!G1216&lt;&gt;0,'Boletins Nuppa Site'!G1216,"NULL")</f>
        <v>50</v>
      </c>
      <c r="E1216" s="16" t="n">
        <f aca="false">IF('Boletins Nuppa Site'!H1216&lt;&gt;0,'Boletins Nuppa Site'!H1216,"NULL")</f>
        <v>40</v>
      </c>
      <c r="F1216" s="16" t="n">
        <f aca="false">IF('Boletins Nuppa Site'!I1216&lt;&gt;0,'Boletins Nuppa Site'!I1216,"NULL")</f>
        <v>50</v>
      </c>
      <c r="G1216" s="16" t="n">
        <f aca="false">IF('Boletins Nuppa Site'!J1216&lt;&gt;0,'Boletins Nuppa Site'!J1216,"NULL")</f>
        <v>46</v>
      </c>
      <c r="H1216" s="16" t="n">
        <f aca="false">IF('Boletins Nuppa Site'!K1216&lt;&gt;0,'Boletins Nuppa Site'!K1216,"NULL")</f>
        <v>50</v>
      </c>
      <c r="J1216" s="1" t="str">
        <f aca="false">"INSERT INTO COTACAO (blt_id, pap_id, cot_prc_comum, cot_prc_min, cot_prc_max, cot_prc_med, cot_prc_mediana) VALUES ("&amp;B1216&amp;", "&amp;C1216&amp;", "&amp;D1216&amp;", "&amp;E1216&amp;", "&amp;F1216&amp;", "&amp;G1216&amp;", "&amp;H1216&amp;");"</f>
        <v>INSERT INTO COTACAO (blt_id, pap_id, cot_prc_comum, cot_prc_min, cot_prc_max, cot_prc_med, cot_prc_mediana) VALUES (32, 23, 50, 40, 50, 46, 50);</v>
      </c>
    </row>
    <row r="1217" customFormat="false" ht="14.25" hidden="false" customHeight="false" outlineLevel="0" collapsed="false">
      <c r="A1217" s="1" t="n">
        <v>1216</v>
      </c>
      <c r="B1217" s="1" t="n">
        <v>32</v>
      </c>
      <c r="C1217" s="1" t="n">
        <v>24</v>
      </c>
      <c r="D1217" s="1" t="str">
        <f aca="false">IF('Boletins Nuppa Site'!G1217&lt;&gt;0,'Boletins Nuppa Site'!G1217,"NULL")</f>
        <v>NULL</v>
      </c>
      <c r="E1217" s="16" t="n">
        <f aca="false">IF('Boletins Nuppa Site'!H1217&lt;&gt;0,'Boletins Nuppa Site'!H1217,"NULL")</f>
        <v>90</v>
      </c>
      <c r="F1217" s="16" t="n">
        <f aca="false">IF('Boletins Nuppa Site'!I1217&lt;&gt;0,'Boletins Nuppa Site'!I1217,"NULL")</f>
        <v>100</v>
      </c>
      <c r="G1217" s="16" t="n">
        <f aca="false">IF('Boletins Nuppa Site'!J1217&lt;&gt;0,'Boletins Nuppa Site'!J1217,"NULL")</f>
        <v>95</v>
      </c>
      <c r="H1217" s="16" t="n">
        <f aca="false">IF('Boletins Nuppa Site'!K1217&lt;&gt;0,'Boletins Nuppa Site'!K1217,"NULL")</f>
        <v>95</v>
      </c>
      <c r="J1217" s="1" t="str">
        <f aca="false">"INSERT INTO COTACAO (blt_id, pap_id, cot_prc_comum, cot_prc_min, cot_prc_max, cot_prc_med, cot_prc_mediana) VALUES ("&amp;B1217&amp;", "&amp;C1217&amp;", "&amp;D1217&amp;", "&amp;E1217&amp;", "&amp;F1217&amp;", "&amp;G1217&amp;", "&amp;H1217&amp;");"</f>
        <v>INSERT INTO COTACAO (blt_id, pap_id, cot_prc_comum, cot_prc_min, cot_prc_max, cot_prc_med, cot_prc_mediana) VALUES (32, 24, NULL, 90, 100, 95, 95);</v>
      </c>
    </row>
    <row r="1218" customFormat="false" ht="14.25" hidden="false" customHeight="false" outlineLevel="0" collapsed="false">
      <c r="A1218" s="1" t="n">
        <v>1217</v>
      </c>
      <c r="B1218" s="1" t="n">
        <v>32</v>
      </c>
      <c r="C1218" s="1" t="n">
        <v>25</v>
      </c>
      <c r="D1218" s="16" t="n">
        <f aca="false">IF('Boletins Nuppa Site'!G1218&lt;&gt;0,'Boletins Nuppa Site'!G1218,"NULL")</f>
        <v>60</v>
      </c>
      <c r="E1218" s="16" t="n">
        <f aca="false">IF('Boletins Nuppa Site'!H1218&lt;&gt;0,'Boletins Nuppa Site'!H1218,"NULL")</f>
        <v>60</v>
      </c>
      <c r="F1218" s="16" t="n">
        <f aca="false">IF('Boletins Nuppa Site'!I1218&lt;&gt;0,'Boletins Nuppa Site'!I1218,"NULL")</f>
        <v>65</v>
      </c>
      <c r="G1218" s="16" t="n">
        <f aca="false">IF('Boletins Nuppa Site'!J1218&lt;&gt;0,'Boletins Nuppa Site'!J1218,"NULL")</f>
        <v>62</v>
      </c>
      <c r="H1218" s="16" t="n">
        <f aca="false">IF('Boletins Nuppa Site'!K1218&lt;&gt;0,'Boletins Nuppa Site'!K1218,"NULL")</f>
        <v>60</v>
      </c>
      <c r="J1218" s="1" t="str">
        <f aca="false">"INSERT INTO COTACAO (blt_id, pap_id, cot_prc_comum, cot_prc_min, cot_prc_max, cot_prc_med, cot_prc_mediana) VALUES ("&amp;B1218&amp;", "&amp;C1218&amp;", "&amp;D1218&amp;", "&amp;E1218&amp;", "&amp;F1218&amp;", "&amp;G1218&amp;", "&amp;H1218&amp;");"</f>
        <v>INSERT INTO COTACAO (blt_id, pap_id, cot_prc_comum, cot_prc_min, cot_prc_max, cot_prc_med, cot_prc_mediana) VALUES (32, 25, 60, 60, 65, 62, 60);</v>
      </c>
    </row>
    <row r="1219" customFormat="false" ht="14.25" hidden="false" customHeight="false" outlineLevel="0" collapsed="false">
      <c r="A1219" s="1" t="n">
        <v>1218</v>
      </c>
      <c r="B1219" s="1" t="n">
        <v>32</v>
      </c>
      <c r="C1219" s="1" t="n">
        <v>26</v>
      </c>
      <c r="D1219" s="16" t="n">
        <f aca="false">IF('Boletins Nuppa Site'!G1219&lt;&gt;0,'Boletins Nuppa Site'!G1219,"NULL")</f>
        <v>55</v>
      </c>
      <c r="E1219" s="16" t="n">
        <f aca="false">IF('Boletins Nuppa Site'!H1219&lt;&gt;0,'Boletins Nuppa Site'!H1219,"NULL")</f>
        <v>35</v>
      </c>
      <c r="F1219" s="16" t="n">
        <f aca="false">IF('Boletins Nuppa Site'!I1219&lt;&gt;0,'Boletins Nuppa Site'!I1219,"NULL")</f>
        <v>60</v>
      </c>
      <c r="G1219" s="16" t="n">
        <f aca="false">IF('Boletins Nuppa Site'!J1219&lt;&gt;0,'Boletins Nuppa Site'!J1219,"NULL")</f>
        <v>51</v>
      </c>
      <c r="H1219" s="16" t="n">
        <f aca="false">IF('Boletins Nuppa Site'!K1219&lt;&gt;0,'Boletins Nuppa Site'!K1219,"NULL")</f>
        <v>55</v>
      </c>
      <c r="J1219" s="1" t="str">
        <f aca="false">"INSERT INTO COTACAO (blt_id, pap_id, cot_prc_comum, cot_prc_min, cot_prc_max, cot_prc_med, cot_prc_mediana) VALUES ("&amp;B1219&amp;", "&amp;C1219&amp;", "&amp;D1219&amp;", "&amp;E1219&amp;", "&amp;F1219&amp;", "&amp;G1219&amp;", "&amp;H1219&amp;");"</f>
        <v>INSERT INTO COTACAO (blt_id, pap_id, cot_prc_comum, cot_prc_min, cot_prc_max, cot_prc_med, cot_prc_mediana) VALUES (32, 26, 55, 35, 60, 51, 55);</v>
      </c>
    </row>
    <row r="1220" customFormat="false" ht="14.25" hidden="false" customHeight="false" outlineLevel="0" collapsed="false">
      <c r="A1220" s="1" t="n">
        <v>1219</v>
      </c>
      <c r="B1220" s="1" t="n">
        <v>32</v>
      </c>
      <c r="C1220" s="1" t="n">
        <v>27</v>
      </c>
      <c r="D1220" s="16" t="n">
        <f aca="false">IF('Boletins Nuppa Site'!G1220&lt;&gt;0,'Boletins Nuppa Site'!G1220,"NULL")</f>
        <v>65</v>
      </c>
      <c r="E1220" s="16" t="n">
        <f aca="false">IF('Boletins Nuppa Site'!H1220&lt;&gt;0,'Boletins Nuppa Site'!H1220,"NULL")</f>
        <v>50</v>
      </c>
      <c r="F1220" s="16" t="n">
        <f aca="false">IF('Boletins Nuppa Site'!I1220&lt;&gt;0,'Boletins Nuppa Site'!I1220,"NULL")</f>
        <v>65</v>
      </c>
      <c r="G1220" s="16" t="n">
        <f aca="false">IF('Boletins Nuppa Site'!J1220&lt;&gt;0,'Boletins Nuppa Site'!J1220,"NULL")</f>
        <v>58</v>
      </c>
      <c r="H1220" s="16" t="n">
        <f aca="false">IF('Boletins Nuppa Site'!K1220&lt;&gt;0,'Boletins Nuppa Site'!K1220,"NULL")</f>
        <v>60</v>
      </c>
      <c r="J1220" s="1" t="str">
        <f aca="false">"INSERT INTO COTACAO (blt_id, pap_id, cot_prc_comum, cot_prc_min, cot_prc_max, cot_prc_med, cot_prc_mediana) VALUES ("&amp;B1220&amp;", "&amp;C1220&amp;", "&amp;D1220&amp;", "&amp;E1220&amp;", "&amp;F1220&amp;", "&amp;G1220&amp;", "&amp;H1220&amp;");"</f>
        <v>INSERT INTO COTACAO (blt_id, pap_id, cot_prc_comum, cot_prc_min, cot_prc_max, cot_prc_med, cot_prc_mediana) VALUES (32, 27, 65, 50, 65, 58, 60);</v>
      </c>
    </row>
    <row r="1221" customFormat="false" ht="14.25" hidden="false" customHeight="false" outlineLevel="0" collapsed="false">
      <c r="A1221" s="1" t="n">
        <v>1220</v>
      </c>
      <c r="B1221" s="1" t="n">
        <v>32</v>
      </c>
      <c r="C1221" s="1" t="n">
        <v>28</v>
      </c>
      <c r="D1221" s="16" t="n">
        <f aca="false">IF('Boletins Nuppa Site'!G1221&lt;&gt;0,'Boletins Nuppa Site'!G1221,"NULL")</f>
        <v>90</v>
      </c>
      <c r="E1221" s="16" t="n">
        <f aca="false">IF('Boletins Nuppa Site'!H1221&lt;&gt;0,'Boletins Nuppa Site'!H1221,"NULL")</f>
        <v>70</v>
      </c>
      <c r="F1221" s="16" t="n">
        <f aca="false">IF('Boletins Nuppa Site'!I1221&lt;&gt;0,'Boletins Nuppa Site'!I1221,"NULL")</f>
        <v>100</v>
      </c>
      <c r="G1221" s="1" t="str">
        <f aca="false">IF('Boletins Nuppa Site'!J1221&lt;&gt;0,'Boletins Nuppa Site'!J1221,"NULL")</f>
        <v>87.5</v>
      </c>
      <c r="H1221" s="16" t="n">
        <f aca="false">IF('Boletins Nuppa Site'!K1221&lt;&gt;0,'Boletins Nuppa Site'!K1221,"NULL")</f>
        <v>90</v>
      </c>
      <c r="J1221" s="1" t="str">
        <f aca="false">"INSERT INTO COTACAO (blt_id, pap_id, cot_prc_comum, cot_prc_min, cot_prc_max, cot_prc_med, cot_prc_mediana) VALUES ("&amp;B1221&amp;", "&amp;C1221&amp;", "&amp;D1221&amp;", "&amp;E1221&amp;", "&amp;F1221&amp;", "&amp;G1221&amp;", "&amp;H1221&amp;");"</f>
        <v>INSERT INTO COTACAO (blt_id, pap_id, cot_prc_comum, cot_prc_min, cot_prc_max, cot_prc_med, cot_prc_mediana) VALUES (32, 28, 90, 70, 100, 87.5, 90);</v>
      </c>
    </row>
    <row r="1222" customFormat="false" ht="14.25" hidden="false" customHeight="false" outlineLevel="0" collapsed="false">
      <c r="A1222" s="1" t="n">
        <v>1221</v>
      </c>
      <c r="B1222" s="1" t="n">
        <v>32</v>
      </c>
      <c r="C1222" s="1" t="n">
        <v>29</v>
      </c>
      <c r="D1222" s="1" t="str">
        <f aca="false">IF('Boletins Nuppa Site'!G1222&lt;&gt;0,'Boletins Nuppa Site'!G1222,"NULL")</f>
        <v>NULL</v>
      </c>
      <c r="E1222" s="16" t="n">
        <f aca="false">IF('Boletins Nuppa Site'!H1222&lt;&gt;0,'Boletins Nuppa Site'!H1222,"NULL")</f>
        <v>60</v>
      </c>
      <c r="F1222" s="16" t="n">
        <f aca="false">IF('Boletins Nuppa Site'!I1222&lt;&gt;0,'Boletins Nuppa Site'!I1222,"NULL")</f>
        <v>60</v>
      </c>
      <c r="G1222" s="16" t="n">
        <f aca="false">IF('Boletins Nuppa Site'!J1222&lt;&gt;0,'Boletins Nuppa Site'!J1222,"NULL")</f>
        <v>60</v>
      </c>
      <c r="H1222" s="16" t="n">
        <f aca="false">IF('Boletins Nuppa Site'!K1222&lt;&gt;0,'Boletins Nuppa Site'!K1222,"NULL")</f>
        <v>60</v>
      </c>
      <c r="J1222" s="1" t="str">
        <f aca="false">"INSERT INTO COTACAO (blt_id, pap_id, cot_prc_comum, cot_prc_min, cot_prc_max, cot_prc_med, cot_prc_mediana) VALUES ("&amp;B1222&amp;", "&amp;C1222&amp;", "&amp;D1222&amp;", "&amp;E1222&amp;", "&amp;F1222&amp;", "&amp;G1222&amp;", "&amp;H1222&amp;");"</f>
        <v>INSERT INTO COTACAO (blt_id, pap_id, cot_prc_comum, cot_prc_min, cot_prc_max, cot_prc_med, cot_prc_mediana) VALUES (32, 29, NULL, 60, 60, 60, 60);</v>
      </c>
    </row>
    <row r="1223" customFormat="false" ht="14.25" hidden="false" customHeight="false" outlineLevel="0" collapsed="false">
      <c r="A1223" s="1" t="n">
        <v>1222</v>
      </c>
      <c r="B1223" s="1" t="n">
        <v>32</v>
      </c>
      <c r="C1223" s="1" t="n">
        <v>30</v>
      </c>
      <c r="D1223" s="1" t="str">
        <f aca="false">IF('Boletins Nuppa Site'!G1223&lt;&gt;0,'Boletins Nuppa Site'!G1223,"NULL")</f>
        <v>NULL</v>
      </c>
      <c r="E1223" s="16" t="n">
        <f aca="false">IF('Boletins Nuppa Site'!H1223&lt;&gt;0,'Boletins Nuppa Site'!H1223,"NULL")</f>
        <v>70</v>
      </c>
      <c r="F1223" s="16" t="n">
        <f aca="false">IF('Boletins Nuppa Site'!I1223&lt;&gt;0,'Boletins Nuppa Site'!I1223,"NULL")</f>
        <v>85</v>
      </c>
      <c r="G1223" s="1" t="str">
        <f aca="false">IF('Boletins Nuppa Site'!J1223&lt;&gt;0,'Boletins Nuppa Site'!J1223,"NULL")</f>
        <v>77.5</v>
      </c>
      <c r="H1223" s="1" t="str">
        <f aca="false">IF('Boletins Nuppa Site'!K1223&lt;&gt;0,'Boletins Nuppa Site'!K1223,"NULL")</f>
        <v>77.5</v>
      </c>
      <c r="J1223" s="1" t="str">
        <f aca="false">"INSERT INTO COTACAO (blt_id, pap_id, cot_prc_comum, cot_prc_min, cot_prc_max, cot_prc_med, cot_prc_mediana) VALUES ("&amp;B1223&amp;", "&amp;C1223&amp;", "&amp;D1223&amp;", "&amp;E1223&amp;", "&amp;F1223&amp;", "&amp;G1223&amp;", "&amp;H1223&amp;");"</f>
        <v>INSERT INTO COTACAO (blt_id, pap_id, cot_prc_comum, cot_prc_min, cot_prc_max, cot_prc_med, cot_prc_mediana) VALUES (32, 30, NULL, 70, 85, 77.5, 77.5);</v>
      </c>
    </row>
    <row r="1224" customFormat="false" ht="14.25" hidden="false" customHeight="false" outlineLevel="0" collapsed="false">
      <c r="A1224" s="1" t="n">
        <v>1223</v>
      </c>
      <c r="B1224" s="1" t="n">
        <v>32</v>
      </c>
      <c r="C1224" s="1" t="n">
        <v>31</v>
      </c>
      <c r="D1224" s="16" t="n">
        <f aca="false">IF('Boletins Nuppa Site'!G1224&lt;&gt;0,'Boletins Nuppa Site'!G1224,"NULL")</f>
        <v>120</v>
      </c>
      <c r="E1224" s="16" t="n">
        <f aca="false">IF('Boletins Nuppa Site'!H1224&lt;&gt;0,'Boletins Nuppa Site'!H1224,"NULL")</f>
        <v>80</v>
      </c>
      <c r="F1224" s="16" t="n">
        <f aca="false">IF('Boletins Nuppa Site'!I1224&lt;&gt;0,'Boletins Nuppa Site'!I1224,"NULL")</f>
        <v>120</v>
      </c>
      <c r="G1224" s="16" t="n">
        <f aca="false">IF('Boletins Nuppa Site'!J1224&lt;&gt;0,'Boletins Nuppa Site'!J1224,"NULL")</f>
        <v>103</v>
      </c>
      <c r="H1224" s="16" t="n">
        <f aca="false">IF('Boletins Nuppa Site'!K1224&lt;&gt;0,'Boletins Nuppa Site'!K1224,"NULL")</f>
        <v>110</v>
      </c>
      <c r="J1224" s="1" t="str">
        <f aca="false">"INSERT INTO COTACAO (blt_id, pap_id, cot_prc_comum, cot_prc_min, cot_prc_max, cot_prc_med, cot_prc_mediana) VALUES ("&amp;B1224&amp;", "&amp;C1224&amp;", "&amp;D1224&amp;", "&amp;E1224&amp;", "&amp;F1224&amp;", "&amp;G1224&amp;", "&amp;H1224&amp;");"</f>
        <v>INSERT INTO COTACAO (blt_id, pap_id, cot_prc_comum, cot_prc_min, cot_prc_max, cot_prc_med, cot_prc_mediana) VALUES (32, 31, 120, 80, 120, 103, 110);</v>
      </c>
    </row>
    <row r="1225" customFormat="false" ht="14.25" hidden="false" customHeight="false" outlineLevel="0" collapsed="false">
      <c r="A1225" s="1" t="n">
        <v>1224</v>
      </c>
      <c r="B1225" s="1" t="n">
        <v>32</v>
      </c>
      <c r="C1225" s="1" t="n">
        <v>32</v>
      </c>
      <c r="D1225" s="16" t="n">
        <f aca="false">IF('Boletins Nuppa Site'!G1225&lt;&gt;0,'Boletins Nuppa Site'!G1225,"NULL")</f>
        <v>50</v>
      </c>
      <c r="E1225" s="16" t="n">
        <f aca="false">IF('Boletins Nuppa Site'!H1225&lt;&gt;0,'Boletins Nuppa Site'!H1225,"NULL")</f>
        <v>50</v>
      </c>
      <c r="F1225" s="16" t="n">
        <f aca="false">IF('Boletins Nuppa Site'!I1225&lt;&gt;0,'Boletins Nuppa Site'!I1225,"NULL")</f>
        <v>60</v>
      </c>
      <c r="G1225" s="16" t="n">
        <f aca="false">IF('Boletins Nuppa Site'!J1225&lt;&gt;0,'Boletins Nuppa Site'!J1225,"NULL")</f>
        <v>53</v>
      </c>
      <c r="H1225" s="16" t="n">
        <f aca="false">IF('Boletins Nuppa Site'!K1225&lt;&gt;0,'Boletins Nuppa Site'!K1225,"NULL")</f>
        <v>50</v>
      </c>
      <c r="J1225" s="1" t="str">
        <f aca="false">"INSERT INTO COTACAO (blt_id, pap_id, cot_prc_comum, cot_prc_min, cot_prc_max, cot_prc_med, cot_prc_mediana) VALUES ("&amp;B1225&amp;", "&amp;C1225&amp;", "&amp;D1225&amp;", "&amp;E1225&amp;", "&amp;F1225&amp;", "&amp;G1225&amp;", "&amp;H1225&amp;");"</f>
        <v>INSERT INTO COTACAO (blt_id, pap_id, cot_prc_comum, cot_prc_min, cot_prc_max, cot_prc_med, cot_prc_mediana) VALUES (32, 32, 50, 50, 60, 53, 50);</v>
      </c>
    </row>
    <row r="1226" customFormat="false" ht="14.25" hidden="false" customHeight="false" outlineLevel="0" collapsed="false">
      <c r="A1226" s="1" t="n">
        <v>1225</v>
      </c>
      <c r="B1226" s="1" t="n">
        <v>32</v>
      </c>
      <c r="C1226" s="1" t="n">
        <v>33</v>
      </c>
      <c r="D1226" s="1" t="str">
        <f aca="false">IF('Boletins Nuppa Site'!G1226&lt;&gt;0,'Boletins Nuppa Site'!G1226,"NULL")</f>
        <v>NULL</v>
      </c>
      <c r="E1226" s="16" t="n">
        <f aca="false">IF('Boletins Nuppa Site'!H1226&lt;&gt;0,'Boletins Nuppa Site'!H1226,"NULL")</f>
        <v>110</v>
      </c>
      <c r="F1226" s="16" t="n">
        <f aca="false">IF('Boletins Nuppa Site'!I1226&lt;&gt;0,'Boletins Nuppa Site'!I1226,"NULL")</f>
        <v>160</v>
      </c>
      <c r="G1226" s="16" t="n">
        <f aca="false">IF('Boletins Nuppa Site'!J1226&lt;&gt;0,'Boletins Nuppa Site'!J1226,"NULL")</f>
        <v>137</v>
      </c>
      <c r="H1226" s="16" t="n">
        <f aca="false">IF('Boletins Nuppa Site'!K1226&lt;&gt;0,'Boletins Nuppa Site'!K1226,"NULL")</f>
        <v>140</v>
      </c>
      <c r="J1226" s="1" t="str">
        <f aca="false">"INSERT INTO COTACAO (blt_id, pap_id, cot_prc_comum, cot_prc_min, cot_prc_max, cot_prc_med, cot_prc_mediana) VALUES ("&amp;B1226&amp;", "&amp;C1226&amp;", "&amp;D1226&amp;", "&amp;E1226&amp;", "&amp;F1226&amp;", "&amp;G1226&amp;", "&amp;H1226&amp;");"</f>
        <v>INSERT INTO COTACAO (blt_id, pap_id, cot_prc_comum, cot_prc_min, cot_prc_max, cot_prc_med, cot_prc_mediana) VALUES (32, 33, NULL, 110, 160, 137, 140);</v>
      </c>
    </row>
    <row r="1227" customFormat="false" ht="14.25" hidden="false" customHeight="false" outlineLevel="0" collapsed="false">
      <c r="A1227" s="1" t="n">
        <v>1226</v>
      </c>
      <c r="B1227" s="1" t="n">
        <v>32</v>
      </c>
      <c r="C1227" s="1" t="n">
        <v>34</v>
      </c>
      <c r="D1227" s="16" t="n">
        <f aca="false">IF('Boletins Nuppa Site'!G1227&lt;&gt;0,'Boletins Nuppa Site'!G1227,"NULL")</f>
        <v>60</v>
      </c>
      <c r="E1227" s="16" t="n">
        <f aca="false">IF('Boletins Nuppa Site'!H1227&lt;&gt;0,'Boletins Nuppa Site'!H1227,"NULL")</f>
        <v>45</v>
      </c>
      <c r="F1227" s="16" t="n">
        <f aca="false">IF('Boletins Nuppa Site'!I1227&lt;&gt;0,'Boletins Nuppa Site'!I1227,"NULL")</f>
        <v>60</v>
      </c>
      <c r="G1227" s="16" t="n">
        <f aca="false">IF('Boletins Nuppa Site'!J1227&lt;&gt;0,'Boletins Nuppa Site'!J1227,"NULL")</f>
        <v>53</v>
      </c>
      <c r="H1227" s="16" t="n">
        <f aca="false">IF('Boletins Nuppa Site'!K1227&lt;&gt;0,'Boletins Nuppa Site'!K1227,"NULL")</f>
        <v>50</v>
      </c>
      <c r="J1227" s="1" t="str">
        <f aca="false">"INSERT INTO COTACAO (blt_id, pap_id, cot_prc_comum, cot_prc_min, cot_prc_max, cot_prc_med, cot_prc_mediana) VALUES ("&amp;B1227&amp;", "&amp;C1227&amp;", "&amp;D1227&amp;", "&amp;E1227&amp;", "&amp;F1227&amp;", "&amp;G1227&amp;", "&amp;H1227&amp;");"</f>
        <v>INSERT INTO COTACAO (blt_id, pap_id, cot_prc_comum, cot_prc_min, cot_prc_max, cot_prc_med, cot_prc_mediana) VALUES (32, 34, 60, 45, 60, 53, 50);</v>
      </c>
    </row>
    <row r="1228" customFormat="false" ht="14.25" hidden="false" customHeight="false" outlineLevel="0" collapsed="false">
      <c r="A1228" s="1" t="n">
        <v>1227</v>
      </c>
      <c r="B1228" s="1" t="n">
        <v>32</v>
      </c>
      <c r="C1228" s="1" t="n">
        <v>35</v>
      </c>
      <c r="D1228" s="1" t="str">
        <f aca="false">IF('Boletins Nuppa Site'!G1228&lt;&gt;0,'Boletins Nuppa Site'!G1228,"NULL")</f>
        <v>NULL</v>
      </c>
      <c r="E1228" s="16" t="n">
        <f aca="false">IF('Boletins Nuppa Site'!H1228&lt;&gt;0,'Boletins Nuppa Site'!H1228,"NULL")</f>
        <v>120</v>
      </c>
      <c r="F1228" s="16" t="n">
        <f aca="false">IF('Boletins Nuppa Site'!I1228&lt;&gt;0,'Boletins Nuppa Site'!I1228,"NULL")</f>
        <v>150</v>
      </c>
      <c r="G1228" s="16" t="n">
        <f aca="false">IF('Boletins Nuppa Site'!J1228&lt;&gt;0,'Boletins Nuppa Site'!J1228,"NULL")</f>
        <v>135</v>
      </c>
      <c r="H1228" s="16" t="n">
        <f aca="false">IF('Boletins Nuppa Site'!K1228&lt;&gt;0,'Boletins Nuppa Site'!K1228,"NULL")</f>
        <v>135</v>
      </c>
      <c r="J1228" s="1" t="str">
        <f aca="false">"INSERT INTO COTACAO (blt_id, pap_id, cot_prc_comum, cot_prc_min, cot_prc_max, cot_prc_med, cot_prc_mediana) VALUES ("&amp;B1228&amp;", "&amp;C1228&amp;", "&amp;D1228&amp;", "&amp;E1228&amp;", "&amp;F1228&amp;", "&amp;G1228&amp;", "&amp;H1228&amp;");"</f>
        <v>INSERT INTO COTACAO (blt_id, pap_id, cot_prc_comum, cot_prc_min, cot_prc_max, cot_prc_med, cot_prc_mediana) VALUES (32, 35, NULL, 120, 150, 135, 135);</v>
      </c>
    </row>
    <row r="1229" customFormat="false" ht="14.25" hidden="false" customHeight="false" outlineLevel="0" collapsed="false">
      <c r="A1229" s="1" t="n">
        <v>1228</v>
      </c>
      <c r="B1229" s="1" t="n">
        <v>32</v>
      </c>
      <c r="C1229" s="1" t="n">
        <v>36</v>
      </c>
      <c r="D1229" s="1" t="str">
        <f aca="false">IF('Boletins Nuppa Site'!G1229&lt;&gt;0,'Boletins Nuppa Site'!G1229,"NULL")</f>
        <v>NULL</v>
      </c>
      <c r="E1229" s="1" t="str">
        <f aca="false">IF('Boletins Nuppa Site'!H1229&lt;&gt;0,'Boletins Nuppa Site'!H1229,"NULL")</f>
        <v>NULL</v>
      </c>
      <c r="F1229" s="1" t="str">
        <f aca="false">IF('Boletins Nuppa Site'!I1229&lt;&gt;0,'Boletins Nuppa Site'!I1229,"NULL")</f>
        <v>NULL</v>
      </c>
      <c r="G1229" s="1" t="str">
        <f aca="false">IF('Boletins Nuppa Site'!J1229&lt;&gt;0,'Boletins Nuppa Site'!J1229,"NULL")</f>
        <v>NULL</v>
      </c>
      <c r="H1229" s="1" t="str">
        <f aca="false">IF('Boletins Nuppa Site'!K1229&lt;&gt;0,'Boletins Nuppa Site'!K1229,"NULL")</f>
        <v>NULL</v>
      </c>
      <c r="J1229" s="1" t="str">
        <f aca="false">"INSERT INTO COTACAO (blt_id, pap_id, cot_prc_comum, cot_prc_min, cot_prc_max, cot_prc_med, cot_prc_mediana) VALUES ("&amp;B1229&amp;", "&amp;C1229&amp;", "&amp;D1229&amp;", "&amp;E1229&amp;", "&amp;F1229&amp;", "&amp;G1229&amp;", "&amp;H1229&amp;");"</f>
        <v>INSERT INTO COTACAO (blt_id, pap_id, cot_prc_comum, cot_prc_min, cot_prc_max, cot_prc_med, cot_prc_mediana) VALUES (32, 36, NULL, NULL, NULL, NULL, NULL);</v>
      </c>
    </row>
    <row r="1230" customFormat="false" ht="14.25" hidden="false" customHeight="false" outlineLevel="0" collapsed="false">
      <c r="A1230" s="1" t="n">
        <v>1229</v>
      </c>
      <c r="B1230" s="1" t="n">
        <v>32</v>
      </c>
      <c r="C1230" s="1" t="n">
        <v>37</v>
      </c>
      <c r="D1230" s="1" t="str">
        <f aca="false">IF('Boletins Nuppa Site'!G1230&lt;&gt;0,'Boletins Nuppa Site'!G1230,"NULL")</f>
        <v>NULL</v>
      </c>
      <c r="E1230" s="1" t="str">
        <f aca="false">IF('Boletins Nuppa Site'!H1230&lt;&gt;0,'Boletins Nuppa Site'!H1230,"NULL")</f>
        <v>NULL</v>
      </c>
      <c r="F1230" s="1" t="str">
        <f aca="false">IF('Boletins Nuppa Site'!I1230&lt;&gt;0,'Boletins Nuppa Site'!I1230,"NULL")</f>
        <v>NULL</v>
      </c>
      <c r="G1230" s="1" t="str">
        <f aca="false">IF('Boletins Nuppa Site'!J1230&lt;&gt;0,'Boletins Nuppa Site'!J1230,"NULL")</f>
        <v>NULL</v>
      </c>
      <c r="H1230" s="1" t="str">
        <f aca="false">IF('Boletins Nuppa Site'!K1230&lt;&gt;0,'Boletins Nuppa Site'!K1230,"NULL")</f>
        <v>NULL</v>
      </c>
      <c r="J1230" s="1" t="str">
        <f aca="false">"INSERT INTO COTACAO (blt_id, pap_id, cot_prc_comum, cot_prc_min, cot_prc_max, cot_prc_med, cot_prc_mediana) VALUES ("&amp;B1230&amp;", "&amp;C1230&amp;", "&amp;D1230&amp;", "&amp;E1230&amp;", "&amp;F1230&amp;", "&amp;G1230&amp;", "&amp;H1230&amp;");"</f>
        <v>INSERT INTO COTACAO (blt_id, pap_id, cot_prc_comum, cot_prc_min, cot_prc_max, cot_prc_med, cot_prc_mediana) VALUES (32, 37, NULL, NULL, NULL, NULL, NULL);</v>
      </c>
    </row>
    <row r="1231" customFormat="false" ht="14.25" hidden="false" customHeight="false" outlineLevel="0" collapsed="false">
      <c r="A1231" s="1" t="n">
        <v>1230</v>
      </c>
      <c r="B1231" s="1" t="n">
        <v>32</v>
      </c>
      <c r="C1231" s="1" t="n">
        <v>38</v>
      </c>
      <c r="D1231" s="1" t="str">
        <f aca="false">IF('Boletins Nuppa Site'!G1231&lt;&gt;0,'Boletins Nuppa Site'!G1231,"NULL")</f>
        <v>NULL</v>
      </c>
      <c r="E1231" s="1" t="str">
        <f aca="false">IF('Boletins Nuppa Site'!H1231&lt;&gt;0,'Boletins Nuppa Site'!H1231,"NULL")</f>
        <v>NULL</v>
      </c>
      <c r="F1231" s="1" t="str">
        <f aca="false">IF('Boletins Nuppa Site'!I1231&lt;&gt;0,'Boletins Nuppa Site'!I1231,"NULL")</f>
        <v>NULL</v>
      </c>
      <c r="G1231" s="1" t="str">
        <f aca="false">IF('Boletins Nuppa Site'!J1231&lt;&gt;0,'Boletins Nuppa Site'!J1231,"NULL")</f>
        <v>NULL</v>
      </c>
      <c r="H1231" s="1" t="str">
        <f aca="false">IF('Boletins Nuppa Site'!K1231&lt;&gt;0,'Boletins Nuppa Site'!K1231,"NULL")</f>
        <v>NULL</v>
      </c>
      <c r="J1231" s="1" t="str">
        <f aca="false">"INSERT INTO COTACAO (blt_id, pap_id, cot_prc_comum, cot_prc_min, cot_prc_max, cot_prc_med, cot_prc_mediana) VALUES ("&amp;B1231&amp;", "&amp;C1231&amp;", "&amp;D1231&amp;", "&amp;E1231&amp;", "&amp;F1231&amp;", "&amp;G1231&amp;", "&amp;H1231&amp;");"</f>
        <v>INSERT INTO COTACAO (blt_id, pap_id, cot_prc_comum, cot_prc_min, cot_prc_max, cot_prc_med, cot_prc_mediana) VALUES (32, 38, NULL, NULL, NULL, NULL, NULL);</v>
      </c>
    </row>
    <row r="1232" customFormat="false" ht="14.25" hidden="false" customHeight="false" outlineLevel="0" collapsed="false">
      <c r="A1232" s="1" t="n">
        <v>1231</v>
      </c>
      <c r="B1232" s="1" t="n">
        <v>32</v>
      </c>
      <c r="C1232" s="1" t="n">
        <v>39</v>
      </c>
      <c r="D1232" s="1" t="str">
        <f aca="false">IF('Boletins Nuppa Site'!G1232&lt;&gt;0,'Boletins Nuppa Site'!G1232,"NULL")</f>
        <v>NULL</v>
      </c>
      <c r="E1232" s="16" t="n">
        <f aca="false">IF('Boletins Nuppa Site'!H1232&lt;&gt;0,'Boletins Nuppa Site'!H1232,"NULL")</f>
        <v>60</v>
      </c>
      <c r="F1232" s="16" t="n">
        <f aca="false">IF('Boletins Nuppa Site'!I1232&lt;&gt;0,'Boletins Nuppa Site'!I1232,"NULL")</f>
        <v>60</v>
      </c>
      <c r="G1232" s="16" t="n">
        <f aca="false">IF('Boletins Nuppa Site'!J1232&lt;&gt;0,'Boletins Nuppa Site'!J1232,"NULL")</f>
        <v>60</v>
      </c>
      <c r="H1232" s="16" t="n">
        <f aca="false">IF('Boletins Nuppa Site'!K1232&lt;&gt;0,'Boletins Nuppa Site'!K1232,"NULL")</f>
        <v>60</v>
      </c>
      <c r="J1232" s="1" t="str">
        <f aca="false">"INSERT INTO COTACAO (blt_id, pap_id, cot_prc_comum, cot_prc_min, cot_prc_max, cot_prc_med, cot_prc_mediana) VALUES ("&amp;B1232&amp;", "&amp;C1232&amp;", "&amp;D1232&amp;", "&amp;E1232&amp;", "&amp;F1232&amp;", "&amp;G1232&amp;", "&amp;H1232&amp;");"</f>
        <v>INSERT INTO COTACAO (blt_id, pap_id, cot_prc_comum, cot_prc_min, cot_prc_max, cot_prc_med, cot_prc_mediana) VALUES (32, 39, NULL, 60, 60, 60, 60);</v>
      </c>
    </row>
    <row r="1233" customFormat="false" ht="14.25" hidden="false" customHeight="false" outlineLevel="0" collapsed="false">
      <c r="A1233" s="1" t="n">
        <v>1232</v>
      </c>
      <c r="B1233" s="1" t="n">
        <v>32</v>
      </c>
      <c r="C1233" s="1" t="n">
        <v>40</v>
      </c>
      <c r="D1233" s="1" t="str">
        <f aca="false">IF('Boletins Nuppa Site'!G1233&lt;&gt;0,'Boletins Nuppa Site'!G1233,"NULL")</f>
        <v>NULL</v>
      </c>
      <c r="E1233" s="1" t="str">
        <f aca="false">IF('Boletins Nuppa Site'!H1233&lt;&gt;0,'Boletins Nuppa Site'!H1233,"NULL")</f>
        <v>NULL</v>
      </c>
      <c r="F1233" s="1" t="str">
        <f aca="false">IF('Boletins Nuppa Site'!I1233&lt;&gt;0,'Boletins Nuppa Site'!I1233,"NULL")</f>
        <v>NULL</v>
      </c>
      <c r="G1233" s="1" t="str">
        <f aca="false">IF('Boletins Nuppa Site'!J1233&lt;&gt;0,'Boletins Nuppa Site'!J1233,"NULL")</f>
        <v>NULL</v>
      </c>
      <c r="H1233" s="1" t="str">
        <f aca="false">IF('Boletins Nuppa Site'!K1233&lt;&gt;0,'Boletins Nuppa Site'!K1233,"NULL")</f>
        <v>NULL</v>
      </c>
      <c r="J1233" s="1" t="str">
        <f aca="false">"INSERT INTO COTACAO (blt_id, pap_id, cot_prc_comum, cot_prc_min, cot_prc_max, cot_prc_med, cot_prc_mediana) VALUES ("&amp;B1233&amp;", "&amp;C1233&amp;", "&amp;D1233&amp;", "&amp;E1233&amp;", "&amp;F1233&amp;", "&amp;G1233&amp;", "&amp;H1233&amp;");"</f>
        <v>INSERT INTO COTACAO (blt_id, pap_id, cot_prc_comum, cot_prc_min, cot_prc_max, cot_prc_med, cot_prc_mediana) VALUES (32, 40, NULL, NULL, NULL, NULL, NULL);</v>
      </c>
    </row>
    <row r="1234" customFormat="false" ht="14.25" hidden="false" customHeight="false" outlineLevel="0" collapsed="false">
      <c r="A1234" s="1" t="n">
        <v>1233</v>
      </c>
      <c r="B1234" s="1" t="n">
        <v>33</v>
      </c>
      <c r="C1234" s="1" t="n">
        <v>1</v>
      </c>
      <c r="D1234" s="16" t="n">
        <f aca="false">IF('Boletins Nuppa Site'!G1234&lt;&gt;0,'Boletins Nuppa Site'!G1234,"NULL")</f>
        <v>48</v>
      </c>
      <c r="E1234" s="16" t="n">
        <f aca="false">IF('Boletins Nuppa Site'!H1234&lt;&gt;0,'Boletins Nuppa Site'!H1234,"NULL")</f>
        <v>5</v>
      </c>
      <c r="F1234" s="16" t="n">
        <f aca="false">IF('Boletins Nuppa Site'!I1234&lt;&gt;0,'Boletins Nuppa Site'!I1234,"NULL")</f>
        <v>48</v>
      </c>
      <c r="G1234" s="1" t="str">
        <f aca="false">IF('Boletins Nuppa Site'!J1234&lt;&gt;0,'Boletins Nuppa Site'!J1234,"NULL")</f>
        <v>32.2</v>
      </c>
      <c r="H1234" s="16" t="n">
        <f aca="false">IF('Boletins Nuppa Site'!K1234&lt;&gt;0,'Boletins Nuppa Site'!K1234,"NULL")</f>
        <v>36</v>
      </c>
      <c r="J1234" s="1" t="str">
        <f aca="false">"INSERT INTO COTACAO (blt_id, pap_id, cot_prc_comum, cot_prc_min, cot_prc_max, cot_prc_med, cot_prc_mediana) VALUES ("&amp;B1234&amp;", "&amp;C1234&amp;", "&amp;D1234&amp;", "&amp;E1234&amp;", "&amp;F1234&amp;", "&amp;G1234&amp;", "&amp;H1234&amp;");"</f>
        <v>INSERT INTO COTACAO (blt_id, pap_id, cot_prc_comum, cot_prc_min, cot_prc_max, cot_prc_med, cot_prc_mediana) VALUES (33, 1, 48, 5, 48, 32.2, 36);</v>
      </c>
    </row>
    <row r="1235" customFormat="false" ht="14.25" hidden="false" customHeight="false" outlineLevel="0" collapsed="false">
      <c r="A1235" s="1" t="n">
        <v>1234</v>
      </c>
      <c r="B1235" s="1" t="n">
        <v>33</v>
      </c>
      <c r="C1235" s="1" t="n">
        <v>2</v>
      </c>
      <c r="D1235" s="16" t="n">
        <f aca="false">IF('Boletins Nuppa Site'!G1235&lt;&gt;0,'Boletins Nuppa Site'!G1235,"NULL")</f>
        <v>60</v>
      </c>
      <c r="E1235" s="16" t="n">
        <f aca="false">IF('Boletins Nuppa Site'!H1235&lt;&gt;0,'Boletins Nuppa Site'!H1235,"NULL")</f>
        <v>7</v>
      </c>
      <c r="F1235" s="16" t="n">
        <f aca="false">IF('Boletins Nuppa Site'!I1235&lt;&gt;0,'Boletins Nuppa Site'!I1235,"NULL")</f>
        <v>72</v>
      </c>
      <c r="G1235" s="1" t="str">
        <f aca="false">IF('Boletins Nuppa Site'!J1235&lt;&gt;0,'Boletins Nuppa Site'!J1235,"NULL")</f>
        <v>51.8</v>
      </c>
      <c r="H1235" s="16" t="n">
        <f aca="false">IF('Boletins Nuppa Site'!K1235&lt;&gt;0,'Boletins Nuppa Site'!K1235,"NULL")</f>
        <v>60</v>
      </c>
      <c r="J1235" s="1" t="str">
        <f aca="false">"INSERT INTO COTACAO (blt_id, pap_id, cot_prc_comum, cot_prc_min, cot_prc_max, cot_prc_med, cot_prc_mediana) VALUES ("&amp;B1235&amp;", "&amp;C1235&amp;", "&amp;D1235&amp;", "&amp;E1235&amp;", "&amp;F1235&amp;", "&amp;G1235&amp;", "&amp;H1235&amp;");"</f>
        <v>INSERT INTO COTACAO (blt_id, pap_id, cot_prc_comum, cot_prc_min, cot_prc_max, cot_prc_med, cot_prc_mediana) VALUES (33, 2, 60, 7, 72, 51.8, 60);</v>
      </c>
    </row>
    <row r="1236" customFormat="false" ht="14.25" hidden="false" customHeight="false" outlineLevel="0" collapsed="false">
      <c r="A1236" s="1" t="n">
        <v>1235</v>
      </c>
      <c r="B1236" s="1" t="n">
        <v>33</v>
      </c>
      <c r="C1236" s="1" t="n">
        <v>3</v>
      </c>
      <c r="D1236" s="16" t="n">
        <f aca="false">IF('Boletins Nuppa Site'!G1236&lt;&gt;0,'Boletins Nuppa Site'!G1236,"NULL")</f>
        <v>30</v>
      </c>
      <c r="E1236" s="16" t="n">
        <f aca="false">IF('Boletins Nuppa Site'!H1236&lt;&gt;0,'Boletins Nuppa Site'!H1236,"NULL")</f>
        <v>30</v>
      </c>
      <c r="F1236" s="16" t="n">
        <f aca="false">IF('Boletins Nuppa Site'!I1236&lt;&gt;0,'Boletins Nuppa Site'!I1236,"NULL")</f>
        <v>36</v>
      </c>
      <c r="G1236" s="16" t="n">
        <f aca="false">IF('Boletins Nuppa Site'!J1236&lt;&gt;0,'Boletins Nuppa Site'!J1236,"NULL")</f>
        <v>31</v>
      </c>
      <c r="H1236" s="16" t="n">
        <f aca="false">IF('Boletins Nuppa Site'!K1236&lt;&gt;0,'Boletins Nuppa Site'!K1236,"NULL")</f>
        <v>30</v>
      </c>
      <c r="J1236" s="1" t="str">
        <f aca="false">"INSERT INTO COTACAO (blt_id, pap_id, cot_prc_comum, cot_prc_min, cot_prc_max, cot_prc_med, cot_prc_mediana) VALUES ("&amp;B1236&amp;", "&amp;C1236&amp;", "&amp;D1236&amp;", "&amp;E1236&amp;", "&amp;F1236&amp;", "&amp;G1236&amp;", "&amp;H1236&amp;");"</f>
        <v>INSERT INTO COTACAO (blt_id, pap_id, cot_prc_comum, cot_prc_min, cot_prc_max, cot_prc_med, cot_prc_mediana) VALUES (33, 3, 30, 30, 36, 31, 30);</v>
      </c>
    </row>
    <row r="1237" customFormat="false" ht="14.25" hidden="false" customHeight="false" outlineLevel="0" collapsed="false">
      <c r="A1237" s="1" t="n">
        <v>1236</v>
      </c>
      <c r="B1237" s="1" t="n">
        <v>33</v>
      </c>
      <c r="C1237" s="1" t="n">
        <v>4</v>
      </c>
      <c r="D1237" s="16" t="n">
        <f aca="false">IF('Boletins Nuppa Site'!G1237&lt;&gt;0,'Boletins Nuppa Site'!G1237,"NULL")</f>
        <v>18</v>
      </c>
      <c r="E1237" s="16" t="n">
        <f aca="false">IF('Boletins Nuppa Site'!H1237&lt;&gt;0,'Boletins Nuppa Site'!H1237,"NULL")</f>
        <v>15</v>
      </c>
      <c r="F1237" s="16" t="n">
        <f aca="false">IF('Boletins Nuppa Site'!I1237&lt;&gt;0,'Boletins Nuppa Site'!I1237,"NULL")</f>
        <v>24</v>
      </c>
      <c r="G1237" s="16" t="n">
        <f aca="false">IF('Boletins Nuppa Site'!J1237&lt;&gt;0,'Boletins Nuppa Site'!J1237,"NULL")</f>
        <v>19</v>
      </c>
      <c r="H1237" s="16" t="n">
        <f aca="false">IF('Boletins Nuppa Site'!K1237&lt;&gt;0,'Boletins Nuppa Site'!K1237,"NULL")</f>
        <v>18</v>
      </c>
      <c r="J1237" s="1" t="str">
        <f aca="false">"INSERT INTO COTACAO (blt_id, pap_id, cot_prc_comum, cot_prc_min, cot_prc_max, cot_prc_med, cot_prc_mediana) VALUES ("&amp;B1237&amp;", "&amp;C1237&amp;", "&amp;D1237&amp;", "&amp;E1237&amp;", "&amp;F1237&amp;", "&amp;G1237&amp;", "&amp;H1237&amp;");"</f>
        <v>INSERT INTO COTACAO (blt_id, pap_id, cot_prc_comum, cot_prc_min, cot_prc_max, cot_prc_med, cot_prc_mediana) VALUES (33, 4, 18, 15, 24, 19, 18);</v>
      </c>
    </row>
    <row r="1238" customFormat="false" ht="14.25" hidden="false" customHeight="false" outlineLevel="0" collapsed="false">
      <c r="A1238" s="1" t="n">
        <v>1237</v>
      </c>
      <c r="B1238" s="1" t="n">
        <v>33</v>
      </c>
      <c r="C1238" s="1" t="n">
        <v>5</v>
      </c>
      <c r="D1238" s="16" t="n">
        <f aca="false">IF('Boletins Nuppa Site'!G1238&lt;&gt;0,'Boletins Nuppa Site'!G1238,"NULL")</f>
        <v>24</v>
      </c>
      <c r="E1238" s="16" t="n">
        <f aca="false">IF('Boletins Nuppa Site'!H1238&lt;&gt;0,'Boletins Nuppa Site'!H1238,"NULL")</f>
        <v>15</v>
      </c>
      <c r="F1238" s="16" t="n">
        <f aca="false">IF('Boletins Nuppa Site'!I1238&lt;&gt;0,'Boletins Nuppa Site'!I1238,"NULL")</f>
        <v>24</v>
      </c>
      <c r="G1238" s="1" t="str">
        <f aca="false">IF('Boletins Nuppa Site'!J1238&lt;&gt;0,'Boletins Nuppa Site'!J1238,"NULL")</f>
        <v>20.4</v>
      </c>
      <c r="H1238" s="16" t="n">
        <f aca="false">IF('Boletins Nuppa Site'!K1238&lt;&gt;0,'Boletins Nuppa Site'!K1238,"NULL")</f>
        <v>24</v>
      </c>
      <c r="J1238" s="1" t="str">
        <f aca="false">"INSERT INTO COTACAO (blt_id, pap_id, cot_prc_comum, cot_prc_min, cot_prc_max, cot_prc_med, cot_prc_mediana) VALUES ("&amp;B1238&amp;", "&amp;C1238&amp;", "&amp;D1238&amp;", "&amp;E1238&amp;", "&amp;F1238&amp;", "&amp;G1238&amp;", "&amp;H1238&amp;");"</f>
        <v>INSERT INTO COTACAO (blt_id, pap_id, cot_prc_comum, cot_prc_min, cot_prc_max, cot_prc_med, cot_prc_mediana) VALUES (33, 5, 24, 15, 24, 20.4, 24);</v>
      </c>
    </row>
    <row r="1239" customFormat="false" ht="14.25" hidden="false" customHeight="false" outlineLevel="0" collapsed="false">
      <c r="A1239" s="1" t="n">
        <v>1238</v>
      </c>
      <c r="B1239" s="1" t="n">
        <v>33</v>
      </c>
      <c r="C1239" s="1" t="n">
        <v>6</v>
      </c>
      <c r="D1239" s="16" t="n">
        <f aca="false">IF('Boletins Nuppa Site'!G1239&lt;&gt;0,'Boletins Nuppa Site'!G1239,"NULL")</f>
        <v>60</v>
      </c>
      <c r="E1239" s="16" t="n">
        <f aca="false">IF('Boletins Nuppa Site'!H1239&lt;&gt;0,'Boletins Nuppa Site'!H1239,"NULL")</f>
        <v>5</v>
      </c>
      <c r="F1239" s="16" t="n">
        <f aca="false">IF('Boletins Nuppa Site'!I1239&lt;&gt;0,'Boletins Nuppa Site'!I1239,"NULL")</f>
        <v>60</v>
      </c>
      <c r="G1239" s="1" t="str">
        <f aca="false">IF('Boletins Nuppa Site'!J1239&lt;&gt;0,'Boletins Nuppa Site'!J1239,"NULL")</f>
        <v>46.6</v>
      </c>
      <c r="H1239" s="16" t="n">
        <f aca="false">IF('Boletins Nuppa Site'!K1239&lt;&gt;0,'Boletins Nuppa Site'!K1239,"NULL")</f>
        <v>60</v>
      </c>
      <c r="J1239" s="1" t="str">
        <f aca="false">"INSERT INTO COTACAO (blt_id, pap_id, cot_prc_comum, cot_prc_min, cot_prc_max, cot_prc_med, cot_prc_mediana) VALUES ("&amp;B1239&amp;", "&amp;C1239&amp;", "&amp;D1239&amp;", "&amp;E1239&amp;", "&amp;F1239&amp;", "&amp;G1239&amp;", "&amp;H1239&amp;");"</f>
        <v>INSERT INTO COTACAO (blt_id, pap_id, cot_prc_comum, cot_prc_min, cot_prc_max, cot_prc_med, cot_prc_mediana) VALUES (33, 6, 60, 5, 60, 46.6, 60);</v>
      </c>
    </row>
    <row r="1240" customFormat="false" ht="14.25" hidden="false" customHeight="false" outlineLevel="0" collapsed="false">
      <c r="A1240" s="1" t="n">
        <v>1239</v>
      </c>
      <c r="B1240" s="1" t="n">
        <v>33</v>
      </c>
      <c r="C1240" s="1" t="n">
        <v>7</v>
      </c>
      <c r="D1240" s="1" t="str">
        <f aca="false">IF('Boletins Nuppa Site'!G1240&lt;&gt;0,'Boletins Nuppa Site'!G1240,"NULL")</f>
        <v>NULL</v>
      </c>
      <c r="E1240" s="16" t="n">
        <f aca="false">IF('Boletins Nuppa Site'!H1240&lt;&gt;0,'Boletins Nuppa Site'!H1240,"NULL")</f>
        <v>6</v>
      </c>
      <c r="F1240" s="16" t="n">
        <f aca="false">IF('Boletins Nuppa Site'!I1240&lt;&gt;0,'Boletins Nuppa Site'!I1240,"NULL")</f>
        <v>60</v>
      </c>
      <c r="G1240" s="16" t="n">
        <f aca="false">IF('Boletins Nuppa Site'!J1240&lt;&gt;0,'Boletins Nuppa Site'!J1240,"NULL")</f>
        <v>42</v>
      </c>
      <c r="H1240" s="16" t="n">
        <f aca="false">IF('Boletins Nuppa Site'!K1240&lt;&gt;0,'Boletins Nuppa Site'!K1240,"NULL")</f>
        <v>48</v>
      </c>
      <c r="J1240" s="1" t="str">
        <f aca="false">"INSERT INTO COTACAO (blt_id, pap_id, cot_prc_comum, cot_prc_min, cot_prc_max, cot_prc_med, cot_prc_mediana) VALUES ("&amp;B1240&amp;", "&amp;C1240&amp;", "&amp;D1240&amp;", "&amp;E1240&amp;", "&amp;F1240&amp;", "&amp;G1240&amp;", "&amp;H1240&amp;");"</f>
        <v>INSERT INTO COTACAO (blt_id, pap_id, cot_prc_comum, cot_prc_min, cot_prc_max, cot_prc_med, cot_prc_mediana) VALUES (33, 7, NULL, 6, 60, 42, 48);</v>
      </c>
    </row>
    <row r="1241" customFormat="false" ht="14.25" hidden="false" customHeight="false" outlineLevel="0" collapsed="false">
      <c r="A1241" s="1" t="n">
        <v>1240</v>
      </c>
      <c r="B1241" s="1" t="n">
        <v>33</v>
      </c>
      <c r="C1241" s="1" t="n">
        <v>8</v>
      </c>
      <c r="D1241" s="16" t="n">
        <f aca="false">IF('Boletins Nuppa Site'!G1241&lt;&gt;0,'Boletins Nuppa Site'!G1241,"NULL")</f>
        <v>72</v>
      </c>
      <c r="E1241" s="16" t="n">
        <f aca="false">IF('Boletins Nuppa Site'!H1241&lt;&gt;0,'Boletins Nuppa Site'!H1241,"NULL")</f>
        <v>7</v>
      </c>
      <c r="F1241" s="16" t="n">
        <f aca="false">IF('Boletins Nuppa Site'!I1241&lt;&gt;0,'Boletins Nuppa Site'!I1241,"NULL")</f>
        <v>96</v>
      </c>
      <c r="G1241" s="1" t="str">
        <f aca="false">IF('Boletins Nuppa Site'!J1241&lt;&gt;0,'Boletins Nuppa Site'!J1241,"NULL")</f>
        <v>61.17</v>
      </c>
      <c r="H1241" s="16" t="n">
        <f aca="false">IF('Boletins Nuppa Site'!K1241&lt;&gt;0,'Boletins Nuppa Site'!K1241,"NULL")</f>
        <v>66</v>
      </c>
      <c r="J1241" s="1" t="str">
        <f aca="false">"INSERT INTO COTACAO (blt_id, pap_id, cot_prc_comum, cot_prc_min, cot_prc_max, cot_prc_med, cot_prc_mediana) VALUES ("&amp;B1241&amp;", "&amp;C1241&amp;", "&amp;D1241&amp;", "&amp;E1241&amp;", "&amp;F1241&amp;", "&amp;G1241&amp;", "&amp;H1241&amp;");"</f>
        <v>INSERT INTO COTACAO (blt_id, pap_id, cot_prc_comum, cot_prc_min, cot_prc_max, cot_prc_med, cot_prc_mediana) VALUES (33, 8, 72, 7, 96, 61.17, 66);</v>
      </c>
    </row>
    <row r="1242" customFormat="false" ht="14.25" hidden="false" customHeight="false" outlineLevel="0" collapsed="false">
      <c r="A1242" s="1" t="n">
        <v>1241</v>
      </c>
      <c r="B1242" s="1" t="n">
        <v>33</v>
      </c>
      <c r="C1242" s="1" t="n">
        <v>9</v>
      </c>
      <c r="D1242" s="16" t="n">
        <f aca="false">IF('Boletins Nuppa Site'!G1242&lt;&gt;0,'Boletins Nuppa Site'!G1242,"NULL")</f>
        <v>24</v>
      </c>
      <c r="E1242" s="16" t="n">
        <f aca="false">IF('Boletins Nuppa Site'!H1242&lt;&gt;0,'Boletins Nuppa Site'!H1242,"NULL")</f>
        <v>2</v>
      </c>
      <c r="F1242" s="16" t="n">
        <f aca="false">IF('Boletins Nuppa Site'!I1242&lt;&gt;0,'Boletins Nuppa Site'!I1242,"NULL")</f>
        <v>24</v>
      </c>
      <c r="G1242" s="1" t="str">
        <f aca="false">IF('Boletins Nuppa Site'!J1242&lt;&gt;0,'Boletins Nuppa Site'!J1242,"NULL")</f>
        <v>18.33</v>
      </c>
      <c r="H1242" s="16" t="n">
        <f aca="false">IF('Boletins Nuppa Site'!K1242&lt;&gt;0,'Boletins Nuppa Site'!K1242,"NULL")</f>
        <v>21</v>
      </c>
      <c r="J1242" s="1" t="str">
        <f aca="false">"INSERT INTO COTACAO (blt_id, pap_id, cot_prc_comum, cot_prc_min, cot_prc_max, cot_prc_med, cot_prc_mediana) VALUES ("&amp;B1242&amp;", "&amp;C1242&amp;", "&amp;D1242&amp;", "&amp;E1242&amp;", "&amp;F1242&amp;", "&amp;G1242&amp;", "&amp;H1242&amp;");"</f>
        <v>INSERT INTO COTACAO (blt_id, pap_id, cot_prc_comum, cot_prc_min, cot_prc_max, cot_prc_med, cot_prc_mediana) VALUES (33, 9, 24, 2, 24, 18.33, 21);</v>
      </c>
    </row>
    <row r="1243" customFormat="false" ht="14.25" hidden="false" customHeight="false" outlineLevel="0" collapsed="false">
      <c r="A1243" s="1" t="n">
        <v>1242</v>
      </c>
      <c r="B1243" s="1" t="n">
        <v>33</v>
      </c>
      <c r="C1243" s="1" t="n">
        <v>10</v>
      </c>
      <c r="D1243" s="16" t="n">
        <f aca="false">IF('Boletins Nuppa Site'!G1243&lt;&gt;0,'Boletins Nuppa Site'!G1243,"NULL")</f>
        <v>60</v>
      </c>
      <c r="E1243" s="16" t="n">
        <f aca="false">IF('Boletins Nuppa Site'!H1243&lt;&gt;0,'Boletins Nuppa Site'!H1243,"NULL")</f>
        <v>15</v>
      </c>
      <c r="F1243" s="16" t="n">
        <f aca="false">IF('Boletins Nuppa Site'!I1243&lt;&gt;0,'Boletins Nuppa Site'!I1243,"NULL")</f>
        <v>60</v>
      </c>
      <c r="G1243" s="1" t="str">
        <f aca="false">IF('Boletins Nuppa Site'!J1243&lt;&gt;0,'Boletins Nuppa Site'!J1243,"NULL")</f>
        <v>41.4</v>
      </c>
      <c r="H1243" s="16" t="n">
        <f aca="false">IF('Boletins Nuppa Site'!K1243&lt;&gt;0,'Boletins Nuppa Site'!K1243,"NULL")</f>
        <v>48</v>
      </c>
      <c r="J1243" s="1" t="str">
        <f aca="false">"INSERT INTO COTACAO (blt_id, pap_id, cot_prc_comum, cot_prc_min, cot_prc_max, cot_prc_med, cot_prc_mediana) VALUES ("&amp;B1243&amp;", "&amp;C1243&amp;", "&amp;D1243&amp;", "&amp;E1243&amp;", "&amp;F1243&amp;", "&amp;G1243&amp;", "&amp;H1243&amp;");"</f>
        <v>INSERT INTO COTACAO (blt_id, pap_id, cot_prc_comum, cot_prc_min, cot_prc_max, cot_prc_med, cot_prc_mediana) VALUES (33, 10, 60, 15, 60, 41.4, 48);</v>
      </c>
    </row>
    <row r="1244" customFormat="false" ht="14.25" hidden="false" customHeight="false" outlineLevel="0" collapsed="false">
      <c r="A1244" s="1" t="n">
        <v>1243</v>
      </c>
      <c r="B1244" s="1" t="n">
        <v>33</v>
      </c>
      <c r="C1244" s="1" t="n">
        <v>11</v>
      </c>
      <c r="D1244" s="16" t="n">
        <f aca="false">IF('Boletins Nuppa Site'!G1244&lt;&gt;0,'Boletins Nuppa Site'!G1244,"NULL")</f>
        <v>24</v>
      </c>
      <c r="E1244" s="16" t="n">
        <f aca="false">IF('Boletins Nuppa Site'!H1244&lt;&gt;0,'Boletins Nuppa Site'!H1244,"NULL")</f>
        <v>6</v>
      </c>
      <c r="F1244" s="16" t="n">
        <f aca="false">IF('Boletins Nuppa Site'!I1244&lt;&gt;0,'Boletins Nuppa Site'!I1244,"NULL")</f>
        <v>60</v>
      </c>
      <c r="G1244" s="16" t="n">
        <f aca="false">IF('Boletins Nuppa Site'!J1244&lt;&gt;0,'Boletins Nuppa Site'!J1244,"NULL")</f>
        <v>27</v>
      </c>
      <c r="H1244" s="16" t="n">
        <f aca="false">IF('Boletins Nuppa Site'!K1244&lt;&gt;0,'Boletins Nuppa Site'!K1244,"NULL")</f>
        <v>24</v>
      </c>
      <c r="J1244" s="1" t="str">
        <f aca="false">"INSERT INTO COTACAO (blt_id, pap_id, cot_prc_comum, cot_prc_min, cot_prc_max, cot_prc_med, cot_prc_mediana) VALUES ("&amp;B1244&amp;", "&amp;C1244&amp;", "&amp;D1244&amp;", "&amp;E1244&amp;", "&amp;F1244&amp;", "&amp;G1244&amp;", "&amp;H1244&amp;");"</f>
        <v>INSERT INTO COTACAO (blt_id, pap_id, cot_prc_comum, cot_prc_min, cot_prc_max, cot_prc_med, cot_prc_mediana) VALUES (33, 11, 24, 6, 60, 27, 24);</v>
      </c>
    </row>
    <row r="1245" customFormat="false" ht="14.25" hidden="false" customHeight="false" outlineLevel="0" collapsed="false">
      <c r="A1245" s="1" t="n">
        <v>1244</v>
      </c>
      <c r="B1245" s="1" t="n">
        <v>33</v>
      </c>
      <c r="C1245" s="1" t="n">
        <v>12</v>
      </c>
      <c r="D1245" s="16" t="n">
        <f aca="false">IF('Boletins Nuppa Site'!G1245&lt;&gt;0,'Boletins Nuppa Site'!G1245,"NULL")</f>
        <v>48</v>
      </c>
      <c r="E1245" s="16" t="n">
        <f aca="false">IF('Boletins Nuppa Site'!H1245&lt;&gt;0,'Boletins Nuppa Site'!H1245,"NULL")</f>
        <v>5</v>
      </c>
      <c r="F1245" s="16" t="n">
        <f aca="false">IF('Boletins Nuppa Site'!I1245&lt;&gt;0,'Boletins Nuppa Site'!I1245,"NULL")</f>
        <v>60</v>
      </c>
      <c r="G1245" s="1" t="str">
        <f aca="false">IF('Boletins Nuppa Site'!J1245&lt;&gt;0,'Boletins Nuppa Site'!J1245,"NULL")</f>
        <v>44.2</v>
      </c>
      <c r="H1245" s="16" t="n">
        <f aca="false">IF('Boletins Nuppa Site'!K1245&lt;&gt;0,'Boletins Nuppa Site'!K1245,"NULL")</f>
        <v>48</v>
      </c>
      <c r="J1245" s="1" t="str">
        <f aca="false">"INSERT INTO COTACAO (blt_id, pap_id, cot_prc_comum, cot_prc_min, cot_prc_max, cot_prc_med, cot_prc_mediana) VALUES ("&amp;B1245&amp;", "&amp;C1245&amp;", "&amp;D1245&amp;", "&amp;E1245&amp;", "&amp;F1245&amp;", "&amp;G1245&amp;", "&amp;H1245&amp;");"</f>
        <v>INSERT INTO COTACAO (blt_id, pap_id, cot_prc_comum, cot_prc_min, cot_prc_max, cot_prc_med, cot_prc_mediana) VALUES (33, 12, 48, 5, 60, 44.2, 48);</v>
      </c>
    </row>
    <row r="1246" customFormat="false" ht="14.25" hidden="false" customHeight="false" outlineLevel="0" collapsed="false">
      <c r="A1246" s="1" t="n">
        <v>1245</v>
      </c>
      <c r="B1246" s="1" t="n">
        <v>33</v>
      </c>
      <c r="C1246" s="1" t="n">
        <v>13</v>
      </c>
      <c r="D1246" s="16" t="n">
        <f aca="false">IF('Boletins Nuppa Site'!G1246&lt;&gt;0,'Boletins Nuppa Site'!G1246,"NULL")</f>
        <v>48</v>
      </c>
      <c r="E1246" s="16" t="n">
        <f aca="false">IF('Boletins Nuppa Site'!H1246&lt;&gt;0,'Boletins Nuppa Site'!H1246,"NULL")</f>
        <v>7</v>
      </c>
      <c r="F1246" s="16" t="n">
        <f aca="false">IF('Boletins Nuppa Site'!I1246&lt;&gt;0,'Boletins Nuppa Site'!I1246,"NULL")</f>
        <v>60</v>
      </c>
      <c r="G1246" s="1" t="str">
        <f aca="false">IF('Boletins Nuppa Site'!J1246&lt;&gt;0,'Boletins Nuppa Site'!J1246,"NULL")</f>
        <v>42.2</v>
      </c>
      <c r="H1246" s="16" t="n">
        <f aca="false">IF('Boletins Nuppa Site'!K1246&lt;&gt;0,'Boletins Nuppa Site'!K1246,"NULL")</f>
        <v>48</v>
      </c>
      <c r="J1246" s="1" t="str">
        <f aca="false">"INSERT INTO COTACAO (blt_id, pap_id, cot_prc_comum, cot_prc_min, cot_prc_max, cot_prc_med, cot_prc_mediana) VALUES ("&amp;B1246&amp;", "&amp;C1246&amp;", "&amp;D1246&amp;", "&amp;E1246&amp;", "&amp;F1246&amp;", "&amp;G1246&amp;", "&amp;H1246&amp;");"</f>
        <v>INSERT INTO COTACAO (blt_id, pap_id, cot_prc_comum, cot_prc_min, cot_prc_max, cot_prc_med, cot_prc_mediana) VALUES (33, 13, 48, 7, 60, 42.2, 48);</v>
      </c>
    </row>
    <row r="1247" customFormat="false" ht="14.25" hidden="false" customHeight="false" outlineLevel="0" collapsed="false">
      <c r="A1247" s="1" t="n">
        <v>1246</v>
      </c>
      <c r="B1247" s="1" t="n">
        <v>33</v>
      </c>
      <c r="C1247" s="1" t="n">
        <v>14</v>
      </c>
      <c r="D1247" s="16" t="n">
        <f aca="false">IF('Boletins Nuppa Site'!G1247&lt;&gt;0,'Boletins Nuppa Site'!G1247,"NULL")</f>
        <v>48</v>
      </c>
      <c r="E1247" s="16" t="n">
        <f aca="false">IF('Boletins Nuppa Site'!H1247&lt;&gt;0,'Boletins Nuppa Site'!H1247,"NULL")</f>
        <v>20</v>
      </c>
      <c r="F1247" s="16" t="n">
        <f aca="false">IF('Boletins Nuppa Site'!I1247&lt;&gt;0,'Boletins Nuppa Site'!I1247,"NULL")</f>
        <v>60</v>
      </c>
      <c r="G1247" s="1" t="str">
        <f aca="false">IF('Boletins Nuppa Site'!J1247&lt;&gt;0,'Boletins Nuppa Site'!J1247,"NULL")</f>
        <v>42.4</v>
      </c>
      <c r="H1247" s="16" t="n">
        <f aca="false">IF('Boletins Nuppa Site'!K1247&lt;&gt;0,'Boletins Nuppa Site'!K1247,"NULL")</f>
        <v>48</v>
      </c>
      <c r="J1247" s="1" t="str">
        <f aca="false">"INSERT INTO COTACAO (blt_id, pap_id, cot_prc_comum, cot_prc_min, cot_prc_max, cot_prc_med, cot_prc_mediana) VALUES ("&amp;B1247&amp;", "&amp;C1247&amp;", "&amp;D1247&amp;", "&amp;E1247&amp;", "&amp;F1247&amp;", "&amp;G1247&amp;", "&amp;H1247&amp;");"</f>
        <v>INSERT INTO COTACAO (blt_id, pap_id, cot_prc_comum, cot_prc_min, cot_prc_max, cot_prc_med, cot_prc_mediana) VALUES (33, 14, 48, 20, 60, 42.4, 48);</v>
      </c>
    </row>
    <row r="1248" customFormat="false" ht="14.25" hidden="false" customHeight="false" outlineLevel="0" collapsed="false">
      <c r="A1248" s="1" t="n">
        <v>1247</v>
      </c>
      <c r="B1248" s="1" t="n">
        <v>33</v>
      </c>
      <c r="C1248" s="1" t="n">
        <v>15</v>
      </c>
      <c r="D1248" s="16" t="n">
        <f aca="false">IF('Boletins Nuppa Site'!G1248&lt;&gt;0,'Boletins Nuppa Site'!G1248,"NULL")</f>
        <v>36</v>
      </c>
      <c r="E1248" s="16" t="n">
        <f aca="false">IF('Boletins Nuppa Site'!H1248&lt;&gt;0,'Boletins Nuppa Site'!H1248,"NULL")</f>
        <v>4</v>
      </c>
      <c r="F1248" s="16" t="n">
        <f aca="false">IF('Boletins Nuppa Site'!I1248&lt;&gt;0,'Boletins Nuppa Site'!I1248,"NULL")</f>
        <v>50</v>
      </c>
      <c r="G1248" s="16" t="n">
        <f aca="false">IF('Boletins Nuppa Site'!J1248&lt;&gt;0,'Boletins Nuppa Site'!J1248,"NULL")</f>
        <v>33</v>
      </c>
      <c r="H1248" s="16" t="n">
        <f aca="false">IF('Boletins Nuppa Site'!K1248&lt;&gt;0,'Boletins Nuppa Site'!K1248,"NULL")</f>
        <v>36</v>
      </c>
      <c r="J1248" s="1" t="str">
        <f aca="false">"INSERT INTO COTACAO (blt_id, pap_id, cot_prc_comum, cot_prc_min, cot_prc_max, cot_prc_med, cot_prc_mediana) VALUES ("&amp;B1248&amp;", "&amp;C1248&amp;", "&amp;D1248&amp;", "&amp;E1248&amp;", "&amp;F1248&amp;", "&amp;G1248&amp;", "&amp;H1248&amp;");"</f>
        <v>INSERT INTO COTACAO (blt_id, pap_id, cot_prc_comum, cot_prc_min, cot_prc_max, cot_prc_med, cot_prc_mediana) VALUES (33, 15, 36, 4, 50, 33, 36);</v>
      </c>
    </row>
    <row r="1249" customFormat="false" ht="14.25" hidden="false" customHeight="false" outlineLevel="0" collapsed="false">
      <c r="A1249" s="1" t="n">
        <v>1248</v>
      </c>
      <c r="B1249" s="1" t="n">
        <v>33</v>
      </c>
      <c r="C1249" s="1" t="n">
        <v>16</v>
      </c>
      <c r="D1249" s="16" t="n">
        <f aca="false">IF('Boletins Nuppa Site'!G1249&lt;&gt;0,'Boletins Nuppa Site'!G1249,"NULL")</f>
        <v>48</v>
      </c>
      <c r="E1249" s="1" t="str">
        <f aca="false">IF('Boletins Nuppa Site'!H1249&lt;&gt;0,'Boletins Nuppa Site'!H1249,"NULL")</f>
        <v>4.5</v>
      </c>
      <c r="F1249" s="16" t="n">
        <f aca="false">IF('Boletins Nuppa Site'!I1249&lt;&gt;0,'Boletins Nuppa Site'!I1249,"NULL")</f>
        <v>60</v>
      </c>
      <c r="G1249" s="1" t="str">
        <f aca="false">IF('Boletins Nuppa Site'!J1249&lt;&gt;0,'Boletins Nuppa Site'!J1249,"NULL")</f>
        <v>42.75</v>
      </c>
      <c r="H1249" s="16" t="n">
        <f aca="false">IF('Boletins Nuppa Site'!K1249&lt;&gt;0,'Boletins Nuppa Site'!K1249,"NULL")</f>
        <v>48</v>
      </c>
      <c r="J1249" s="1" t="str">
        <f aca="false">"INSERT INTO COTACAO (blt_id, pap_id, cot_prc_comum, cot_prc_min, cot_prc_max, cot_prc_med, cot_prc_mediana) VALUES ("&amp;B1249&amp;", "&amp;C1249&amp;", "&amp;D1249&amp;", "&amp;E1249&amp;", "&amp;F1249&amp;", "&amp;G1249&amp;", "&amp;H1249&amp;");"</f>
        <v>INSERT INTO COTACAO (blt_id, pap_id, cot_prc_comum, cot_prc_min, cot_prc_max, cot_prc_med, cot_prc_mediana) VALUES (33, 16, 48, 4.5, 60, 42.75, 48);</v>
      </c>
    </row>
    <row r="1250" customFormat="false" ht="14.25" hidden="false" customHeight="false" outlineLevel="0" collapsed="false">
      <c r="A1250" s="1" t="n">
        <v>1249</v>
      </c>
      <c r="B1250" s="1" t="n">
        <v>33</v>
      </c>
      <c r="C1250" s="1" t="n">
        <v>17</v>
      </c>
      <c r="D1250" s="16" t="n">
        <f aca="false">IF('Boletins Nuppa Site'!G1250&lt;&gt;0,'Boletins Nuppa Site'!G1250,"NULL")</f>
        <v>5</v>
      </c>
      <c r="E1250" s="16" t="n">
        <f aca="false">IF('Boletins Nuppa Site'!H1250&lt;&gt;0,'Boletins Nuppa Site'!H1250,"NULL")</f>
        <v>4</v>
      </c>
      <c r="F1250" s="16" t="n">
        <f aca="false">IF('Boletins Nuppa Site'!I1250&lt;&gt;0,'Boletins Nuppa Site'!I1250,"NULL")</f>
        <v>5</v>
      </c>
      <c r="G1250" s="1" t="str">
        <f aca="false">IF('Boletins Nuppa Site'!J1250&lt;&gt;0,'Boletins Nuppa Site'!J1250,"NULL")</f>
        <v>4.8</v>
      </c>
      <c r="H1250" s="16" t="n">
        <f aca="false">IF('Boletins Nuppa Site'!K1250&lt;&gt;0,'Boletins Nuppa Site'!K1250,"NULL")</f>
        <v>5</v>
      </c>
      <c r="J1250" s="1" t="str">
        <f aca="false">"INSERT INTO COTACAO (blt_id, pap_id, cot_prc_comum, cot_prc_min, cot_prc_max, cot_prc_med, cot_prc_mediana) VALUES ("&amp;B1250&amp;", "&amp;C1250&amp;", "&amp;D1250&amp;", "&amp;E1250&amp;", "&amp;F1250&amp;", "&amp;G1250&amp;", "&amp;H1250&amp;");"</f>
        <v>INSERT INTO COTACAO (blt_id, pap_id, cot_prc_comum, cot_prc_min, cot_prc_max, cot_prc_med, cot_prc_mediana) VALUES (33, 17, 5, 4, 5, 4.8, 5);</v>
      </c>
    </row>
    <row r="1251" customFormat="false" ht="14.25" hidden="false" customHeight="false" outlineLevel="0" collapsed="false">
      <c r="A1251" s="1" t="n">
        <v>1250</v>
      </c>
      <c r="B1251" s="1" t="n">
        <v>33</v>
      </c>
      <c r="C1251" s="1" t="n">
        <v>18</v>
      </c>
      <c r="D1251" s="16" t="n">
        <f aca="false">IF('Boletins Nuppa Site'!G1251&lt;&gt;0,'Boletins Nuppa Site'!G1251,"NULL")</f>
        <v>10</v>
      </c>
      <c r="E1251" s="16" t="n">
        <f aca="false">IF('Boletins Nuppa Site'!H1251&lt;&gt;0,'Boletins Nuppa Site'!H1251,"NULL")</f>
        <v>8</v>
      </c>
      <c r="F1251" s="16" t="n">
        <f aca="false">IF('Boletins Nuppa Site'!I1251&lt;&gt;0,'Boletins Nuppa Site'!I1251,"NULL")</f>
        <v>12</v>
      </c>
      <c r="G1251" s="16" t="n">
        <f aca="false">IF('Boletins Nuppa Site'!J1251&lt;&gt;0,'Boletins Nuppa Site'!J1251,"NULL")</f>
        <v>10</v>
      </c>
      <c r="H1251" s="16" t="n">
        <f aca="false">IF('Boletins Nuppa Site'!K1251&lt;&gt;0,'Boletins Nuppa Site'!K1251,"NULL")</f>
        <v>10</v>
      </c>
      <c r="J1251" s="1" t="str">
        <f aca="false">"INSERT INTO COTACAO (blt_id, pap_id, cot_prc_comum, cot_prc_min, cot_prc_max, cot_prc_med, cot_prc_mediana) VALUES ("&amp;B1251&amp;", "&amp;C1251&amp;", "&amp;D1251&amp;", "&amp;E1251&amp;", "&amp;F1251&amp;", "&amp;G1251&amp;", "&amp;H1251&amp;");"</f>
        <v>INSERT INTO COTACAO (blt_id, pap_id, cot_prc_comum, cot_prc_min, cot_prc_max, cot_prc_med, cot_prc_mediana) VALUES (33, 18, 10, 8, 12, 10, 10);</v>
      </c>
    </row>
    <row r="1252" customFormat="false" ht="14.25" hidden="false" customHeight="false" outlineLevel="0" collapsed="false">
      <c r="A1252" s="1" t="n">
        <v>1251</v>
      </c>
      <c r="B1252" s="1" t="n">
        <v>33</v>
      </c>
      <c r="C1252" s="1" t="n">
        <v>19</v>
      </c>
      <c r="D1252" s="16" t="n">
        <f aca="false">IF('Boletins Nuppa Site'!G1252&lt;&gt;0,'Boletins Nuppa Site'!G1252,"NULL")</f>
        <v>30</v>
      </c>
      <c r="E1252" s="16" t="n">
        <f aca="false">IF('Boletins Nuppa Site'!H1252&lt;&gt;0,'Boletins Nuppa Site'!H1252,"NULL")</f>
        <v>10</v>
      </c>
      <c r="F1252" s="16" t="n">
        <f aca="false">IF('Boletins Nuppa Site'!I1252&lt;&gt;0,'Boletins Nuppa Site'!I1252,"NULL")</f>
        <v>30</v>
      </c>
      <c r="G1252" s="16" t="n">
        <f aca="false">IF('Boletins Nuppa Site'!J1252&lt;&gt;0,'Boletins Nuppa Site'!J1252,"NULL")</f>
        <v>21</v>
      </c>
      <c r="H1252" s="16" t="n">
        <f aca="false">IF('Boletins Nuppa Site'!K1252&lt;&gt;0,'Boletins Nuppa Site'!K1252,"NULL")</f>
        <v>20</v>
      </c>
      <c r="J1252" s="1" t="str">
        <f aca="false">"INSERT INTO COTACAO (blt_id, pap_id, cot_prc_comum, cot_prc_min, cot_prc_max, cot_prc_med, cot_prc_mediana) VALUES ("&amp;B1252&amp;", "&amp;C1252&amp;", "&amp;D1252&amp;", "&amp;E1252&amp;", "&amp;F1252&amp;", "&amp;G1252&amp;", "&amp;H1252&amp;");"</f>
        <v>INSERT INTO COTACAO (blt_id, pap_id, cot_prc_comum, cot_prc_min, cot_prc_max, cot_prc_med, cot_prc_mediana) VALUES (33, 19, 30, 10, 30, 21, 20);</v>
      </c>
    </row>
    <row r="1253" customFormat="false" ht="14.25" hidden="false" customHeight="false" outlineLevel="0" collapsed="false">
      <c r="A1253" s="1" t="n">
        <v>1252</v>
      </c>
      <c r="B1253" s="1" t="n">
        <v>33</v>
      </c>
      <c r="C1253" s="1" t="n">
        <v>20</v>
      </c>
      <c r="D1253" s="16" t="n">
        <f aca="false">IF('Boletins Nuppa Site'!G1253&lt;&gt;0,'Boletins Nuppa Site'!G1253,"NULL")</f>
        <v>70</v>
      </c>
      <c r="E1253" s="16" t="n">
        <f aca="false">IF('Boletins Nuppa Site'!H1253&lt;&gt;0,'Boletins Nuppa Site'!H1253,"NULL")</f>
        <v>65</v>
      </c>
      <c r="F1253" s="16" t="n">
        <f aca="false">IF('Boletins Nuppa Site'!I1253&lt;&gt;0,'Boletins Nuppa Site'!I1253,"NULL")</f>
        <v>70</v>
      </c>
      <c r="G1253" s="1" t="str">
        <f aca="false">IF('Boletins Nuppa Site'!J1253&lt;&gt;0,'Boletins Nuppa Site'!J1253,"NULL")</f>
        <v>68.33</v>
      </c>
      <c r="H1253" s="16" t="n">
        <f aca="false">IF('Boletins Nuppa Site'!K1253&lt;&gt;0,'Boletins Nuppa Site'!K1253,"NULL")</f>
        <v>70</v>
      </c>
      <c r="J1253" s="1" t="str">
        <f aca="false">"INSERT INTO COTACAO (blt_id, pap_id, cot_prc_comum, cot_prc_min, cot_prc_max, cot_prc_med, cot_prc_mediana) VALUES ("&amp;B1253&amp;", "&amp;C1253&amp;", "&amp;D1253&amp;", "&amp;E1253&amp;", "&amp;F1253&amp;", "&amp;G1253&amp;", "&amp;H1253&amp;");"</f>
        <v>INSERT INTO COTACAO (blt_id, pap_id, cot_prc_comum, cot_prc_min, cot_prc_max, cot_prc_med, cot_prc_mediana) VALUES (33, 20, 70, 65, 70, 68.33, 70);</v>
      </c>
    </row>
    <row r="1254" customFormat="false" ht="14.25" hidden="false" customHeight="false" outlineLevel="0" collapsed="false">
      <c r="A1254" s="1" t="n">
        <v>1253</v>
      </c>
      <c r="B1254" s="1" t="n">
        <v>33</v>
      </c>
      <c r="C1254" s="1" t="n">
        <v>21</v>
      </c>
      <c r="D1254" s="16" t="n">
        <f aca="false">IF('Boletins Nuppa Site'!G1254&lt;&gt;0,'Boletins Nuppa Site'!G1254,"NULL")</f>
        <v>50</v>
      </c>
      <c r="E1254" s="16" t="n">
        <f aca="false">IF('Boletins Nuppa Site'!H1254&lt;&gt;0,'Boletins Nuppa Site'!H1254,"NULL")</f>
        <v>25</v>
      </c>
      <c r="F1254" s="16" t="n">
        <f aca="false">IF('Boletins Nuppa Site'!I1254&lt;&gt;0,'Boletins Nuppa Site'!I1254,"NULL")</f>
        <v>50</v>
      </c>
      <c r="G1254" s="16" t="n">
        <f aca="false">IF('Boletins Nuppa Site'!J1254&lt;&gt;0,'Boletins Nuppa Site'!J1254,"NULL")</f>
        <v>40</v>
      </c>
      <c r="H1254" s="16" t="n">
        <f aca="false">IF('Boletins Nuppa Site'!K1254&lt;&gt;0,'Boletins Nuppa Site'!K1254,"NULL")</f>
        <v>40</v>
      </c>
      <c r="J1254" s="1" t="str">
        <f aca="false">"INSERT INTO COTACAO (blt_id, pap_id, cot_prc_comum, cot_prc_min, cot_prc_max, cot_prc_med, cot_prc_mediana) VALUES ("&amp;B1254&amp;", "&amp;C1254&amp;", "&amp;D1254&amp;", "&amp;E1254&amp;", "&amp;F1254&amp;", "&amp;G1254&amp;", "&amp;H1254&amp;");"</f>
        <v>INSERT INTO COTACAO (blt_id, pap_id, cot_prc_comum, cot_prc_min, cot_prc_max, cot_prc_med, cot_prc_mediana) VALUES (33, 21, 50, 25, 50, 40, 40);</v>
      </c>
    </row>
    <row r="1255" customFormat="false" ht="14.25" hidden="false" customHeight="false" outlineLevel="0" collapsed="false">
      <c r="A1255" s="1" t="n">
        <v>1254</v>
      </c>
      <c r="B1255" s="1" t="n">
        <v>33</v>
      </c>
      <c r="C1255" s="1" t="n">
        <v>22</v>
      </c>
      <c r="D1255" s="16" t="n">
        <f aca="false">IF('Boletins Nuppa Site'!G1255&lt;&gt;0,'Boletins Nuppa Site'!G1255,"NULL")</f>
        <v>80</v>
      </c>
      <c r="E1255" s="16" t="n">
        <f aca="false">IF('Boletins Nuppa Site'!H1255&lt;&gt;0,'Boletins Nuppa Site'!H1255,"NULL")</f>
        <v>45</v>
      </c>
      <c r="F1255" s="16" t="n">
        <f aca="false">IF('Boletins Nuppa Site'!I1255&lt;&gt;0,'Boletins Nuppa Site'!I1255,"NULL")</f>
        <v>80</v>
      </c>
      <c r="G1255" s="16" t="n">
        <f aca="false">IF('Boletins Nuppa Site'!J1255&lt;&gt;0,'Boletins Nuppa Site'!J1255,"NULL")</f>
        <v>68</v>
      </c>
      <c r="H1255" s="16" t="n">
        <f aca="false">IF('Boletins Nuppa Site'!K1255&lt;&gt;0,'Boletins Nuppa Site'!K1255,"NULL")</f>
        <v>70</v>
      </c>
      <c r="J1255" s="1" t="str">
        <f aca="false">"INSERT INTO COTACAO (blt_id, pap_id, cot_prc_comum, cot_prc_min, cot_prc_max, cot_prc_med, cot_prc_mediana) VALUES ("&amp;B1255&amp;", "&amp;C1255&amp;", "&amp;D1255&amp;", "&amp;E1255&amp;", "&amp;F1255&amp;", "&amp;G1255&amp;", "&amp;H1255&amp;");"</f>
        <v>INSERT INTO COTACAO (blt_id, pap_id, cot_prc_comum, cot_prc_min, cot_prc_max, cot_prc_med, cot_prc_mediana) VALUES (33, 22, 80, 45, 80, 68, 70);</v>
      </c>
    </row>
    <row r="1256" customFormat="false" ht="14.25" hidden="false" customHeight="false" outlineLevel="0" collapsed="false">
      <c r="A1256" s="1" t="n">
        <v>1255</v>
      </c>
      <c r="B1256" s="1" t="n">
        <v>33</v>
      </c>
      <c r="C1256" s="1" t="n">
        <v>23</v>
      </c>
      <c r="D1256" s="16" t="n">
        <f aca="false">IF('Boletins Nuppa Site'!G1256&lt;&gt;0,'Boletins Nuppa Site'!G1256,"NULL")</f>
        <v>50</v>
      </c>
      <c r="E1256" s="16" t="n">
        <f aca="false">IF('Boletins Nuppa Site'!H1256&lt;&gt;0,'Boletins Nuppa Site'!H1256,"NULL")</f>
        <v>45</v>
      </c>
      <c r="F1256" s="16" t="n">
        <f aca="false">IF('Boletins Nuppa Site'!I1256&lt;&gt;0,'Boletins Nuppa Site'!I1256,"NULL")</f>
        <v>60</v>
      </c>
      <c r="G1256" s="16" t="n">
        <f aca="false">IF('Boletins Nuppa Site'!J1256&lt;&gt;0,'Boletins Nuppa Site'!J1256,"NULL")</f>
        <v>51</v>
      </c>
      <c r="H1256" s="16" t="n">
        <f aca="false">IF('Boletins Nuppa Site'!K1256&lt;&gt;0,'Boletins Nuppa Site'!K1256,"NULL")</f>
        <v>50</v>
      </c>
      <c r="J1256" s="1" t="str">
        <f aca="false">"INSERT INTO COTACAO (blt_id, pap_id, cot_prc_comum, cot_prc_min, cot_prc_max, cot_prc_med, cot_prc_mediana) VALUES ("&amp;B1256&amp;", "&amp;C1256&amp;", "&amp;D1256&amp;", "&amp;E1256&amp;", "&amp;F1256&amp;", "&amp;G1256&amp;", "&amp;H1256&amp;");"</f>
        <v>INSERT INTO COTACAO (blt_id, pap_id, cot_prc_comum, cot_prc_min, cot_prc_max, cot_prc_med, cot_prc_mediana) VALUES (33, 23, 50, 45, 60, 51, 50);</v>
      </c>
    </row>
    <row r="1257" customFormat="false" ht="14.25" hidden="false" customHeight="false" outlineLevel="0" collapsed="false">
      <c r="A1257" s="1" t="n">
        <v>1256</v>
      </c>
      <c r="B1257" s="1" t="n">
        <v>33</v>
      </c>
      <c r="C1257" s="1" t="n">
        <v>24</v>
      </c>
      <c r="D1257" s="16" t="n">
        <f aca="false">IF('Boletins Nuppa Site'!G1257&lt;&gt;0,'Boletins Nuppa Site'!G1257,"NULL")</f>
        <v>90</v>
      </c>
      <c r="E1257" s="16" t="n">
        <f aca="false">IF('Boletins Nuppa Site'!H1257&lt;&gt;0,'Boletins Nuppa Site'!H1257,"NULL")</f>
        <v>90</v>
      </c>
      <c r="F1257" s="16" t="n">
        <f aca="false">IF('Boletins Nuppa Site'!I1257&lt;&gt;0,'Boletins Nuppa Site'!I1257,"NULL")</f>
        <v>100</v>
      </c>
      <c r="G1257" s="1" t="str">
        <f aca="false">IF('Boletins Nuppa Site'!J1257&lt;&gt;0,'Boletins Nuppa Site'!J1257,"NULL")</f>
        <v>93.33</v>
      </c>
      <c r="H1257" s="16" t="n">
        <f aca="false">IF('Boletins Nuppa Site'!K1257&lt;&gt;0,'Boletins Nuppa Site'!K1257,"NULL")</f>
        <v>90</v>
      </c>
      <c r="J1257" s="1" t="str">
        <f aca="false">"INSERT INTO COTACAO (blt_id, pap_id, cot_prc_comum, cot_prc_min, cot_prc_max, cot_prc_med, cot_prc_mediana) VALUES ("&amp;B1257&amp;", "&amp;C1257&amp;", "&amp;D1257&amp;", "&amp;E1257&amp;", "&amp;F1257&amp;", "&amp;G1257&amp;", "&amp;H1257&amp;");"</f>
        <v>INSERT INTO COTACAO (blt_id, pap_id, cot_prc_comum, cot_prc_min, cot_prc_max, cot_prc_med, cot_prc_mediana) VALUES (33, 24, 90, 90, 100, 93.33, 90);</v>
      </c>
    </row>
    <row r="1258" customFormat="false" ht="14.25" hidden="false" customHeight="false" outlineLevel="0" collapsed="false">
      <c r="A1258" s="1" t="n">
        <v>1257</v>
      </c>
      <c r="B1258" s="1" t="n">
        <v>33</v>
      </c>
      <c r="C1258" s="1" t="n">
        <v>25</v>
      </c>
      <c r="D1258" s="16" t="n">
        <f aca="false">IF('Boletins Nuppa Site'!G1258&lt;&gt;0,'Boletins Nuppa Site'!G1258,"NULL")</f>
        <v>60</v>
      </c>
      <c r="E1258" s="16" t="n">
        <f aca="false">IF('Boletins Nuppa Site'!H1258&lt;&gt;0,'Boletins Nuppa Site'!H1258,"NULL")</f>
        <v>60</v>
      </c>
      <c r="F1258" s="16" t="n">
        <f aca="false">IF('Boletins Nuppa Site'!I1258&lt;&gt;0,'Boletins Nuppa Site'!I1258,"NULL")</f>
        <v>80</v>
      </c>
      <c r="G1258" s="16" t="n">
        <f aca="false">IF('Boletins Nuppa Site'!J1258&lt;&gt;0,'Boletins Nuppa Site'!J1258,"NULL")</f>
        <v>68</v>
      </c>
      <c r="H1258" s="16" t="n">
        <f aca="false">IF('Boletins Nuppa Site'!K1258&lt;&gt;0,'Boletins Nuppa Site'!K1258,"NULL")</f>
        <v>70</v>
      </c>
      <c r="J1258" s="1" t="str">
        <f aca="false">"INSERT INTO COTACAO (blt_id, pap_id, cot_prc_comum, cot_prc_min, cot_prc_max, cot_prc_med, cot_prc_mediana) VALUES ("&amp;B1258&amp;", "&amp;C1258&amp;", "&amp;D1258&amp;", "&amp;E1258&amp;", "&amp;F1258&amp;", "&amp;G1258&amp;", "&amp;H1258&amp;");"</f>
        <v>INSERT INTO COTACAO (blt_id, pap_id, cot_prc_comum, cot_prc_min, cot_prc_max, cot_prc_med, cot_prc_mediana) VALUES (33, 25, 60, 60, 80, 68, 70);</v>
      </c>
    </row>
    <row r="1259" customFormat="false" ht="14.25" hidden="false" customHeight="false" outlineLevel="0" collapsed="false">
      <c r="A1259" s="1" t="n">
        <v>1258</v>
      </c>
      <c r="B1259" s="1" t="n">
        <v>33</v>
      </c>
      <c r="C1259" s="1" t="n">
        <v>26</v>
      </c>
      <c r="D1259" s="16" t="n">
        <f aca="false">IF('Boletins Nuppa Site'!G1259&lt;&gt;0,'Boletins Nuppa Site'!G1259,"NULL")</f>
        <v>55</v>
      </c>
      <c r="E1259" s="16" t="n">
        <f aca="false">IF('Boletins Nuppa Site'!H1259&lt;&gt;0,'Boletins Nuppa Site'!H1259,"NULL")</f>
        <v>40</v>
      </c>
      <c r="F1259" s="16" t="n">
        <f aca="false">IF('Boletins Nuppa Site'!I1259&lt;&gt;0,'Boletins Nuppa Site'!I1259,"NULL")</f>
        <v>55</v>
      </c>
      <c r="G1259" s="16" t="n">
        <f aca="false">IF('Boletins Nuppa Site'!J1259&lt;&gt;0,'Boletins Nuppa Site'!J1259,"NULL")</f>
        <v>48</v>
      </c>
      <c r="H1259" s="16" t="n">
        <f aca="false">IF('Boletins Nuppa Site'!K1259&lt;&gt;0,'Boletins Nuppa Site'!K1259,"NULL")</f>
        <v>50</v>
      </c>
      <c r="J1259" s="1" t="str">
        <f aca="false">"INSERT INTO COTACAO (blt_id, pap_id, cot_prc_comum, cot_prc_min, cot_prc_max, cot_prc_med, cot_prc_mediana) VALUES ("&amp;B1259&amp;", "&amp;C1259&amp;", "&amp;D1259&amp;", "&amp;E1259&amp;", "&amp;F1259&amp;", "&amp;G1259&amp;", "&amp;H1259&amp;");"</f>
        <v>INSERT INTO COTACAO (blt_id, pap_id, cot_prc_comum, cot_prc_min, cot_prc_max, cot_prc_med, cot_prc_mediana) VALUES (33, 26, 55, 40, 55, 48, 50);</v>
      </c>
    </row>
    <row r="1260" customFormat="false" ht="14.25" hidden="false" customHeight="false" outlineLevel="0" collapsed="false">
      <c r="A1260" s="1" t="n">
        <v>1259</v>
      </c>
      <c r="B1260" s="1" t="n">
        <v>33</v>
      </c>
      <c r="C1260" s="1" t="n">
        <v>27</v>
      </c>
      <c r="D1260" s="16" t="n">
        <f aca="false">IF('Boletins Nuppa Site'!G1260&lt;&gt;0,'Boletins Nuppa Site'!G1260,"NULL")</f>
        <v>50</v>
      </c>
      <c r="E1260" s="16" t="n">
        <f aca="false">IF('Boletins Nuppa Site'!H1260&lt;&gt;0,'Boletins Nuppa Site'!H1260,"NULL")</f>
        <v>50</v>
      </c>
      <c r="F1260" s="16" t="n">
        <f aca="false">IF('Boletins Nuppa Site'!I1260&lt;&gt;0,'Boletins Nuppa Site'!I1260,"NULL")</f>
        <v>80</v>
      </c>
      <c r="G1260" s="16" t="n">
        <f aca="false">IF('Boletins Nuppa Site'!J1260&lt;&gt;0,'Boletins Nuppa Site'!J1260,"NULL")</f>
        <v>57</v>
      </c>
      <c r="H1260" s="16" t="n">
        <f aca="false">IF('Boletins Nuppa Site'!K1260&lt;&gt;0,'Boletins Nuppa Site'!K1260,"NULL")</f>
        <v>50</v>
      </c>
      <c r="J1260" s="1" t="str">
        <f aca="false">"INSERT INTO COTACAO (blt_id, pap_id, cot_prc_comum, cot_prc_min, cot_prc_max, cot_prc_med, cot_prc_mediana) VALUES ("&amp;B1260&amp;", "&amp;C1260&amp;", "&amp;D1260&amp;", "&amp;E1260&amp;", "&amp;F1260&amp;", "&amp;G1260&amp;", "&amp;H1260&amp;");"</f>
        <v>INSERT INTO COTACAO (blt_id, pap_id, cot_prc_comum, cot_prc_min, cot_prc_max, cot_prc_med, cot_prc_mediana) VALUES (33, 27, 50, 50, 80, 57, 50);</v>
      </c>
    </row>
    <row r="1261" customFormat="false" ht="14.25" hidden="false" customHeight="false" outlineLevel="0" collapsed="false">
      <c r="A1261" s="1" t="n">
        <v>1260</v>
      </c>
      <c r="B1261" s="1" t="n">
        <v>33</v>
      </c>
      <c r="C1261" s="1" t="n">
        <v>28</v>
      </c>
      <c r="D1261" s="16" t="n">
        <f aca="false">IF('Boletins Nuppa Site'!G1261&lt;&gt;0,'Boletins Nuppa Site'!G1261,"NULL")</f>
        <v>90</v>
      </c>
      <c r="E1261" s="16" t="n">
        <f aca="false">IF('Boletins Nuppa Site'!H1261&lt;&gt;0,'Boletins Nuppa Site'!H1261,"NULL")</f>
        <v>70</v>
      </c>
      <c r="F1261" s="16" t="n">
        <f aca="false">IF('Boletins Nuppa Site'!I1261&lt;&gt;0,'Boletins Nuppa Site'!I1261,"NULL")</f>
        <v>100</v>
      </c>
      <c r="G1261" s="1" t="str">
        <f aca="false">IF('Boletins Nuppa Site'!J1261&lt;&gt;0,'Boletins Nuppa Site'!J1261,"NULL")</f>
        <v>87.5</v>
      </c>
      <c r="H1261" s="16" t="n">
        <f aca="false">IF('Boletins Nuppa Site'!K1261&lt;&gt;0,'Boletins Nuppa Site'!K1261,"NULL")</f>
        <v>90</v>
      </c>
      <c r="J1261" s="1" t="str">
        <f aca="false">"INSERT INTO COTACAO (blt_id, pap_id, cot_prc_comum, cot_prc_min, cot_prc_max, cot_prc_med, cot_prc_mediana) VALUES ("&amp;B1261&amp;", "&amp;C1261&amp;", "&amp;D1261&amp;", "&amp;E1261&amp;", "&amp;F1261&amp;", "&amp;G1261&amp;", "&amp;H1261&amp;");"</f>
        <v>INSERT INTO COTACAO (blt_id, pap_id, cot_prc_comum, cot_prc_min, cot_prc_max, cot_prc_med, cot_prc_mediana) VALUES (33, 28, 90, 70, 100, 87.5, 90);</v>
      </c>
    </row>
    <row r="1262" customFormat="false" ht="14.25" hidden="false" customHeight="false" outlineLevel="0" collapsed="false">
      <c r="A1262" s="1" t="n">
        <v>1261</v>
      </c>
      <c r="B1262" s="1" t="n">
        <v>33</v>
      </c>
      <c r="C1262" s="1" t="n">
        <v>29</v>
      </c>
      <c r="D1262" s="1" t="str">
        <f aca="false">IF('Boletins Nuppa Site'!G1262&lt;&gt;0,'Boletins Nuppa Site'!G1262,"NULL")</f>
        <v>NULL</v>
      </c>
      <c r="E1262" s="16" t="n">
        <f aca="false">IF('Boletins Nuppa Site'!H1262&lt;&gt;0,'Boletins Nuppa Site'!H1262,"NULL")</f>
        <v>35</v>
      </c>
      <c r="F1262" s="16" t="n">
        <f aca="false">IF('Boletins Nuppa Site'!I1262&lt;&gt;0,'Boletins Nuppa Site'!I1262,"NULL")</f>
        <v>50</v>
      </c>
      <c r="G1262" s="1" t="str">
        <f aca="false">IF('Boletins Nuppa Site'!J1262&lt;&gt;0,'Boletins Nuppa Site'!J1262,"NULL")</f>
        <v>41.67</v>
      </c>
      <c r="H1262" s="16" t="n">
        <f aca="false">IF('Boletins Nuppa Site'!K1262&lt;&gt;0,'Boletins Nuppa Site'!K1262,"NULL")</f>
        <v>40</v>
      </c>
      <c r="J1262" s="1" t="str">
        <f aca="false">"INSERT INTO COTACAO (blt_id, pap_id, cot_prc_comum, cot_prc_min, cot_prc_max, cot_prc_med, cot_prc_mediana) VALUES ("&amp;B1262&amp;", "&amp;C1262&amp;", "&amp;D1262&amp;", "&amp;E1262&amp;", "&amp;F1262&amp;", "&amp;G1262&amp;", "&amp;H1262&amp;");"</f>
        <v>INSERT INTO COTACAO (blt_id, pap_id, cot_prc_comum, cot_prc_min, cot_prc_max, cot_prc_med, cot_prc_mediana) VALUES (33, 29, NULL, 35, 50, 41.67, 40);</v>
      </c>
    </row>
    <row r="1263" customFormat="false" ht="14.25" hidden="false" customHeight="false" outlineLevel="0" collapsed="false">
      <c r="A1263" s="1" t="n">
        <v>1262</v>
      </c>
      <c r="B1263" s="1" t="n">
        <v>33</v>
      </c>
      <c r="C1263" s="1" t="n">
        <v>30</v>
      </c>
      <c r="D1263" s="1" t="str">
        <f aca="false">IF('Boletins Nuppa Site'!G1263&lt;&gt;0,'Boletins Nuppa Site'!G1263,"NULL")</f>
        <v>NULL</v>
      </c>
      <c r="E1263" s="16" t="n">
        <f aca="false">IF('Boletins Nuppa Site'!H1263&lt;&gt;0,'Boletins Nuppa Site'!H1263,"NULL")</f>
        <v>85</v>
      </c>
      <c r="F1263" s="16" t="n">
        <f aca="false">IF('Boletins Nuppa Site'!I1263&lt;&gt;0,'Boletins Nuppa Site'!I1263,"NULL")</f>
        <v>100</v>
      </c>
      <c r="G1263" s="1" t="str">
        <f aca="false">IF('Boletins Nuppa Site'!J1263&lt;&gt;0,'Boletins Nuppa Site'!J1263,"NULL")</f>
        <v>91.67</v>
      </c>
      <c r="H1263" s="16" t="n">
        <f aca="false">IF('Boletins Nuppa Site'!K1263&lt;&gt;0,'Boletins Nuppa Site'!K1263,"NULL")</f>
        <v>90</v>
      </c>
      <c r="J1263" s="1" t="str">
        <f aca="false">"INSERT INTO COTACAO (blt_id, pap_id, cot_prc_comum, cot_prc_min, cot_prc_max, cot_prc_med, cot_prc_mediana) VALUES ("&amp;B1263&amp;", "&amp;C1263&amp;", "&amp;D1263&amp;", "&amp;E1263&amp;", "&amp;F1263&amp;", "&amp;G1263&amp;", "&amp;H1263&amp;");"</f>
        <v>INSERT INTO COTACAO (blt_id, pap_id, cot_prc_comum, cot_prc_min, cot_prc_max, cot_prc_med, cot_prc_mediana) VALUES (33, 30, NULL, 85, 100, 91.67, 90);</v>
      </c>
    </row>
    <row r="1264" customFormat="false" ht="14.25" hidden="false" customHeight="false" outlineLevel="0" collapsed="false">
      <c r="A1264" s="1" t="n">
        <v>1263</v>
      </c>
      <c r="B1264" s="1" t="n">
        <v>33</v>
      </c>
      <c r="C1264" s="1" t="n">
        <v>31</v>
      </c>
      <c r="D1264" s="16" t="n">
        <f aca="false">IF('Boletins Nuppa Site'!G1264&lt;&gt;0,'Boletins Nuppa Site'!G1264,"NULL")</f>
        <v>100</v>
      </c>
      <c r="E1264" s="16" t="n">
        <f aca="false">IF('Boletins Nuppa Site'!H1264&lt;&gt;0,'Boletins Nuppa Site'!H1264,"NULL")</f>
        <v>100</v>
      </c>
      <c r="F1264" s="16" t="n">
        <f aca="false">IF('Boletins Nuppa Site'!I1264&lt;&gt;0,'Boletins Nuppa Site'!I1264,"NULL")</f>
        <v>135</v>
      </c>
      <c r="G1264" s="16" t="n">
        <f aca="false">IF('Boletins Nuppa Site'!J1264&lt;&gt;0,'Boletins Nuppa Site'!J1264,"NULL")</f>
        <v>117</v>
      </c>
      <c r="H1264" s="16" t="n">
        <f aca="false">IF('Boletins Nuppa Site'!K1264&lt;&gt;0,'Boletins Nuppa Site'!K1264,"NULL")</f>
        <v>120</v>
      </c>
      <c r="J1264" s="1" t="str">
        <f aca="false">"INSERT INTO COTACAO (blt_id, pap_id, cot_prc_comum, cot_prc_min, cot_prc_max, cot_prc_med, cot_prc_mediana) VALUES ("&amp;B1264&amp;", "&amp;C1264&amp;", "&amp;D1264&amp;", "&amp;E1264&amp;", "&amp;F1264&amp;", "&amp;G1264&amp;", "&amp;H1264&amp;");"</f>
        <v>INSERT INTO COTACAO (blt_id, pap_id, cot_prc_comum, cot_prc_min, cot_prc_max, cot_prc_med, cot_prc_mediana) VALUES (33, 31, 100, 100, 135, 117, 120);</v>
      </c>
    </row>
    <row r="1265" customFormat="false" ht="14.25" hidden="false" customHeight="false" outlineLevel="0" collapsed="false">
      <c r="A1265" s="1" t="n">
        <v>1264</v>
      </c>
      <c r="B1265" s="1" t="n">
        <v>33</v>
      </c>
      <c r="C1265" s="1" t="n">
        <v>32</v>
      </c>
      <c r="D1265" s="16" t="n">
        <f aca="false">IF('Boletins Nuppa Site'!G1265&lt;&gt;0,'Boletins Nuppa Site'!G1265,"NULL")</f>
        <v>60</v>
      </c>
      <c r="E1265" s="16" t="n">
        <f aca="false">IF('Boletins Nuppa Site'!H1265&lt;&gt;0,'Boletins Nuppa Site'!H1265,"NULL")</f>
        <v>40</v>
      </c>
      <c r="F1265" s="16" t="n">
        <f aca="false">IF('Boletins Nuppa Site'!I1265&lt;&gt;0,'Boletins Nuppa Site'!I1265,"NULL")</f>
        <v>60</v>
      </c>
      <c r="G1265" s="16" t="n">
        <f aca="false">IF('Boletins Nuppa Site'!J1265&lt;&gt;0,'Boletins Nuppa Site'!J1265,"NULL")</f>
        <v>53</v>
      </c>
      <c r="H1265" s="16" t="n">
        <f aca="false">IF('Boletins Nuppa Site'!K1265&lt;&gt;0,'Boletins Nuppa Site'!K1265,"NULL")</f>
        <v>55</v>
      </c>
      <c r="J1265" s="1" t="str">
        <f aca="false">"INSERT INTO COTACAO (blt_id, pap_id, cot_prc_comum, cot_prc_min, cot_prc_max, cot_prc_med, cot_prc_mediana) VALUES ("&amp;B1265&amp;", "&amp;C1265&amp;", "&amp;D1265&amp;", "&amp;E1265&amp;", "&amp;F1265&amp;", "&amp;G1265&amp;", "&amp;H1265&amp;");"</f>
        <v>INSERT INTO COTACAO (blt_id, pap_id, cot_prc_comum, cot_prc_min, cot_prc_max, cot_prc_med, cot_prc_mediana) VALUES (33, 32, 60, 40, 60, 53, 55);</v>
      </c>
    </row>
    <row r="1266" customFormat="false" ht="14.25" hidden="false" customHeight="false" outlineLevel="0" collapsed="false">
      <c r="A1266" s="1" t="n">
        <v>1265</v>
      </c>
      <c r="B1266" s="1" t="n">
        <v>33</v>
      </c>
      <c r="C1266" s="1" t="n">
        <v>33</v>
      </c>
      <c r="D1266" s="16" t="n">
        <f aca="false">IF('Boletins Nuppa Site'!G1266&lt;&gt;0,'Boletins Nuppa Site'!G1266,"NULL")</f>
        <v>150</v>
      </c>
      <c r="E1266" s="16" t="n">
        <f aca="false">IF('Boletins Nuppa Site'!H1266&lt;&gt;0,'Boletins Nuppa Site'!H1266,"NULL")</f>
        <v>140</v>
      </c>
      <c r="F1266" s="16" t="n">
        <f aca="false">IF('Boletins Nuppa Site'!I1266&lt;&gt;0,'Boletins Nuppa Site'!I1266,"NULL")</f>
        <v>150</v>
      </c>
      <c r="G1266" s="16" t="n">
        <f aca="false">IF('Boletins Nuppa Site'!J1266&lt;&gt;0,'Boletins Nuppa Site'!J1266,"NULL")</f>
        <v>146</v>
      </c>
      <c r="H1266" s="16" t="n">
        <f aca="false">IF('Boletins Nuppa Site'!K1266&lt;&gt;0,'Boletins Nuppa Site'!K1266,"NULL")</f>
        <v>150</v>
      </c>
      <c r="J1266" s="1" t="str">
        <f aca="false">"INSERT INTO COTACAO (blt_id, pap_id, cot_prc_comum, cot_prc_min, cot_prc_max, cot_prc_med, cot_prc_mediana) VALUES ("&amp;B1266&amp;", "&amp;C1266&amp;", "&amp;D1266&amp;", "&amp;E1266&amp;", "&amp;F1266&amp;", "&amp;G1266&amp;", "&amp;H1266&amp;");"</f>
        <v>INSERT INTO COTACAO (blt_id, pap_id, cot_prc_comum, cot_prc_min, cot_prc_max, cot_prc_med, cot_prc_mediana) VALUES (33, 33, 150, 140, 150, 146, 150);</v>
      </c>
    </row>
    <row r="1267" customFormat="false" ht="14.25" hidden="false" customHeight="false" outlineLevel="0" collapsed="false">
      <c r="A1267" s="1" t="n">
        <v>1266</v>
      </c>
      <c r="B1267" s="1" t="n">
        <v>33</v>
      </c>
      <c r="C1267" s="1" t="n">
        <v>34</v>
      </c>
      <c r="D1267" s="16" t="n">
        <f aca="false">IF('Boletins Nuppa Site'!G1267&lt;&gt;0,'Boletins Nuppa Site'!G1267,"NULL")</f>
        <v>70</v>
      </c>
      <c r="E1267" s="16" t="n">
        <f aca="false">IF('Boletins Nuppa Site'!H1267&lt;&gt;0,'Boletins Nuppa Site'!H1267,"NULL")</f>
        <v>60</v>
      </c>
      <c r="F1267" s="16" t="n">
        <f aca="false">IF('Boletins Nuppa Site'!I1267&lt;&gt;0,'Boletins Nuppa Site'!I1267,"NULL")</f>
        <v>80</v>
      </c>
      <c r="G1267" s="16" t="n">
        <f aca="false">IF('Boletins Nuppa Site'!J1267&lt;&gt;0,'Boletins Nuppa Site'!J1267,"NULL")</f>
        <v>69</v>
      </c>
      <c r="H1267" s="16" t="n">
        <f aca="false">IF('Boletins Nuppa Site'!K1267&lt;&gt;0,'Boletins Nuppa Site'!K1267,"NULL")</f>
        <v>70</v>
      </c>
      <c r="J1267" s="1" t="str">
        <f aca="false">"INSERT INTO COTACAO (blt_id, pap_id, cot_prc_comum, cot_prc_min, cot_prc_max, cot_prc_med, cot_prc_mediana) VALUES ("&amp;B1267&amp;", "&amp;C1267&amp;", "&amp;D1267&amp;", "&amp;E1267&amp;", "&amp;F1267&amp;", "&amp;G1267&amp;", "&amp;H1267&amp;");"</f>
        <v>INSERT INTO COTACAO (blt_id, pap_id, cot_prc_comum, cot_prc_min, cot_prc_max, cot_prc_med, cot_prc_mediana) VALUES (33, 34, 70, 60, 80, 69, 70);</v>
      </c>
    </row>
    <row r="1268" customFormat="false" ht="14.25" hidden="false" customHeight="false" outlineLevel="0" collapsed="false">
      <c r="A1268" s="1" t="n">
        <v>1267</v>
      </c>
      <c r="B1268" s="1" t="n">
        <v>33</v>
      </c>
      <c r="C1268" s="1" t="n">
        <v>35</v>
      </c>
      <c r="D1268" s="16" t="n">
        <f aca="false">IF('Boletins Nuppa Site'!G1268&lt;&gt;0,'Boletins Nuppa Site'!G1268,"NULL")</f>
        <v>150</v>
      </c>
      <c r="E1268" s="16" t="n">
        <f aca="false">IF('Boletins Nuppa Site'!H1268&lt;&gt;0,'Boletins Nuppa Site'!H1268,"NULL")</f>
        <v>120</v>
      </c>
      <c r="F1268" s="16" t="n">
        <f aca="false">IF('Boletins Nuppa Site'!I1268&lt;&gt;0,'Boletins Nuppa Site'!I1268,"NULL")</f>
        <v>150</v>
      </c>
      <c r="G1268" s="16" t="n">
        <f aca="false">IF('Boletins Nuppa Site'!J1268&lt;&gt;0,'Boletins Nuppa Site'!J1268,"NULL")</f>
        <v>140</v>
      </c>
      <c r="H1268" s="16" t="n">
        <f aca="false">IF('Boletins Nuppa Site'!K1268&lt;&gt;0,'Boletins Nuppa Site'!K1268,"NULL")</f>
        <v>150</v>
      </c>
      <c r="J1268" s="1" t="str">
        <f aca="false">"INSERT INTO COTACAO (blt_id, pap_id, cot_prc_comum, cot_prc_min, cot_prc_max, cot_prc_med, cot_prc_mediana) VALUES ("&amp;B1268&amp;", "&amp;C1268&amp;", "&amp;D1268&amp;", "&amp;E1268&amp;", "&amp;F1268&amp;", "&amp;G1268&amp;", "&amp;H1268&amp;");"</f>
        <v>INSERT INTO COTACAO (blt_id, pap_id, cot_prc_comum, cot_prc_min, cot_prc_max, cot_prc_med, cot_prc_mediana) VALUES (33, 35, 150, 120, 150, 140, 150);</v>
      </c>
    </row>
    <row r="1269" customFormat="false" ht="14.25" hidden="false" customHeight="false" outlineLevel="0" collapsed="false">
      <c r="A1269" s="1" t="n">
        <v>1268</v>
      </c>
      <c r="B1269" s="1" t="n">
        <v>33</v>
      </c>
      <c r="C1269" s="1" t="n">
        <v>36</v>
      </c>
      <c r="D1269" s="1" t="str">
        <f aca="false">IF('Boletins Nuppa Site'!G1269&lt;&gt;0,'Boletins Nuppa Site'!G1269,"NULL")</f>
        <v>NULL</v>
      </c>
      <c r="E1269" s="1" t="str">
        <f aca="false">IF('Boletins Nuppa Site'!H1269&lt;&gt;0,'Boletins Nuppa Site'!H1269,"NULL")</f>
        <v>NULL</v>
      </c>
      <c r="F1269" s="1" t="str">
        <f aca="false">IF('Boletins Nuppa Site'!I1269&lt;&gt;0,'Boletins Nuppa Site'!I1269,"NULL")</f>
        <v>NULL</v>
      </c>
      <c r="G1269" s="1" t="str">
        <f aca="false">IF('Boletins Nuppa Site'!J1269&lt;&gt;0,'Boletins Nuppa Site'!J1269,"NULL")</f>
        <v>NULL</v>
      </c>
      <c r="H1269" s="1" t="str">
        <f aca="false">IF('Boletins Nuppa Site'!K1269&lt;&gt;0,'Boletins Nuppa Site'!K1269,"NULL")</f>
        <v>NULL</v>
      </c>
      <c r="J1269" s="1" t="str">
        <f aca="false">"INSERT INTO COTACAO (blt_id, pap_id, cot_prc_comum, cot_prc_min, cot_prc_max, cot_prc_med, cot_prc_mediana) VALUES ("&amp;B1269&amp;", "&amp;C1269&amp;", "&amp;D1269&amp;", "&amp;E1269&amp;", "&amp;F1269&amp;", "&amp;G1269&amp;", "&amp;H1269&amp;");"</f>
        <v>INSERT INTO COTACAO (blt_id, pap_id, cot_prc_comum, cot_prc_min, cot_prc_max, cot_prc_med, cot_prc_mediana) VALUES (33, 36, NULL, NULL, NULL, NULL, NULL);</v>
      </c>
    </row>
    <row r="1270" customFormat="false" ht="14.25" hidden="false" customHeight="false" outlineLevel="0" collapsed="false">
      <c r="A1270" s="1" t="n">
        <v>1269</v>
      </c>
      <c r="B1270" s="1" t="n">
        <v>33</v>
      </c>
      <c r="C1270" s="1" t="n">
        <v>37</v>
      </c>
      <c r="D1270" s="1" t="str">
        <f aca="false">IF('Boletins Nuppa Site'!G1270&lt;&gt;0,'Boletins Nuppa Site'!G1270,"NULL")</f>
        <v>NULL</v>
      </c>
      <c r="E1270" s="1" t="str">
        <f aca="false">IF('Boletins Nuppa Site'!H1270&lt;&gt;0,'Boletins Nuppa Site'!H1270,"NULL")</f>
        <v>NULL</v>
      </c>
      <c r="F1270" s="1" t="str">
        <f aca="false">IF('Boletins Nuppa Site'!I1270&lt;&gt;0,'Boletins Nuppa Site'!I1270,"NULL")</f>
        <v>NULL</v>
      </c>
      <c r="G1270" s="1" t="str">
        <f aca="false">IF('Boletins Nuppa Site'!J1270&lt;&gt;0,'Boletins Nuppa Site'!J1270,"NULL")</f>
        <v>NULL</v>
      </c>
      <c r="H1270" s="1" t="str">
        <f aca="false">IF('Boletins Nuppa Site'!K1270&lt;&gt;0,'Boletins Nuppa Site'!K1270,"NULL")</f>
        <v>NULL</v>
      </c>
      <c r="J1270" s="1" t="str">
        <f aca="false">"INSERT INTO COTACAO (blt_id, pap_id, cot_prc_comum, cot_prc_min, cot_prc_max, cot_prc_med, cot_prc_mediana) VALUES ("&amp;B1270&amp;", "&amp;C1270&amp;", "&amp;D1270&amp;", "&amp;E1270&amp;", "&amp;F1270&amp;", "&amp;G1270&amp;", "&amp;H1270&amp;");"</f>
        <v>INSERT INTO COTACAO (blt_id, pap_id, cot_prc_comum, cot_prc_min, cot_prc_max, cot_prc_med, cot_prc_mediana) VALUES (33, 37, NULL, NULL, NULL, NULL, NULL);</v>
      </c>
    </row>
    <row r="1271" customFormat="false" ht="14.25" hidden="false" customHeight="false" outlineLevel="0" collapsed="false">
      <c r="A1271" s="1" t="n">
        <v>1270</v>
      </c>
      <c r="B1271" s="1" t="n">
        <v>33</v>
      </c>
      <c r="C1271" s="1" t="n">
        <v>38</v>
      </c>
      <c r="D1271" s="1" t="str">
        <f aca="false">IF('Boletins Nuppa Site'!G1271&lt;&gt;0,'Boletins Nuppa Site'!G1271,"NULL")</f>
        <v>NULL</v>
      </c>
      <c r="E1271" s="1" t="str">
        <f aca="false">IF('Boletins Nuppa Site'!H1271&lt;&gt;0,'Boletins Nuppa Site'!H1271,"NULL")</f>
        <v>NULL</v>
      </c>
      <c r="F1271" s="1" t="str">
        <f aca="false">IF('Boletins Nuppa Site'!I1271&lt;&gt;0,'Boletins Nuppa Site'!I1271,"NULL")</f>
        <v>NULL</v>
      </c>
      <c r="G1271" s="1" t="str">
        <f aca="false">IF('Boletins Nuppa Site'!J1271&lt;&gt;0,'Boletins Nuppa Site'!J1271,"NULL")</f>
        <v>NULL</v>
      </c>
      <c r="H1271" s="1" t="str">
        <f aca="false">IF('Boletins Nuppa Site'!K1271&lt;&gt;0,'Boletins Nuppa Site'!K1271,"NULL")</f>
        <v>NULL</v>
      </c>
      <c r="J1271" s="1" t="str">
        <f aca="false">"INSERT INTO COTACAO (blt_id, pap_id, cot_prc_comum, cot_prc_min, cot_prc_max, cot_prc_med, cot_prc_mediana) VALUES ("&amp;B1271&amp;", "&amp;C1271&amp;", "&amp;D1271&amp;", "&amp;E1271&amp;", "&amp;F1271&amp;", "&amp;G1271&amp;", "&amp;H1271&amp;");"</f>
        <v>INSERT INTO COTACAO (blt_id, pap_id, cot_prc_comum, cot_prc_min, cot_prc_max, cot_prc_med, cot_prc_mediana) VALUES (33, 38, NULL, NULL, NULL, NULL, NULL);</v>
      </c>
    </row>
    <row r="1272" customFormat="false" ht="14.25" hidden="false" customHeight="false" outlineLevel="0" collapsed="false">
      <c r="A1272" s="1" t="n">
        <v>1271</v>
      </c>
      <c r="B1272" s="1" t="n">
        <v>33</v>
      </c>
      <c r="C1272" s="1" t="n">
        <v>39</v>
      </c>
      <c r="D1272" s="1" t="str">
        <f aca="false">IF('Boletins Nuppa Site'!G1272&lt;&gt;0,'Boletins Nuppa Site'!G1272,"NULL")</f>
        <v>NULL</v>
      </c>
      <c r="E1272" s="16" t="n">
        <f aca="false">IF('Boletins Nuppa Site'!H1272&lt;&gt;0,'Boletins Nuppa Site'!H1272,"NULL")</f>
        <v>50</v>
      </c>
      <c r="F1272" s="16" t="n">
        <f aca="false">IF('Boletins Nuppa Site'!I1272&lt;&gt;0,'Boletins Nuppa Site'!I1272,"NULL")</f>
        <v>50</v>
      </c>
      <c r="G1272" s="16" t="n">
        <f aca="false">IF('Boletins Nuppa Site'!J1272&lt;&gt;0,'Boletins Nuppa Site'!J1272,"NULL")</f>
        <v>50</v>
      </c>
      <c r="H1272" s="16" t="n">
        <f aca="false">IF('Boletins Nuppa Site'!K1272&lt;&gt;0,'Boletins Nuppa Site'!K1272,"NULL")</f>
        <v>50</v>
      </c>
      <c r="J1272" s="1" t="str">
        <f aca="false">"INSERT INTO COTACAO (blt_id, pap_id, cot_prc_comum, cot_prc_min, cot_prc_max, cot_prc_med, cot_prc_mediana) VALUES ("&amp;B1272&amp;", "&amp;C1272&amp;", "&amp;D1272&amp;", "&amp;E1272&amp;", "&amp;F1272&amp;", "&amp;G1272&amp;", "&amp;H1272&amp;");"</f>
        <v>INSERT INTO COTACAO (blt_id, pap_id, cot_prc_comum, cot_prc_min, cot_prc_max, cot_prc_med, cot_prc_mediana) VALUES (33, 39, NULL, 50, 50, 50, 50);</v>
      </c>
    </row>
    <row r="1273" customFormat="false" ht="14.25" hidden="false" customHeight="false" outlineLevel="0" collapsed="false">
      <c r="A1273" s="1" t="n">
        <v>1272</v>
      </c>
      <c r="B1273" s="1" t="n">
        <v>33</v>
      </c>
      <c r="C1273" s="1" t="n">
        <v>40</v>
      </c>
      <c r="D1273" s="1" t="str">
        <f aca="false">IF('Boletins Nuppa Site'!G1273&lt;&gt;0,'Boletins Nuppa Site'!G1273,"NULL")</f>
        <v>NULL</v>
      </c>
      <c r="E1273" s="1" t="str">
        <f aca="false">IF('Boletins Nuppa Site'!H1273&lt;&gt;0,'Boletins Nuppa Site'!H1273,"NULL")</f>
        <v>NULL</v>
      </c>
      <c r="F1273" s="1" t="str">
        <f aca="false">IF('Boletins Nuppa Site'!I1273&lt;&gt;0,'Boletins Nuppa Site'!I1273,"NULL")</f>
        <v>NULL</v>
      </c>
      <c r="G1273" s="1" t="str">
        <f aca="false">IF('Boletins Nuppa Site'!J1273&lt;&gt;0,'Boletins Nuppa Site'!J1273,"NULL")</f>
        <v>NULL</v>
      </c>
      <c r="H1273" s="1" t="str">
        <f aca="false">IF('Boletins Nuppa Site'!K1273&lt;&gt;0,'Boletins Nuppa Site'!K1273,"NULL")</f>
        <v>NULL</v>
      </c>
      <c r="J1273" s="1" t="str">
        <f aca="false">"INSERT INTO COTACAO (blt_id, pap_id, cot_prc_comum, cot_prc_min, cot_prc_max, cot_prc_med, cot_prc_mediana) VALUES ("&amp;B1273&amp;", "&amp;C1273&amp;", "&amp;D1273&amp;", "&amp;E1273&amp;", "&amp;F1273&amp;", "&amp;G1273&amp;", "&amp;H1273&amp;");"</f>
        <v>INSERT INTO COTACAO (blt_id, pap_id, cot_prc_comum, cot_prc_min, cot_prc_max, cot_prc_med, cot_prc_mediana) VALUES (33, 40, NULL, NULL, NULL, NULL, NULL);</v>
      </c>
    </row>
    <row r="1274" customFormat="false" ht="14.25" hidden="false" customHeight="false" outlineLevel="0" collapsed="false">
      <c r="A1274" s="1" t="n">
        <v>1273</v>
      </c>
      <c r="B1274" s="1" t="n">
        <v>34</v>
      </c>
      <c r="C1274" s="1" t="n">
        <v>1</v>
      </c>
      <c r="D1274" s="16" t="n">
        <f aca="false">IF('Boletins Nuppa Site'!G1274&lt;&gt;0,'Boletins Nuppa Site'!G1274,"NULL")</f>
        <v>48</v>
      </c>
      <c r="E1274" s="16" t="n">
        <f aca="false">IF('Boletins Nuppa Site'!H1274&lt;&gt;0,'Boletins Nuppa Site'!H1274,"NULL")</f>
        <v>48</v>
      </c>
      <c r="F1274" s="16" t="n">
        <f aca="false">IF('Boletins Nuppa Site'!I1274&lt;&gt;0,'Boletins Nuppa Site'!I1274,"NULL")</f>
        <v>60</v>
      </c>
      <c r="G1274" s="16" t="n">
        <f aca="false">IF('Boletins Nuppa Site'!J1274&lt;&gt;0,'Boletins Nuppa Site'!J1274,"NULL")</f>
        <v>51</v>
      </c>
      <c r="H1274" s="16" t="n">
        <f aca="false">IF('Boletins Nuppa Site'!K1274&lt;&gt;0,'Boletins Nuppa Site'!K1274,"NULL")</f>
        <v>48</v>
      </c>
      <c r="J1274" s="1" t="str">
        <f aca="false">"INSERT INTO COTACAO (blt_id, pap_id, cot_prc_comum, cot_prc_min, cot_prc_max, cot_prc_med, cot_prc_mediana) VALUES ("&amp;B1274&amp;", "&amp;C1274&amp;", "&amp;D1274&amp;", "&amp;E1274&amp;", "&amp;F1274&amp;", "&amp;G1274&amp;", "&amp;H1274&amp;");"</f>
        <v>INSERT INTO COTACAO (blt_id, pap_id, cot_prc_comum, cot_prc_min, cot_prc_max, cot_prc_med, cot_prc_mediana) VALUES (34, 1, 48, 48, 60, 51, 48);</v>
      </c>
    </row>
    <row r="1275" customFormat="false" ht="14.25" hidden="false" customHeight="false" outlineLevel="0" collapsed="false">
      <c r="A1275" s="1" t="n">
        <v>1274</v>
      </c>
      <c r="B1275" s="1" t="n">
        <v>34</v>
      </c>
      <c r="C1275" s="1" t="n">
        <v>2</v>
      </c>
      <c r="D1275" s="16" t="n">
        <f aca="false">IF('Boletins Nuppa Site'!G1275&lt;&gt;0,'Boletins Nuppa Site'!G1275,"NULL")</f>
        <v>84</v>
      </c>
      <c r="E1275" s="16" t="n">
        <f aca="false">IF('Boletins Nuppa Site'!H1275&lt;&gt;0,'Boletins Nuppa Site'!H1275,"NULL")</f>
        <v>60</v>
      </c>
      <c r="F1275" s="16" t="n">
        <f aca="false">IF('Boletins Nuppa Site'!I1275&lt;&gt;0,'Boletins Nuppa Site'!I1275,"NULL")</f>
        <v>84</v>
      </c>
      <c r="G1275" s="16" t="n">
        <f aca="false">IF('Boletins Nuppa Site'!J1275&lt;&gt;0,'Boletins Nuppa Site'!J1275,"NULL")</f>
        <v>75</v>
      </c>
      <c r="H1275" s="16" t="n">
        <f aca="false">IF('Boletins Nuppa Site'!K1275&lt;&gt;0,'Boletins Nuppa Site'!K1275,"NULL")</f>
        <v>78</v>
      </c>
      <c r="J1275" s="1" t="str">
        <f aca="false">"INSERT INTO COTACAO (blt_id, pap_id, cot_prc_comum, cot_prc_min, cot_prc_max, cot_prc_med, cot_prc_mediana) VALUES ("&amp;B1275&amp;", "&amp;C1275&amp;", "&amp;D1275&amp;", "&amp;E1275&amp;", "&amp;F1275&amp;", "&amp;G1275&amp;", "&amp;H1275&amp;");"</f>
        <v>INSERT INTO COTACAO (blt_id, pap_id, cot_prc_comum, cot_prc_min, cot_prc_max, cot_prc_med, cot_prc_mediana) VALUES (34, 2, 84, 60, 84, 75, 78);</v>
      </c>
    </row>
    <row r="1276" customFormat="false" ht="14.25" hidden="false" customHeight="false" outlineLevel="0" collapsed="false">
      <c r="A1276" s="1" t="n">
        <v>1275</v>
      </c>
      <c r="B1276" s="1" t="n">
        <v>34</v>
      </c>
      <c r="C1276" s="1" t="n">
        <v>3</v>
      </c>
      <c r="D1276" s="16" t="n">
        <f aca="false">IF('Boletins Nuppa Site'!G1276&lt;&gt;0,'Boletins Nuppa Site'!G1276,"NULL")</f>
        <v>36</v>
      </c>
      <c r="E1276" s="16" t="n">
        <f aca="false">IF('Boletins Nuppa Site'!H1276&lt;&gt;0,'Boletins Nuppa Site'!H1276,"NULL")</f>
        <v>36</v>
      </c>
      <c r="F1276" s="16" t="n">
        <f aca="false">IF('Boletins Nuppa Site'!I1276&lt;&gt;0,'Boletins Nuppa Site'!I1276,"NULL")</f>
        <v>48</v>
      </c>
      <c r="G1276" s="1" t="str">
        <f aca="false">IF('Boletins Nuppa Site'!J1276&lt;&gt;0,'Boletins Nuppa Site'!J1276,"NULL")</f>
        <v>38.4</v>
      </c>
      <c r="H1276" s="16" t="n">
        <f aca="false">IF('Boletins Nuppa Site'!K1276&lt;&gt;0,'Boletins Nuppa Site'!K1276,"NULL")</f>
        <v>36</v>
      </c>
      <c r="J1276" s="1" t="str">
        <f aca="false">"INSERT INTO COTACAO (blt_id, pap_id, cot_prc_comum, cot_prc_min, cot_prc_max, cot_prc_med, cot_prc_mediana) VALUES ("&amp;B1276&amp;", "&amp;C1276&amp;", "&amp;D1276&amp;", "&amp;E1276&amp;", "&amp;F1276&amp;", "&amp;G1276&amp;", "&amp;H1276&amp;");"</f>
        <v>INSERT INTO COTACAO (blt_id, pap_id, cot_prc_comum, cot_prc_min, cot_prc_max, cot_prc_med, cot_prc_mediana) VALUES (34, 3, 36, 36, 48, 38.4, 36);</v>
      </c>
    </row>
    <row r="1277" customFormat="false" ht="14.25" hidden="false" customHeight="false" outlineLevel="0" collapsed="false">
      <c r="A1277" s="1" t="n">
        <v>1276</v>
      </c>
      <c r="B1277" s="1" t="n">
        <v>34</v>
      </c>
      <c r="C1277" s="1" t="n">
        <v>4</v>
      </c>
      <c r="D1277" s="16" t="n">
        <f aca="false">IF('Boletins Nuppa Site'!G1277&lt;&gt;0,'Boletins Nuppa Site'!G1277,"NULL")</f>
        <v>24</v>
      </c>
      <c r="E1277" s="16" t="n">
        <f aca="false">IF('Boletins Nuppa Site'!H1277&lt;&gt;0,'Boletins Nuppa Site'!H1277,"NULL")</f>
        <v>15</v>
      </c>
      <c r="F1277" s="16" t="n">
        <f aca="false">IF('Boletins Nuppa Site'!I1277&lt;&gt;0,'Boletins Nuppa Site'!I1277,"NULL")</f>
        <v>36</v>
      </c>
      <c r="G1277" s="1" t="str">
        <f aca="false">IF('Boletins Nuppa Site'!J1277&lt;&gt;0,'Boletins Nuppa Site'!J1277,"NULL")</f>
        <v>23.4</v>
      </c>
      <c r="H1277" s="16" t="n">
        <f aca="false">IF('Boletins Nuppa Site'!K1277&lt;&gt;0,'Boletins Nuppa Site'!K1277,"NULL")</f>
        <v>24</v>
      </c>
      <c r="J1277" s="1" t="str">
        <f aca="false">"INSERT INTO COTACAO (blt_id, pap_id, cot_prc_comum, cot_prc_min, cot_prc_max, cot_prc_med, cot_prc_mediana) VALUES ("&amp;B1277&amp;", "&amp;C1277&amp;", "&amp;D1277&amp;", "&amp;E1277&amp;", "&amp;F1277&amp;", "&amp;G1277&amp;", "&amp;H1277&amp;");"</f>
        <v>INSERT INTO COTACAO (blt_id, pap_id, cot_prc_comum, cot_prc_min, cot_prc_max, cot_prc_med, cot_prc_mediana) VALUES (34, 4, 24, 15, 36, 23.4, 24);</v>
      </c>
    </row>
    <row r="1278" customFormat="false" ht="14.25" hidden="false" customHeight="false" outlineLevel="0" collapsed="false">
      <c r="A1278" s="1" t="n">
        <v>1277</v>
      </c>
      <c r="B1278" s="1" t="n">
        <v>34</v>
      </c>
      <c r="C1278" s="1" t="n">
        <v>5</v>
      </c>
      <c r="D1278" s="16" t="n">
        <f aca="false">IF('Boletins Nuppa Site'!G1278&lt;&gt;0,'Boletins Nuppa Site'!G1278,"NULL")</f>
        <v>24</v>
      </c>
      <c r="E1278" s="16" t="n">
        <f aca="false">IF('Boletins Nuppa Site'!H1278&lt;&gt;0,'Boletins Nuppa Site'!H1278,"NULL")</f>
        <v>15</v>
      </c>
      <c r="F1278" s="16" t="n">
        <f aca="false">IF('Boletins Nuppa Site'!I1278&lt;&gt;0,'Boletins Nuppa Site'!I1278,"NULL")</f>
        <v>36</v>
      </c>
      <c r="G1278" s="1" t="str">
        <f aca="false">IF('Boletins Nuppa Site'!J1278&lt;&gt;0,'Boletins Nuppa Site'!J1278,"NULL")</f>
        <v>24.75</v>
      </c>
      <c r="H1278" s="16" t="n">
        <f aca="false">IF('Boletins Nuppa Site'!K1278&lt;&gt;0,'Boletins Nuppa Site'!K1278,"NULL")</f>
        <v>24</v>
      </c>
      <c r="J1278" s="1" t="str">
        <f aca="false">"INSERT INTO COTACAO (blt_id, pap_id, cot_prc_comum, cot_prc_min, cot_prc_max, cot_prc_med, cot_prc_mediana) VALUES ("&amp;B1278&amp;", "&amp;C1278&amp;", "&amp;D1278&amp;", "&amp;E1278&amp;", "&amp;F1278&amp;", "&amp;G1278&amp;", "&amp;H1278&amp;");"</f>
        <v>INSERT INTO COTACAO (blt_id, pap_id, cot_prc_comum, cot_prc_min, cot_prc_max, cot_prc_med, cot_prc_mediana) VALUES (34, 5, 24, 15, 36, 24.75, 24);</v>
      </c>
    </row>
    <row r="1279" customFormat="false" ht="14.25" hidden="false" customHeight="false" outlineLevel="0" collapsed="false">
      <c r="A1279" s="1" t="n">
        <v>1278</v>
      </c>
      <c r="B1279" s="1" t="n">
        <v>34</v>
      </c>
      <c r="C1279" s="1" t="n">
        <v>6</v>
      </c>
      <c r="D1279" s="16" t="n">
        <f aca="false">IF('Boletins Nuppa Site'!G1279&lt;&gt;0,'Boletins Nuppa Site'!G1279,"NULL")</f>
        <v>60</v>
      </c>
      <c r="E1279" s="16" t="n">
        <f aca="false">IF('Boletins Nuppa Site'!H1279&lt;&gt;0,'Boletins Nuppa Site'!H1279,"NULL")</f>
        <v>60</v>
      </c>
      <c r="F1279" s="16" t="n">
        <f aca="false">IF('Boletins Nuppa Site'!I1279&lt;&gt;0,'Boletins Nuppa Site'!I1279,"NULL")</f>
        <v>60</v>
      </c>
      <c r="G1279" s="16" t="n">
        <f aca="false">IF('Boletins Nuppa Site'!J1279&lt;&gt;0,'Boletins Nuppa Site'!J1279,"NULL")</f>
        <v>60</v>
      </c>
      <c r="H1279" s="16" t="n">
        <f aca="false">IF('Boletins Nuppa Site'!K1279&lt;&gt;0,'Boletins Nuppa Site'!K1279,"NULL")</f>
        <v>60</v>
      </c>
      <c r="J1279" s="1" t="str">
        <f aca="false">"INSERT INTO COTACAO (blt_id, pap_id, cot_prc_comum, cot_prc_min, cot_prc_max, cot_prc_med, cot_prc_mediana) VALUES ("&amp;B1279&amp;", "&amp;C1279&amp;", "&amp;D1279&amp;", "&amp;E1279&amp;", "&amp;F1279&amp;", "&amp;G1279&amp;", "&amp;H1279&amp;");"</f>
        <v>INSERT INTO COTACAO (blt_id, pap_id, cot_prc_comum, cot_prc_min, cot_prc_max, cot_prc_med, cot_prc_mediana) VALUES (34, 6, 60, 60, 60, 60, 60);</v>
      </c>
    </row>
    <row r="1280" customFormat="false" ht="14.25" hidden="false" customHeight="false" outlineLevel="0" collapsed="false">
      <c r="A1280" s="1" t="n">
        <v>1279</v>
      </c>
      <c r="B1280" s="1" t="n">
        <v>34</v>
      </c>
      <c r="C1280" s="1" t="n">
        <v>7</v>
      </c>
      <c r="D1280" s="16" t="n">
        <f aca="false">IF('Boletins Nuppa Site'!G1280&lt;&gt;0,'Boletins Nuppa Site'!G1280,"NULL")</f>
        <v>48</v>
      </c>
      <c r="E1280" s="16" t="n">
        <f aca="false">IF('Boletins Nuppa Site'!H1280&lt;&gt;0,'Boletins Nuppa Site'!H1280,"NULL")</f>
        <v>48</v>
      </c>
      <c r="F1280" s="16" t="n">
        <f aca="false">IF('Boletins Nuppa Site'!I1280&lt;&gt;0,'Boletins Nuppa Site'!I1280,"NULL")</f>
        <v>72</v>
      </c>
      <c r="G1280" s="16" t="n">
        <f aca="false">IF('Boletins Nuppa Site'!J1280&lt;&gt;0,'Boletins Nuppa Site'!J1280,"NULL")</f>
        <v>57</v>
      </c>
      <c r="H1280" s="16" t="n">
        <f aca="false">IF('Boletins Nuppa Site'!K1280&lt;&gt;0,'Boletins Nuppa Site'!K1280,"NULL")</f>
        <v>54</v>
      </c>
      <c r="J1280" s="1" t="str">
        <f aca="false">"INSERT INTO COTACAO (blt_id, pap_id, cot_prc_comum, cot_prc_min, cot_prc_max, cot_prc_med, cot_prc_mediana) VALUES ("&amp;B1280&amp;", "&amp;C1280&amp;", "&amp;D1280&amp;", "&amp;E1280&amp;", "&amp;F1280&amp;", "&amp;G1280&amp;", "&amp;H1280&amp;");"</f>
        <v>INSERT INTO COTACAO (blt_id, pap_id, cot_prc_comum, cot_prc_min, cot_prc_max, cot_prc_med, cot_prc_mediana) VALUES (34, 7, 48, 48, 72, 57, 54);</v>
      </c>
    </row>
    <row r="1281" customFormat="false" ht="14.25" hidden="false" customHeight="false" outlineLevel="0" collapsed="false">
      <c r="A1281" s="1" t="n">
        <v>1280</v>
      </c>
      <c r="B1281" s="1" t="n">
        <v>34</v>
      </c>
      <c r="C1281" s="1" t="n">
        <v>8</v>
      </c>
      <c r="D1281" s="16" t="n">
        <f aca="false">IF('Boletins Nuppa Site'!G1281&lt;&gt;0,'Boletins Nuppa Site'!G1281,"NULL")</f>
        <v>72</v>
      </c>
      <c r="E1281" s="16" t="n">
        <f aca="false">IF('Boletins Nuppa Site'!H1281&lt;&gt;0,'Boletins Nuppa Site'!H1281,"NULL")</f>
        <v>60</v>
      </c>
      <c r="F1281" s="16" t="n">
        <f aca="false">IF('Boletins Nuppa Site'!I1281&lt;&gt;0,'Boletins Nuppa Site'!I1281,"NULL")</f>
        <v>72</v>
      </c>
      <c r="G1281" s="1" t="str">
        <f aca="false">IF('Boletins Nuppa Site'!J1281&lt;&gt;0,'Boletins Nuppa Site'!J1281,"NULL")</f>
        <v>67.2</v>
      </c>
      <c r="H1281" s="16" t="n">
        <f aca="false">IF('Boletins Nuppa Site'!K1281&lt;&gt;0,'Boletins Nuppa Site'!K1281,"NULL")</f>
        <v>72</v>
      </c>
      <c r="J1281" s="1" t="str">
        <f aca="false">"INSERT INTO COTACAO (blt_id, pap_id, cot_prc_comum, cot_prc_min, cot_prc_max, cot_prc_med, cot_prc_mediana) VALUES ("&amp;B1281&amp;", "&amp;C1281&amp;", "&amp;D1281&amp;", "&amp;E1281&amp;", "&amp;F1281&amp;", "&amp;G1281&amp;", "&amp;H1281&amp;");"</f>
        <v>INSERT INTO COTACAO (blt_id, pap_id, cot_prc_comum, cot_prc_min, cot_prc_max, cot_prc_med, cot_prc_mediana) VALUES (34, 8, 72, 60, 72, 67.2, 72);</v>
      </c>
    </row>
    <row r="1282" customFormat="false" ht="14.25" hidden="false" customHeight="false" outlineLevel="0" collapsed="false">
      <c r="A1282" s="1" t="n">
        <v>1281</v>
      </c>
      <c r="B1282" s="1" t="n">
        <v>34</v>
      </c>
      <c r="C1282" s="1" t="n">
        <v>9</v>
      </c>
      <c r="D1282" s="16" t="n">
        <f aca="false">IF('Boletins Nuppa Site'!G1282&lt;&gt;0,'Boletins Nuppa Site'!G1282,"NULL")</f>
        <v>24</v>
      </c>
      <c r="E1282" s="16" t="n">
        <f aca="false">IF('Boletins Nuppa Site'!H1282&lt;&gt;0,'Boletins Nuppa Site'!H1282,"NULL")</f>
        <v>18</v>
      </c>
      <c r="F1282" s="16" t="n">
        <f aca="false">IF('Boletins Nuppa Site'!I1282&lt;&gt;0,'Boletins Nuppa Site'!I1282,"NULL")</f>
        <v>24</v>
      </c>
      <c r="G1282" s="1" t="str">
        <f aca="false">IF('Boletins Nuppa Site'!J1282&lt;&gt;0,'Boletins Nuppa Site'!J1282,"NULL")</f>
        <v>21.6</v>
      </c>
      <c r="H1282" s="16" t="n">
        <f aca="false">IF('Boletins Nuppa Site'!K1282&lt;&gt;0,'Boletins Nuppa Site'!K1282,"NULL")</f>
        <v>24</v>
      </c>
      <c r="J1282" s="1" t="str">
        <f aca="false">"INSERT INTO COTACAO (blt_id, pap_id, cot_prc_comum, cot_prc_min, cot_prc_max, cot_prc_med, cot_prc_mediana) VALUES ("&amp;B1282&amp;", "&amp;C1282&amp;", "&amp;D1282&amp;", "&amp;E1282&amp;", "&amp;F1282&amp;", "&amp;G1282&amp;", "&amp;H1282&amp;");"</f>
        <v>INSERT INTO COTACAO (blt_id, pap_id, cot_prc_comum, cot_prc_min, cot_prc_max, cot_prc_med, cot_prc_mediana) VALUES (34, 9, 24, 18, 24, 21.6, 24);</v>
      </c>
    </row>
    <row r="1283" customFormat="false" ht="14.25" hidden="false" customHeight="false" outlineLevel="0" collapsed="false">
      <c r="A1283" s="1" t="n">
        <v>1282</v>
      </c>
      <c r="B1283" s="1" t="n">
        <v>34</v>
      </c>
      <c r="C1283" s="1" t="n">
        <v>10</v>
      </c>
      <c r="D1283" s="16" t="n">
        <f aca="false">IF('Boletins Nuppa Site'!G1283&lt;&gt;0,'Boletins Nuppa Site'!G1283,"NULL")</f>
        <v>60</v>
      </c>
      <c r="E1283" s="16" t="n">
        <f aca="false">IF('Boletins Nuppa Site'!H1283&lt;&gt;0,'Boletins Nuppa Site'!H1283,"NULL")</f>
        <v>60</v>
      </c>
      <c r="F1283" s="16" t="n">
        <f aca="false">IF('Boletins Nuppa Site'!I1283&lt;&gt;0,'Boletins Nuppa Site'!I1283,"NULL")</f>
        <v>72</v>
      </c>
      <c r="G1283" s="1" t="str">
        <f aca="false">IF('Boletins Nuppa Site'!J1283&lt;&gt;0,'Boletins Nuppa Site'!J1283,"NULL")</f>
        <v>65.5</v>
      </c>
      <c r="H1283" s="16" t="n">
        <f aca="false">IF('Boletins Nuppa Site'!K1283&lt;&gt;0,'Boletins Nuppa Site'!K1283,"NULL")</f>
        <v>65</v>
      </c>
      <c r="J1283" s="1" t="str">
        <f aca="false">"INSERT INTO COTACAO (blt_id, pap_id, cot_prc_comum, cot_prc_min, cot_prc_max, cot_prc_med, cot_prc_mediana) VALUES ("&amp;B1283&amp;", "&amp;C1283&amp;", "&amp;D1283&amp;", "&amp;E1283&amp;", "&amp;F1283&amp;", "&amp;G1283&amp;", "&amp;H1283&amp;");"</f>
        <v>INSERT INTO COTACAO (blt_id, pap_id, cot_prc_comum, cot_prc_min, cot_prc_max, cot_prc_med, cot_prc_mediana) VALUES (34, 10, 60, 60, 72, 65.5, 65);</v>
      </c>
    </row>
    <row r="1284" customFormat="false" ht="14.25" hidden="false" customHeight="false" outlineLevel="0" collapsed="false">
      <c r="A1284" s="1" t="n">
        <v>1283</v>
      </c>
      <c r="B1284" s="1" t="n">
        <v>34</v>
      </c>
      <c r="C1284" s="1" t="n">
        <v>11</v>
      </c>
      <c r="D1284" s="16" t="n">
        <f aca="false">IF('Boletins Nuppa Site'!G1284&lt;&gt;0,'Boletins Nuppa Site'!G1284,"NULL")</f>
        <v>24</v>
      </c>
      <c r="E1284" s="16" t="n">
        <f aca="false">IF('Boletins Nuppa Site'!H1284&lt;&gt;0,'Boletins Nuppa Site'!H1284,"NULL")</f>
        <v>15</v>
      </c>
      <c r="F1284" s="16" t="n">
        <f aca="false">IF('Boletins Nuppa Site'!I1284&lt;&gt;0,'Boletins Nuppa Site'!I1284,"NULL")</f>
        <v>24</v>
      </c>
      <c r="G1284" s="16" t="n">
        <f aca="false">IF('Boletins Nuppa Site'!J1284&lt;&gt;0,'Boletins Nuppa Site'!J1284,"NULL")</f>
        <v>21</v>
      </c>
      <c r="H1284" s="16" t="n">
        <f aca="false">IF('Boletins Nuppa Site'!K1284&lt;&gt;0,'Boletins Nuppa Site'!K1284,"NULL")</f>
        <v>24</v>
      </c>
      <c r="J1284" s="1" t="str">
        <f aca="false">"INSERT INTO COTACAO (blt_id, pap_id, cot_prc_comum, cot_prc_min, cot_prc_max, cot_prc_med, cot_prc_mediana) VALUES ("&amp;B1284&amp;", "&amp;C1284&amp;", "&amp;D1284&amp;", "&amp;E1284&amp;", "&amp;F1284&amp;", "&amp;G1284&amp;", "&amp;H1284&amp;");"</f>
        <v>INSERT INTO COTACAO (blt_id, pap_id, cot_prc_comum, cot_prc_min, cot_prc_max, cot_prc_med, cot_prc_mediana) VALUES (34, 11, 24, 15, 24, 21, 24);</v>
      </c>
    </row>
    <row r="1285" customFormat="false" ht="14.25" hidden="false" customHeight="false" outlineLevel="0" collapsed="false">
      <c r="A1285" s="1" t="n">
        <v>1284</v>
      </c>
      <c r="B1285" s="1" t="n">
        <v>34</v>
      </c>
      <c r="C1285" s="1" t="n">
        <v>12</v>
      </c>
      <c r="D1285" s="16" t="n">
        <f aca="false">IF('Boletins Nuppa Site'!G1285&lt;&gt;0,'Boletins Nuppa Site'!G1285,"NULL")</f>
        <v>48</v>
      </c>
      <c r="E1285" s="16" t="n">
        <f aca="false">IF('Boletins Nuppa Site'!H1285&lt;&gt;0,'Boletins Nuppa Site'!H1285,"NULL")</f>
        <v>48</v>
      </c>
      <c r="F1285" s="16" t="n">
        <f aca="false">IF('Boletins Nuppa Site'!I1285&lt;&gt;0,'Boletins Nuppa Site'!I1285,"NULL")</f>
        <v>72</v>
      </c>
      <c r="G1285" s="16" t="n">
        <f aca="false">IF('Boletins Nuppa Site'!J1285&lt;&gt;0,'Boletins Nuppa Site'!J1285,"NULL")</f>
        <v>57</v>
      </c>
      <c r="H1285" s="16" t="n">
        <f aca="false">IF('Boletins Nuppa Site'!K1285&lt;&gt;0,'Boletins Nuppa Site'!K1285,"NULL")</f>
        <v>54</v>
      </c>
      <c r="J1285" s="1" t="str">
        <f aca="false">"INSERT INTO COTACAO (blt_id, pap_id, cot_prc_comum, cot_prc_min, cot_prc_max, cot_prc_med, cot_prc_mediana) VALUES ("&amp;B1285&amp;", "&amp;C1285&amp;", "&amp;D1285&amp;", "&amp;E1285&amp;", "&amp;F1285&amp;", "&amp;G1285&amp;", "&amp;H1285&amp;");"</f>
        <v>INSERT INTO COTACAO (blt_id, pap_id, cot_prc_comum, cot_prc_min, cot_prc_max, cot_prc_med, cot_prc_mediana) VALUES (34, 12, 48, 48, 72, 57, 54);</v>
      </c>
    </row>
    <row r="1286" customFormat="false" ht="14.25" hidden="false" customHeight="false" outlineLevel="0" collapsed="false">
      <c r="A1286" s="1" t="n">
        <v>1285</v>
      </c>
      <c r="B1286" s="1" t="n">
        <v>34</v>
      </c>
      <c r="C1286" s="1" t="n">
        <v>13</v>
      </c>
      <c r="D1286" s="16" t="n">
        <f aca="false">IF('Boletins Nuppa Site'!G1286&lt;&gt;0,'Boletins Nuppa Site'!G1286,"NULL")</f>
        <v>48</v>
      </c>
      <c r="E1286" s="16" t="n">
        <f aca="false">IF('Boletins Nuppa Site'!H1286&lt;&gt;0,'Boletins Nuppa Site'!H1286,"NULL")</f>
        <v>36</v>
      </c>
      <c r="F1286" s="16" t="n">
        <f aca="false">IF('Boletins Nuppa Site'!I1286&lt;&gt;0,'Boletins Nuppa Site'!I1286,"NULL")</f>
        <v>60</v>
      </c>
      <c r="G1286" s="1" t="str">
        <f aca="false">IF('Boletins Nuppa Site'!J1286&lt;&gt;0,'Boletins Nuppa Site'!J1286,"NULL")</f>
        <v>50.4</v>
      </c>
      <c r="H1286" s="16" t="n">
        <f aca="false">IF('Boletins Nuppa Site'!K1286&lt;&gt;0,'Boletins Nuppa Site'!K1286,"NULL")</f>
        <v>48</v>
      </c>
      <c r="J1286" s="1" t="str">
        <f aca="false">"INSERT INTO COTACAO (blt_id, pap_id, cot_prc_comum, cot_prc_min, cot_prc_max, cot_prc_med, cot_prc_mediana) VALUES ("&amp;B1286&amp;", "&amp;C1286&amp;", "&amp;D1286&amp;", "&amp;E1286&amp;", "&amp;F1286&amp;", "&amp;G1286&amp;", "&amp;H1286&amp;");"</f>
        <v>INSERT INTO COTACAO (blt_id, pap_id, cot_prc_comum, cot_prc_min, cot_prc_max, cot_prc_med, cot_prc_mediana) VALUES (34, 13, 48, 36, 60, 50.4, 48);</v>
      </c>
    </row>
    <row r="1287" customFormat="false" ht="14.25" hidden="false" customHeight="false" outlineLevel="0" collapsed="false">
      <c r="A1287" s="1" t="n">
        <v>1286</v>
      </c>
      <c r="B1287" s="1" t="n">
        <v>34</v>
      </c>
      <c r="C1287" s="1" t="n">
        <v>14</v>
      </c>
      <c r="D1287" s="16" t="n">
        <f aca="false">IF('Boletins Nuppa Site'!G1287&lt;&gt;0,'Boletins Nuppa Site'!G1287,"NULL")</f>
        <v>60</v>
      </c>
      <c r="E1287" s="16" t="n">
        <f aca="false">IF('Boletins Nuppa Site'!H1287&lt;&gt;0,'Boletins Nuppa Site'!H1287,"NULL")</f>
        <v>48</v>
      </c>
      <c r="F1287" s="16" t="n">
        <f aca="false">IF('Boletins Nuppa Site'!I1287&lt;&gt;0,'Boletins Nuppa Site'!I1287,"NULL")</f>
        <v>60</v>
      </c>
      <c r="G1287" s="16" t="n">
        <f aca="false">IF('Boletins Nuppa Site'!J1287&lt;&gt;0,'Boletins Nuppa Site'!J1287,"NULL")</f>
        <v>54</v>
      </c>
      <c r="H1287" s="16" t="n">
        <f aca="false">IF('Boletins Nuppa Site'!K1287&lt;&gt;0,'Boletins Nuppa Site'!K1287,"NULL")</f>
        <v>54</v>
      </c>
      <c r="J1287" s="1" t="str">
        <f aca="false">"INSERT INTO COTACAO (blt_id, pap_id, cot_prc_comum, cot_prc_min, cot_prc_max, cot_prc_med, cot_prc_mediana) VALUES ("&amp;B1287&amp;", "&amp;C1287&amp;", "&amp;D1287&amp;", "&amp;E1287&amp;", "&amp;F1287&amp;", "&amp;G1287&amp;", "&amp;H1287&amp;");"</f>
        <v>INSERT INTO COTACAO (blt_id, pap_id, cot_prc_comum, cot_prc_min, cot_prc_max, cot_prc_med, cot_prc_mediana) VALUES (34, 14, 60, 48, 60, 54, 54);</v>
      </c>
    </row>
    <row r="1288" customFormat="false" ht="14.25" hidden="false" customHeight="false" outlineLevel="0" collapsed="false">
      <c r="A1288" s="1" t="n">
        <v>1287</v>
      </c>
      <c r="B1288" s="1" t="n">
        <v>34</v>
      </c>
      <c r="C1288" s="1" t="n">
        <v>15</v>
      </c>
      <c r="D1288" s="16" t="n">
        <f aca="false">IF('Boletins Nuppa Site'!G1288&lt;&gt;0,'Boletins Nuppa Site'!G1288,"NULL")</f>
        <v>36</v>
      </c>
      <c r="E1288" s="16" t="n">
        <f aca="false">IF('Boletins Nuppa Site'!H1288&lt;&gt;0,'Boletins Nuppa Site'!H1288,"NULL")</f>
        <v>20</v>
      </c>
      <c r="F1288" s="16" t="n">
        <f aca="false">IF('Boletins Nuppa Site'!I1288&lt;&gt;0,'Boletins Nuppa Site'!I1288,"NULL")</f>
        <v>36</v>
      </c>
      <c r="G1288" s="1" t="str">
        <f aca="false">IF('Boletins Nuppa Site'!J1288&lt;&gt;0,'Boletins Nuppa Site'!J1288,"NULL")</f>
        <v>31.6</v>
      </c>
      <c r="H1288" s="16" t="n">
        <f aca="false">IF('Boletins Nuppa Site'!K1288&lt;&gt;0,'Boletins Nuppa Site'!K1288,"NULL")</f>
        <v>36</v>
      </c>
      <c r="J1288" s="1" t="str">
        <f aca="false">"INSERT INTO COTACAO (blt_id, pap_id, cot_prc_comum, cot_prc_min, cot_prc_max, cot_prc_med, cot_prc_mediana) VALUES ("&amp;B1288&amp;", "&amp;C1288&amp;", "&amp;D1288&amp;", "&amp;E1288&amp;", "&amp;F1288&amp;", "&amp;G1288&amp;", "&amp;H1288&amp;");"</f>
        <v>INSERT INTO COTACAO (blt_id, pap_id, cot_prc_comum, cot_prc_min, cot_prc_max, cot_prc_med, cot_prc_mediana) VALUES (34, 15, 36, 20, 36, 31.6, 36);</v>
      </c>
    </row>
    <row r="1289" customFormat="false" ht="14.25" hidden="false" customHeight="false" outlineLevel="0" collapsed="false">
      <c r="A1289" s="1" t="n">
        <v>1288</v>
      </c>
      <c r="B1289" s="1" t="n">
        <v>34</v>
      </c>
      <c r="C1289" s="1" t="n">
        <v>16</v>
      </c>
      <c r="D1289" s="16" t="n">
        <f aca="false">IF('Boletins Nuppa Site'!G1289&lt;&gt;0,'Boletins Nuppa Site'!G1289,"NULL")</f>
        <v>48</v>
      </c>
      <c r="E1289" s="16" t="n">
        <f aca="false">IF('Boletins Nuppa Site'!H1289&lt;&gt;0,'Boletins Nuppa Site'!H1289,"NULL")</f>
        <v>48</v>
      </c>
      <c r="F1289" s="16" t="n">
        <f aca="false">IF('Boletins Nuppa Site'!I1289&lt;&gt;0,'Boletins Nuppa Site'!I1289,"NULL")</f>
        <v>54</v>
      </c>
      <c r="G1289" s="1" t="str">
        <f aca="false">IF('Boletins Nuppa Site'!J1289&lt;&gt;0,'Boletins Nuppa Site'!J1289,"NULL")</f>
        <v>49.2</v>
      </c>
      <c r="H1289" s="16" t="n">
        <f aca="false">IF('Boletins Nuppa Site'!K1289&lt;&gt;0,'Boletins Nuppa Site'!K1289,"NULL")</f>
        <v>48</v>
      </c>
      <c r="J1289" s="1" t="str">
        <f aca="false">"INSERT INTO COTACAO (blt_id, pap_id, cot_prc_comum, cot_prc_min, cot_prc_max, cot_prc_med, cot_prc_mediana) VALUES ("&amp;B1289&amp;", "&amp;C1289&amp;", "&amp;D1289&amp;", "&amp;E1289&amp;", "&amp;F1289&amp;", "&amp;G1289&amp;", "&amp;H1289&amp;");"</f>
        <v>INSERT INTO COTACAO (blt_id, pap_id, cot_prc_comum, cot_prc_min, cot_prc_max, cot_prc_med, cot_prc_mediana) VALUES (34, 16, 48, 48, 54, 49.2, 48);</v>
      </c>
    </row>
    <row r="1290" customFormat="false" ht="14.25" hidden="false" customHeight="false" outlineLevel="0" collapsed="false">
      <c r="A1290" s="1" t="n">
        <v>1289</v>
      </c>
      <c r="B1290" s="1" t="n">
        <v>34</v>
      </c>
      <c r="C1290" s="1" t="n">
        <v>17</v>
      </c>
      <c r="D1290" s="16" t="n">
        <f aca="false">IF('Boletins Nuppa Site'!G1290&lt;&gt;0,'Boletins Nuppa Site'!G1290,"NULL")</f>
        <v>5</v>
      </c>
      <c r="E1290" s="16" t="n">
        <f aca="false">IF('Boletins Nuppa Site'!H1290&lt;&gt;0,'Boletins Nuppa Site'!H1290,"NULL")</f>
        <v>5</v>
      </c>
      <c r="F1290" s="16" t="n">
        <f aca="false">IF('Boletins Nuppa Site'!I1290&lt;&gt;0,'Boletins Nuppa Site'!I1290,"NULL")</f>
        <v>5</v>
      </c>
      <c r="G1290" s="16" t="n">
        <f aca="false">IF('Boletins Nuppa Site'!J1290&lt;&gt;0,'Boletins Nuppa Site'!J1290,"NULL")</f>
        <v>5</v>
      </c>
      <c r="H1290" s="16" t="n">
        <f aca="false">IF('Boletins Nuppa Site'!K1290&lt;&gt;0,'Boletins Nuppa Site'!K1290,"NULL")</f>
        <v>5</v>
      </c>
      <c r="J1290" s="1" t="str">
        <f aca="false">"INSERT INTO COTACAO (blt_id, pap_id, cot_prc_comum, cot_prc_min, cot_prc_max, cot_prc_med, cot_prc_mediana) VALUES ("&amp;B1290&amp;", "&amp;C1290&amp;", "&amp;D1290&amp;", "&amp;E1290&amp;", "&amp;F1290&amp;", "&amp;G1290&amp;", "&amp;H1290&amp;");"</f>
        <v>INSERT INTO COTACAO (blt_id, pap_id, cot_prc_comum, cot_prc_min, cot_prc_max, cot_prc_med, cot_prc_mediana) VALUES (34, 17, 5, 5, 5, 5, 5);</v>
      </c>
    </row>
    <row r="1291" customFormat="false" ht="14.25" hidden="false" customHeight="false" outlineLevel="0" collapsed="false">
      <c r="A1291" s="1" t="n">
        <v>1290</v>
      </c>
      <c r="B1291" s="1" t="n">
        <v>34</v>
      </c>
      <c r="C1291" s="1" t="n">
        <v>18</v>
      </c>
      <c r="D1291" s="16" t="n">
        <f aca="false">IF('Boletins Nuppa Site'!G1291&lt;&gt;0,'Boletins Nuppa Site'!G1291,"NULL")</f>
        <v>10</v>
      </c>
      <c r="E1291" s="16" t="n">
        <f aca="false">IF('Boletins Nuppa Site'!H1291&lt;&gt;0,'Boletins Nuppa Site'!H1291,"NULL")</f>
        <v>10</v>
      </c>
      <c r="F1291" s="16" t="n">
        <f aca="false">IF('Boletins Nuppa Site'!I1291&lt;&gt;0,'Boletins Nuppa Site'!I1291,"NULL")</f>
        <v>12</v>
      </c>
      <c r="G1291" s="1" t="str">
        <f aca="false">IF('Boletins Nuppa Site'!J1291&lt;&gt;0,'Boletins Nuppa Site'!J1291,"NULL")</f>
        <v>10.4</v>
      </c>
      <c r="H1291" s="16" t="n">
        <f aca="false">IF('Boletins Nuppa Site'!K1291&lt;&gt;0,'Boletins Nuppa Site'!K1291,"NULL")</f>
        <v>10</v>
      </c>
      <c r="J1291" s="1" t="str">
        <f aca="false">"INSERT INTO COTACAO (blt_id, pap_id, cot_prc_comum, cot_prc_min, cot_prc_max, cot_prc_med, cot_prc_mediana) VALUES ("&amp;B1291&amp;", "&amp;C1291&amp;", "&amp;D1291&amp;", "&amp;E1291&amp;", "&amp;F1291&amp;", "&amp;G1291&amp;", "&amp;H1291&amp;");"</f>
        <v>INSERT INTO COTACAO (blt_id, pap_id, cot_prc_comum, cot_prc_min, cot_prc_max, cot_prc_med, cot_prc_mediana) VALUES (34, 18, 10, 10, 12, 10.4, 10);</v>
      </c>
    </row>
    <row r="1292" customFormat="false" ht="14.25" hidden="false" customHeight="false" outlineLevel="0" collapsed="false">
      <c r="A1292" s="1" t="n">
        <v>1291</v>
      </c>
      <c r="B1292" s="1" t="n">
        <v>34</v>
      </c>
      <c r="C1292" s="1" t="n">
        <v>19</v>
      </c>
      <c r="D1292" s="16" t="n">
        <f aca="false">IF('Boletins Nuppa Site'!G1292&lt;&gt;0,'Boletins Nuppa Site'!G1292,"NULL")</f>
        <v>30</v>
      </c>
      <c r="E1292" s="16" t="n">
        <f aca="false">IF('Boletins Nuppa Site'!H1292&lt;&gt;0,'Boletins Nuppa Site'!H1292,"NULL")</f>
        <v>15</v>
      </c>
      <c r="F1292" s="16" t="n">
        <f aca="false">IF('Boletins Nuppa Site'!I1292&lt;&gt;0,'Boletins Nuppa Site'!I1292,"NULL")</f>
        <v>30</v>
      </c>
      <c r="G1292" s="16" t="n">
        <f aca="false">IF('Boletins Nuppa Site'!J1292&lt;&gt;0,'Boletins Nuppa Site'!J1292,"NULL")</f>
        <v>25</v>
      </c>
      <c r="H1292" s="16" t="n">
        <f aca="false">IF('Boletins Nuppa Site'!K1292&lt;&gt;0,'Boletins Nuppa Site'!K1292,"NULL")</f>
        <v>30</v>
      </c>
      <c r="J1292" s="1" t="str">
        <f aca="false">"INSERT INTO COTACAO (blt_id, pap_id, cot_prc_comum, cot_prc_min, cot_prc_max, cot_prc_med, cot_prc_mediana) VALUES ("&amp;B1292&amp;", "&amp;C1292&amp;", "&amp;D1292&amp;", "&amp;E1292&amp;", "&amp;F1292&amp;", "&amp;G1292&amp;", "&amp;H1292&amp;");"</f>
        <v>INSERT INTO COTACAO (blt_id, pap_id, cot_prc_comum, cot_prc_min, cot_prc_max, cot_prc_med, cot_prc_mediana) VALUES (34, 19, 30, 15, 30, 25, 30);</v>
      </c>
    </row>
    <row r="1293" customFormat="false" ht="14.25" hidden="false" customHeight="false" outlineLevel="0" collapsed="false">
      <c r="A1293" s="1" t="n">
        <v>1292</v>
      </c>
      <c r="B1293" s="1" t="n">
        <v>34</v>
      </c>
      <c r="C1293" s="1" t="n">
        <v>20</v>
      </c>
      <c r="D1293" s="1" t="str">
        <f aca="false">IF('Boletins Nuppa Site'!G1293&lt;&gt;0,'Boletins Nuppa Site'!G1293,"NULL")</f>
        <v>NULL</v>
      </c>
      <c r="E1293" s="16" t="n">
        <f aca="false">IF('Boletins Nuppa Site'!H1293&lt;&gt;0,'Boletins Nuppa Site'!H1293,"NULL")</f>
        <v>70</v>
      </c>
      <c r="F1293" s="16" t="n">
        <f aca="false">IF('Boletins Nuppa Site'!I1293&lt;&gt;0,'Boletins Nuppa Site'!I1293,"NULL")</f>
        <v>80</v>
      </c>
      <c r="G1293" s="16" t="n">
        <f aca="false">IF('Boletins Nuppa Site'!J1293&lt;&gt;0,'Boletins Nuppa Site'!J1293,"NULL")</f>
        <v>75</v>
      </c>
      <c r="H1293" s="16" t="n">
        <f aca="false">IF('Boletins Nuppa Site'!K1293&lt;&gt;0,'Boletins Nuppa Site'!K1293,"NULL")</f>
        <v>75</v>
      </c>
      <c r="J1293" s="1" t="str">
        <f aca="false">"INSERT INTO COTACAO (blt_id, pap_id, cot_prc_comum, cot_prc_min, cot_prc_max, cot_prc_med, cot_prc_mediana) VALUES ("&amp;B1293&amp;", "&amp;C1293&amp;", "&amp;D1293&amp;", "&amp;E1293&amp;", "&amp;F1293&amp;", "&amp;G1293&amp;", "&amp;H1293&amp;");"</f>
        <v>INSERT INTO COTACAO (blt_id, pap_id, cot_prc_comum, cot_prc_min, cot_prc_max, cot_prc_med, cot_prc_mediana) VALUES (34, 20, NULL, 70, 80, 75, 75);</v>
      </c>
    </row>
    <row r="1294" customFormat="false" ht="14.25" hidden="false" customHeight="false" outlineLevel="0" collapsed="false">
      <c r="A1294" s="1" t="n">
        <v>1293</v>
      </c>
      <c r="B1294" s="1" t="n">
        <v>34</v>
      </c>
      <c r="C1294" s="1" t="n">
        <v>21</v>
      </c>
      <c r="D1294" s="16" t="n">
        <f aca="false">IF('Boletins Nuppa Site'!G1294&lt;&gt;0,'Boletins Nuppa Site'!G1294,"NULL")</f>
        <v>40</v>
      </c>
      <c r="E1294" s="16" t="n">
        <f aca="false">IF('Boletins Nuppa Site'!H1294&lt;&gt;0,'Boletins Nuppa Site'!H1294,"NULL")</f>
        <v>40</v>
      </c>
      <c r="F1294" s="16" t="n">
        <f aca="false">IF('Boletins Nuppa Site'!I1294&lt;&gt;0,'Boletins Nuppa Site'!I1294,"NULL")</f>
        <v>50</v>
      </c>
      <c r="G1294" s="16" t="n">
        <f aca="false">IF('Boletins Nuppa Site'!J1294&lt;&gt;0,'Boletins Nuppa Site'!J1294,"NULL")</f>
        <v>45</v>
      </c>
      <c r="H1294" s="16" t="n">
        <f aca="false">IF('Boletins Nuppa Site'!K1294&lt;&gt;0,'Boletins Nuppa Site'!K1294,"NULL")</f>
        <v>45</v>
      </c>
      <c r="J1294" s="1" t="str">
        <f aca="false">"INSERT INTO COTACAO (blt_id, pap_id, cot_prc_comum, cot_prc_min, cot_prc_max, cot_prc_med, cot_prc_mediana) VALUES ("&amp;B1294&amp;", "&amp;C1294&amp;", "&amp;D1294&amp;", "&amp;E1294&amp;", "&amp;F1294&amp;", "&amp;G1294&amp;", "&amp;H1294&amp;");"</f>
        <v>INSERT INTO COTACAO (blt_id, pap_id, cot_prc_comum, cot_prc_min, cot_prc_max, cot_prc_med, cot_prc_mediana) VALUES (34, 21, 40, 40, 50, 45, 45);</v>
      </c>
    </row>
    <row r="1295" customFormat="false" ht="14.25" hidden="false" customHeight="false" outlineLevel="0" collapsed="false">
      <c r="A1295" s="1" t="n">
        <v>1294</v>
      </c>
      <c r="B1295" s="1" t="n">
        <v>34</v>
      </c>
      <c r="C1295" s="1" t="n">
        <v>22</v>
      </c>
      <c r="D1295" s="16" t="n">
        <f aca="false">IF('Boletins Nuppa Site'!G1295&lt;&gt;0,'Boletins Nuppa Site'!G1295,"NULL")</f>
        <v>70</v>
      </c>
      <c r="E1295" s="16" t="n">
        <f aca="false">IF('Boletins Nuppa Site'!H1295&lt;&gt;0,'Boletins Nuppa Site'!H1295,"NULL")</f>
        <v>45</v>
      </c>
      <c r="F1295" s="16" t="n">
        <f aca="false">IF('Boletins Nuppa Site'!I1295&lt;&gt;0,'Boletins Nuppa Site'!I1295,"NULL")</f>
        <v>70</v>
      </c>
      <c r="G1295" s="1" t="str">
        <f aca="false">IF('Boletins Nuppa Site'!J1295&lt;&gt;0,'Boletins Nuppa Site'!J1295,"NULL")</f>
        <v>58.33</v>
      </c>
      <c r="H1295" s="1" t="str">
        <f aca="false">IF('Boletins Nuppa Site'!K1295&lt;&gt;0,'Boletins Nuppa Site'!K1295,"NULL")</f>
        <v>57.5</v>
      </c>
      <c r="J1295" s="1" t="str">
        <f aca="false">"INSERT INTO COTACAO (blt_id, pap_id, cot_prc_comum, cot_prc_min, cot_prc_max, cot_prc_med, cot_prc_mediana) VALUES ("&amp;B1295&amp;", "&amp;C1295&amp;", "&amp;D1295&amp;", "&amp;E1295&amp;", "&amp;F1295&amp;", "&amp;G1295&amp;", "&amp;H1295&amp;");"</f>
        <v>INSERT INTO COTACAO (blt_id, pap_id, cot_prc_comum, cot_prc_min, cot_prc_max, cot_prc_med, cot_prc_mediana) VALUES (34, 22, 70, 45, 70, 58.33, 57.5);</v>
      </c>
    </row>
    <row r="1296" customFormat="false" ht="14.25" hidden="false" customHeight="false" outlineLevel="0" collapsed="false">
      <c r="A1296" s="1" t="n">
        <v>1295</v>
      </c>
      <c r="B1296" s="1" t="n">
        <v>34</v>
      </c>
      <c r="C1296" s="1" t="n">
        <v>23</v>
      </c>
      <c r="D1296" s="16" t="n">
        <f aca="false">IF('Boletins Nuppa Site'!G1296&lt;&gt;0,'Boletins Nuppa Site'!G1296,"NULL")</f>
        <v>50</v>
      </c>
      <c r="E1296" s="16" t="n">
        <f aca="false">IF('Boletins Nuppa Site'!H1296&lt;&gt;0,'Boletins Nuppa Site'!H1296,"NULL")</f>
        <v>50</v>
      </c>
      <c r="F1296" s="16" t="n">
        <f aca="false">IF('Boletins Nuppa Site'!I1296&lt;&gt;0,'Boletins Nuppa Site'!I1296,"NULL")</f>
        <v>90</v>
      </c>
      <c r="G1296" s="16" t="n">
        <f aca="false">IF('Boletins Nuppa Site'!J1296&lt;&gt;0,'Boletins Nuppa Site'!J1296,"NULL")</f>
        <v>59</v>
      </c>
      <c r="H1296" s="16" t="n">
        <f aca="false">IF('Boletins Nuppa Site'!K1296&lt;&gt;0,'Boletins Nuppa Site'!K1296,"NULL")</f>
        <v>50</v>
      </c>
      <c r="J1296" s="1" t="str">
        <f aca="false">"INSERT INTO COTACAO (blt_id, pap_id, cot_prc_comum, cot_prc_min, cot_prc_max, cot_prc_med, cot_prc_mediana) VALUES ("&amp;B1296&amp;", "&amp;C1296&amp;", "&amp;D1296&amp;", "&amp;E1296&amp;", "&amp;F1296&amp;", "&amp;G1296&amp;", "&amp;H1296&amp;");"</f>
        <v>INSERT INTO COTACAO (blt_id, pap_id, cot_prc_comum, cot_prc_min, cot_prc_max, cot_prc_med, cot_prc_mediana) VALUES (34, 23, 50, 50, 90, 59, 50);</v>
      </c>
    </row>
    <row r="1297" customFormat="false" ht="14.25" hidden="false" customHeight="false" outlineLevel="0" collapsed="false">
      <c r="A1297" s="1" t="n">
        <v>1296</v>
      </c>
      <c r="B1297" s="1" t="n">
        <v>34</v>
      </c>
      <c r="C1297" s="1" t="n">
        <v>24</v>
      </c>
      <c r="D1297" s="1" t="str">
        <f aca="false">IF('Boletins Nuppa Site'!G1297&lt;&gt;0,'Boletins Nuppa Site'!G1297,"NULL")</f>
        <v>NULL</v>
      </c>
      <c r="E1297" s="16" t="n">
        <f aca="false">IF('Boletins Nuppa Site'!H1297&lt;&gt;0,'Boletins Nuppa Site'!H1297,"NULL")</f>
        <v>45</v>
      </c>
      <c r="F1297" s="16" t="n">
        <f aca="false">IF('Boletins Nuppa Site'!I1297&lt;&gt;0,'Boletins Nuppa Site'!I1297,"NULL")</f>
        <v>100</v>
      </c>
      <c r="G1297" s="1" t="str">
        <f aca="false">IF('Boletins Nuppa Site'!J1297&lt;&gt;0,'Boletins Nuppa Site'!J1297,"NULL")</f>
        <v>78.33</v>
      </c>
      <c r="H1297" s="16" t="n">
        <f aca="false">IF('Boletins Nuppa Site'!K1297&lt;&gt;0,'Boletins Nuppa Site'!K1297,"NULL")</f>
        <v>90</v>
      </c>
      <c r="J1297" s="1" t="str">
        <f aca="false">"INSERT INTO COTACAO (blt_id, pap_id, cot_prc_comum, cot_prc_min, cot_prc_max, cot_prc_med, cot_prc_mediana) VALUES ("&amp;B1297&amp;", "&amp;C1297&amp;", "&amp;D1297&amp;", "&amp;E1297&amp;", "&amp;F1297&amp;", "&amp;G1297&amp;", "&amp;H1297&amp;");"</f>
        <v>INSERT INTO COTACAO (blt_id, pap_id, cot_prc_comum, cot_prc_min, cot_prc_max, cot_prc_med, cot_prc_mediana) VALUES (34, 24, NULL, 45, 100, 78.33, 90);</v>
      </c>
    </row>
    <row r="1298" customFormat="false" ht="14.25" hidden="false" customHeight="false" outlineLevel="0" collapsed="false">
      <c r="A1298" s="1" t="n">
        <v>1297</v>
      </c>
      <c r="B1298" s="1" t="n">
        <v>34</v>
      </c>
      <c r="C1298" s="1" t="n">
        <v>25</v>
      </c>
      <c r="D1298" s="16" t="n">
        <f aca="false">IF('Boletins Nuppa Site'!G1298&lt;&gt;0,'Boletins Nuppa Site'!G1298,"NULL")</f>
        <v>60</v>
      </c>
      <c r="E1298" s="16" t="n">
        <f aca="false">IF('Boletins Nuppa Site'!H1298&lt;&gt;0,'Boletins Nuppa Site'!H1298,"NULL")</f>
        <v>60</v>
      </c>
      <c r="F1298" s="16" t="n">
        <f aca="false">IF('Boletins Nuppa Site'!I1298&lt;&gt;0,'Boletins Nuppa Site'!I1298,"NULL")</f>
        <v>70</v>
      </c>
      <c r="G1298" s="1" t="str">
        <f aca="false">IF('Boletins Nuppa Site'!J1298&lt;&gt;0,'Boletins Nuppa Site'!J1298,"NULL")</f>
        <v>64.17</v>
      </c>
      <c r="H1298" s="1" t="str">
        <f aca="false">IF('Boletins Nuppa Site'!K1298&lt;&gt;0,'Boletins Nuppa Site'!K1298,"NULL")</f>
        <v>62.5</v>
      </c>
      <c r="J1298" s="1" t="str">
        <f aca="false">"INSERT INTO COTACAO (blt_id, pap_id, cot_prc_comum, cot_prc_min, cot_prc_max, cot_prc_med, cot_prc_mediana) VALUES ("&amp;B1298&amp;", "&amp;C1298&amp;", "&amp;D1298&amp;", "&amp;E1298&amp;", "&amp;F1298&amp;", "&amp;G1298&amp;", "&amp;H1298&amp;");"</f>
        <v>INSERT INTO COTACAO (blt_id, pap_id, cot_prc_comum, cot_prc_min, cot_prc_max, cot_prc_med, cot_prc_mediana) VALUES (34, 25, 60, 60, 70, 64.17, 62.5);</v>
      </c>
    </row>
    <row r="1299" customFormat="false" ht="14.25" hidden="false" customHeight="false" outlineLevel="0" collapsed="false">
      <c r="A1299" s="1" t="n">
        <v>1298</v>
      </c>
      <c r="B1299" s="1" t="n">
        <v>34</v>
      </c>
      <c r="C1299" s="1" t="n">
        <v>26</v>
      </c>
      <c r="D1299" s="16" t="n">
        <f aca="false">IF('Boletins Nuppa Site'!G1299&lt;&gt;0,'Boletins Nuppa Site'!G1299,"NULL")</f>
        <v>55</v>
      </c>
      <c r="E1299" s="16" t="n">
        <f aca="false">IF('Boletins Nuppa Site'!H1299&lt;&gt;0,'Boletins Nuppa Site'!H1299,"NULL")</f>
        <v>40</v>
      </c>
      <c r="F1299" s="16" t="n">
        <f aca="false">IF('Boletins Nuppa Site'!I1299&lt;&gt;0,'Boletins Nuppa Site'!I1299,"NULL")</f>
        <v>60</v>
      </c>
      <c r="G1299" s="1" t="str">
        <f aca="false">IF('Boletins Nuppa Site'!J1299&lt;&gt;0,'Boletins Nuppa Site'!J1299,"NULL")</f>
        <v>50.83</v>
      </c>
      <c r="H1299" s="1" t="str">
        <f aca="false">IF('Boletins Nuppa Site'!K1299&lt;&gt;0,'Boletins Nuppa Site'!K1299,"NULL")</f>
        <v>52.5</v>
      </c>
      <c r="J1299" s="1" t="str">
        <f aca="false">"INSERT INTO COTACAO (blt_id, pap_id, cot_prc_comum, cot_prc_min, cot_prc_max, cot_prc_med, cot_prc_mediana) VALUES ("&amp;B1299&amp;", "&amp;C1299&amp;", "&amp;D1299&amp;", "&amp;E1299&amp;", "&amp;F1299&amp;", "&amp;G1299&amp;", "&amp;H1299&amp;");"</f>
        <v>INSERT INTO COTACAO (blt_id, pap_id, cot_prc_comum, cot_prc_min, cot_prc_max, cot_prc_med, cot_prc_mediana) VALUES (34, 26, 55, 40, 60, 50.83, 52.5);</v>
      </c>
    </row>
    <row r="1300" customFormat="false" ht="14.25" hidden="false" customHeight="false" outlineLevel="0" collapsed="false">
      <c r="A1300" s="1" t="n">
        <v>1299</v>
      </c>
      <c r="B1300" s="1" t="n">
        <v>34</v>
      </c>
      <c r="C1300" s="1" t="n">
        <v>27</v>
      </c>
      <c r="D1300" s="16" t="n">
        <f aca="false">IF('Boletins Nuppa Site'!G1300&lt;&gt;0,'Boletins Nuppa Site'!G1300,"NULL")</f>
        <v>60</v>
      </c>
      <c r="E1300" s="16" t="n">
        <f aca="false">IF('Boletins Nuppa Site'!H1300&lt;&gt;0,'Boletins Nuppa Site'!H1300,"NULL")</f>
        <v>50</v>
      </c>
      <c r="F1300" s="16" t="n">
        <f aca="false">IF('Boletins Nuppa Site'!I1300&lt;&gt;0,'Boletins Nuppa Site'!I1300,"NULL")</f>
        <v>70</v>
      </c>
      <c r="G1300" s="1" t="str">
        <f aca="false">IF('Boletins Nuppa Site'!J1300&lt;&gt;0,'Boletins Nuppa Site'!J1300,"NULL")</f>
        <v>62.5</v>
      </c>
      <c r="H1300" s="1" t="str">
        <f aca="false">IF('Boletins Nuppa Site'!K1300&lt;&gt;0,'Boletins Nuppa Site'!K1300,"NULL")</f>
        <v>62.5</v>
      </c>
      <c r="J1300" s="1" t="str">
        <f aca="false">"INSERT INTO COTACAO (blt_id, pap_id, cot_prc_comum, cot_prc_min, cot_prc_max, cot_prc_med, cot_prc_mediana) VALUES ("&amp;B1300&amp;", "&amp;C1300&amp;", "&amp;D1300&amp;", "&amp;E1300&amp;", "&amp;F1300&amp;", "&amp;G1300&amp;", "&amp;H1300&amp;");"</f>
        <v>INSERT INTO COTACAO (blt_id, pap_id, cot_prc_comum, cot_prc_min, cot_prc_max, cot_prc_med, cot_prc_mediana) VALUES (34, 27, 60, 50, 70, 62.5, 62.5);</v>
      </c>
    </row>
    <row r="1301" customFormat="false" ht="14.25" hidden="false" customHeight="false" outlineLevel="0" collapsed="false">
      <c r="A1301" s="1" t="n">
        <v>1300</v>
      </c>
      <c r="B1301" s="1" t="n">
        <v>34</v>
      </c>
      <c r="C1301" s="1" t="n">
        <v>28</v>
      </c>
      <c r="D1301" s="16" t="n">
        <f aca="false">IF('Boletins Nuppa Site'!G1301&lt;&gt;0,'Boletins Nuppa Site'!G1301,"NULL")</f>
        <v>100</v>
      </c>
      <c r="E1301" s="16" t="n">
        <f aca="false">IF('Boletins Nuppa Site'!H1301&lt;&gt;0,'Boletins Nuppa Site'!H1301,"NULL")</f>
        <v>80</v>
      </c>
      <c r="F1301" s="16" t="n">
        <f aca="false">IF('Boletins Nuppa Site'!I1301&lt;&gt;0,'Boletins Nuppa Site'!I1301,"NULL")</f>
        <v>120</v>
      </c>
      <c r="G1301" s="16" t="n">
        <f aca="false">IF('Boletins Nuppa Site'!J1301&lt;&gt;0,'Boletins Nuppa Site'!J1301,"NULL")</f>
        <v>98</v>
      </c>
      <c r="H1301" s="16" t="n">
        <f aca="false">IF('Boletins Nuppa Site'!K1301&lt;&gt;0,'Boletins Nuppa Site'!K1301,"NULL")</f>
        <v>100</v>
      </c>
      <c r="J1301" s="1" t="str">
        <f aca="false">"INSERT INTO COTACAO (blt_id, pap_id, cot_prc_comum, cot_prc_min, cot_prc_max, cot_prc_med, cot_prc_mediana) VALUES ("&amp;B1301&amp;", "&amp;C1301&amp;", "&amp;D1301&amp;", "&amp;E1301&amp;", "&amp;F1301&amp;", "&amp;G1301&amp;", "&amp;H1301&amp;");"</f>
        <v>INSERT INTO COTACAO (blt_id, pap_id, cot_prc_comum, cot_prc_min, cot_prc_max, cot_prc_med, cot_prc_mediana) VALUES (34, 28, 100, 80, 120, 98, 100);</v>
      </c>
    </row>
    <row r="1302" customFormat="false" ht="14.25" hidden="false" customHeight="false" outlineLevel="0" collapsed="false">
      <c r="A1302" s="1" t="n">
        <v>1301</v>
      </c>
      <c r="B1302" s="1" t="n">
        <v>34</v>
      </c>
      <c r="C1302" s="1" t="n">
        <v>29</v>
      </c>
      <c r="D1302" s="1" t="str">
        <f aca="false">IF('Boletins Nuppa Site'!G1302&lt;&gt;0,'Boletins Nuppa Site'!G1302,"NULL")</f>
        <v>NULL</v>
      </c>
      <c r="E1302" s="16" t="n">
        <f aca="false">IF('Boletins Nuppa Site'!H1302&lt;&gt;0,'Boletins Nuppa Site'!H1302,"NULL")</f>
        <v>40</v>
      </c>
      <c r="F1302" s="16" t="n">
        <f aca="false">IF('Boletins Nuppa Site'!I1302&lt;&gt;0,'Boletins Nuppa Site'!I1302,"NULL")</f>
        <v>50</v>
      </c>
      <c r="G1302" s="16" t="n">
        <f aca="false">IF('Boletins Nuppa Site'!J1302&lt;&gt;0,'Boletins Nuppa Site'!J1302,"NULL")</f>
        <v>45</v>
      </c>
      <c r="H1302" s="16" t="n">
        <f aca="false">IF('Boletins Nuppa Site'!K1302&lt;&gt;0,'Boletins Nuppa Site'!K1302,"NULL")</f>
        <v>45</v>
      </c>
      <c r="J1302" s="1" t="str">
        <f aca="false">"INSERT INTO COTACAO (blt_id, pap_id, cot_prc_comum, cot_prc_min, cot_prc_max, cot_prc_med, cot_prc_mediana) VALUES ("&amp;B1302&amp;", "&amp;C1302&amp;", "&amp;D1302&amp;", "&amp;E1302&amp;", "&amp;F1302&amp;", "&amp;G1302&amp;", "&amp;H1302&amp;");"</f>
        <v>INSERT INTO COTACAO (blt_id, pap_id, cot_prc_comum, cot_prc_min, cot_prc_max, cot_prc_med, cot_prc_mediana) VALUES (34, 29, NULL, 40, 50, 45, 45);</v>
      </c>
    </row>
    <row r="1303" customFormat="false" ht="14.25" hidden="false" customHeight="false" outlineLevel="0" collapsed="false">
      <c r="A1303" s="1" t="n">
        <v>1302</v>
      </c>
      <c r="B1303" s="1" t="n">
        <v>34</v>
      </c>
      <c r="C1303" s="1" t="n">
        <v>30</v>
      </c>
      <c r="D1303" s="16" t="n">
        <f aca="false">IF('Boletins Nuppa Site'!G1303&lt;&gt;0,'Boletins Nuppa Site'!G1303,"NULL")</f>
        <v>100</v>
      </c>
      <c r="E1303" s="16" t="n">
        <f aca="false">IF('Boletins Nuppa Site'!H1303&lt;&gt;0,'Boletins Nuppa Site'!H1303,"NULL")</f>
        <v>90</v>
      </c>
      <c r="F1303" s="16" t="n">
        <f aca="false">IF('Boletins Nuppa Site'!I1303&lt;&gt;0,'Boletins Nuppa Site'!I1303,"NULL")</f>
        <v>100</v>
      </c>
      <c r="G1303" s="1" t="str">
        <f aca="false">IF('Boletins Nuppa Site'!J1303&lt;&gt;0,'Boletins Nuppa Site'!J1303,"NULL")</f>
        <v>96.67</v>
      </c>
      <c r="H1303" s="16" t="n">
        <f aca="false">IF('Boletins Nuppa Site'!K1303&lt;&gt;0,'Boletins Nuppa Site'!K1303,"NULL")</f>
        <v>100</v>
      </c>
      <c r="J1303" s="1" t="str">
        <f aca="false">"INSERT INTO COTACAO (blt_id, pap_id, cot_prc_comum, cot_prc_min, cot_prc_max, cot_prc_med, cot_prc_mediana) VALUES ("&amp;B1303&amp;", "&amp;C1303&amp;", "&amp;D1303&amp;", "&amp;E1303&amp;", "&amp;F1303&amp;", "&amp;G1303&amp;", "&amp;H1303&amp;");"</f>
        <v>INSERT INTO COTACAO (blt_id, pap_id, cot_prc_comum, cot_prc_min, cot_prc_max, cot_prc_med, cot_prc_mediana) VALUES (34, 30, 100, 90, 100, 96.67, 100);</v>
      </c>
    </row>
    <row r="1304" customFormat="false" ht="14.25" hidden="false" customHeight="false" outlineLevel="0" collapsed="false">
      <c r="A1304" s="1" t="n">
        <v>1303</v>
      </c>
      <c r="B1304" s="1" t="n">
        <v>34</v>
      </c>
      <c r="C1304" s="1" t="n">
        <v>31</v>
      </c>
      <c r="D1304" s="16" t="n">
        <f aca="false">IF('Boletins Nuppa Site'!G1304&lt;&gt;0,'Boletins Nuppa Site'!G1304,"NULL")</f>
        <v>140</v>
      </c>
      <c r="E1304" s="16" t="n">
        <f aca="false">IF('Boletins Nuppa Site'!H1304&lt;&gt;0,'Boletins Nuppa Site'!H1304,"NULL")</f>
        <v>80</v>
      </c>
      <c r="F1304" s="16" t="n">
        <f aca="false">IF('Boletins Nuppa Site'!I1304&lt;&gt;0,'Boletins Nuppa Site'!I1304,"NULL")</f>
        <v>140</v>
      </c>
      <c r="G1304" s="1" t="str">
        <f aca="false">IF('Boletins Nuppa Site'!J1304&lt;&gt;0,'Boletins Nuppa Site'!J1304,"NULL")</f>
        <v>121.67</v>
      </c>
      <c r="H1304" s="16" t="n">
        <f aca="false">IF('Boletins Nuppa Site'!K1304&lt;&gt;0,'Boletins Nuppa Site'!K1304,"NULL")</f>
        <v>135</v>
      </c>
      <c r="J1304" s="1" t="str">
        <f aca="false">"INSERT INTO COTACAO (blt_id, pap_id, cot_prc_comum, cot_prc_min, cot_prc_max, cot_prc_med, cot_prc_mediana) VALUES ("&amp;B1304&amp;", "&amp;C1304&amp;", "&amp;D1304&amp;", "&amp;E1304&amp;", "&amp;F1304&amp;", "&amp;G1304&amp;", "&amp;H1304&amp;");"</f>
        <v>INSERT INTO COTACAO (blt_id, pap_id, cot_prc_comum, cot_prc_min, cot_prc_max, cot_prc_med, cot_prc_mediana) VALUES (34, 31, 140, 80, 140, 121.67, 135);</v>
      </c>
    </row>
    <row r="1305" customFormat="false" ht="14.25" hidden="false" customHeight="false" outlineLevel="0" collapsed="false">
      <c r="A1305" s="1" t="n">
        <v>1304</v>
      </c>
      <c r="B1305" s="1" t="n">
        <v>34</v>
      </c>
      <c r="C1305" s="1" t="n">
        <v>32</v>
      </c>
      <c r="D1305" s="16" t="n">
        <f aca="false">IF('Boletins Nuppa Site'!G1305&lt;&gt;0,'Boletins Nuppa Site'!G1305,"NULL")</f>
        <v>50</v>
      </c>
      <c r="E1305" s="16" t="n">
        <f aca="false">IF('Boletins Nuppa Site'!H1305&lt;&gt;0,'Boletins Nuppa Site'!H1305,"NULL")</f>
        <v>50</v>
      </c>
      <c r="F1305" s="16" t="n">
        <f aca="false">IF('Boletins Nuppa Site'!I1305&lt;&gt;0,'Boletins Nuppa Site'!I1305,"NULL")</f>
        <v>80</v>
      </c>
      <c r="G1305" s="1" t="str">
        <f aca="false">IF('Boletins Nuppa Site'!J1305&lt;&gt;0,'Boletins Nuppa Site'!J1305,"NULL")</f>
        <v>55.83</v>
      </c>
      <c r="H1305" s="16" t="n">
        <f aca="false">IF('Boletins Nuppa Site'!K1305&lt;&gt;0,'Boletins Nuppa Site'!K1305,"NULL")</f>
        <v>50</v>
      </c>
      <c r="J1305" s="1" t="str">
        <f aca="false">"INSERT INTO COTACAO (blt_id, pap_id, cot_prc_comum, cot_prc_min, cot_prc_max, cot_prc_med, cot_prc_mediana) VALUES ("&amp;B1305&amp;", "&amp;C1305&amp;", "&amp;D1305&amp;", "&amp;E1305&amp;", "&amp;F1305&amp;", "&amp;G1305&amp;", "&amp;H1305&amp;");"</f>
        <v>INSERT INTO COTACAO (blt_id, pap_id, cot_prc_comum, cot_prc_min, cot_prc_max, cot_prc_med, cot_prc_mediana) VALUES (34, 32, 50, 50, 80, 55.83, 50);</v>
      </c>
    </row>
    <row r="1306" customFormat="false" ht="14.25" hidden="false" customHeight="false" outlineLevel="0" collapsed="false">
      <c r="A1306" s="1" t="n">
        <v>1305</v>
      </c>
      <c r="B1306" s="1" t="n">
        <v>34</v>
      </c>
      <c r="C1306" s="1" t="n">
        <v>33</v>
      </c>
      <c r="D1306" s="16" t="n">
        <f aca="false">IF('Boletins Nuppa Site'!G1306&lt;&gt;0,'Boletins Nuppa Site'!G1306,"NULL")</f>
        <v>140</v>
      </c>
      <c r="E1306" s="16" t="n">
        <f aca="false">IF('Boletins Nuppa Site'!H1306&lt;&gt;0,'Boletins Nuppa Site'!H1306,"NULL")</f>
        <v>50</v>
      </c>
      <c r="F1306" s="16" t="n">
        <f aca="false">IF('Boletins Nuppa Site'!I1306&lt;&gt;0,'Boletins Nuppa Site'!I1306,"NULL")</f>
        <v>150</v>
      </c>
      <c r="G1306" s="1" t="str">
        <f aca="false">IF('Boletins Nuppa Site'!J1306&lt;&gt;0,'Boletins Nuppa Site'!J1306,"NULL")</f>
        <v>123.33</v>
      </c>
      <c r="H1306" s="16" t="n">
        <f aca="false">IF('Boletins Nuppa Site'!K1306&lt;&gt;0,'Boletins Nuppa Site'!K1306,"NULL")</f>
        <v>135</v>
      </c>
      <c r="J1306" s="1" t="str">
        <f aca="false">"INSERT INTO COTACAO (blt_id, pap_id, cot_prc_comum, cot_prc_min, cot_prc_max, cot_prc_med, cot_prc_mediana) VALUES ("&amp;B1306&amp;", "&amp;C1306&amp;", "&amp;D1306&amp;", "&amp;E1306&amp;", "&amp;F1306&amp;", "&amp;G1306&amp;", "&amp;H1306&amp;");"</f>
        <v>INSERT INTO COTACAO (blt_id, pap_id, cot_prc_comum, cot_prc_min, cot_prc_max, cot_prc_med, cot_prc_mediana) VALUES (34, 33, 140, 50, 150, 123.33, 135);</v>
      </c>
    </row>
    <row r="1307" customFormat="false" ht="14.25" hidden="false" customHeight="false" outlineLevel="0" collapsed="false">
      <c r="A1307" s="1" t="n">
        <v>1306</v>
      </c>
      <c r="B1307" s="1" t="n">
        <v>34</v>
      </c>
      <c r="C1307" s="1" t="n">
        <v>34</v>
      </c>
      <c r="D1307" s="16" t="n">
        <f aca="false">IF('Boletins Nuppa Site'!G1307&lt;&gt;0,'Boletins Nuppa Site'!G1307,"NULL")</f>
        <v>70</v>
      </c>
      <c r="E1307" s="16" t="n">
        <f aca="false">IF('Boletins Nuppa Site'!H1307&lt;&gt;0,'Boletins Nuppa Site'!H1307,"NULL")</f>
        <v>50</v>
      </c>
      <c r="F1307" s="16" t="n">
        <f aca="false">IF('Boletins Nuppa Site'!I1307&lt;&gt;0,'Boletins Nuppa Site'!I1307,"NULL")</f>
        <v>80</v>
      </c>
      <c r="G1307" s="16" t="n">
        <f aca="false">IF('Boletins Nuppa Site'!J1307&lt;&gt;0,'Boletins Nuppa Site'!J1307,"NULL")</f>
        <v>65</v>
      </c>
      <c r="H1307" s="1" t="str">
        <f aca="false">IF('Boletins Nuppa Site'!K1307&lt;&gt;0,'Boletins Nuppa Site'!K1307,"NULL")</f>
        <v>67.5</v>
      </c>
      <c r="J1307" s="1" t="str">
        <f aca="false">"INSERT INTO COTACAO (blt_id, pap_id, cot_prc_comum, cot_prc_min, cot_prc_max, cot_prc_med, cot_prc_mediana) VALUES ("&amp;B1307&amp;", "&amp;C1307&amp;", "&amp;D1307&amp;", "&amp;E1307&amp;", "&amp;F1307&amp;", "&amp;G1307&amp;", "&amp;H1307&amp;");"</f>
        <v>INSERT INTO COTACAO (blt_id, pap_id, cot_prc_comum, cot_prc_min, cot_prc_max, cot_prc_med, cot_prc_mediana) VALUES (34, 34, 70, 50, 80, 65, 67.5);</v>
      </c>
    </row>
    <row r="1308" customFormat="false" ht="14.25" hidden="false" customHeight="false" outlineLevel="0" collapsed="false">
      <c r="A1308" s="1" t="n">
        <v>1307</v>
      </c>
      <c r="B1308" s="1" t="n">
        <v>34</v>
      </c>
      <c r="C1308" s="1" t="n">
        <v>35</v>
      </c>
      <c r="D1308" s="16" t="n">
        <f aca="false">IF('Boletins Nuppa Site'!G1308&lt;&gt;0,'Boletins Nuppa Site'!G1308,"NULL")</f>
        <v>130</v>
      </c>
      <c r="E1308" s="16" t="n">
        <f aca="false">IF('Boletins Nuppa Site'!H1308&lt;&gt;0,'Boletins Nuppa Site'!H1308,"NULL")</f>
        <v>120</v>
      </c>
      <c r="F1308" s="16" t="n">
        <f aca="false">IF('Boletins Nuppa Site'!I1308&lt;&gt;0,'Boletins Nuppa Site'!I1308,"NULL")</f>
        <v>150</v>
      </c>
      <c r="G1308" s="16" t="n">
        <f aca="false">IF('Boletins Nuppa Site'!J1308&lt;&gt;0,'Boletins Nuppa Site'!J1308,"NULL")</f>
        <v>130</v>
      </c>
      <c r="H1308" s="16" t="n">
        <f aca="false">IF('Boletins Nuppa Site'!K1308&lt;&gt;0,'Boletins Nuppa Site'!K1308,"NULL")</f>
        <v>130</v>
      </c>
      <c r="J1308" s="1" t="str">
        <f aca="false">"INSERT INTO COTACAO (blt_id, pap_id, cot_prc_comum, cot_prc_min, cot_prc_max, cot_prc_med, cot_prc_mediana) VALUES ("&amp;B1308&amp;", "&amp;C1308&amp;", "&amp;D1308&amp;", "&amp;E1308&amp;", "&amp;F1308&amp;", "&amp;G1308&amp;", "&amp;H1308&amp;");"</f>
        <v>INSERT INTO COTACAO (blt_id, pap_id, cot_prc_comum, cot_prc_min, cot_prc_max, cot_prc_med, cot_prc_mediana) VALUES (34, 35, 130, 120, 150, 130, 130);</v>
      </c>
    </row>
    <row r="1309" customFormat="false" ht="14.25" hidden="false" customHeight="false" outlineLevel="0" collapsed="false">
      <c r="A1309" s="1" t="n">
        <v>1308</v>
      </c>
      <c r="B1309" s="1" t="n">
        <v>34</v>
      </c>
      <c r="C1309" s="1" t="n">
        <v>36</v>
      </c>
      <c r="D1309" s="1" t="str">
        <f aca="false">IF('Boletins Nuppa Site'!G1309&lt;&gt;0,'Boletins Nuppa Site'!G1309,"NULL")</f>
        <v>NULL</v>
      </c>
      <c r="E1309" s="1" t="str">
        <f aca="false">IF('Boletins Nuppa Site'!H1309&lt;&gt;0,'Boletins Nuppa Site'!H1309,"NULL")</f>
        <v>NULL</v>
      </c>
      <c r="F1309" s="1" t="str">
        <f aca="false">IF('Boletins Nuppa Site'!I1309&lt;&gt;0,'Boletins Nuppa Site'!I1309,"NULL")</f>
        <v>NULL</v>
      </c>
      <c r="G1309" s="1" t="str">
        <f aca="false">IF('Boletins Nuppa Site'!J1309&lt;&gt;0,'Boletins Nuppa Site'!J1309,"NULL")</f>
        <v>NULL</v>
      </c>
      <c r="H1309" s="1" t="str">
        <f aca="false">IF('Boletins Nuppa Site'!K1309&lt;&gt;0,'Boletins Nuppa Site'!K1309,"NULL")</f>
        <v>NULL</v>
      </c>
      <c r="J1309" s="1" t="str">
        <f aca="false">"INSERT INTO COTACAO (blt_id, pap_id, cot_prc_comum, cot_prc_min, cot_prc_max, cot_prc_med, cot_prc_mediana) VALUES ("&amp;B1309&amp;", "&amp;C1309&amp;", "&amp;D1309&amp;", "&amp;E1309&amp;", "&amp;F1309&amp;", "&amp;G1309&amp;", "&amp;H1309&amp;");"</f>
        <v>INSERT INTO COTACAO (blt_id, pap_id, cot_prc_comum, cot_prc_min, cot_prc_max, cot_prc_med, cot_prc_mediana) VALUES (34, 36, NULL, NULL, NULL, NULL, NULL);</v>
      </c>
    </row>
    <row r="1310" customFormat="false" ht="14.25" hidden="false" customHeight="false" outlineLevel="0" collapsed="false">
      <c r="A1310" s="1" t="n">
        <v>1309</v>
      </c>
      <c r="B1310" s="1" t="n">
        <v>34</v>
      </c>
      <c r="C1310" s="1" t="n">
        <v>37</v>
      </c>
      <c r="D1310" s="1" t="str">
        <f aca="false">IF('Boletins Nuppa Site'!G1310&lt;&gt;0,'Boletins Nuppa Site'!G1310,"NULL")</f>
        <v>NULL</v>
      </c>
      <c r="E1310" s="1" t="str">
        <f aca="false">IF('Boletins Nuppa Site'!H1310&lt;&gt;0,'Boletins Nuppa Site'!H1310,"NULL")</f>
        <v>NULL</v>
      </c>
      <c r="F1310" s="1" t="str">
        <f aca="false">IF('Boletins Nuppa Site'!I1310&lt;&gt;0,'Boletins Nuppa Site'!I1310,"NULL")</f>
        <v>NULL</v>
      </c>
      <c r="G1310" s="1" t="str">
        <f aca="false">IF('Boletins Nuppa Site'!J1310&lt;&gt;0,'Boletins Nuppa Site'!J1310,"NULL")</f>
        <v>NULL</v>
      </c>
      <c r="H1310" s="1" t="str">
        <f aca="false">IF('Boletins Nuppa Site'!K1310&lt;&gt;0,'Boletins Nuppa Site'!K1310,"NULL")</f>
        <v>NULL</v>
      </c>
      <c r="J1310" s="1" t="str">
        <f aca="false">"INSERT INTO COTACAO (blt_id, pap_id, cot_prc_comum, cot_prc_min, cot_prc_max, cot_prc_med, cot_prc_mediana) VALUES ("&amp;B1310&amp;", "&amp;C1310&amp;", "&amp;D1310&amp;", "&amp;E1310&amp;", "&amp;F1310&amp;", "&amp;G1310&amp;", "&amp;H1310&amp;");"</f>
        <v>INSERT INTO COTACAO (blt_id, pap_id, cot_prc_comum, cot_prc_min, cot_prc_max, cot_prc_med, cot_prc_mediana) VALUES (34, 37, NULL, NULL, NULL, NULL, NULL);</v>
      </c>
    </row>
    <row r="1311" customFormat="false" ht="14.25" hidden="false" customHeight="false" outlineLevel="0" collapsed="false">
      <c r="A1311" s="1" t="n">
        <v>1310</v>
      </c>
      <c r="B1311" s="1" t="n">
        <v>34</v>
      </c>
      <c r="C1311" s="1" t="n">
        <v>38</v>
      </c>
      <c r="D1311" s="1" t="str">
        <f aca="false">IF('Boletins Nuppa Site'!G1311&lt;&gt;0,'Boletins Nuppa Site'!G1311,"NULL")</f>
        <v>NULL</v>
      </c>
      <c r="E1311" s="1" t="str">
        <f aca="false">IF('Boletins Nuppa Site'!H1311&lt;&gt;0,'Boletins Nuppa Site'!H1311,"NULL")</f>
        <v>NULL</v>
      </c>
      <c r="F1311" s="1" t="str">
        <f aca="false">IF('Boletins Nuppa Site'!I1311&lt;&gt;0,'Boletins Nuppa Site'!I1311,"NULL")</f>
        <v>NULL</v>
      </c>
      <c r="G1311" s="1" t="str">
        <f aca="false">IF('Boletins Nuppa Site'!J1311&lt;&gt;0,'Boletins Nuppa Site'!J1311,"NULL")</f>
        <v>NULL</v>
      </c>
      <c r="H1311" s="1" t="str">
        <f aca="false">IF('Boletins Nuppa Site'!K1311&lt;&gt;0,'Boletins Nuppa Site'!K1311,"NULL")</f>
        <v>NULL</v>
      </c>
      <c r="J1311" s="1" t="str">
        <f aca="false">"INSERT INTO COTACAO (blt_id, pap_id, cot_prc_comum, cot_prc_min, cot_prc_max, cot_prc_med, cot_prc_mediana) VALUES ("&amp;B1311&amp;", "&amp;C1311&amp;", "&amp;D1311&amp;", "&amp;E1311&amp;", "&amp;F1311&amp;", "&amp;G1311&amp;", "&amp;H1311&amp;");"</f>
        <v>INSERT INTO COTACAO (blt_id, pap_id, cot_prc_comum, cot_prc_min, cot_prc_max, cot_prc_med, cot_prc_mediana) VALUES (34, 38, NULL, NULL, NULL, NULL, NULL);</v>
      </c>
    </row>
    <row r="1312" customFormat="false" ht="14.25" hidden="false" customHeight="false" outlineLevel="0" collapsed="false">
      <c r="A1312" s="1" t="n">
        <v>1311</v>
      </c>
      <c r="B1312" s="1" t="n">
        <v>34</v>
      </c>
      <c r="C1312" s="1" t="n">
        <v>39</v>
      </c>
      <c r="D1312" s="1" t="str">
        <f aca="false">IF('Boletins Nuppa Site'!G1312&lt;&gt;0,'Boletins Nuppa Site'!G1312,"NULL")</f>
        <v>NULL</v>
      </c>
      <c r="E1312" s="16" t="n">
        <f aca="false">IF('Boletins Nuppa Site'!H1312&lt;&gt;0,'Boletins Nuppa Site'!H1312,"NULL")</f>
        <v>50</v>
      </c>
      <c r="F1312" s="16" t="n">
        <f aca="false">IF('Boletins Nuppa Site'!I1312&lt;&gt;0,'Boletins Nuppa Site'!I1312,"NULL")</f>
        <v>50</v>
      </c>
      <c r="G1312" s="16" t="n">
        <f aca="false">IF('Boletins Nuppa Site'!J1312&lt;&gt;0,'Boletins Nuppa Site'!J1312,"NULL")</f>
        <v>50</v>
      </c>
      <c r="H1312" s="16" t="n">
        <f aca="false">IF('Boletins Nuppa Site'!K1312&lt;&gt;0,'Boletins Nuppa Site'!K1312,"NULL")</f>
        <v>50</v>
      </c>
      <c r="J1312" s="1" t="str">
        <f aca="false">"INSERT INTO COTACAO (blt_id, pap_id, cot_prc_comum, cot_prc_min, cot_prc_max, cot_prc_med, cot_prc_mediana) VALUES ("&amp;B1312&amp;", "&amp;C1312&amp;", "&amp;D1312&amp;", "&amp;E1312&amp;", "&amp;F1312&amp;", "&amp;G1312&amp;", "&amp;H1312&amp;");"</f>
        <v>INSERT INTO COTACAO (blt_id, pap_id, cot_prc_comum, cot_prc_min, cot_prc_max, cot_prc_med, cot_prc_mediana) VALUES (34, 39, NULL, 50, 50, 50, 50);</v>
      </c>
    </row>
    <row r="1313" customFormat="false" ht="14.25" hidden="false" customHeight="false" outlineLevel="0" collapsed="false">
      <c r="A1313" s="1" t="n">
        <v>1312</v>
      </c>
      <c r="B1313" s="1" t="n">
        <v>34</v>
      </c>
      <c r="C1313" s="1" t="n">
        <v>40</v>
      </c>
      <c r="D1313" s="1" t="str">
        <f aca="false">IF('Boletins Nuppa Site'!G1313&lt;&gt;0,'Boletins Nuppa Site'!G1313,"NULL")</f>
        <v>NULL</v>
      </c>
      <c r="E1313" s="1" t="str">
        <f aca="false">IF('Boletins Nuppa Site'!H1313&lt;&gt;0,'Boletins Nuppa Site'!H1313,"NULL")</f>
        <v>NULL</v>
      </c>
      <c r="F1313" s="1" t="str">
        <f aca="false">IF('Boletins Nuppa Site'!I1313&lt;&gt;0,'Boletins Nuppa Site'!I1313,"NULL")</f>
        <v>NULL</v>
      </c>
      <c r="G1313" s="1" t="str">
        <f aca="false">IF('Boletins Nuppa Site'!J1313&lt;&gt;0,'Boletins Nuppa Site'!J1313,"NULL")</f>
        <v>NULL</v>
      </c>
      <c r="H1313" s="1" t="str">
        <f aca="false">IF('Boletins Nuppa Site'!K1313&lt;&gt;0,'Boletins Nuppa Site'!K1313,"NULL")</f>
        <v>NULL</v>
      </c>
      <c r="J1313" s="1" t="str">
        <f aca="false">"INSERT INTO COTACAO (blt_id, pap_id, cot_prc_comum, cot_prc_min, cot_prc_max, cot_prc_med, cot_prc_mediana) VALUES ("&amp;B1313&amp;", "&amp;C1313&amp;", "&amp;D1313&amp;", "&amp;E1313&amp;", "&amp;F1313&amp;", "&amp;G1313&amp;", "&amp;H1313&amp;");"</f>
        <v>INSERT INTO COTACAO (blt_id, pap_id, cot_prc_comum, cot_prc_min, cot_prc_max, cot_prc_med, cot_prc_mediana) VALUES (34, 40, NULL, NULL, NULL, NULL, NULL);</v>
      </c>
    </row>
    <row r="1314" customFormat="false" ht="14.25" hidden="false" customHeight="false" outlineLevel="0" collapsed="false">
      <c r="A1314" s="1" t="n">
        <v>1313</v>
      </c>
      <c r="B1314" s="1" t="n">
        <v>35</v>
      </c>
      <c r="C1314" s="1" t="n">
        <v>1</v>
      </c>
      <c r="D1314" s="16" t="n">
        <f aca="false">IF('Boletins Nuppa Site'!G1314&lt;&gt;0,'Boletins Nuppa Site'!G1314,"NULL")</f>
        <v>36</v>
      </c>
      <c r="E1314" s="16" t="n">
        <f aca="false">IF('Boletins Nuppa Site'!H1314&lt;&gt;0,'Boletins Nuppa Site'!H1314,"NULL")</f>
        <v>30</v>
      </c>
      <c r="F1314" s="16" t="n">
        <f aca="false">IF('Boletins Nuppa Site'!I1314&lt;&gt;0,'Boletins Nuppa Site'!I1314,"NULL")</f>
        <v>48</v>
      </c>
      <c r="G1314" s="1" t="str">
        <f aca="false">IF('Boletins Nuppa Site'!J1314&lt;&gt;0,'Boletins Nuppa Site'!J1314,"NULL")</f>
        <v>39.6</v>
      </c>
      <c r="H1314" s="16" t="n">
        <f aca="false">IF('Boletins Nuppa Site'!K1314&lt;&gt;0,'Boletins Nuppa Site'!K1314,"NULL")</f>
        <v>36</v>
      </c>
      <c r="J1314" s="1" t="str">
        <f aca="false">"INSERT INTO COTACAO (blt_id, pap_id, cot_prc_comum, cot_prc_min, cot_prc_max, cot_prc_med, cot_prc_mediana) VALUES ("&amp;B1314&amp;", "&amp;C1314&amp;", "&amp;D1314&amp;", "&amp;E1314&amp;", "&amp;F1314&amp;", "&amp;G1314&amp;", "&amp;H1314&amp;");"</f>
        <v>INSERT INTO COTACAO (blt_id, pap_id, cot_prc_comum, cot_prc_min, cot_prc_max, cot_prc_med, cot_prc_mediana) VALUES (35, 1, 36, 30, 48, 39.6, 36);</v>
      </c>
    </row>
    <row r="1315" customFormat="false" ht="14.25" hidden="false" customHeight="false" outlineLevel="0" collapsed="false">
      <c r="A1315" s="1" t="n">
        <v>1314</v>
      </c>
      <c r="B1315" s="1" t="n">
        <v>35</v>
      </c>
      <c r="C1315" s="1" t="n">
        <v>2</v>
      </c>
      <c r="D1315" s="16" t="n">
        <f aca="false">IF('Boletins Nuppa Site'!G1315&lt;&gt;0,'Boletins Nuppa Site'!G1315,"NULL")</f>
        <v>60</v>
      </c>
      <c r="E1315" s="16" t="n">
        <f aca="false">IF('Boletins Nuppa Site'!H1315&lt;&gt;0,'Boletins Nuppa Site'!H1315,"NULL")</f>
        <v>60</v>
      </c>
      <c r="F1315" s="16" t="n">
        <f aca="false">IF('Boletins Nuppa Site'!I1315&lt;&gt;0,'Boletins Nuppa Site'!I1315,"NULL")</f>
        <v>72</v>
      </c>
      <c r="G1315" s="16" t="n">
        <f aca="false">IF('Boletins Nuppa Site'!J1315&lt;&gt;0,'Boletins Nuppa Site'!J1315,"NULL")</f>
        <v>64</v>
      </c>
      <c r="H1315" s="16" t="n">
        <f aca="false">IF('Boletins Nuppa Site'!K1315&lt;&gt;0,'Boletins Nuppa Site'!K1315,"NULL")</f>
        <v>60</v>
      </c>
      <c r="J1315" s="1" t="str">
        <f aca="false">"INSERT INTO COTACAO (blt_id, pap_id, cot_prc_comum, cot_prc_min, cot_prc_max, cot_prc_med, cot_prc_mediana) VALUES ("&amp;B1315&amp;", "&amp;C1315&amp;", "&amp;D1315&amp;", "&amp;E1315&amp;", "&amp;F1315&amp;", "&amp;G1315&amp;", "&amp;H1315&amp;");"</f>
        <v>INSERT INTO COTACAO (blt_id, pap_id, cot_prc_comum, cot_prc_min, cot_prc_max, cot_prc_med, cot_prc_mediana) VALUES (35, 2, 60, 60, 72, 64, 60);</v>
      </c>
    </row>
    <row r="1316" customFormat="false" ht="14.25" hidden="false" customHeight="false" outlineLevel="0" collapsed="false">
      <c r="A1316" s="1" t="n">
        <v>1315</v>
      </c>
      <c r="B1316" s="1" t="n">
        <v>35</v>
      </c>
      <c r="C1316" s="1" t="n">
        <v>3</v>
      </c>
      <c r="D1316" s="16" t="n">
        <f aca="false">IF('Boletins Nuppa Site'!G1316&lt;&gt;0,'Boletins Nuppa Site'!G1316,"NULL")</f>
        <v>30</v>
      </c>
      <c r="E1316" s="16" t="n">
        <f aca="false">IF('Boletins Nuppa Site'!H1316&lt;&gt;0,'Boletins Nuppa Site'!H1316,"NULL")</f>
        <v>25</v>
      </c>
      <c r="F1316" s="16" t="n">
        <f aca="false">IF('Boletins Nuppa Site'!I1316&lt;&gt;0,'Boletins Nuppa Site'!I1316,"NULL")</f>
        <v>36</v>
      </c>
      <c r="G1316" s="1" t="str">
        <f aca="false">IF('Boletins Nuppa Site'!J1316&lt;&gt;0,'Boletins Nuppa Site'!J1316,"NULL")</f>
        <v>30.25</v>
      </c>
      <c r="H1316" s="16" t="n">
        <f aca="false">IF('Boletins Nuppa Site'!K1316&lt;&gt;0,'Boletins Nuppa Site'!K1316,"NULL")</f>
        <v>30</v>
      </c>
      <c r="J1316" s="1" t="str">
        <f aca="false">"INSERT INTO COTACAO (blt_id, pap_id, cot_prc_comum, cot_prc_min, cot_prc_max, cot_prc_med, cot_prc_mediana) VALUES ("&amp;B1316&amp;", "&amp;C1316&amp;", "&amp;D1316&amp;", "&amp;E1316&amp;", "&amp;F1316&amp;", "&amp;G1316&amp;", "&amp;H1316&amp;");"</f>
        <v>INSERT INTO COTACAO (blt_id, pap_id, cot_prc_comum, cot_prc_min, cot_prc_max, cot_prc_med, cot_prc_mediana) VALUES (35, 3, 30, 25, 36, 30.25, 30);</v>
      </c>
    </row>
    <row r="1317" customFormat="false" ht="14.25" hidden="false" customHeight="false" outlineLevel="0" collapsed="false">
      <c r="A1317" s="1" t="n">
        <v>1316</v>
      </c>
      <c r="B1317" s="1" t="n">
        <v>35</v>
      </c>
      <c r="C1317" s="1" t="n">
        <v>4</v>
      </c>
      <c r="D1317" s="16" t="n">
        <f aca="false">IF('Boletins Nuppa Site'!G1317&lt;&gt;0,'Boletins Nuppa Site'!G1317,"NULL")</f>
        <v>18</v>
      </c>
      <c r="E1317" s="16" t="n">
        <f aca="false">IF('Boletins Nuppa Site'!H1317&lt;&gt;0,'Boletins Nuppa Site'!H1317,"NULL")</f>
        <v>18</v>
      </c>
      <c r="F1317" s="16" t="n">
        <f aca="false">IF('Boletins Nuppa Site'!I1317&lt;&gt;0,'Boletins Nuppa Site'!I1317,"NULL")</f>
        <v>30</v>
      </c>
      <c r="G1317" s="1" t="str">
        <f aca="false">IF('Boletins Nuppa Site'!J1317&lt;&gt;0,'Boletins Nuppa Site'!J1317,"NULL")</f>
        <v>22.5</v>
      </c>
      <c r="H1317" s="16" t="n">
        <f aca="false">IF('Boletins Nuppa Site'!K1317&lt;&gt;0,'Boletins Nuppa Site'!K1317,"NULL")</f>
        <v>21</v>
      </c>
      <c r="J1317" s="1" t="str">
        <f aca="false">"INSERT INTO COTACAO (blt_id, pap_id, cot_prc_comum, cot_prc_min, cot_prc_max, cot_prc_med, cot_prc_mediana) VALUES ("&amp;B1317&amp;", "&amp;C1317&amp;", "&amp;D1317&amp;", "&amp;E1317&amp;", "&amp;F1317&amp;", "&amp;G1317&amp;", "&amp;H1317&amp;");"</f>
        <v>INSERT INTO COTACAO (blt_id, pap_id, cot_prc_comum, cot_prc_min, cot_prc_max, cot_prc_med, cot_prc_mediana) VALUES (35, 4, 18, 18, 30, 22.5, 21);</v>
      </c>
    </row>
    <row r="1318" customFormat="false" ht="14.25" hidden="false" customHeight="false" outlineLevel="0" collapsed="false">
      <c r="A1318" s="1" t="n">
        <v>1317</v>
      </c>
      <c r="B1318" s="1" t="n">
        <v>35</v>
      </c>
      <c r="C1318" s="1" t="n">
        <v>5</v>
      </c>
      <c r="D1318" s="16" t="n">
        <f aca="false">IF('Boletins Nuppa Site'!G1318&lt;&gt;0,'Boletins Nuppa Site'!G1318,"NULL")</f>
        <v>18</v>
      </c>
      <c r="E1318" s="16" t="n">
        <f aca="false">IF('Boletins Nuppa Site'!H1318&lt;&gt;0,'Boletins Nuppa Site'!H1318,"NULL")</f>
        <v>18</v>
      </c>
      <c r="F1318" s="16" t="n">
        <f aca="false">IF('Boletins Nuppa Site'!I1318&lt;&gt;0,'Boletins Nuppa Site'!I1318,"NULL")</f>
        <v>30</v>
      </c>
      <c r="G1318" s="1" t="str">
        <f aca="false">IF('Boletins Nuppa Site'!J1318&lt;&gt;0,'Boletins Nuppa Site'!J1318,"NULL")</f>
        <v>22.5</v>
      </c>
      <c r="H1318" s="16" t="n">
        <f aca="false">IF('Boletins Nuppa Site'!K1318&lt;&gt;0,'Boletins Nuppa Site'!K1318,"NULL")</f>
        <v>21</v>
      </c>
      <c r="J1318" s="1" t="str">
        <f aca="false">"INSERT INTO COTACAO (blt_id, pap_id, cot_prc_comum, cot_prc_min, cot_prc_max, cot_prc_med, cot_prc_mediana) VALUES ("&amp;B1318&amp;", "&amp;C1318&amp;", "&amp;D1318&amp;", "&amp;E1318&amp;", "&amp;F1318&amp;", "&amp;G1318&amp;", "&amp;H1318&amp;");"</f>
        <v>INSERT INTO COTACAO (blt_id, pap_id, cot_prc_comum, cot_prc_min, cot_prc_max, cot_prc_med, cot_prc_mediana) VALUES (35, 5, 18, 18, 30, 22.5, 21);</v>
      </c>
    </row>
    <row r="1319" customFormat="false" ht="14.25" hidden="false" customHeight="false" outlineLevel="0" collapsed="false">
      <c r="A1319" s="1" t="n">
        <v>1318</v>
      </c>
      <c r="B1319" s="1" t="n">
        <v>35</v>
      </c>
      <c r="C1319" s="1" t="n">
        <v>6</v>
      </c>
      <c r="D1319" s="16" t="n">
        <f aca="false">IF('Boletins Nuppa Site'!G1319&lt;&gt;0,'Boletins Nuppa Site'!G1319,"NULL")</f>
        <v>60</v>
      </c>
      <c r="E1319" s="16" t="n">
        <f aca="false">IF('Boletins Nuppa Site'!H1319&lt;&gt;0,'Boletins Nuppa Site'!H1319,"NULL")</f>
        <v>48</v>
      </c>
      <c r="F1319" s="16" t="n">
        <f aca="false">IF('Boletins Nuppa Site'!I1319&lt;&gt;0,'Boletins Nuppa Site'!I1319,"NULL")</f>
        <v>60</v>
      </c>
      <c r="G1319" s="16" t="n">
        <f aca="false">IF('Boletins Nuppa Site'!J1319&lt;&gt;0,'Boletins Nuppa Site'!J1319,"NULL")</f>
        <v>54</v>
      </c>
      <c r="H1319" s="16" t="n">
        <f aca="false">IF('Boletins Nuppa Site'!K1319&lt;&gt;0,'Boletins Nuppa Site'!K1319,"NULL")</f>
        <v>54</v>
      </c>
      <c r="J1319" s="1" t="str">
        <f aca="false">"INSERT INTO COTACAO (blt_id, pap_id, cot_prc_comum, cot_prc_min, cot_prc_max, cot_prc_med, cot_prc_mediana) VALUES ("&amp;B1319&amp;", "&amp;C1319&amp;", "&amp;D1319&amp;", "&amp;E1319&amp;", "&amp;F1319&amp;", "&amp;G1319&amp;", "&amp;H1319&amp;");"</f>
        <v>INSERT INTO COTACAO (blt_id, pap_id, cot_prc_comum, cot_prc_min, cot_prc_max, cot_prc_med, cot_prc_mediana) VALUES (35, 6, 60, 48, 60, 54, 54);</v>
      </c>
    </row>
    <row r="1320" customFormat="false" ht="14.25" hidden="false" customHeight="false" outlineLevel="0" collapsed="false">
      <c r="A1320" s="1" t="n">
        <v>1319</v>
      </c>
      <c r="B1320" s="1" t="n">
        <v>35</v>
      </c>
      <c r="C1320" s="1" t="n">
        <v>7</v>
      </c>
      <c r="D1320" s="1" t="str">
        <f aca="false">IF('Boletins Nuppa Site'!G1320&lt;&gt;0,'Boletins Nuppa Site'!G1320,"NULL")</f>
        <v>NULL</v>
      </c>
      <c r="E1320" s="16" t="n">
        <f aca="false">IF('Boletins Nuppa Site'!H1320&lt;&gt;0,'Boletins Nuppa Site'!H1320,"NULL")</f>
        <v>48</v>
      </c>
      <c r="F1320" s="16" t="n">
        <f aca="false">IF('Boletins Nuppa Site'!I1320&lt;&gt;0,'Boletins Nuppa Site'!I1320,"NULL")</f>
        <v>72</v>
      </c>
      <c r="G1320" s="16" t="n">
        <f aca="false">IF('Boletins Nuppa Site'!J1320&lt;&gt;0,'Boletins Nuppa Site'!J1320,"NULL")</f>
        <v>58</v>
      </c>
      <c r="H1320" s="16" t="n">
        <f aca="false">IF('Boletins Nuppa Site'!K1320&lt;&gt;0,'Boletins Nuppa Site'!K1320,"NULL")</f>
        <v>54</v>
      </c>
      <c r="J1320" s="1" t="str">
        <f aca="false">"INSERT INTO COTACAO (blt_id, pap_id, cot_prc_comum, cot_prc_min, cot_prc_max, cot_prc_med, cot_prc_mediana) VALUES ("&amp;B1320&amp;", "&amp;C1320&amp;", "&amp;D1320&amp;", "&amp;E1320&amp;", "&amp;F1320&amp;", "&amp;G1320&amp;", "&amp;H1320&amp;");"</f>
        <v>INSERT INTO COTACAO (blt_id, pap_id, cot_prc_comum, cot_prc_min, cot_prc_max, cot_prc_med, cot_prc_mediana) VALUES (35, 7, NULL, 48, 72, 58, 54);</v>
      </c>
    </row>
    <row r="1321" customFormat="false" ht="14.25" hidden="false" customHeight="false" outlineLevel="0" collapsed="false">
      <c r="A1321" s="1" t="n">
        <v>1320</v>
      </c>
      <c r="B1321" s="1" t="n">
        <v>35</v>
      </c>
      <c r="C1321" s="1" t="n">
        <v>8</v>
      </c>
      <c r="D1321" s="16" t="n">
        <f aca="false">IF('Boletins Nuppa Site'!G1321&lt;&gt;0,'Boletins Nuppa Site'!G1321,"NULL")</f>
        <v>60</v>
      </c>
      <c r="E1321" s="16" t="n">
        <f aca="false">IF('Boletins Nuppa Site'!H1321&lt;&gt;0,'Boletins Nuppa Site'!H1321,"NULL")</f>
        <v>60</v>
      </c>
      <c r="F1321" s="16" t="n">
        <f aca="false">IF('Boletins Nuppa Site'!I1321&lt;&gt;0,'Boletins Nuppa Site'!I1321,"NULL")</f>
        <v>60</v>
      </c>
      <c r="G1321" s="16" t="n">
        <f aca="false">IF('Boletins Nuppa Site'!J1321&lt;&gt;0,'Boletins Nuppa Site'!J1321,"NULL")</f>
        <v>60</v>
      </c>
      <c r="H1321" s="16" t="n">
        <f aca="false">IF('Boletins Nuppa Site'!K1321&lt;&gt;0,'Boletins Nuppa Site'!K1321,"NULL")</f>
        <v>60</v>
      </c>
      <c r="J1321" s="1" t="str">
        <f aca="false">"INSERT INTO COTACAO (blt_id, pap_id, cot_prc_comum, cot_prc_min, cot_prc_max, cot_prc_med, cot_prc_mediana) VALUES ("&amp;B1321&amp;", "&amp;C1321&amp;", "&amp;D1321&amp;", "&amp;E1321&amp;", "&amp;F1321&amp;", "&amp;G1321&amp;", "&amp;H1321&amp;");"</f>
        <v>INSERT INTO COTACAO (blt_id, pap_id, cot_prc_comum, cot_prc_min, cot_prc_max, cot_prc_med, cot_prc_mediana) VALUES (35, 8, 60, 60, 60, 60, 60);</v>
      </c>
    </row>
    <row r="1322" customFormat="false" ht="14.25" hidden="false" customHeight="false" outlineLevel="0" collapsed="false">
      <c r="A1322" s="1" t="n">
        <v>1321</v>
      </c>
      <c r="B1322" s="1" t="n">
        <v>35</v>
      </c>
      <c r="C1322" s="1" t="n">
        <v>9</v>
      </c>
      <c r="D1322" s="16" t="n">
        <f aca="false">IF('Boletins Nuppa Site'!G1322&lt;&gt;0,'Boletins Nuppa Site'!G1322,"NULL")</f>
        <v>18</v>
      </c>
      <c r="E1322" s="16" t="n">
        <f aca="false">IF('Boletins Nuppa Site'!H1322&lt;&gt;0,'Boletins Nuppa Site'!H1322,"NULL")</f>
        <v>18</v>
      </c>
      <c r="F1322" s="16" t="n">
        <f aca="false">IF('Boletins Nuppa Site'!I1322&lt;&gt;0,'Boletins Nuppa Site'!I1322,"NULL")</f>
        <v>48</v>
      </c>
      <c r="G1322" s="1" t="str">
        <f aca="false">IF('Boletins Nuppa Site'!J1322&lt;&gt;0,'Boletins Nuppa Site'!J1322,"NULL")</f>
        <v>25.6</v>
      </c>
      <c r="H1322" s="16" t="n">
        <f aca="false">IF('Boletins Nuppa Site'!K1322&lt;&gt;0,'Boletins Nuppa Site'!K1322,"NULL")</f>
        <v>20</v>
      </c>
      <c r="J1322" s="1" t="str">
        <f aca="false">"INSERT INTO COTACAO (blt_id, pap_id, cot_prc_comum, cot_prc_min, cot_prc_max, cot_prc_med, cot_prc_mediana) VALUES ("&amp;B1322&amp;", "&amp;C1322&amp;", "&amp;D1322&amp;", "&amp;E1322&amp;", "&amp;F1322&amp;", "&amp;G1322&amp;", "&amp;H1322&amp;");"</f>
        <v>INSERT INTO COTACAO (blt_id, pap_id, cot_prc_comum, cot_prc_min, cot_prc_max, cot_prc_med, cot_prc_mediana) VALUES (35, 9, 18, 18, 48, 25.6, 20);</v>
      </c>
    </row>
    <row r="1323" customFormat="false" ht="14.25" hidden="false" customHeight="false" outlineLevel="0" collapsed="false">
      <c r="A1323" s="1" t="n">
        <v>1322</v>
      </c>
      <c r="B1323" s="1" t="n">
        <v>35</v>
      </c>
      <c r="C1323" s="1" t="n">
        <v>10</v>
      </c>
      <c r="D1323" s="16" t="n">
        <f aca="false">IF('Boletins Nuppa Site'!G1323&lt;&gt;0,'Boletins Nuppa Site'!G1323,"NULL")</f>
        <v>60</v>
      </c>
      <c r="E1323" s="16" t="n">
        <f aca="false">IF('Boletins Nuppa Site'!H1323&lt;&gt;0,'Boletins Nuppa Site'!H1323,"NULL")</f>
        <v>60</v>
      </c>
      <c r="F1323" s="16" t="n">
        <f aca="false">IF('Boletins Nuppa Site'!I1323&lt;&gt;0,'Boletins Nuppa Site'!I1323,"NULL")</f>
        <v>60</v>
      </c>
      <c r="G1323" s="16" t="n">
        <f aca="false">IF('Boletins Nuppa Site'!J1323&lt;&gt;0,'Boletins Nuppa Site'!J1323,"NULL")</f>
        <v>60</v>
      </c>
      <c r="H1323" s="16" t="n">
        <f aca="false">IF('Boletins Nuppa Site'!K1323&lt;&gt;0,'Boletins Nuppa Site'!K1323,"NULL")</f>
        <v>60</v>
      </c>
      <c r="J1323" s="1" t="str">
        <f aca="false">"INSERT INTO COTACAO (blt_id, pap_id, cot_prc_comum, cot_prc_min, cot_prc_max, cot_prc_med, cot_prc_mediana) VALUES ("&amp;B1323&amp;", "&amp;C1323&amp;", "&amp;D1323&amp;", "&amp;E1323&amp;", "&amp;F1323&amp;", "&amp;G1323&amp;", "&amp;H1323&amp;");"</f>
        <v>INSERT INTO COTACAO (blt_id, pap_id, cot_prc_comum, cot_prc_min, cot_prc_max, cot_prc_med, cot_prc_mediana) VALUES (35, 10, 60, 60, 60, 60, 60);</v>
      </c>
    </row>
    <row r="1324" customFormat="false" ht="14.25" hidden="false" customHeight="false" outlineLevel="0" collapsed="false">
      <c r="A1324" s="1" t="n">
        <v>1323</v>
      </c>
      <c r="B1324" s="1" t="n">
        <v>35</v>
      </c>
      <c r="C1324" s="1" t="n">
        <v>11</v>
      </c>
      <c r="D1324" s="16" t="n">
        <f aca="false">IF('Boletins Nuppa Site'!G1324&lt;&gt;0,'Boletins Nuppa Site'!G1324,"NULL")</f>
        <v>18</v>
      </c>
      <c r="E1324" s="16" t="n">
        <f aca="false">IF('Boletins Nuppa Site'!H1324&lt;&gt;0,'Boletins Nuppa Site'!H1324,"NULL")</f>
        <v>18</v>
      </c>
      <c r="F1324" s="16" t="n">
        <f aca="false">IF('Boletins Nuppa Site'!I1324&lt;&gt;0,'Boletins Nuppa Site'!I1324,"NULL")</f>
        <v>24</v>
      </c>
      <c r="G1324" s="1" t="str">
        <f aca="false">IF('Boletins Nuppa Site'!J1324&lt;&gt;0,'Boletins Nuppa Site'!J1324,"NULL")</f>
        <v>19.5</v>
      </c>
      <c r="H1324" s="16" t="n">
        <f aca="false">IF('Boletins Nuppa Site'!K1324&lt;&gt;0,'Boletins Nuppa Site'!K1324,"NULL")</f>
        <v>18</v>
      </c>
      <c r="J1324" s="1" t="str">
        <f aca="false">"INSERT INTO COTACAO (blt_id, pap_id, cot_prc_comum, cot_prc_min, cot_prc_max, cot_prc_med, cot_prc_mediana) VALUES ("&amp;B1324&amp;", "&amp;C1324&amp;", "&amp;D1324&amp;", "&amp;E1324&amp;", "&amp;F1324&amp;", "&amp;G1324&amp;", "&amp;H1324&amp;");"</f>
        <v>INSERT INTO COTACAO (blt_id, pap_id, cot_prc_comum, cot_prc_min, cot_prc_max, cot_prc_med, cot_prc_mediana) VALUES (35, 11, 18, 18, 24, 19.5, 18);</v>
      </c>
    </row>
    <row r="1325" customFormat="false" ht="14.25" hidden="false" customHeight="false" outlineLevel="0" collapsed="false">
      <c r="A1325" s="1" t="n">
        <v>1324</v>
      </c>
      <c r="B1325" s="1" t="n">
        <v>35</v>
      </c>
      <c r="C1325" s="1" t="n">
        <v>12</v>
      </c>
      <c r="D1325" s="16" t="n">
        <f aca="false">IF('Boletins Nuppa Site'!G1325&lt;&gt;0,'Boletins Nuppa Site'!G1325,"NULL")</f>
        <v>48</v>
      </c>
      <c r="E1325" s="16" t="n">
        <f aca="false">IF('Boletins Nuppa Site'!H1325&lt;&gt;0,'Boletins Nuppa Site'!H1325,"NULL")</f>
        <v>48</v>
      </c>
      <c r="F1325" s="16" t="n">
        <f aca="false">IF('Boletins Nuppa Site'!I1325&lt;&gt;0,'Boletins Nuppa Site'!I1325,"NULL")</f>
        <v>72</v>
      </c>
      <c r="G1325" s="16" t="n">
        <f aca="false">IF('Boletins Nuppa Site'!J1325&lt;&gt;0,'Boletins Nuppa Site'!J1325,"NULL")</f>
        <v>56</v>
      </c>
      <c r="H1325" s="16" t="n">
        <f aca="false">IF('Boletins Nuppa Site'!K1325&lt;&gt;0,'Boletins Nuppa Site'!K1325,"NULL")</f>
        <v>48</v>
      </c>
      <c r="J1325" s="1" t="str">
        <f aca="false">"INSERT INTO COTACAO (blt_id, pap_id, cot_prc_comum, cot_prc_min, cot_prc_max, cot_prc_med, cot_prc_mediana) VALUES ("&amp;B1325&amp;", "&amp;C1325&amp;", "&amp;D1325&amp;", "&amp;E1325&amp;", "&amp;F1325&amp;", "&amp;G1325&amp;", "&amp;H1325&amp;");"</f>
        <v>INSERT INTO COTACAO (blt_id, pap_id, cot_prc_comum, cot_prc_min, cot_prc_max, cot_prc_med, cot_prc_mediana) VALUES (35, 12, 48, 48, 72, 56, 48);</v>
      </c>
    </row>
    <row r="1326" customFormat="false" ht="14.25" hidden="false" customHeight="false" outlineLevel="0" collapsed="false">
      <c r="A1326" s="1" t="n">
        <v>1325</v>
      </c>
      <c r="B1326" s="1" t="n">
        <v>35</v>
      </c>
      <c r="C1326" s="1" t="n">
        <v>13</v>
      </c>
      <c r="D1326" s="16" t="n">
        <f aca="false">IF('Boletins Nuppa Site'!G1326&lt;&gt;0,'Boletins Nuppa Site'!G1326,"NULL")</f>
        <v>48</v>
      </c>
      <c r="E1326" s="16" t="n">
        <f aca="false">IF('Boletins Nuppa Site'!H1326&lt;&gt;0,'Boletins Nuppa Site'!H1326,"NULL")</f>
        <v>48</v>
      </c>
      <c r="F1326" s="16" t="n">
        <f aca="false">IF('Boletins Nuppa Site'!I1326&lt;&gt;0,'Boletins Nuppa Site'!I1326,"NULL")</f>
        <v>60</v>
      </c>
      <c r="G1326" s="16" t="n">
        <f aca="false">IF('Boletins Nuppa Site'!J1326&lt;&gt;0,'Boletins Nuppa Site'!J1326,"NULL")</f>
        <v>51</v>
      </c>
      <c r="H1326" s="16" t="n">
        <f aca="false">IF('Boletins Nuppa Site'!K1326&lt;&gt;0,'Boletins Nuppa Site'!K1326,"NULL")</f>
        <v>48</v>
      </c>
      <c r="J1326" s="1" t="str">
        <f aca="false">"INSERT INTO COTACAO (blt_id, pap_id, cot_prc_comum, cot_prc_min, cot_prc_max, cot_prc_med, cot_prc_mediana) VALUES ("&amp;B1326&amp;", "&amp;C1326&amp;", "&amp;D1326&amp;", "&amp;E1326&amp;", "&amp;F1326&amp;", "&amp;G1326&amp;", "&amp;H1326&amp;");"</f>
        <v>INSERT INTO COTACAO (blt_id, pap_id, cot_prc_comum, cot_prc_min, cot_prc_max, cot_prc_med, cot_prc_mediana) VALUES (35, 13, 48, 48, 60, 51, 48);</v>
      </c>
    </row>
    <row r="1327" customFormat="false" ht="14.25" hidden="false" customHeight="false" outlineLevel="0" collapsed="false">
      <c r="A1327" s="1" t="n">
        <v>1326</v>
      </c>
      <c r="B1327" s="1" t="n">
        <v>35</v>
      </c>
      <c r="C1327" s="1" t="n">
        <v>14</v>
      </c>
      <c r="D1327" s="16" t="n">
        <f aca="false">IF('Boletins Nuppa Site'!G1327&lt;&gt;0,'Boletins Nuppa Site'!G1327,"NULL")</f>
        <v>48</v>
      </c>
      <c r="E1327" s="16" t="n">
        <f aca="false">IF('Boletins Nuppa Site'!H1327&lt;&gt;0,'Boletins Nuppa Site'!H1327,"NULL")</f>
        <v>48</v>
      </c>
      <c r="F1327" s="16" t="n">
        <f aca="false">IF('Boletins Nuppa Site'!I1327&lt;&gt;0,'Boletins Nuppa Site'!I1327,"NULL")</f>
        <v>72</v>
      </c>
      <c r="G1327" s="16" t="n">
        <f aca="false">IF('Boletins Nuppa Site'!J1327&lt;&gt;0,'Boletins Nuppa Site'!J1327,"NULL")</f>
        <v>57</v>
      </c>
      <c r="H1327" s="16" t="n">
        <f aca="false">IF('Boletins Nuppa Site'!K1327&lt;&gt;0,'Boletins Nuppa Site'!K1327,"NULL")</f>
        <v>54</v>
      </c>
      <c r="J1327" s="1" t="str">
        <f aca="false">"INSERT INTO COTACAO (blt_id, pap_id, cot_prc_comum, cot_prc_min, cot_prc_max, cot_prc_med, cot_prc_mediana) VALUES ("&amp;B1327&amp;", "&amp;C1327&amp;", "&amp;D1327&amp;", "&amp;E1327&amp;", "&amp;F1327&amp;", "&amp;G1327&amp;", "&amp;H1327&amp;");"</f>
        <v>INSERT INTO COTACAO (blt_id, pap_id, cot_prc_comum, cot_prc_min, cot_prc_max, cot_prc_med, cot_prc_mediana) VALUES (35, 14, 48, 48, 72, 57, 54);</v>
      </c>
    </row>
    <row r="1328" customFormat="false" ht="14.25" hidden="false" customHeight="false" outlineLevel="0" collapsed="false">
      <c r="A1328" s="1" t="n">
        <v>1327</v>
      </c>
      <c r="B1328" s="1" t="n">
        <v>35</v>
      </c>
      <c r="C1328" s="1" t="n">
        <v>15</v>
      </c>
      <c r="D1328" s="16" t="n">
        <f aca="false">IF('Boletins Nuppa Site'!G1328&lt;&gt;0,'Boletins Nuppa Site'!G1328,"NULL")</f>
        <v>36</v>
      </c>
      <c r="E1328" s="16" t="n">
        <f aca="false">IF('Boletins Nuppa Site'!H1328&lt;&gt;0,'Boletins Nuppa Site'!H1328,"NULL")</f>
        <v>24</v>
      </c>
      <c r="F1328" s="16" t="n">
        <f aca="false">IF('Boletins Nuppa Site'!I1328&lt;&gt;0,'Boletins Nuppa Site'!I1328,"NULL")</f>
        <v>40</v>
      </c>
      <c r="G1328" s="16" t="n">
        <f aca="false">IF('Boletins Nuppa Site'!J1328&lt;&gt;0,'Boletins Nuppa Site'!J1328,"NULL")</f>
        <v>32</v>
      </c>
      <c r="H1328" s="16" t="n">
        <f aca="false">IF('Boletins Nuppa Site'!K1328&lt;&gt;0,'Boletins Nuppa Site'!K1328,"NULL")</f>
        <v>36</v>
      </c>
      <c r="J1328" s="1" t="str">
        <f aca="false">"INSERT INTO COTACAO (blt_id, pap_id, cot_prc_comum, cot_prc_min, cot_prc_max, cot_prc_med, cot_prc_mediana) VALUES ("&amp;B1328&amp;", "&amp;C1328&amp;", "&amp;D1328&amp;", "&amp;E1328&amp;", "&amp;F1328&amp;", "&amp;G1328&amp;", "&amp;H1328&amp;");"</f>
        <v>INSERT INTO COTACAO (blt_id, pap_id, cot_prc_comum, cot_prc_min, cot_prc_max, cot_prc_med, cot_prc_mediana) VALUES (35, 15, 36, 24, 40, 32, 36);</v>
      </c>
    </row>
    <row r="1329" customFormat="false" ht="14.25" hidden="false" customHeight="false" outlineLevel="0" collapsed="false">
      <c r="A1329" s="1" t="n">
        <v>1328</v>
      </c>
      <c r="B1329" s="1" t="n">
        <v>35</v>
      </c>
      <c r="C1329" s="1" t="n">
        <v>16</v>
      </c>
      <c r="D1329" s="16" t="n">
        <f aca="false">IF('Boletins Nuppa Site'!G1329&lt;&gt;0,'Boletins Nuppa Site'!G1329,"NULL")</f>
        <v>48</v>
      </c>
      <c r="E1329" s="16" t="n">
        <f aca="false">IF('Boletins Nuppa Site'!H1329&lt;&gt;0,'Boletins Nuppa Site'!H1329,"NULL")</f>
        <v>42</v>
      </c>
      <c r="F1329" s="16" t="n">
        <f aca="false">IF('Boletins Nuppa Site'!I1329&lt;&gt;0,'Boletins Nuppa Site'!I1329,"NULL")</f>
        <v>48</v>
      </c>
      <c r="G1329" s="1" t="str">
        <f aca="false">IF('Boletins Nuppa Site'!J1329&lt;&gt;0,'Boletins Nuppa Site'!J1329,"NULL")</f>
        <v>46.5</v>
      </c>
      <c r="H1329" s="16" t="n">
        <f aca="false">IF('Boletins Nuppa Site'!K1329&lt;&gt;0,'Boletins Nuppa Site'!K1329,"NULL")</f>
        <v>48</v>
      </c>
      <c r="J1329" s="1" t="str">
        <f aca="false">"INSERT INTO COTACAO (blt_id, pap_id, cot_prc_comum, cot_prc_min, cot_prc_max, cot_prc_med, cot_prc_mediana) VALUES ("&amp;B1329&amp;", "&amp;C1329&amp;", "&amp;D1329&amp;", "&amp;E1329&amp;", "&amp;F1329&amp;", "&amp;G1329&amp;", "&amp;H1329&amp;");"</f>
        <v>INSERT INTO COTACAO (blt_id, pap_id, cot_prc_comum, cot_prc_min, cot_prc_max, cot_prc_med, cot_prc_mediana) VALUES (35, 16, 48, 42, 48, 46.5, 48);</v>
      </c>
    </row>
    <row r="1330" customFormat="false" ht="14.25" hidden="false" customHeight="false" outlineLevel="0" collapsed="false">
      <c r="A1330" s="1" t="n">
        <v>1329</v>
      </c>
      <c r="B1330" s="1" t="n">
        <v>35</v>
      </c>
      <c r="C1330" s="1" t="n">
        <v>17</v>
      </c>
      <c r="D1330" s="16" t="n">
        <f aca="false">IF('Boletins Nuppa Site'!G1330&lt;&gt;0,'Boletins Nuppa Site'!G1330,"NULL")</f>
        <v>5</v>
      </c>
      <c r="E1330" s="16" t="n">
        <f aca="false">IF('Boletins Nuppa Site'!H1330&lt;&gt;0,'Boletins Nuppa Site'!H1330,"NULL")</f>
        <v>4</v>
      </c>
      <c r="F1330" s="16" t="n">
        <f aca="false">IF('Boletins Nuppa Site'!I1330&lt;&gt;0,'Boletins Nuppa Site'!I1330,"NULL")</f>
        <v>5</v>
      </c>
      <c r="G1330" s="1" t="str">
        <f aca="false">IF('Boletins Nuppa Site'!J1330&lt;&gt;0,'Boletins Nuppa Site'!J1330,"NULL")</f>
        <v>4.67</v>
      </c>
      <c r="H1330" s="16" t="n">
        <f aca="false">IF('Boletins Nuppa Site'!K1330&lt;&gt;0,'Boletins Nuppa Site'!K1330,"NULL")</f>
        <v>5</v>
      </c>
      <c r="J1330" s="1" t="str">
        <f aca="false">"INSERT INTO COTACAO (blt_id, pap_id, cot_prc_comum, cot_prc_min, cot_prc_max, cot_prc_med, cot_prc_mediana) VALUES ("&amp;B1330&amp;", "&amp;C1330&amp;", "&amp;D1330&amp;", "&amp;E1330&amp;", "&amp;F1330&amp;", "&amp;G1330&amp;", "&amp;H1330&amp;");"</f>
        <v>INSERT INTO COTACAO (blt_id, pap_id, cot_prc_comum, cot_prc_min, cot_prc_max, cot_prc_med, cot_prc_mediana) VALUES (35, 17, 5, 4, 5, 4.67, 5);</v>
      </c>
    </row>
    <row r="1331" customFormat="false" ht="14.25" hidden="false" customHeight="false" outlineLevel="0" collapsed="false">
      <c r="A1331" s="1" t="n">
        <v>1330</v>
      </c>
      <c r="B1331" s="1" t="n">
        <v>35</v>
      </c>
      <c r="C1331" s="1" t="n">
        <v>18</v>
      </c>
      <c r="D1331" s="16" t="n">
        <f aca="false">IF('Boletins Nuppa Site'!G1331&lt;&gt;0,'Boletins Nuppa Site'!G1331,"NULL")</f>
        <v>10</v>
      </c>
      <c r="E1331" s="16" t="n">
        <f aca="false">IF('Boletins Nuppa Site'!H1331&lt;&gt;0,'Boletins Nuppa Site'!H1331,"NULL")</f>
        <v>10</v>
      </c>
      <c r="F1331" s="16" t="n">
        <f aca="false">IF('Boletins Nuppa Site'!I1331&lt;&gt;0,'Boletins Nuppa Site'!I1331,"NULL")</f>
        <v>15</v>
      </c>
      <c r="G1331" s="1" t="str">
        <f aca="false">IF('Boletins Nuppa Site'!J1331&lt;&gt;0,'Boletins Nuppa Site'!J1331,"NULL")</f>
        <v>11.75</v>
      </c>
      <c r="H1331" s="16" t="n">
        <f aca="false">IF('Boletins Nuppa Site'!K1331&lt;&gt;0,'Boletins Nuppa Site'!K1331,"NULL")</f>
        <v>11</v>
      </c>
      <c r="J1331" s="1" t="str">
        <f aca="false">"INSERT INTO COTACAO (blt_id, pap_id, cot_prc_comum, cot_prc_min, cot_prc_max, cot_prc_med, cot_prc_mediana) VALUES ("&amp;B1331&amp;", "&amp;C1331&amp;", "&amp;D1331&amp;", "&amp;E1331&amp;", "&amp;F1331&amp;", "&amp;G1331&amp;", "&amp;H1331&amp;");"</f>
        <v>INSERT INTO COTACAO (blt_id, pap_id, cot_prc_comum, cot_prc_min, cot_prc_max, cot_prc_med, cot_prc_mediana) VALUES (35, 18, 10, 10, 15, 11.75, 11);</v>
      </c>
    </row>
    <row r="1332" customFormat="false" ht="14.25" hidden="false" customHeight="false" outlineLevel="0" collapsed="false">
      <c r="A1332" s="1" t="n">
        <v>1331</v>
      </c>
      <c r="B1332" s="1" t="n">
        <v>35</v>
      </c>
      <c r="C1332" s="1" t="n">
        <v>19</v>
      </c>
      <c r="D1332" s="16" t="n">
        <f aca="false">IF('Boletins Nuppa Site'!G1332&lt;&gt;0,'Boletins Nuppa Site'!G1332,"NULL")</f>
        <v>20</v>
      </c>
      <c r="E1332" s="16" t="n">
        <f aca="false">IF('Boletins Nuppa Site'!H1332&lt;&gt;0,'Boletins Nuppa Site'!H1332,"NULL")</f>
        <v>20</v>
      </c>
      <c r="F1332" s="16" t="n">
        <f aca="false">IF('Boletins Nuppa Site'!I1332&lt;&gt;0,'Boletins Nuppa Site'!I1332,"NULL")</f>
        <v>25</v>
      </c>
      <c r="G1332" s="1" t="str">
        <f aca="false">IF('Boletins Nuppa Site'!J1332&lt;&gt;0,'Boletins Nuppa Site'!J1332,"NULL")</f>
        <v>21.25</v>
      </c>
      <c r="H1332" s="16" t="n">
        <f aca="false">IF('Boletins Nuppa Site'!K1332&lt;&gt;0,'Boletins Nuppa Site'!K1332,"NULL")</f>
        <v>20</v>
      </c>
      <c r="J1332" s="1" t="str">
        <f aca="false">"INSERT INTO COTACAO (blt_id, pap_id, cot_prc_comum, cot_prc_min, cot_prc_max, cot_prc_med, cot_prc_mediana) VALUES ("&amp;B1332&amp;", "&amp;C1332&amp;", "&amp;D1332&amp;", "&amp;E1332&amp;", "&amp;F1332&amp;", "&amp;G1332&amp;", "&amp;H1332&amp;");"</f>
        <v>INSERT INTO COTACAO (blt_id, pap_id, cot_prc_comum, cot_prc_min, cot_prc_max, cot_prc_med, cot_prc_mediana) VALUES (35, 19, 20, 20, 25, 21.25, 20);</v>
      </c>
    </row>
    <row r="1333" customFormat="false" ht="14.25" hidden="false" customHeight="false" outlineLevel="0" collapsed="false">
      <c r="A1333" s="1" t="n">
        <v>1332</v>
      </c>
      <c r="B1333" s="1" t="n">
        <v>35</v>
      </c>
      <c r="C1333" s="1" t="n">
        <v>20</v>
      </c>
      <c r="D1333" s="1" t="str">
        <f aca="false">IF('Boletins Nuppa Site'!G1333&lt;&gt;0,'Boletins Nuppa Site'!G1333,"NULL")</f>
        <v>NULL</v>
      </c>
      <c r="E1333" s="16" t="n">
        <f aca="false">IF('Boletins Nuppa Site'!H1333&lt;&gt;0,'Boletins Nuppa Site'!H1333,"NULL")</f>
        <v>80</v>
      </c>
      <c r="F1333" s="16" t="n">
        <f aca="false">IF('Boletins Nuppa Site'!I1333&lt;&gt;0,'Boletins Nuppa Site'!I1333,"NULL")</f>
        <v>85</v>
      </c>
      <c r="G1333" s="1" t="str">
        <f aca="false">IF('Boletins Nuppa Site'!J1333&lt;&gt;0,'Boletins Nuppa Site'!J1333,"NULL")</f>
        <v>82.5</v>
      </c>
      <c r="H1333" s="1" t="str">
        <f aca="false">IF('Boletins Nuppa Site'!K1333&lt;&gt;0,'Boletins Nuppa Site'!K1333,"NULL")</f>
        <v>82.5</v>
      </c>
      <c r="J1333" s="1" t="str">
        <f aca="false">"INSERT INTO COTACAO (blt_id, pap_id, cot_prc_comum, cot_prc_min, cot_prc_max, cot_prc_med, cot_prc_mediana) VALUES ("&amp;B1333&amp;", "&amp;C1333&amp;", "&amp;D1333&amp;", "&amp;E1333&amp;", "&amp;F1333&amp;", "&amp;G1333&amp;", "&amp;H1333&amp;");"</f>
        <v>INSERT INTO COTACAO (blt_id, pap_id, cot_prc_comum, cot_prc_min, cot_prc_max, cot_prc_med, cot_prc_mediana) VALUES (35, 20, NULL, 80, 85, 82.5, 82.5);</v>
      </c>
    </row>
    <row r="1334" customFormat="false" ht="14.25" hidden="false" customHeight="false" outlineLevel="0" collapsed="false">
      <c r="A1334" s="1" t="n">
        <v>1333</v>
      </c>
      <c r="B1334" s="1" t="n">
        <v>35</v>
      </c>
      <c r="C1334" s="1" t="n">
        <v>21</v>
      </c>
      <c r="D1334" s="16" t="n">
        <f aca="false">IF('Boletins Nuppa Site'!G1334&lt;&gt;0,'Boletins Nuppa Site'!G1334,"NULL")</f>
        <v>35</v>
      </c>
      <c r="E1334" s="16" t="n">
        <f aca="false">IF('Boletins Nuppa Site'!H1334&lt;&gt;0,'Boletins Nuppa Site'!H1334,"NULL")</f>
        <v>35</v>
      </c>
      <c r="F1334" s="16" t="n">
        <f aca="false">IF('Boletins Nuppa Site'!I1334&lt;&gt;0,'Boletins Nuppa Site'!I1334,"NULL")</f>
        <v>50</v>
      </c>
      <c r="G1334" s="16" t="n">
        <f aca="false">IF('Boletins Nuppa Site'!J1334&lt;&gt;0,'Boletins Nuppa Site'!J1334,"NULL")</f>
        <v>42</v>
      </c>
      <c r="H1334" s="16" t="n">
        <f aca="false">IF('Boletins Nuppa Site'!K1334&lt;&gt;0,'Boletins Nuppa Site'!K1334,"NULL")</f>
        <v>45</v>
      </c>
      <c r="J1334" s="1" t="str">
        <f aca="false">"INSERT INTO COTACAO (blt_id, pap_id, cot_prc_comum, cot_prc_min, cot_prc_max, cot_prc_med, cot_prc_mediana) VALUES ("&amp;B1334&amp;", "&amp;C1334&amp;", "&amp;D1334&amp;", "&amp;E1334&amp;", "&amp;F1334&amp;", "&amp;G1334&amp;", "&amp;H1334&amp;");"</f>
        <v>INSERT INTO COTACAO (blt_id, pap_id, cot_prc_comum, cot_prc_min, cot_prc_max, cot_prc_med, cot_prc_mediana) VALUES (35, 21, 35, 35, 50, 42, 45);</v>
      </c>
    </row>
    <row r="1335" customFormat="false" ht="14.25" hidden="false" customHeight="false" outlineLevel="0" collapsed="false">
      <c r="A1335" s="1" t="n">
        <v>1334</v>
      </c>
      <c r="B1335" s="1" t="n">
        <v>35</v>
      </c>
      <c r="C1335" s="1" t="n">
        <v>22</v>
      </c>
      <c r="D1335" s="16" t="n">
        <f aca="false">IF('Boletins Nuppa Site'!G1335&lt;&gt;0,'Boletins Nuppa Site'!G1335,"NULL")</f>
        <v>70</v>
      </c>
      <c r="E1335" s="16" t="n">
        <f aca="false">IF('Boletins Nuppa Site'!H1335&lt;&gt;0,'Boletins Nuppa Site'!H1335,"NULL")</f>
        <v>45</v>
      </c>
      <c r="F1335" s="16" t="n">
        <f aca="false">IF('Boletins Nuppa Site'!I1335&lt;&gt;0,'Boletins Nuppa Site'!I1335,"NULL")</f>
        <v>70</v>
      </c>
      <c r="G1335" s="16" t="n">
        <f aca="false">IF('Boletins Nuppa Site'!J1335&lt;&gt;0,'Boletins Nuppa Site'!J1335,"NULL")</f>
        <v>64</v>
      </c>
      <c r="H1335" s="16" t="n">
        <f aca="false">IF('Boletins Nuppa Site'!K1335&lt;&gt;0,'Boletins Nuppa Site'!K1335,"NULL")</f>
        <v>70</v>
      </c>
      <c r="J1335" s="1" t="str">
        <f aca="false">"INSERT INTO COTACAO (blt_id, pap_id, cot_prc_comum, cot_prc_min, cot_prc_max, cot_prc_med, cot_prc_mediana) VALUES ("&amp;B1335&amp;", "&amp;C1335&amp;", "&amp;D1335&amp;", "&amp;E1335&amp;", "&amp;F1335&amp;", "&amp;G1335&amp;", "&amp;H1335&amp;");"</f>
        <v>INSERT INTO COTACAO (blt_id, pap_id, cot_prc_comum, cot_prc_min, cot_prc_max, cot_prc_med, cot_prc_mediana) VALUES (35, 22, 70, 45, 70, 64, 70);</v>
      </c>
    </row>
    <row r="1336" customFormat="false" ht="14.25" hidden="false" customHeight="false" outlineLevel="0" collapsed="false">
      <c r="A1336" s="1" t="n">
        <v>1335</v>
      </c>
      <c r="B1336" s="1" t="n">
        <v>35</v>
      </c>
      <c r="C1336" s="1" t="n">
        <v>23</v>
      </c>
      <c r="D1336" s="1" t="str">
        <f aca="false">IF('Boletins Nuppa Site'!G1336&lt;&gt;0,'Boletins Nuppa Site'!G1336,"NULL")</f>
        <v>NULL</v>
      </c>
      <c r="E1336" s="16" t="n">
        <f aca="false">IF('Boletins Nuppa Site'!H1336&lt;&gt;0,'Boletins Nuppa Site'!H1336,"NULL")</f>
        <v>45</v>
      </c>
      <c r="F1336" s="16" t="n">
        <f aca="false">IF('Boletins Nuppa Site'!I1336&lt;&gt;0,'Boletins Nuppa Site'!I1336,"NULL")</f>
        <v>60</v>
      </c>
      <c r="G1336" s="1" t="str">
        <f aca="false">IF('Boletins Nuppa Site'!J1336&lt;&gt;0,'Boletins Nuppa Site'!J1336,"NULL")</f>
        <v>51.67</v>
      </c>
      <c r="H1336" s="16" t="n">
        <f aca="false">IF('Boletins Nuppa Site'!K1336&lt;&gt;0,'Boletins Nuppa Site'!K1336,"NULL")</f>
        <v>50</v>
      </c>
      <c r="J1336" s="1" t="str">
        <f aca="false">"INSERT INTO COTACAO (blt_id, pap_id, cot_prc_comum, cot_prc_min, cot_prc_max, cot_prc_med, cot_prc_mediana) VALUES ("&amp;B1336&amp;", "&amp;C1336&amp;", "&amp;D1336&amp;", "&amp;E1336&amp;", "&amp;F1336&amp;", "&amp;G1336&amp;", "&amp;H1336&amp;");"</f>
        <v>INSERT INTO COTACAO (blt_id, pap_id, cot_prc_comum, cot_prc_min, cot_prc_max, cot_prc_med, cot_prc_mediana) VALUES (35, 23, NULL, 45, 60, 51.67, 50);</v>
      </c>
    </row>
    <row r="1337" customFormat="false" ht="14.25" hidden="false" customHeight="false" outlineLevel="0" collapsed="false">
      <c r="A1337" s="1" t="n">
        <v>1336</v>
      </c>
      <c r="B1337" s="1" t="n">
        <v>35</v>
      </c>
      <c r="C1337" s="1" t="n">
        <v>24</v>
      </c>
      <c r="D1337" s="1" t="str">
        <f aca="false">IF('Boletins Nuppa Site'!G1337&lt;&gt;0,'Boletins Nuppa Site'!G1337,"NULL")</f>
        <v>NULL</v>
      </c>
      <c r="E1337" s="16" t="n">
        <f aca="false">IF('Boletins Nuppa Site'!H1337&lt;&gt;0,'Boletins Nuppa Site'!H1337,"NULL")</f>
        <v>50</v>
      </c>
      <c r="F1337" s="16" t="n">
        <f aca="false">IF('Boletins Nuppa Site'!I1337&lt;&gt;0,'Boletins Nuppa Site'!I1337,"NULL")</f>
        <v>110</v>
      </c>
      <c r="G1337" s="1" t="str">
        <f aca="false">IF('Boletins Nuppa Site'!J1337&lt;&gt;0,'Boletins Nuppa Site'!J1337,"NULL")</f>
        <v>83.33</v>
      </c>
      <c r="H1337" s="16" t="n">
        <f aca="false">IF('Boletins Nuppa Site'!K1337&lt;&gt;0,'Boletins Nuppa Site'!K1337,"NULL")</f>
        <v>90</v>
      </c>
      <c r="J1337" s="1" t="str">
        <f aca="false">"INSERT INTO COTACAO (blt_id, pap_id, cot_prc_comum, cot_prc_min, cot_prc_max, cot_prc_med, cot_prc_mediana) VALUES ("&amp;B1337&amp;", "&amp;C1337&amp;", "&amp;D1337&amp;", "&amp;E1337&amp;", "&amp;F1337&amp;", "&amp;G1337&amp;", "&amp;H1337&amp;");"</f>
        <v>INSERT INTO COTACAO (blt_id, pap_id, cot_prc_comum, cot_prc_min, cot_prc_max, cot_prc_med, cot_prc_mediana) VALUES (35, 24, NULL, 50, 110, 83.33, 90);</v>
      </c>
    </row>
    <row r="1338" customFormat="false" ht="14.25" hidden="false" customHeight="false" outlineLevel="0" collapsed="false">
      <c r="A1338" s="1" t="n">
        <v>1337</v>
      </c>
      <c r="B1338" s="1" t="n">
        <v>35</v>
      </c>
      <c r="C1338" s="1" t="n">
        <v>25</v>
      </c>
      <c r="D1338" s="16" t="n">
        <f aca="false">IF('Boletins Nuppa Site'!G1338&lt;&gt;0,'Boletins Nuppa Site'!G1338,"NULL")</f>
        <v>70</v>
      </c>
      <c r="E1338" s="16" t="n">
        <f aca="false">IF('Boletins Nuppa Site'!H1338&lt;&gt;0,'Boletins Nuppa Site'!H1338,"NULL")</f>
        <v>60</v>
      </c>
      <c r="F1338" s="16" t="n">
        <f aca="false">IF('Boletins Nuppa Site'!I1338&lt;&gt;0,'Boletins Nuppa Site'!I1338,"NULL")</f>
        <v>70</v>
      </c>
      <c r="G1338" s="16" t="n">
        <f aca="false">IF('Boletins Nuppa Site'!J1338&lt;&gt;0,'Boletins Nuppa Site'!J1338,"NULL")</f>
        <v>65</v>
      </c>
      <c r="H1338" s="16" t="n">
        <f aca="false">IF('Boletins Nuppa Site'!K1338&lt;&gt;0,'Boletins Nuppa Site'!K1338,"NULL")</f>
        <v>65</v>
      </c>
      <c r="J1338" s="1" t="str">
        <f aca="false">"INSERT INTO COTACAO (blt_id, pap_id, cot_prc_comum, cot_prc_min, cot_prc_max, cot_prc_med, cot_prc_mediana) VALUES ("&amp;B1338&amp;", "&amp;C1338&amp;", "&amp;D1338&amp;", "&amp;E1338&amp;", "&amp;F1338&amp;", "&amp;G1338&amp;", "&amp;H1338&amp;");"</f>
        <v>INSERT INTO COTACAO (blt_id, pap_id, cot_prc_comum, cot_prc_min, cot_prc_max, cot_prc_med, cot_prc_mediana) VALUES (35, 25, 70, 60, 70, 65, 65);</v>
      </c>
    </row>
    <row r="1339" customFormat="false" ht="14.25" hidden="false" customHeight="false" outlineLevel="0" collapsed="false">
      <c r="A1339" s="1" t="n">
        <v>1338</v>
      </c>
      <c r="B1339" s="1" t="n">
        <v>35</v>
      </c>
      <c r="C1339" s="1" t="n">
        <v>26</v>
      </c>
      <c r="D1339" s="16" t="n">
        <f aca="false">IF('Boletins Nuppa Site'!G1339&lt;&gt;0,'Boletins Nuppa Site'!G1339,"NULL")</f>
        <v>60</v>
      </c>
      <c r="E1339" s="16" t="n">
        <f aca="false">IF('Boletins Nuppa Site'!H1339&lt;&gt;0,'Boletins Nuppa Site'!H1339,"NULL")</f>
        <v>35</v>
      </c>
      <c r="F1339" s="16" t="n">
        <f aca="false">IF('Boletins Nuppa Site'!I1339&lt;&gt;0,'Boletins Nuppa Site'!I1339,"NULL")</f>
        <v>60</v>
      </c>
      <c r="G1339" s="16" t="n">
        <f aca="false">IF('Boletins Nuppa Site'!J1339&lt;&gt;0,'Boletins Nuppa Site'!J1339,"NULL")</f>
        <v>50</v>
      </c>
      <c r="H1339" s="16" t="n">
        <f aca="false">IF('Boletins Nuppa Site'!K1339&lt;&gt;0,'Boletins Nuppa Site'!K1339,"NULL")</f>
        <v>55</v>
      </c>
      <c r="J1339" s="1" t="str">
        <f aca="false">"INSERT INTO COTACAO (blt_id, pap_id, cot_prc_comum, cot_prc_min, cot_prc_max, cot_prc_med, cot_prc_mediana) VALUES ("&amp;B1339&amp;", "&amp;C1339&amp;", "&amp;D1339&amp;", "&amp;E1339&amp;", "&amp;F1339&amp;", "&amp;G1339&amp;", "&amp;H1339&amp;");"</f>
        <v>INSERT INTO COTACAO (blt_id, pap_id, cot_prc_comum, cot_prc_min, cot_prc_max, cot_prc_med, cot_prc_mediana) VALUES (35, 26, 60, 35, 60, 50, 55);</v>
      </c>
    </row>
    <row r="1340" customFormat="false" ht="14.25" hidden="false" customHeight="false" outlineLevel="0" collapsed="false">
      <c r="A1340" s="1" t="n">
        <v>1339</v>
      </c>
      <c r="B1340" s="1" t="n">
        <v>35</v>
      </c>
      <c r="C1340" s="1" t="n">
        <v>27</v>
      </c>
      <c r="D1340" s="16" t="n">
        <f aca="false">IF('Boletins Nuppa Site'!G1340&lt;&gt;0,'Boletins Nuppa Site'!G1340,"NULL")</f>
        <v>60</v>
      </c>
      <c r="E1340" s="16" t="n">
        <f aca="false">IF('Boletins Nuppa Site'!H1340&lt;&gt;0,'Boletins Nuppa Site'!H1340,"NULL")</f>
        <v>60</v>
      </c>
      <c r="F1340" s="16" t="n">
        <f aca="false">IF('Boletins Nuppa Site'!I1340&lt;&gt;0,'Boletins Nuppa Site'!I1340,"NULL")</f>
        <v>80</v>
      </c>
      <c r="G1340" s="16" t="n">
        <f aca="false">IF('Boletins Nuppa Site'!J1340&lt;&gt;0,'Boletins Nuppa Site'!J1340,"NULL")</f>
        <v>68</v>
      </c>
      <c r="H1340" s="16" t="n">
        <f aca="false">IF('Boletins Nuppa Site'!K1340&lt;&gt;0,'Boletins Nuppa Site'!K1340,"NULL")</f>
        <v>70</v>
      </c>
      <c r="J1340" s="1" t="str">
        <f aca="false">"INSERT INTO COTACAO (blt_id, pap_id, cot_prc_comum, cot_prc_min, cot_prc_max, cot_prc_med, cot_prc_mediana) VALUES ("&amp;B1340&amp;", "&amp;C1340&amp;", "&amp;D1340&amp;", "&amp;E1340&amp;", "&amp;F1340&amp;", "&amp;G1340&amp;", "&amp;H1340&amp;");"</f>
        <v>INSERT INTO COTACAO (blt_id, pap_id, cot_prc_comum, cot_prc_min, cot_prc_max, cot_prc_med, cot_prc_mediana) VALUES (35, 27, 60, 60, 80, 68, 70);</v>
      </c>
    </row>
    <row r="1341" customFormat="false" ht="14.25" hidden="false" customHeight="false" outlineLevel="0" collapsed="false">
      <c r="A1341" s="1" t="n">
        <v>1340</v>
      </c>
      <c r="B1341" s="1" t="n">
        <v>35</v>
      </c>
      <c r="C1341" s="1" t="n">
        <v>28</v>
      </c>
      <c r="D1341" s="1" t="str">
        <f aca="false">IF('Boletins Nuppa Site'!G1341&lt;&gt;0,'Boletins Nuppa Site'!G1341,"NULL")</f>
        <v>NULL</v>
      </c>
      <c r="E1341" s="16" t="n">
        <f aca="false">IF('Boletins Nuppa Site'!H1341&lt;&gt;0,'Boletins Nuppa Site'!H1341,"NULL")</f>
        <v>90</v>
      </c>
      <c r="F1341" s="16" t="n">
        <f aca="false">IF('Boletins Nuppa Site'!I1341&lt;&gt;0,'Boletins Nuppa Site'!I1341,"NULL")</f>
        <v>120</v>
      </c>
      <c r="G1341" s="16" t="n">
        <f aca="false">IF('Boletins Nuppa Site'!J1341&lt;&gt;0,'Boletins Nuppa Site'!J1341,"NULL")</f>
        <v>105</v>
      </c>
      <c r="H1341" s="16" t="n">
        <f aca="false">IF('Boletins Nuppa Site'!K1341&lt;&gt;0,'Boletins Nuppa Site'!K1341,"NULL")</f>
        <v>105</v>
      </c>
      <c r="J1341" s="1" t="str">
        <f aca="false">"INSERT INTO COTACAO (blt_id, pap_id, cot_prc_comum, cot_prc_min, cot_prc_max, cot_prc_med, cot_prc_mediana) VALUES ("&amp;B1341&amp;", "&amp;C1341&amp;", "&amp;D1341&amp;", "&amp;E1341&amp;", "&amp;F1341&amp;", "&amp;G1341&amp;", "&amp;H1341&amp;");"</f>
        <v>INSERT INTO COTACAO (blt_id, pap_id, cot_prc_comum, cot_prc_min, cot_prc_max, cot_prc_med, cot_prc_mediana) VALUES (35, 28, NULL, 90, 120, 105, 105);</v>
      </c>
    </row>
    <row r="1342" customFormat="false" ht="14.25" hidden="false" customHeight="false" outlineLevel="0" collapsed="false">
      <c r="A1342" s="1" t="n">
        <v>1341</v>
      </c>
      <c r="B1342" s="1" t="n">
        <v>35</v>
      </c>
      <c r="C1342" s="1" t="n">
        <v>29</v>
      </c>
      <c r="D1342" s="1" t="str">
        <f aca="false">IF('Boletins Nuppa Site'!G1342&lt;&gt;0,'Boletins Nuppa Site'!G1342,"NULL")</f>
        <v>NULL</v>
      </c>
      <c r="E1342" s="16" t="n">
        <f aca="false">IF('Boletins Nuppa Site'!H1342&lt;&gt;0,'Boletins Nuppa Site'!H1342,"NULL")</f>
        <v>65</v>
      </c>
      <c r="F1342" s="16" t="n">
        <f aca="false">IF('Boletins Nuppa Site'!I1342&lt;&gt;0,'Boletins Nuppa Site'!I1342,"NULL")</f>
        <v>65</v>
      </c>
      <c r="G1342" s="16" t="n">
        <f aca="false">IF('Boletins Nuppa Site'!J1342&lt;&gt;0,'Boletins Nuppa Site'!J1342,"NULL")</f>
        <v>65</v>
      </c>
      <c r="H1342" s="16" t="n">
        <f aca="false">IF('Boletins Nuppa Site'!K1342&lt;&gt;0,'Boletins Nuppa Site'!K1342,"NULL")</f>
        <v>65</v>
      </c>
      <c r="J1342" s="1" t="str">
        <f aca="false">"INSERT INTO COTACAO (blt_id, pap_id, cot_prc_comum, cot_prc_min, cot_prc_max, cot_prc_med, cot_prc_mediana) VALUES ("&amp;B1342&amp;", "&amp;C1342&amp;", "&amp;D1342&amp;", "&amp;E1342&amp;", "&amp;F1342&amp;", "&amp;G1342&amp;", "&amp;H1342&amp;");"</f>
        <v>INSERT INTO COTACAO (blt_id, pap_id, cot_prc_comum, cot_prc_min, cot_prc_max, cot_prc_med, cot_prc_mediana) VALUES (35, 29, NULL, 65, 65, 65, 65);</v>
      </c>
    </row>
    <row r="1343" customFormat="false" ht="14.25" hidden="false" customHeight="false" outlineLevel="0" collapsed="false">
      <c r="A1343" s="1" t="n">
        <v>1342</v>
      </c>
      <c r="B1343" s="1" t="n">
        <v>35</v>
      </c>
      <c r="C1343" s="1" t="n">
        <v>30</v>
      </c>
      <c r="D1343" s="16" t="n">
        <f aca="false">IF('Boletins Nuppa Site'!G1343&lt;&gt;0,'Boletins Nuppa Site'!G1343,"NULL")</f>
        <v>100</v>
      </c>
      <c r="E1343" s="16" t="n">
        <f aca="false">IF('Boletins Nuppa Site'!H1343&lt;&gt;0,'Boletins Nuppa Site'!H1343,"NULL")</f>
        <v>80</v>
      </c>
      <c r="F1343" s="16" t="n">
        <f aca="false">IF('Boletins Nuppa Site'!I1343&lt;&gt;0,'Boletins Nuppa Site'!I1343,"NULL")</f>
        <v>100</v>
      </c>
      <c r="G1343" s="1" t="str">
        <f aca="false">IF('Boletins Nuppa Site'!J1343&lt;&gt;0,'Boletins Nuppa Site'!J1343,"NULL")</f>
        <v>93.33</v>
      </c>
      <c r="H1343" s="16" t="n">
        <f aca="false">IF('Boletins Nuppa Site'!K1343&lt;&gt;0,'Boletins Nuppa Site'!K1343,"NULL")</f>
        <v>100</v>
      </c>
      <c r="J1343" s="1" t="str">
        <f aca="false">"INSERT INTO COTACAO (blt_id, pap_id, cot_prc_comum, cot_prc_min, cot_prc_max, cot_prc_med, cot_prc_mediana) VALUES ("&amp;B1343&amp;", "&amp;C1343&amp;", "&amp;D1343&amp;", "&amp;E1343&amp;", "&amp;F1343&amp;", "&amp;G1343&amp;", "&amp;H1343&amp;");"</f>
        <v>INSERT INTO COTACAO (blt_id, pap_id, cot_prc_comum, cot_prc_min, cot_prc_max, cot_prc_med, cot_prc_mediana) VALUES (35, 30, 100, 80, 100, 93.33, 100);</v>
      </c>
    </row>
    <row r="1344" customFormat="false" ht="14.25" hidden="false" customHeight="false" outlineLevel="0" collapsed="false">
      <c r="A1344" s="1" t="n">
        <v>1343</v>
      </c>
      <c r="B1344" s="1" t="n">
        <v>35</v>
      </c>
      <c r="C1344" s="1" t="n">
        <v>31</v>
      </c>
      <c r="D1344" s="1" t="str">
        <f aca="false">IF('Boletins Nuppa Site'!G1344&lt;&gt;0,'Boletins Nuppa Site'!G1344,"NULL")</f>
        <v>NULL</v>
      </c>
      <c r="E1344" s="16" t="n">
        <f aca="false">IF('Boletins Nuppa Site'!H1344&lt;&gt;0,'Boletins Nuppa Site'!H1344,"NULL")</f>
        <v>100</v>
      </c>
      <c r="F1344" s="16" t="n">
        <f aca="false">IF('Boletins Nuppa Site'!I1344&lt;&gt;0,'Boletins Nuppa Site'!I1344,"NULL")</f>
        <v>145</v>
      </c>
      <c r="G1344" s="1" t="str">
        <f aca="false">IF('Boletins Nuppa Site'!J1344&lt;&gt;0,'Boletins Nuppa Site'!J1344,"NULL")</f>
        <v>126.25</v>
      </c>
      <c r="H1344" s="16" t="n">
        <f aca="false">IF('Boletins Nuppa Site'!K1344&lt;&gt;0,'Boletins Nuppa Site'!K1344,"NULL")</f>
        <v>130</v>
      </c>
      <c r="J1344" s="1" t="str">
        <f aca="false">"INSERT INTO COTACAO (blt_id, pap_id, cot_prc_comum, cot_prc_min, cot_prc_max, cot_prc_med, cot_prc_mediana) VALUES ("&amp;B1344&amp;", "&amp;C1344&amp;", "&amp;D1344&amp;", "&amp;E1344&amp;", "&amp;F1344&amp;", "&amp;G1344&amp;", "&amp;H1344&amp;");"</f>
        <v>INSERT INTO COTACAO (blt_id, pap_id, cot_prc_comum, cot_prc_min, cot_prc_max, cot_prc_med, cot_prc_mediana) VALUES (35, 31, NULL, 100, 145, 126.25, 130);</v>
      </c>
    </row>
    <row r="1345" customFormat="false" ht="14.25" hidden="false" customHeight="false" outlineLevel="0" collapsed="false">
      <c r="A1345" s="1" t="n">
        <v>1344</v>
      </c>
      <c r="B1345" s="1" t="n">
        <v>35</v>
      </c>
      <c r="C1345" s="1" t="n">
        <v>32</v>
      </c>
      <c r="D1345" s="16" t="n">
        <f aca="false">IF('Boletins Nuppa Site'!G1345&lt;&gt;0,'Boletins Nuppa Site'!G1345,"NULL")</f>
        <v>55</v>
      </c>
      <c r="E1345" s="16" t="n">
        <f aca="false">IF('Boletins Nuppa Site'!H1345&lt;&gt;0,'Boletins Nuppa Site'!H1345,"NULL")</f>
        <v>40</v>
      </c>
      <c r="F1345" s="16" t="n">
        <f aca="false">IF('Boletins Nuppa Site'!I1345&lt;&gt;0,'Boletins Nuppa Site'!I1345,"NULL")</f>
        <v>55</v>
      </c>
      <c r="G1345" s="16" t="n">
        <f aca="false">IF('Boletins Nuppa Site'!J1345&lt;&gt;0,'Boletins Nuppa Site'!J1345,"NULL")</f>
        <v>49</v>
      </c>
      <c r="H1345" s="16" t="n">
        <f aca="false">IF('Boletins Nuppa Site'!K1345&lt;&gt;0,'Boletins Nuppa Site'!K1345,"NULL")</f>
        <v>50</v>
      </c>
      <c r="J1345" s="1" t="str">
        <f aca="false">"INSERT INTO COTACAO (blt_id, pap_id, cot_prc_comum, cot_prc_min, cot_prc_max, cot_prc_med, cot_prc_mediana) VALUES ("&amp;B1345&amp;", "&amp;C1345&amp;", "&amp;D1345&amp;", "&amp;E1345&amp;", "&amp;F1345&amp;", "&amp;G1345&amp;", "&amp;H1345&amp;");"</f>
        <v>INSERT INTO COTACAO (blt_id, pap_id, cot_prc_comum, cot_prc_min, cot_prc_max, cot_prc_med, cot_prc_mediana) VALUES (35, 32, 55, 40, 55, 49, 50);</v>
      </c>
    </row>
    <row r="1346" customFormat="false" ht="14.25" hidden="false" customHeight="false" outlineLevel="0" collapsed="false">
      <c r="A1346" s="1" t="n">
        <v>1345</v>
      </c>
      <c r="B1346" s="1" t="n">
        <v>35</v>
      </c>
      <c r="C1346" s="1" t="n">
        <v>33</v>
      </c>
      <c r="D1346" s="16" t="n">
        <f aca="false">IF('Boletins Nuppa Site'!G1346&lt;&gt;0,'Boletins Nuppa Site'!G1346,"NULL")</f>
        <v>140</v>
      </c>
      <c r="E1346" s="16" t="n">
        <f aca="false">IF('Boletins Nuppa Site'!H1346&lt;&gt;0,'Boletins Nuppa Site'!H1346,"NULL")</f>
        <v>140</v>
      </c>
      <c r="F1346" s="16" t="n">
        <f aca="false">IF('Boletins Nuppa Site'!I1346&lt;&gt;0,'Boletins Nuppa Site'!I1346,"NULL")</f>
        <v>150</v>
      </c>
      <c r="G1346" s="16" t="n">
        <f aca="false">IF('Boletins Nuppa Site'!J1346&lt;&gt;0,'Boletins Nuppa Site'!J1346,"NULL")</f>
        <v>144</v>
      </c>
      <c r="H1346" s="16" t="n">
        <f aca="false">IF('Boletins Nuppa Site'!K1346&lt;&gt;0,'Boletins Nuppa Site'!K1346,"NULL")</f>
        <v>140</v>
      </c>
      <c r="J1346" s="1" t="str">
        <f aca="false">"INSERT INTO COTACAO (blt_id, pap_id, cot_prc_comum, cot_prc_min, cot_prc_max, cot_prc_med, cot_prc_mediana) VALUES ("&amp;B1346&amp;", "&amp;C1346&amp;", "&amp;D1346&amp;", "&amp;E1346&amp;", "&amp;F1346&amp;", "&amp;G1346&amp;", "&amp;H1346&amp;");"</f>
        <v>INSERT INTO COTACAO (blt_id, pap_id, cot_prc_comum, cot_prc_min, cot_prc_max, cot_prc_med, cot_prc_mediana) VALUES (35, 33, 140, 140, 150, 144, 140);</v>
      </c>
    </row>
    <row r="1347" customFormat="false" ht="14.25" hidden="false" customHeight="false" outlineLevel="0" collapsed="false">
      <c r="A1347" s="1" t="n">
        <v>1346</v>
      </c>
      <c r="B1347" s="1" t="n">
        <v>35</v>
      </c>
      <c r="C1347" s="1" t="n">
        <v>34</v>
      </c>
      <c r="D1347" s="16" t="n">
        <f aca="false">IF('Boletins Nuppa Site'!G1347&lt;&gt;0,'Boletins Nuppa Site'!G1347,"NULL")</f>
        <v>60</v>
      </c>
      <c r="E1347" s="16" t="n">
        <f aca="false">IF('Boletins Nuppa Site'!H1347&lt;&gt;0,'Boletins Nuppa Site'!H1347,"NULL")</f>
        <v>50</v>
      </c>
      <c r="F1347" s="16" t="n">
        <f aca="false">IF('Boletins Nuppa Site'!I1347&lt;&gt;0,'Boletins Nuppa Site'!I1347,"NULL")</f>
        <v>90</v>
      </c>
      <c r="G1347" s="16" t="n">
        <f aca="false">IF('Boletins Nuppa Site'!J1347&lt;&gt;0,'Boletins Nuppa Site'!J1347,"NULL")</f>
        <v>66</v>
      </c>
      <c r="H1347" s="16" t="n">
        <f aca="false">IF('Boletins Nuppa Site'!K1347&lt;&gt;0,'Boletins Nuppa Site'!K1347,"NULL")</f>
        <v>60</v>
      </c>
      <c r="J1347" s="1" t="str">
        <f aca="false">"INSERT INTO COTACAO (blt_id, pap_id, cot_prc_comum, cot_prc_min, cot_prc_max, cot_prc_med, cot_prc_mediana) VALUES ("&amp;B1347&amp;", "&amp;C1347&amp;", "&amp;D1347&amp;", "&amp;E1347&amp;", "&amp;F1347&amp;", "&amp;G1347&amp;", "&amp;H1347&amp;");"</f>
        <v>INSERT INTO COTACAO (blt_id, pap_id, cot_prc_comum, cot_prc_min, cot_prc_max, cot_prc_med, cot_prc_mediana) VALUES (35, 34, 60, 50, 90, 66, 60);</v>
      </c>
    </row>
    <row r="1348" customFormat="false" ht="14.25" hidden="false" customHeight="false" outlineLevel="0" collapsed="false">
      <c r="A1348" s="1" t="n">
        <v>1347</v>
      </c>
      <c r="B1348" s="1" t="n">
        <v>35</v>
      </c>
      <c r="C1348" s="1" t="n">
        <v>35</v>
      </c>
      <c r="D1348" s="1" t="str">
        <f aca="false">IF('Boletins Nuppa Site'!G1348&lt;&gt;0,'Boletins Nuppa Site'!G1348,"NULL")</f>
        <v>NULL</v>
      </c>
      <c r="E1348" s="16" t="n">
        <f aca="false">IF('Boletins Nuppa Site'!H1348&lt;&gt;0,'Boletins Nuppa Site'!H1348,"NULL")</f>
        <v>100</v>
      </c>
      <c r="F1348" s="16" t="n">
        <f aca="false">IF('Boletins Nuppa Site'!I1348&lt;&gt;0,'Boletins Nuppa Site'!I1348,"NULL")</f>
        <v>130</v>
      </c>
      <c r="G1348" s="1" t="str">
        <f aca="false">IF('Boletins Nuppa Site'!J1348&lt;&gt;0,'Boletins Nuppa Site'!J1348,"NULL")</f>
        <v>116.67</v>
      </c>
      <c r="H1348" s="16" t="n">
        <f aca="false">IF('Boletins Nuppa Site'!K1348&lt;&gt;0,'Boletins Nuppa Site'!K1348,"NULL")</f>
        <v>120</v>
      </c>
      <c r="J1348" s="1" t="str">
        <f aca="false">"INSERT INTO COTACAO (blt_id, pap_id, cot_prc_comum, cot_prc_min, cot_prc_max, cot_prc_med, cot_prc_mediana) VALUES ("&amp;B1348&amp;", "&amp;C1348&amp;", "&amp;D1348&amp;", "&amp;E1348&amp;", "&amp;F1348&amp;", "&amp;G1348&amp;", "&amp;H1348&amp;");"</f>
        <v>INSERT INTO COTACAO (blt_id, pap_id, cot_prc_comum, cot_prc_min, cot_prc_max, cot_prc_med, cot_prc_mediana) VALUES (35, 35, NULL, 100, 130, 116.67, 120);</v>
      </c>
    </row>
    <row r="1349" customFormat="false" ht="14.25" hidden="false" customHeight="false" outlineLevel="0" collapsed="false">
      <c r="A1349" s="1" t="n">
        <v>1348</v>
      </c>
      <c r="B1349" s="1" t="n">
        <v>35</v>
      </c>
      <c r="C1349" s="1" t="n">
        <v>36</v>
      </c>
      <c r="D1349" s="1" t="str">
        <f aca="false">IF('Boletins Nuppa Site'!G1349&lt;&gt;0,'Boletins Nuppa Site'!G1349,"NULL")</f>
        <v>NULL</v>
      </c>
      <c r="E1349" s="1" t="str">
        <f aca="false">IF('Boletins Nuppa Site'!H1349&lt;&gt;0,'Boletins Nuppa Site'!H1349,"NULL")</f>
        <v>NULL</v>
      </c>
      <c r="F1349" s="1" t="str">
        <f aca="false">IF('Boletins Nuppa Site'!I1349&lt;&gt;0,'Boletins Nuppa Site'!I1349,"NULL")</f>
        <v>NULL</v>
      </c>
      <c r="G1349" s="1" t="str">
        <f aca="false">IF('Boletins Nuppa Site'!J1349&lt;&gt;0,'Boletins Nuppa Site'!J1349,"NULL")</f>
        <v>NULL</v>
      </c>
      <c r="H1349" s="1" t="str">
        <f aca="false">IF('Boletins Nuppa Site'!K1349&lt;&gt;0,'Boletins Nuppa Site'!K1349,"NULL")</f>
        <v>NULL</v>
      </c>
      <c r="J1349" s="1" t="str">
        <f aca="false">"INSERT INTO COTACAO (blt_id, pap_id, cot_prc_comum, cot_prc_min, cot_prc_max, cot_prc_med, cot_prc_mediana) VALUES ("&amp;B1349&amp;", "&amp;C1349&amp;", "&amp;D1349&amp;", "&amp;E1349&amp;", "&amp;F1349&amp;", "&amp;G1349&amp;", "&amp;H1349&amp;");"</f>
        <v>INSERT INTO COTACAO (blt_id, pap_id, cot_prc_comum, cot_prc_min, cot_prc_max, cot_prc_med, cot_prc_mediana) VALUES (35, 36, NULL, NULL, NULL, NULL, NULL);</v>
      </c>
    </row>
    <row r="1350" customFormat="false" ht="14.25" hidden="false" customHeight="false" outlineLevel="0" collapsed="false">
      <c r="A1350" s="1" t="n">
        <v>1349</v>
      </c>
      <c r="B1350" s="1" t="n">
        <v>35</v>
      </c>
      <c r="C1350" s="1" t="n">
        <v>37</v>
      </c>
      <c r="D1350" s="1" t="str">
        <f aca="false">IF('Boletins Nuppa Site'!G1350&lt;&gt;0,'Boletins Nuppa Site'!G1350,"NULL")</f>
        <v>NULL</v>
      </c>
      <c r="E1350" s="1" t="str">
        <f aca="false">IF('Boletins Nuppa Site'!H1350&lt;&gt;0,'Boletins Nuppa Site'!H1350,"NULL")</f>
        <v>NULL</v>
      </c>
      <c r="F1350" s="1" t="str">
        <f aca="false">IF('Boletins Nuppa Site'!I1350&lt;&gt;0,'Boletins Nuppa Site'!I1350,"NULL")</f>
        <v>NULL</v>
      </c>
      <c r="G1350" s="1" t="str">
        <f aca="false">IF('Boletins Nuppa Site'!J1350&lt;&gt;0,'Boletins Nuppa Site'!J1350,"NULL")</f>
        <v>NULL</v>
      </c>
      <c r="H1350" s="1" t="str">
        <f aca="false">IF('Boletins Nuppa Site'!K1350&lt;&gt;0,'Boletins Nuppa Site'!K1350,"NULL")</f>
        <v>NULL</v>
      </c>
      <c r="J1350" s="1" t="str">
        <f aca="false">"INSERT INTO COTACAO (blt_id, pap_id, cot_prc_comum, cot_prc_min, cot_prc_max, cot_prc_med, cot_prc_mediana) VALUES ("&amp;B1350&amp;", "&amp;C1350&amp;", "&amp;D1350&amp;", "&amp;E1350&amp;", "&amp;F1350&amp;", "&amp;G1350&amp;", "&amp;H1350&amp;");"</f>
        <v>INSERT INTO COTACAO (blt_id, pap_id, cot_prc_comum, cot_prc_min, cot_prc_max, cot_prc_med, cot_prc_mediana) VALUES (35, 37, NULL, NULL, NULL, NULL, NULL);</v>
      </c>
    </row>
    <row r="1351" customFormat="false" ht="14.25" hidden="false" customHeight="false" outlineLevel="0" collapsed="false">
      <c r="A1351" s="1" t="n">
        <v>1350</v>
      </c>
      <c r="B1351" s="1" t="n">
        <v>35</v>
      </c>
      <c r="C1351" s="1" t="n">
        <v>38</v>
      </c>
      <c r="D1351" s="1" t="str">
        <f aca="false">IF('Boletins Nuppa Site'!G1351&lt;&gt;0,'Boletins Nuppa Site'!G1351,"NULL")</f>
        <v>NULL</v>
      </c>
      <c r="E1351" s="1" t="str">
        <f aca="false">IF('Boletins Nuppa Site'!H1351&lt;&gt;0,'Boletins Nuppa Site'!H1351,"NULL")</f>
        <v>NULL</v>
      </c>
      <c r="F1351" s="1" t="str">
        <f aca="false">IF('Boletins Nuppa Site'!I1351&lt;&gt;0,'Boletins Nuppa Site'!I1351,"NULL")</f>
        <v>NULL</v>
      </c>
      <c r="G1351" s="1" t="str">
        <f aca="false">IF('Boletins Nuppa Site'!J1351&lt;&gt;0,'Boletins Nuppa Site'!J1351,"NULL")</f>
        <v>NULL</v>
      </c>
      <c r="H1351" s="1" t="str">
        <f aca="false">IF('Boletins Nuppa Site'!K1351&lt;&gt;0,'Boletins Nuppa Site'!K1351,"NULL")</f>
        <v>NULL</v>
      </c>
      <c r="J1351" s="1" t="str">
        <f aca="false">"INSERT INTO COTACAO (blt_id, pap_id, cot_prc_comum, cot_prc_min, cot_prc_max, cot_prc_med, cot_prc_mediana) VALUES ("&amp;B1351&amp;", "&amp;C1351&amp;", "&amp;D1351&amp;", "&amp;E1351&amp;", "&amp;F1351&amp;", "&amp;G1351&amp;", "&amp;H1351&amp;");"</f>
        <v>INSERT INTO COTACAO (blt_id, pap_id, cot_prc_comum, cot_prc_min, cot_prc_max, cot_prc_med, cot_prc_mediana) VALUES (35, 38, NULL, NULL, NULL, NULL, NULL);</v>
      </c>
    </row>
    <row r="1352" customFormat="false" ht="14.25" hidden="false" customHeight="false" outlineLevel="0" collapsed="false">
      <c r="A1352" s="1" t="n">
        <v>1351</v>
      </c>
      <c r="B1352" s="1" t="n">
        <v>35</v>
      </c>
      <c r="C1352" s="1" t="n">
        <v>39</v>
      </c>
      <c r="D1352" s="1" t="str">
        <f aca="false">IF('Boletins Nuppa Site'!G1352&lt;&gt;0,'Boletins Nuppa Site'!G1352,"NULL")</f>
        <v>NULL</v>
      </c>
      <c r="E1352" s="16" t="n">
        <f aca="false">IF('Boletins Nuppa Site'!H1352&lt;&gt;0,'Boletins Nuppa Site'!H1352,"NULL")</f>
        <v>50</v>
      </c>
      <c r="F1352" s="16" t="n">
        <f aca="false">IF('Boletins Nuppa Site'!I1352&lt;&gt;0,'Boletins Nuppa Site'!I1352,"NULL")</f>
        <v>50</v>
      </c>
      <c r="G1352" s="16" t="n">
        <f aca="false">IF('Boletins Nuppa Site'!J1352&lt;&gt;0,'Boletins Nuppa Site'!J1352,"NULL")</f>
        <v>50</v>
      </c>
      <c r="H1352" s="16" t="n">
        <f aca="false">IF('Boletins Nuppa Site'!K1352&lt;&gt;0,'Boletins Nuppa Site'!K1352,"NULL")</f>
        <v>50</v>
      </c>
      <c r="J1352" s="1" t="str">
        <f aca="false">"INSERT INTO COTACAO (blt_id, pap_id, cot_prc_comum, cot_prc_min, cot_prc_max, cot_prc_med, cot_prc_mediana) VALUES ("&amp;B1352&amp;", "&amp;C1352&amp;", "&amp;D1352&amp;", "&amp;E1352&amp;", "&amp;F1352&amp;", "&amp;G1352&amp;", "&amp;H1352&amp;");"</f>
        <v>INSERT INTO COTACAO (blt_id, pap_id, cot_prc_comum, cot_prc_min, cot_prc_max, cot_prc_med, cot_prc_mediana) VALUES (35, 39, NULL, 50, 50, 50, 50);</v>
      </c>
    </row>
    <row r="1353" customFormat="false" ht="14.25" hidden="false" customHeight="false" outlineLevel="0" collapsed="false">
      <c r="A1353" s="1" t="n">
        <v>1352</v>
      </c>
      <c r="B1353" s="1" t="n">
        <v>35</v>
      </c>
      <c r="C1353" s="1" t="n">
        <v>40</v>
      </c>
      <c r="D1353" s="1" t="str">
        <f aca="false">IF('Boletins Nuppa Site'!G1353&lt;&gt;0,'Boletins Nuppa Site'!G1353,"NULL")</f>
        <v>NULL</v>
      </c>
      <c r="E1353" s="1" t="str">
        <f aca="false">IF('Boletins Nuppa Site'!H1353&lt;&gt;0,'Boletins Nuppa Site'!H1353,"NULL")</f>
        <v>NULL</v>
      </c>
      <c r="F1353" s="1" t="str">
        <f aca="false">IF('Boletins Nuppa Site'!I1353&lt;&gt;0,'Boletins Nuppa Site'!I1353,"NULL")</f>
        <v>NULL</v>
      </c>
      <c r="G1353" s="1" t="str">
        <f aca="false">IF('Boletins Nuppa Site'!J1353&lt;&gt;0,'Boletins Nuppa Site'!J1353,"NULL")</f>
        <v>NULL</v>
      </c>
      <c r="H1353" s="1" t="str">
        <f aca="false">IF('Boletins Nuppa Site'!K1353&lt;&gt;0,'Boletins Nuppa Site'!K1353,"NULL")</f>
        <v>NULL</v>
      </c>
      <c r="J1353" s="1" t="str">
        <f aca="false">"INSERT INTO COTACAO (blt_id, pap_id, cot_prc_comum, cot_prc_min, cot_prc_max, cot_prc_med, cot_prc_mediana) VALUES ("&amp;B1353&amp;", "&amp;C1353&amp;", "&amp;D1353&amp;", "&amp;E1353&amp;", "&amp;F1353&amp;", "&amp;G1353&amp;", "&amp;H1353&amp;");"</f>
        <v>INSERT INTO COTACAO (blt_id, pap_id, cot_prc_comum, cot_prc_min, cot_prc_max, cot_prc_med, cot_prc_mediana) VALUES (35, 40, NULL, NULL, NULL, NULL, NULL);</v>
      </c>
    </row>
    <row r="1354" customFormat="false" ht="14.25" hidden="false" customHeight="false" outlineLevel="0" collapsed="false">
      <c r="A1354" s="1" t="n">
        <v>1353</v>
      </c>
      <c r="B1354" s="1" t="n">
        <v>36</v>
      </c>
      <c r="C1354" s="1" t="n">
        <v>1</v>
      </c>
      <c r="D1354" s="16" t="n">
        <f aca="false">IF('Boletins Nuppa Site'!G1354&lt;&gt;0,'Boletins Nuppa Site'!G1354,"NULL")</f>
        <v>48</v>
      </c>
      <c r="E1354" s="16" t="n">
        <f aca="false">IF('Boletins Nuppa Site'!H1354&lt;&gt;0,'Boletins Nuppa Site'!H1354,"NULL")</f>
        <v>48</v>
      </c>
      <c r="F1354" s="16" t="n">
        <f aca="false">IF('Boletins Nuppa Site'!I1354&lt;&gt;0,'Boletins Nuppa Site'!I1354,"NULL")</f>
        <v>60</v>
      </c>
      <c r="G1354" s="16" t="n">
        <f aca="false">IF('Boletins Nuppa Site'!J1354&lt;&gt;0,'Boletins Nuppa Site'!J1354,"NULL")</f>
        <v>51</v>
      </c>
      <c r="H1354" s="16" t="n">
        <f aca="false">IF('Boletins Nuppa Site'!K1354&lt;&gt;0,'Boletins Nuppa Site'!K1354,"NULL")</f>
        <v>48</v>
      </c>
      <c r="J1354" s="1" t="str">
        <f aca="false">"INSERT INTO COTACAO (blt_id, pap_id, cot_prc_comum, cot_prc_min, cot_prc_max, cot_prc_med, cot_prc_mediana) VALUES ("&amp;B1354&amp;", "&amp;C1354&amp;", "&amp;D1354&amp;", "&amp;E1354&amp;", "&amp;F1354&amp;", "&amp;G1354&amp;", "&amp;H1354&amp;");"</f>
        <v>INSERT INTO COTACAO (blt_id, pap_id, cot_prc_comum, cot_prc_min, cot_prc_max, cot_prc_med, cot_prc_mediana) VALUES (36, 1, 48, 48, 60, 51, 48);</v>
      </c>
    </row>
    <row r="1355" customFormat="false" ht="14.25" hidden="false" customHeight="false" outlineLevel="0" collapsed="false">
      <c r="A1355" s="1" t="n">
        <v>1354</v>
      </c>
      <c r="B1355" s="1" t="n">
        <v>36</v>
      </c>
      <c r="C1355" s="1" t="n">
        <v>2</v>
      </c>
      <c r="D1355" s="16" t="n">
        <f aca="false">IF('Boletins Nuppa Site'!G1355&lt;&gt;0,'Boletins Nuppa Site'!G1355,"NULL")</f>
        <v>72</v>
      </c>
      <c r="E1355" s="16" t="n">
        <f aca="false">IF('Boletins Nuppa Site'!H1355&lt;&gt;0,'Boletins Nuppa Site'!H1355,"NULL")</f>
        <v>72</v>
      </c>
      <c r="F1355" s="16" t="n">
        <f aca="false">IF('Boletins Nuppa Site'!I1355&lt;&gt;0,'Boletins Nuppa Site'!I1355,"NULL")</f>
        <v>84</v>
      </c>
      <c r="G1355" s="16" t="n">
        <f aca="false">IF('Boletins Nuppa Site'!J1355&lt;&gt;0,'Boletins Nuppa Site'!J1355,"NULL")</f>
        <v>76</v>
      </c>
      <c r="H1355" s="16" t="n">
        <f aca="false">IF('Boletins Nuppa Site'!K1355&lt;&gt;0,'Boletins Nuppa Site'!K1355,"NULL")</f>
        <v>72</v>
      </c>
      <c r="J1355" s="1" t="str">
        <f aca="false">"INSERT INTO COTACAO (blt_id, pap_id, cot_prc_comum, cot_prc_min, cot_prc_max, cot_prc_med, cot_prc_mediana) VALUES ("&amp;B1355&amp;", "&amp;C1355&amp;", "&amp;D1355&amp;", "&amp;E1355&amp;", "&amp;F1355&amp;", "&amp;G1355&amp;", "&amp;H1355&amp;");"</f>
        <v>INSERT INTO COTACAO (blt_id, pap_id, cot_prc_comum, cot_prc_min, cot_prc_max, cot_prc_med, cot_prc_mediana) VALUES (36, 2, 72, 72, 84, 76, 72);</v>
      </c>
    </row>
    <row r="1356" customFormat="false" ht="14.25" hidden="false" customHeight="false" outlineLevel="0" collapsed="false">
      <c r="A1356" s="1" t="n">
        <v>1355</v>
      </c>
      <c r="B1356" s="1" t="n">
        <v>36</v>
      </c>
      <c r="C1356" s="1" t="n">
        <v>3</v>
      </c>
      <c r="D1356" s="16" t="n">
        <f aca="false">IF('Boletins Nuppa Site'!G1356&lt;&gt;0,'Boletins Nuppa Site'!G1356,"NULL")</f>
        <v>30</v>
      </c>
      <c r="E1356" s="16" t="n">
        <f aca="false">IF('Boletins Nuppa Site'!H1356&lt;&gt;0,'Boletins Nuppa Site'!H1356,"NULL")</f>
        <v>30</v>
      </c>
      <c r="F1356" s="16" t="n">
        <f aca="false">IF('Boletins Nuppa Site'!I1356&lt;&gt;0,'Boletins Nuppa Site'!I1356,"NULL")</f>
        <v>36</v>
      </c>
      <c r="G1356" s="16" t="n">
        <f aca="false">IF('Boletins Nuppa Site'!J1356&lt;&gt;0,'Boletins Nuppa Site'!J1356,"NULL")</f>
        <v>33</v>
      </c>
      <c r="H1356" s="16" t="n">
        <f aca="false">IF('Boletins Nuppa Site'!K1356&lt;&gt;0,'Boletins Nuppa Site'!K1356,"NULL")</f>
        <v>33</v>
      </c>
      <c r="J1356" s="1" t="str">
        <f aca="false">"INSERT INTO COTACAO (blt_id, pap_id, cot_prc_comum, cot_prc_min, cot_prc_max, cot_prc_med, cot_prc_mediana) VALUES ("&amp;B1356&amp;", "&amp;C1356&amp;", "&amp;D1356&amp;", "&amp;E1356&amp;", "&amp;F1356&amp;", "&amp;G1356&amp;", "&amp;H1356&amp;");"</f>
        <v>INSERT INTO COTACAO (blt_id, pap_id, cot_prc_comum, cot_prc_min, cot_prc_max, cot_prc_med, cot_prc_mediana) VALUES (36, 3, 30, 30, 36, 33, 33);</v>
      </c>
    </row>
    <row r="1357" customFormat="false" ht="14.25" hidden="false" customHeight="false" outlineLevel="0" collapsed="false">
      <c r="A1357" s="1" t="n">
        <v>1356</v>
      </c>
      <c r="B1357" s="1" t="n">
        <v>36</v>
      </c>
      <c r="C1357" s="1" t="n">
        <v>4</v>
      </c>
      <c r="D1357" s="16" t="n">
        <f aca="false">IF('Boletins Nuppa Site'!G1357&lt;&gt;0,'Boletins Nuppa Site'!G1357,"NULL")</f>
        <v>24</v>
      </c>
      <c r="E1357" s="16" t="n">
        <f aca="false">IF('Boletins Nuppa Site'!H1357&lt;&gt;0,'Boletins Nuppa Site'!H1357,"NULL")</f>
        <v>18</v>
      </c>
      <c r="F1357" s="16" t="n">
        <f aca="false">IF('Boletins Nuppa Site'!I1357&lt;&gt;0,'Boletins Nuppa Site'!I1357,"NULL")</f>
        <v>24</v>
      </c>
      <c r="G1357" s="1" t="str">
        <f aca="false">IF('Boletins Nuppa Site'!J1357&lt;&gt;0,'Boletins Nuppa Site'!J1357,"NULL")</f>
        <v>21.5</v>
      </c>
      <c r="H1357" s="16" t="n">
        <f aca="false">IF('Boletins Nuppa Site'!K1357&lt;&gt;0,'Boletins Nuppa Site'!K1357,"NULL")</f>
        <v>22</v>
      </c>
      <c r="J1357" s="1" t="str">
        <f aca="false">"INSERT INTO COTACAO (blt_id, pap_id, cot_prc_comum, cot_prc_min, cot_prc_max, cot_prc_med, cot_prc_mediana) VALUES ("&amp;B1357&amp;", "&amp;C1357&amp;", "&amp;D1357&amp;", "&amp;E1357&amp;", "&amp;F1357&amp;", "&amp;G1357&amp;", "&amp;H1357&amp;");"</f>
        <v>INSERT INTO COTACAO (blt_id, pap_id, cot_prc_comum, cot_prc_min, cot_prc_max, cot_prc_med, cot_prc_mediana) VALUES (36, 4, 24, 18, 24, 21.5, 22);</v>
      </c>
    </row>
    <row r="1358" customFormat="false" ht="14.25" hidden="false" customHeight="false" outlineLevel="0" collapsed="false">
      <c r="A1358" s="1" t="n">
        <v>1357</v>
      </c>
      <c r="B1358" s="1" t="n">
        <v>36</v>
      </c>
      <c r="C1358" s="1" t="n">
        <v>5</v>
      </c>
      <c r="D1358" s="16" t="n">
        <f aca="false">IF('Boletins Nuppa Site'!G1358&lt;&gt;0,'Boletins Nuppa Site'!G1358,"NULL")</f>
        <v>24</v>
      </c>
      <c r="E1358" s="16" t="n">
        <f aca="false">IF('Boletins Nuppa Site'!H1358&lt;&gt;0,'Boletins Nuppa Site'!H1358,"NULL")</f>
        <v>18</v>
      </c>
      <c r="F1358" s="16" t="n">
        <f aca="false">IF('Boletins Nuppa Site'!I1358&lt;&gt;0,'Boletins Nuppa Site'!I1358,"NULL")</f>
        <v>24</v>
      </c>
      <c r="G1358" s="1" t="str">
        <f aca="false">IF('Boletins Nuppa Site'!J1358&lt;&gt;0,'Boletins Nuppa Site'!J1358,"NULL")</f>
        <v>21.5</v>
      </c>
      <c r="H1358" s="16" t="n">
        <f aca="false">IF('Boletins Nuppa Site'!K1358&lt;&gt;0,'Boletins Nuppa Site'!K1358,"NULL")</f>
        <v>22</v>
      </c>
      <c r="J1358" s="1" t="str">
        <f aca="false">"INSERT INTO COTACAO (blt_id, pap_id, cot_prc_comum, cot_prc_min, cot_prc_max, cot_prc_med, cot_prc_mediana) VALUES ("&amp;B1358&amp;", "&amp;C1358&amp;", "&amp;D1358&amp;", "&amp;E1358&amp;", "&amp;F1358&amp;", "&amp;G1358&amp;", "&amp;H1358&amp;");"</f>
        <v>INSERT INTO COTACAO (blt_id, pap_id, cot_prc_comum, cot_prc_min, cot_prc_max, cot_prc_med, cot_prc_mediana) VALUES (36, 5, 24, 18, 24, 21.5, 22);</v>
      </c>
    </row>
    <row r="1359" customFormat="false" ht="14.25" hidden="false" customHeight="false" outlineLevel="0" collapsed="false">
      <c r="A1359" s="1" t="n">
        <v>1358</v>
      </c>
      <c r="B1359" s="1" t="n">
        <v>36</v>
      </c>
      <c r="C1359" s="1" t="n">
        <v>6</v>
      </c>
      <c r="D1359" s="16" t="n">
        <f aca="false">IF('Boletins Nuppa Site'!G1359&lt;&gt;0,'Boletins Nuppa Site'!G1359,"NULL")</f>
        <v>48</v>
      </c>
      <c r="E1359" s="16" t="n">
        <f aca="false">IF('Boletins Nuppa Site'!H1359&lt;&gt;0,'Boletins Nuppa Site'!H1359,"NULL")</f>
        <v>48</v>
      </c>
      <c r="F1359" s="16" t="n">
        <f aca="false">IF('Boletins Nuppa Site'!I1359&lt;&gt;0,'Boletins Nuppa Site'!I1359,"NULL")</f>
        <v>60</v>
      </c>
      <c r="G1359" s="16" t="n">
        <f aca="false">IF('Boletins Nuppa Site'!J1359&lt;&gt;0,'Boletins Nuppa Site'!J1359,"NULL")</f>
        <v>52</v>
      </c>
      <c r="H1359" s="16" t="n">
        <f aca="false">IF('Boletins Nuppa Site'!K1359&lt;&gt;0,'Boletins Nuppa Site'!K1359,"NULL")</f>
        <v>48</v>
      </c>
      <c r="J1359" s="1" t="str">
        <f aca="false">"INSERT INTO COTACAO (blt_id, pap_id, cot_prc_comum, cot_prc_min, cot_prc_max, cot_prc_med, cot_prc_mediana) VALUES ("&amp;B1359&amp;", "&amp;C1359&amp;", "&amp;D1359&amp;", "&amp;E1359&amp;", "&amp;F1359&amp;", "&amp;G1359&amp;", "&amp;H1359&amp;");"</f>
        <v>INSERT INTO COTACAO (blt_id, pap_id, cot_prc_comum, cot_prc_min, cot_prc_max, cot_prc_med, cot_prc_mediana) VALUES (36, 6, 48, 48, 60, 52, 48);</v>
      </c>
    </row>
    <row r="1360" customFormat="false" ht="14.25" hidden="false" customHeight="false" outlineLevel="0" collapsed="false">
      <c r="A1360" s="1" t="n">
        <v>1359</v>
      </c>
      <c r="B1360" s="1" t="n">
        <v>36</v>
      </c>
      <c r="C1360" s="1" t="n">
        <v>7</v>
      </c>
      <c r="D1360" s="1" t="str">
        <f aca="false">IF('Boletins Nuppa Site'!G1360&lt;&gt;0,'Boletins Nuppa Site'!G1360,"NULL")</f>
        <v>NULL</v>
      </c>
      <c r="E1360" s="16" t="n">
        <f aca="false">IF('Boletins Nuppa Site'!H1360&lt;&gt;0,'Boletins Nuppa Site'!H1360,"NULL")</f>
        <v>48</v>
      </c>
      <c r="F1360" s="16" t="n">
        <f aca="false">IF('Boletins Nuppa Site'!I1360&lt;&gt;0,'Boletins Nuppa Site'!I1360,"NULL")</f>
        <v>60</v>
      </c>
      <c r="G1360" s="16" t="n">
        <f aca="false">IF('Boletins Nuppa Site'!J1360&lt;&gt;0,'Boletins Nuppa Site'!J1360,"NULL")</f>
        <v>54</v>
      </c>
      <c r="H1360" s="16" t="n">
        <f aca="false">IF('Boletins Nuppa Site'!K1360&lt;&gt;0,'Boletins Nuppa Site'!K1360,"NULL")</f>
        <v>54</v>
      </c>
      <c r="J1360" s="1" t="str">
        <f aca="false">"INSERT INTO COTACAO (blt_id, pap_id, cot_prc_comum, cot_prc_min, cot_prc_max, cot_prc_med, cot_prc_mediana) VALUES ("&amp;B1360&amp;", "&amp;C1360&amp;", "&amp;D1360&amp;", "&amp;E1360&amp;", "&amp;F1360&amp;", "&amp;G1360&amp;", "&amp;H1360&amp;");"</f>
        <v>INSERT INTO COTACAO (blt_id, pap_id, cot_prc_comum, cot_prc_min, cot_prc_max, cot_prc_med, cot_prc_mediana) VALUES (36, 7, NULL, 48, 60, 54, 54);</v>
      </c>
    </row>
    <row r="1361" customFormat="false" ht="14.25" hidden="false" customHeight="false" outlineLevel="0" collapsed="false">
      <c r="A1361" s="1" t="n">
        <v>1360</v>
      </c>
      <c r="B1361" s="1" t="n">
        <v>36</v>
      </c>
      <c r="C1361" s="1" t="n">
        <v>8</v>
      </c>
      <c r="D1361" s="16" t="n">
        <f aca="false">IF('Boletins Nuppa Site'!G1361&lt;&gt;0,'Boletins Nuppa Site'!G1361,"NULL")</f>
        <v>72</v>
      </c>
      <c r="E1361" s="16" t="n">
        <f aca="false">IF('Boletins Nuppa Site'!H1361&lt;&gt;0,'Boletins Nuppa Site'!H1361,"NULL")</f>
        <v>72</v>
      </c>
      <c r="F1361" s="16" t="n">
        <f aca="false">IF('Boletins Nuppa Site'!I1361&lt;&gt;0,'Boletins Nuppa Site'!I1361,"NULL")</f>
        <v>72</v>
      </c>
      <c r="G1361" s="16" t="n">
        <f aca="false">IF('Boletins Nuppa Site'!J1361&lt;&gt;0,'Boletins Nuppa Site'!J1361,"NULL")</f>
        <v>72</v>
      </c>
      <c r="H1361" s="16" t="n">
        <f aca="false">IF('Boletins Nuppa Site'!K1361&lt;&gt;0,'Boletins Nuppa Site'!K1361,"NULL")</f>
        <v>72</v>
      </c>
      <c r="J1361" s="1" t="str">
        <f aca="false">"INSERT INTO COTACAO (blt_id, pap_id, cot_prc_comum, cot_prc_min, cot_prc_max, cot_prc_med, cot_prc_mediana) VALUES ("&amp;B1361&amp;", "&amp;C1361&amp;", "&amp;D1361&amp;", "&amp;E1361&amp;", "&amp;F1361&amp;", "&amp;G1361&amp;", "&amp;H1361&amp;");"</f>
        <v>INSERT INTO COTACAO (blt_id, pap_id, cot_prc_comum, cot_prc_min, cot_prc_max, cot_prc_med, cot_prc_mediana) VALUES (36, 8, 72, 72, 72, 72, 72);</v>
      </c>
    </row>
    <row r="1362" customFormat="false" ht="14.25" hidden="false" customHeight="false" outlineLevel="0" collapsed="false">
      <c r="A1362" s="1" t="n">
        <v>1361</v>
      </c>
      <c r="B1362" s="1" t="n">
        <v>36</v>
      </c>
      <c r="C1362" s="1" t="n">
        <v>9</v>
      </c>
      <c r="D1362" s="16" t="n">
        <f aca="false">IF('Boletins Nuppa Site'!G1362&lt;&gt;0,'Boletins Nuppa Site'!G1362,"NULL")</f>
        <v>24</v>
      </c>
      <c r="E1362" s="16" t="n">
        <f aca="false">IF('Boletins Nuppa Site'!H1362&lt;&gt;0,'Boletins Nuppa Site'!H1362,"NULL")</f>
        <v>18</v>
      </c>
      <c r="F1362" s="16" t="n">
        <f aca="false">IF('Boletins Nuppa Site'!I1362&lt;&gt;0,'Boletins Nuppa Site'!I1362,"NULL")</f>
        <v>24</v>
      </c>
      <c r="G1362" s="1" t="str">
        <f aca="false">IF('Boletins Nuppa Site'!J1362&lt;&gt;0,'Boletins Nuppa Site'!J1362,"NULL")</f>
        <v>22.5</v>
      </c>
      <c r="H1362" s="16" t="n">
        <f aca="false">IF('Boletins Nuppa Site'!K1362&lt;&gt;0,'Boletins Nuppa Site'!K1362,"NULL")</f>
        <v>24</v>
      </c>
      <c r="J1362" s="1" t="str">
        <f aca="false">"INSERT INTO COTACAO (blt_id, pap_id, cot_prc_comum, cot_prc_min, cot_prc_max, cot_prc_med, cot_prc_mediana) VALUES ("&amp;B1362&amp;", "&amp;C1362&amp;", "&amp;D1362&amp;", "&amp;E1362&amp;", "&amp;F1362&amp;", "&amp;G1362&amp;", "&amp;H1362&amp;");"</f>
        <v>INSERT INTO COTACAO (blt_id, pap_id, cot_prc_comum, cot_prc_min, cot_prc_max, cot_prc_med, cot_prc_mediana) VALUES (36, 9, 24, 18, 24, 22.5, 24);</v>
      </c>
    </row>
    <row r="1363" customFormat="false" ht="14.25" hidden="false" customHeight="false" outlineLevel="0" collapsed="false">
      <c r="A1363" s="1" t="n">
        <v>1362</v>
      </c>
      <c r="B1363" s="1" t="n">
        <v>36</v>
      </c>
      <c r="C1363" s="1" t="n">
        <v>10</v>
      </c>
      <c r="D1363" s="16" t="n">
        <f aca="false">IF('Boletins Nuppa Site'!G1363&lt;&gt;0,'Boletins Nuppa Site'!G1363,"NULL")</f>
        <v>60</v>
      </c>
      <c r="E1363" s="16" t="n">
        <f aca="false">IF('Boletins Nuppa Site'!H1363&lt;&gt;0,'Boletins Nuppa Site'!H1363,"NULL")</f>
        <v>50</v>
      </c>
      <c r="F1363" s="16" t="n">
        <f aca="false">IF('Boletins Nuppa Site'!I1363&lt;&gt;0,'Boletins Nuppa Site'!I1363,"NULL")</f>
        <v>60</v>
      </c>
      <c r="G1363" s="1" t="str">
        <f aca="false">IF('Boletins Nuppa Site'!J1363&lt;&gt;0,'Boletins Nuppa Site'!J1363,"NULL")</f>
        <v>56.67</v>
      </c>
      <c r="H1363" s="16" t="n">
        <f aca="false">IF('Boletins Nuppa Site'!K1363&lt;&gt;0,'Boletins Nuppa Site'!K1363,"NULL")</f>
        <v>60</v>
      </c>
      <c r="J1363" s="1" t="str">
        <f aca="false">"INSERT INTO COTACAO (blt_id, pap_id, cot_prc_comum, cot_prc_min, cot_prc_max, cot_prc_med, cot_prc_mediana) VALUES ("&amp;B1363&amp;", "&amp;C1363&amp;", "&amp;D1363&amp;", "&amp;E1363&amp;", "&amp;F1363&amp;", "&amp;G1363&amp;", "&amp;H1363&amp;");"</f>
        <v>INSERT INTO COTACAO (blt_id, pap_id, cot_prc_comum, cot_prc_min, cot_prc_max, cot_prc_med, cot_prc_mediana) VALUES (36, 10, 60, 50, 60, 56.67, 60);</v>
      </c>
    </row>
    <row r="1364" customFormat="false" ht="14.25" hidden="false" customHeight="false" outlineLevel="0" collapsed="false">
      <c r="A1364" s="1" t="n">
        <v>1363</v>
      </c>
      <c r="B1364" s="1" t="n">
        <v>36</v>
      </c>
      <c r="C1364" s="1" t="n">
        <v>11</v>
      </c>
      <c r="D1364" s="16" t="n">
        <f aca="false">IF('Boletins Nuppa Site'!G1364&lt;&gt;0,'Boletins Nuppa Site'!G1364,"NULL")</f>
        <v>24</v>
      </c>
      <c r="E1364" s="16" t="n">
        <f aca="false">IF('Boletins Nuppa Site'!H1364&lt;&gt;0,'Boletins Nuppa Site'!H1364,"NULL")</f>
        <v>20</v>
      </c>
      <c r="F1364" s="16" t="n">
        <f aca="false">IF('Boletins Nuppa Site'!I1364&lt;&gt;0,'Boletins Nuppa Site'!I1364,"NULL")</f>
        <v>24</v>
      </c>
      <c r="G1364" s="16" t="n">
        <f aca="false">IF('Boletins Nuppa Site'!J1364&lt;&gt;0,'Boletins Nuppa Site'!J1364,"NULL")</f>
        <v>23</v>
      </c>
      <c r="H1364" s="16" t="n">
        <f aca="false">IF('Boletins Nuppa Site'!K1364&lt;&gt;0,'Boletins Nuppa Site'!K1364,"NULL")</f>
        <v>24</v>
      </c>
      <c r="J1364" s="1" t="str">
        <f aca="false">"INSERT INTO COTACAO (blt_id, pap_id, cot_prc_comum, cot_prc_min, cot_prc_max, cot_prc_med, cot_prc_mediana) VALUES ("&amp;B1364&amp;", "&amp;C1364&amp;", "&amp;D1364&amp;", "&amp;E1364&amp;", "&amp;F1364&amp;", "&amp;G1364&amp;", "&amp;H1364&amp;");"</f>
        <v>INSERT INTO COTACAO (blt_id, pap_id, cot_prc_comum, cot_prc_min, cot_prc_max, cot_prc_med, cot_prc_mediana) VALUES (36, 11, 24, 20, 24, 23, 24);</v>
      </c>
    </row>
    <row r="1365" customFormat="false" ht="14.25" hidden="false" customHeight="false" outlineLevel="0" collapsed="false">
      <c r="A1365" s="1" t="n">
        <v>1364</v>
      </c>
      <c r="B1365" s="1" t="n">
        <v>36</v>
      </c>
      <c r="C1365" s="1" t="n">
        <v>12</v>
      </c>
      <c r="D1365" s="16" t="n">
        <f aca="false">IF('Boletins Nuppa Site'!G1365&lt;&gt;0,'Boletins Nuppa Site'!G1365,"NULL")</f>
        <v>48</v>
      </c>
      <c r="E1365" s="16" t="n">
        <f aca="false">IF('Boletins Nuppa Site'!H1365&lt;&gt;0,'Boletins Nuppa Site'!H1365,"NULL")</f>
        <v>48</v>
      </c>
      <c r="F1365" s="16" t="n">
        <f aca="false">IF('Boletins Nuppa Site'!I1365&lt;&gt;0,'Boletins Nuppa Site'!I1365,"NULL")</f>
        <v>72</v>
      </c>
      <c r="G1365" s="16" t="n">
        <f aca="false">IF('Boletins Nuppa Site'!J1365&lt;&gt;0,'Boletins Nuppa Site'!J1365,"NULL")</f>
        <v>56</v>
      </c>
      <c r="H1365" s="16" t="n">
        <f aca="false">IF('Boletins Nuppa Site'!K1365&lt;&gt;0,'Boletins Nuppa Site'!K1365,"NULL")</f>
        <v>48</v>
      </c>
      <c r="J1365" s="1" t="str">
        <f aca="false">"INSERT INTO COTACAO (blt_id, pap_id, cot_prc_comum, cot_prc_min, cot_prc_max, cot_prc_med, cot_prc_mediana) VALUES ("&amp;B1365&amp;", "&amp;C1365&amp;", "&amp;D1365&amp;", "&amp;E1365&amp;", "&amp;F1365&amp;", "&amp;G1365&amp;", "&amp;H1365&amp;");"</f>
        <v>INSERT INTO COTACAO (blt_id, pap_id, cot_prc_comum, cot_prc_min, cot_prc_max, cot_prc_med, cot_prc_mediana) VALUES (36, 12, 48, 48, 72, 56, 48);</v>
      </c>
    </row>
    <row r="1366" customFormat="false" ht="14.25" hidden="false" customHeight="false" outlineLevel="0" collapsed="false">
      <c r="A1366" s="1" t="n">
        <v>1365</v>
      </c>
      <c r="B1366" s="1" t="n">
        <v>36</v>
      </c>
      <c r="C1366" s="1" t="n">
        <v>13</v>
      </c>
      <c r="D1366" s="16" t="n">
        <f aca="false">IF('Boletins Nuppa Site'!G1366&lt;&gt;0,'Boletins Nuppa Site'!G1366,"NULL")</f>
        <v>60</v>
      </c>
      <c r="E1366" s="16" t="n">
        <f aca="false">IF('Boletins Nuppa Site'!H1366&lt;&gt;0,'Boletins Nuppa Site'!H1366,"NULL")</f>
        <v>48</v>
      </c>
      <c r="F1366" s="16" t="n">
        <f aca="false">IF('Boletins Nuppa Site'!I1366&lt;&gt;0,'Boletins Nuppa Site'!I1366,"NULL")</f>
        <v>60</v>
      </c>
      <c r="G1366" s="16" t="n">
        <f aca="false">IF('Boletins Nuppa Site'!J1366&lt;&gt;0,'Boletins Nuppa Site'!J1366,"NULL")</f>
        <v>54</v>
      </c>
      <c r="H1366" s="16" t="n">
        <f aca="false">IF('Boletins Nuppa Site'!K1366&lt;&gt;0,'Boletins Nuppa Site'!K1366,"NULL")</f>
        <v>54</v>
      </c>
      <c r="J1366" s="1" t="str">
        <f aca="false">"INSERT INTO COTACAO (blt_id, pap_id, cot_prc_comum, cot_prc_min, cot_prc_max, cot_prc_med, cot_prc_mediana) VALUES ("&amp;B1366&amp;", "&amp;C1366&amp;", "&amp;D1366&amp;", "&amp;E1366&amp;", "&amp;F1366&amp;", "&amp;G1366&amp;", "&amp;H1366&amp;");"</f>
        <v>INSERT INTO COTACAO (blt_id, pap_id, cot_prc_comum, cot_prc_min, cot_prc_max, cot_prc_med, cot_prc_mediana) VALUES (36, 13, 60, 48, 60, 54, 54);</v>
      </c>
    </row>
    <row r="1367" customFormat="false" ht="14.25" hidden="false" customHeight="false" outlineLevel="0" collapsed="false">
      <c r="A1367" s="1" t="n">
        <v>1366</v>
      </c>
      <c r="B1367" s="1" t="n">
        <v>36</v>
      </c>
      <c r="C1367" s="1" t="n">
        <v>14</v>
      </c>
      <c r="D1367" s="16" t="n">
        <f aca="false">IF('Boletins Nuppa Site'!G1367&lt;&gt;0,'Boletins Nuppa Site'!G1367,"NULL")</f>
        <v>48</v>
      </c>
      <c r="E1367" s="16" t="n">
        <f aca="false">IF('Boletins Nuppa Site'!H1367&lt;&gt;0,'Boletins Nuppa Site'!H1367,"NULL")</f>
        <v>35</v>
      </c>
      <c r="F1367" s="16" t="n">
        <f aca="false">IF('Boletins Nuppa Site'!I1367&lt;&gt;0,'Boletins Nuppa Site'!I1367,"NULL")</f>
        <v>48</v>
      </c>
      <c r="G1367" s="1" t="str">
        <f aca="false">IF('Boletins Nuppa Site'!J1367&lt;&gt;0,'Boletins Nuppa Site'!J1367,"NULL")</f>
        <v>43.67</v>
      </c>
      <c r="H1367" s="16" t="n">
        <f aca="false">IF('Boletins Nuppa Site'!K1367&lt;&gt;0,'Boletins Nuppa Site'!K1367,"NULL")</f>
        <v>48</v>
      </c>
      <c r="J1367" s="1" t="str">
        <f aca="false">"INSERT INTO COTACAO (blt_id, pap_id, cot_prc_comum, cot_prc_min, cot_prc_max, cot_prc_med, cot_prc_mediana) VALUES ("&amp;B1367&amp;", "&amp;C1367&amp;", "&amp;D1367&amp;", "&amp;E1367&amp;", "&amp;F1367&amp;", "&amp;G1367&amp;", "&amp;H1367&amp;");"</f>
        <v>INSERT INTO COTACAO (blt_id, pap_id, cot_prc_comum, cot_prc_min, cot_prc_max, cot_prc_med, cot_prc_mediana) VALUES (36, 14, 48, 35, 48, 43.67, 48);</v>
      </c>
    </row>
    <row r="1368" customFormat="false" ht="14.25" hidden="false" customHeight="false" outlineLevel="0" collapsed="false">
      <c r="A1368" s="1" t="n">
        <v>1367</v>
      </c>
      <c r="B1368" s="1" t="n">
        <v>36</v>
      </c>
      <c r="C1368" s="1" t="n">
        <v>15</v>
      </c>
      <c r="D1368" s="16" t="n">
        <f aca="false">IF('Boletins Nuppa Site'!G1368&lt;&gt;0,'Boletins Nuppa Site'!G1368,"NULL")</f>
        <v>30</v>
      </c>
      <c r="E1368" s="16" t="n">
        <f aca="false">IF('Boletins Nuppa Site'!H1368&lt;&gt;0,'Boletins Nuppa Site'!H1368,"NULL")</f>
        <v>24</v>
      </c>
      <c r="F1368" s="16" t="n">
        <f aca="false">IF('Boletins Nuppa Site'!I1368&lt;&gt;0,'Boletins Nuppa Site'!I1368,"NULL")</f>
        <v>36</v>
      </c>
      <c r="G1368" s="16" t="n">
        <f aca="false">IF('Boletins Nuppa Site'!J1368&lt;&gt;0,'Boletins Nuppa Site'!J1368,"NULL")</f>
        <v>30</v>
      </c>
      <c r="H1368" s="16" t="n">
        <f aca="false">IF('Boletins Nuppa Site'!K1368&lt;&gt;0,'Boletins Nuppa Site'!K1368,"NULL")</f>
        <v>30</v>
      </c>
      <c r="J1368" s="1" t="str">
        <f aca="false">"INSERT INTO COTACAO (blt_id, pap_id, cot_prc_comum, cot_prc_min, cot_prc_max, cot_prc_med, cot_prc_mediana) VALUES ("&amp;B1368&amp;", "&amp;C1368&amp;", "&amp;D1368&amp;", "&amp;E1368&amp;", "&amp;F1368&amp;", "&amp;G1368&amp;", "&amp;H1368&amp;");"</f>
        <v>INSERT INTO COTACAO (blt_id, pap_id, cot_prc_comum, cot_prc_min, cot_prc_max, cot_prc_med, cot_prc_mediana) VALUES (36, 15, 30, 24, 36, 30, 30);</v>
      </c>
    </row>
    <row r="1369" customFormat="false" ht="14.25" hidden="false" customHeight="false" outlineLevel="0" collapsed="false">
      <c r="A1369" s="1" t="n">
        <v>1368</v>
      </c>
      <c r="B1369" s="1" t="n">
        <v>36</v>
      </c>
      <c r="C1369" s="1" t="n">
        <v>16</v>
      </c>
      <c r="D1369" s="16" t="n">
        <f aca="false">IF('Boletins Nuppa Site'!G1369&lt;&gt;0,'Boletins Nuppa Site'!G1369,"NULL")</f>
        <v>48</v>
      </c>
      <c r="E1369" s="16" t="n">
        <f aca="false">IF('Boletins Nuppa Site'!H1369&lt;&gt;0,'Boletins Nuppa Site'!H1369,"NULL")</f>
        <v>48</v>
      </c>
      <c r="F1369" s="16" t="n">
        <f aca="false">IF('Boletins Nuppa Site'!I1369&lt;&gt;0,'Boletins Nuppa Site'!I1369,"NULL")</f>
        <v>54</v>
      </c>
      <c r="G1369" s="1" t="str">
        <f aca="false">IF('Boletins Nuppa Site'!J1369&lt;&gt;0,'Boletins Nuppa Site'!J1369,"NULL")</f>
        <v>49.5</v>
      </c>
      <c r="H1369" s="16" t="n">
        <f aca="false">IF('Boletins Nuppa Site'!K1369&lt;&gt;0,'Boletins Nuppa Site'!K1369,"NULL")</f>
        <v>48</v>
      </c>
      <c r="J1369" s="1" t="str">
        <f aca="false">"INSERT INTO COTACAO (blt_id, pap_id, cot_prc_comum, cot_prc_min, cot_prc_max, cot_prc_med, cot_prc_mediana) VALUES ("&amp;B1369&amp;", "&amp;C1369&amp;", "&amp;D1369&amp;", "&amp;E1369&amp;", "&amp;F1369&amp;", "&amp;G1369&amp;", "&amp;H1369&amp;");"</f>
        <v>INSERT INTO COTACAO (blt_id, pap_id, cot_prc_comum, cot_prc_min, cot_prc_max, cot_prc_med, cot_prc_mediana) VALUES (36, 16, 48, 48, 54, 49.5, 48);</v>
      </c>
    </row>
    <row r="1370" customFormat="false" ht="14.25" hidden="false" customHeight="false" outlineLevel="0" collapsed="false">
      <c r="A1370" s="1" t="n">
        <v>1369</v>
      </c>
      <c r="B1370" s="1" t="n">
        <v>36</v>
      </c>
      <c r="C1370" s="1" t="n">
        <v>17</v>
      </c>
      <c r="D1370" s="16" t="n">
        <f aca="false">IF('Boletins Nuppa Site'!G1370&lt;&gt;0,'Boletins Nuppa Site'!G1370,"NULL")</f>
        <v>5</v>
      </c>
      <c r="E1370" s="16" t="n">
        <f aca="false">IF('Boletins Nuppa Site'!H1370&lt;&gt;0,'Boletins Nuppa Site'!H1370,"NULL")</f>
        <v>4</v>
      </c>
      <c r="F1370" s="16" t="n">
        <f aca="false">IF('Boletins Nuppa Site'!I1370&lt;&gt;0,'Boletins Nuppa Site'!I1370,"NULL")</f>
        <v>5</v>
      </c>
      <c r="G1370" s="1" t="str">
        <f aca="false">IF('Boletins Nuppa Site'!J1370&lt;&gt;0,'Boletins Nuppa Site'!J1370,"NULL")</f>
        <v>4.75</v>
      </c>
      <c r="H1370" s="16" t="n">
        <f aca="false">IF('Boletins Nuppa Site'!K1370&lt;&gt;0,'Boletins Nuppa Site'!K1370,"NULL")</f>
        <v>5</v>
      </c>
      <c r="J1370" s="1" t="str">
        <f aca="false">"INSERT INTO COTACAO (blt_id, pap_id, cot_prc_comum, cot_prc_min, cot_prc_max, cot_prc_med, cot_prc_mediana) VALUES ("&amp;B1370&amp;", "&amp;C1370&amp;", "&amp;D1370&amp;", "&amp;E1370&amp;", "&amp;F1370&amp;", "&amp;G1370&amp;", "&amp;H1370&amp;");"</f>
        <v>INSERT INTO COTACAO (blt_id, pap_id, cot_prc_comum, cot_prc_min, cot_prc_max, cot_prc_med, cot_prc_mediana) VALUES (36, 17, 5, 4, 5, 4.75, 5);</v>
      </c>
    </row>
    <row r="1371" customFormat="false" ht="14.25" hidden="false" customHeight="false" outlineLevel="0" collapsed="false">
      <c r="A1371" s="1" t="n">
        <v>1370</v>
      </c>
      <c r="B1371" s="1" t="n">
        <v>36</v>
      </c>
      <c r="C1371" s="1" t="n">
        <v>18</v>
      </c>
      <c r="D1371" s="16" t="n">
        <f aca="false">IF('Boletins Nuppa Site'!G1371&lt;&gt;0,'Boletins Nuppa Site'!G1371,"NULL")</f>
        <v>12</v>
      </c>
      <c r="E1371" s="16" t="n">
        <f aca="false">IF('Boletins Nuppa Site'!H1371&lt;&gt;0,'Boletins Nuppa Site'!H1371,"NULL")</f>
        <v>12</v>
      </c>
      <c r="F1371" s="16" t="n">
        <f aca="false">IF('Boletins Nuppa Site'!I1371&lt;&gt;0,'Boletins Nuppa Site'!I1371,"NULL")</f>
        <v>15</v>
      </c>
      <c r="G1371" s="1" t="str">
        <f aca="false">IF('Boletins Nuppa Site'!J1371&lt;&gt;0,'Boletins Nuppa Site'!J1371,"NULL")</f>
        <v>12.75</v>
      </c>
      <c r="H1371" s="16" t="n">
        <f aca="false">IF('Boletins Nuppa Site'!K1371&lt;&gt;0,'Boletins Nuppa Site'!K1371,"NULL")</f>
        <v>12</v>
      </c>
      <c r="J1371" s="1" t="str">
        <f aca="false">"INSERT INTO COTACAO (blt_id, pap_id, cot_prc_comum, cot_prc_min, cot_prc_max, cot_prc_med, cot_prc_mediana) VALUES ("&amp;B1371&amp;", "&amp;C1371&amp;", "&amp;D1371&amp;", "&amp;E1371&amp;", "&amp;F1371&amp;", "&amp;G1371&amp;", "&amp;H1371&amp;");"</f>
        <v>INSERT INTO COTACAO (blt_id, pap_id, cot_prc_comum, cot_prc_min, cot_prc_max, cot_prc_med, cot_prc_mediana) VALUES (36, 18, 12, 12, 15, 12.75, 12);</v>
      </c>
    </row>
    <row r="1372" customFormat="false" ht="14.25" hidden="false" customHeight="false" outlineLevel="0" collapsed="false">
      <c r="A1372" s="1" t="n">
        <v>1371</v>
      </c>
      <c r="B1372" s="1" t="n">
        <v>36</v>
      </c>
      <c r="C1372" s="1" t="n">
        <v>19</v>
      </c>
      <c r="D1372" s="16" t="n">
        <f aca="false">IF('Boletins Nuppa Site'!G1372&lt;&gt;0,'Boletins Nuppa Site'!G1372,"NULL")</f>
        <v>20</v>
      </c>
      <c r="E1372" s="16" t="n">
        <f aca="false">IF('Boletins Nuppa Site'!H1372&lt;&gt;0,'Boletins Nuppa Site'!H1372,"NULL")</f>
        <v>20</v>
      </c>
      <c r="F1372" s="16" t="n">
        <f aca="false">IF('Boletins Nuppa Site'!I1372&lt;&gt;0,'Boletins Nuppa Site'!I1372,"NULL")</f>
        <v>30</v>
      </c>
      <c r="G1372" s="1" t="str">
        <f aca="false">IF('Boletins Nuppa Site'!J1372&lt;&gt;0,'Boletins Nuppa Site'!J1372,"NULL")</f>
        <v>23.75</v>
      </c>
      <c r="H1372" s="1" t="str">
        <f aca="false">IF('Boletins Nuppa Site'!K1372&lt;&gt;0,'Boletins Nuppa Site'!K1372,"NULL")</f>
        <v>22.5</v>
      </c>
      <c r="J1372" s="1" t="str">
        <f aca="false">"INSERT INTO COTACAO (blt_id, pap_id, cot_prc_comum, cot_prc_min, cot_prc_max, cot_prc_med, cot_prc_mediana) VALUES ("&amp;B1372&amp;", "&amp;C1372&amp;", "&amp;D1372&amp;", "&amp;E1372&amp;", "&amp;F1372&amp;", "&amp;G1372&amp;", "&amp;H1372&amp;");"</f>
        <v>INSERT INTO COTACAO (blt_id, pap_id, cot_prc_comum, cot_prc_min, cot_prc_max, cot_prc_med, cot_prc_mediana) VALUES (36, 19, 20, 20, 30, 23.75, 22.5);</v>
      </c>
    </row>
    <row r="1373" customFormat="false" ht="14.25" hidden="false" customHeight="false" outlineLevel="0" collapsed="false">
      <c r="A1373" s="1" t="n">
        <v>1372</v>
      </c>
      <c r="B1373" s="1" t="n">
        <v>36</v>
      </c>
      <c r="C1373" s="1" t="n">
        <v>20</v>
      </c>
      <c r="D1373" s="16" t="n">
        <f aca="false">IF('Boletins Nuppa Site'!G1373&lt;&gt;0,'Boletins Nuppa Site'!G1373,"NULL")</f>
        <v>80</v>
      </c>
      <c r="E1373" s="16" t="n">
        <f aca="false">IF('Boletins Nuppa Site'!H1373&lt;&gt;0,'Boletins Nuppa Site'!H1373,"NULL")</f>
        <v>75</v>
      </c>
      <c r="F1373" s="16" t="n">
        <f aca="false">IF('Boletins Nuppa Site'!I1373&lt;&gt;0,'Boletins Nuppa Site'!I1373,"NULL")</f>
        <v>80</v>
      </c>
      <c r="G1373" s="1" t="str">
        <f aca="false">IF('Boletins Nuppa Site'!J1373&lt;&gt;0,'Boletins Nuppa Site'!J1373,"NULL")</f>
        <v>78.33</v>
      </c>
      <c r="H1373" s="16" t="n">
        <f aca="false">IF('Boletins Nuppa Site'!K1373&lt;&gt;0,'Boletins Nuppa Site'!K1373,"NULL")</f>
        <v>80</v>
      </c>
      <c r="J1373" s="1" t="str">
        <f aca="false">"INSERT INTO COTACAO (blt_id, pap_id, cot_prc_comum, cot_prc_min, cot_prc_max, cot_prc_med, cot_prc_mediana) VALUES ("&amp;B1373&amp;", "&amp;C1373&amp;", "&amp;D1373&amp;", "&amp;E1373&amp;", "&amp;F1373&amp;", "&amp;G1373&amp;", "&amp;H1373&amp;");"</f>
        <v>INSERT INTO COTACAO (blt_id, pap_id, cot_prc_comum, cot_prc_min, cot_prc_max, cot_prc_med, cot_prc_mediana) VALUES (36, 20, 80, 75, 80, 78.33, 80);</v>
      </c>
    </row>
    <row r="1374" customFormat="false" ht="14.25" hidden="false" customHeight="false" outlineLevel="0" collapsed="false">
      <c r="A1374" s="1" t="n">
        <v>1373</v>
      </c>
      <c r="B1374" s="1" t="n">
        <v>36</v>
      </c>
      <c r="C1374" s="1" t="n">
        <v>21</v>
      </c>
      <c r="D1374" s="16" t="n">
        <f aca="false">IF('Boletins Nuppa Site'!G1374&lt;&gt;0,'Boletins Nuppa Site'!G1374,"NULL")</f>
        <v>35</v>
      </c>
      <c r="E1374" s="16" t="n">
        <f aca="false">IF('Boletins Nuppa Site'!H1374&lt;&gt;0,'Boletins Nuppa Site'!H1374,"NULL")</f>
        <v>35</v>
      </c>
      <c r="F1374" s="16" t="n">
        <f aca="false">IF('Boletins Nuppa Site'!I1374&lt;&gt;0,'Boletins Nuppa Site'!I1374,"NULL")</f>
        <v>50</v>
      </c>
      <c r="G1374" s="1" t="str">
        <f aca="false">IF('Boletins Nuppa Site'!J1374&lt;&gt;0,'Boletins Nuppa Site'!J1374,"NULL")</f>
        <v>41.25</v>
      </c>
      <c r="H1374" s="16" t="n">
        <f aca="false">IF('Boletins Nuppa Site'!K1374&lt;&gt;0,'Boletins Nuppa Site'!K1374,"NULL")</f>
        <v>40</v>
      </c>
      <c r="J1374" s="1" t="str">
        <f aca="false">"INSERT INTO COTACAO (blt_id, pap_id, cot_prc_comum, cot_prc_min, cot_prc_max, cot_prc_med, cot_prc_mediana) VALUES ("&amp;B1374&amp;", "&amp;C1374&amp;", "&amp;D1374&amp;", "&amp;E1374&amp;", "&amp;F1374&amp;", "&amp;G1374&amp;", "&amp;H1374&amp;");"</f>
        <v>INSERT INTO COTACAO (blt_id, pap_id, cot_prc_comum, cot_prc_min, cot_prc_max, cot_prc_med, cot_prc_mediana) VALUES (36, 21, 35, 35, 50, 41.25, 40);</v>
      </c>
    </row>
    <row r="1375" customFormat="false" ht="14.25" hidden="false" customHeight="false" outlineLevel="0" collapsed="false">
      <c r="A1375" s="1" t="n">
        <v>1374</v>
      </c>
      <c r="B1375" s="1" t="n">
        <v>36</v>
      </c>
      <c r="C1375" s="1" t="n">
        <v>22</v>
      </c>
      <c r="D1375" s="16" t="n">
        <f aca="false">IF('Boletins Nuppa Site'!G1375&lt;&gt;0,'Boletins Nuppa Site'!G1375,"NULL")</f>
        <v>70</v>
      </c>
      <c r="E1375" s="16" t="n">
        <f aca="false">IF('Boletins Nuppa Site'!H1375&lt;&gt;0,'Boletins Nuppa Site'!H1375,"NULL")</f>
        <v>45</v>
      </c>
      <c r="F1375" s="16" t="n">
        <f aca="false">IF('Boletins Nuppa Site'!I1375&lt;&gt;0,'Boletins Nuppa Site'!I1375,"NULL")</f>
        <v>70</v>
      </c>
      <c r="G1375" s="1" t="str">
        <f aca="false">IF('Boletins Nuppa Site'!J1375&lt;&gt;0,'Boletins Nuppa Site'!J1375,"NULL")</f>
        <v>62.5</v>
      </c>
      <c r="H1375" s="1" t="str">
        <f aca="false">IF('Boletins Nuppa Site'!K1375&lt;&gt;0,'Boletins Nuppa Site'!K1375,"NULL")</f>
        <v>67.5</v>
      </c>
      <c r="J1375" s="1" t="str">
        <f aca="false">"INSERT INTO COTACAO (blt_id, pap_id, cot_prc_comum, cot_prc_min, cot_prc_max, cot_prc_med, cot_prc_mediana) VALUES ("&amp;B1375&amp;", "&amp;C1375&amp;", "&amp;D1375&amp;", "&amp;E1375&amp;", "&amp;F1375&amp;", "&amp;G1375&amp;", "&amp;H1375&amp;");"</f>
        <v>INSERT INTO COTACAO (blt_id, pap_id, cot_prc_comum, cot_prc_min, cot_prc_max, cot_prc_med, cot_prc_mediana) VALUES (36, 22, 70, 45, 70, 62.5, 67.5);</v>
      </c>
    </row>
    <row r="1376" customFormat="false" ht="14.25" hidden="false" customHeight="false" outlineLevel="0" collapsed="false">
      <c r="A1376" s="1" t="n">
        <v>1375</v>
      </c>
      <c r="B1376" s="1" t="n">
        <v>36</v>
      </c>
      <c r="C1376" s="1" t="n">
        <v>23</v>
      </c>
      <c r="D1376" s="16" t="n">
        <f aca="false">IF('Boletins Nuppa Site'!G1376&lt;&gt;0,'Boletins Nuppa Site'!G1376,"NULL")</f>
        <v>60</v>
      </c>
      <c r="E1376" s="16" t="n">
        <f aca="false">IF('Boletins Nuppa Site'!H1376&lt;&gt;0,'Boletins Nuppa Site'!H1376,"NULL")</f>
        <v>50</v>
      </c>
      <c r="F1376" s="16" t="n">
        <f aca="false">IF('Boletins Nuppa Site'!I1376&lt;&gt;0,'Boletins Nuppa Site'!I1376,"NULL")</f>
        <v>60</v>
      </c>
      <c r="G1376" s="1" t="str">
        <f aca="false">IF('Boletins Nuppa Site'!J1376&lt;&gt;0,'Boletins Nuppa Site'!J1376,"NULL")</f>
        <v>57.5</v>
      </c>
      <c r="H1376" s="16" t="n">
        <f aca="false">IF('Boletins Nuppa Site'!K1376&lt;&gt;0,'Boletins Nuppa Site'!K1376,"NULL")</f>
        <v>60</v>
      </c>
      <c r="J1376" s="1" t="str">
        <f aca="false">"INSERT INTO COTACAO (blt_id, pap_id, cot_prc_comum, cot_prc_min, cot_prc_max, cot_prc_med, cot_prc_mediana) VALUES ("&amp;B1376&amp;", "&amp;C1376&amp;", "&amp;D1376&amp;", "&amp;E1376&amp;", "&amp;F1376&amp;", "&amp;G1376&amp;", "&amp;H1376&amp;");"</f>
        <v>INSERT INTO COTACAO (blt_id, pap_id, cot_prc_comum, cot_prc_min, cot_prc_max, cot_prc_med, cot_prc_mediana) VALUES (36, 23, 60, 50, 60, 57.5, 60);</v>
      </c>
    </row>
    <row r="1377" customFormat="false" ht="14.25" hidden="false" customHeight="false" outlineLevel="0" collapsed="false">
      <c r="A1377" s="1" t="n">
        <v>1376</v>
      </c>
      <c r="B1377" s="1" t="n">
        <v>36</v>
      </c>
      <c r="C1377" s="1" t="n">
        <v>24</v>
      </c>
      <c r="D1377" s="1" t="str">
        <f aca="false">IF('Boletins Nuppa Site'!G1377&lt;&gt;0,'Boletins Nuppa Site'!G1377,"NULL")</f>
        <v>NULL</v>
      </c>
      <c r="E1377" s="16" t="n">
        <f aca="false">IF('Boletins Nuppa Site'!H1377&lt;&gt;0,'Boletins Nuppa Site'!H1377,"NULL")</f>
        <v>75</v>
      </c>
      <c r="F1377" s="16" t="n">
        <f aca="false">IF('Boletins Nuppa Site'!I1377&lt;&gt;0,'Boletins Nuppa Site'!I1377,"NULL")</f>
        <v>120</v>
      </c>
      <c r="G1377" s="1" t="str">
        <f aca="false">IF('Boletins Nuppa Site'!J1377&lt;&gt;0,'Boletins Nuppa Site'!J1377,"NULL")</f>
        <v>97.5</v>
      </c>
      <c r="H1377" s="1" t="str">
        <f aca="false">IF('Boletins Nuppa Site'!K1377&lt;&gt;0,'Boletins Nuppa Site'!K1377,"NULL")</f>
        <v>97.5</v>
      </c>
      <c r="J1377" s="1" t="str">
        <f aca="false">"INSERT INTO COTACAO (blt_id, pap_id, cot_prc_comum, cot_prc_min, cot_prc_max, cot_prc_med, cot_prc_mediana) VALUES ("&amp;B1377&amp;", "&amp;C1377&amp;", "&amp;D1377&amp;", "&amp;E1377&amp;", "&amp;F1377&amp;", "&amp;G1377&amp;", "&amp;H1377&amp;");"</f>
        <v>INSERT INTO COTACAO (blt_id, pap_id, cot_prc_comum, cot_prc_min, cot_prc_max, cot_prc_med, cot_prc_mediana) VALUES (36, 24, NULL, 75, 120, 97.5, 97.5);</v>
      </c>
    </row>
    <row r="1378" customFormat="false" ht="14.25" hidden="false" customHeight="false" outlineLevel="0" collapsed="false">
      <c r="A1378" s="1" t="n">
        <v>1377</v>
      </c>
      <c r="B1378" s="1" t="n">
        <v>36</v>
      </c>
      <c r="C1378" s="1" t="n">
        <v>25</v>
      </c>
      <c r="D1378" s="1" t="str">
        <f aca="false">IF('Boletins Nuppa Site'!G1378&lt;&gt;0,'Boletins Nuppa Site'!G1378,"NULL")</f>
        <v>NULL</v>
      </c>
      <c r="E1378" s="16" t="n">
        <f aca="false">IF('Boletins Nuppa Site'!H1378&lt;&gt;0,'Boletins Nuppa Site'!H1378,"NULL")</f>
        <v>60</v>
      </c>
      <c r="F1378" s="16" t="n">
        <f aca="false">IF('Boletins Nuppa Site'!I1378&lt;&gt;0,'Boletins Nuppa Site'!I1378,"NULL")</f>
        <v>80</v>
      </c>
      <c r="G1378" s="1" t="str">
        <f aca="false">IF('Boletins Nuppa Site'!J1378&lt;&gt;0,'Boletins Nuppa Site'!J1378,"NULL")</f>
        <v>68.75</v>
      </c>
      <c r="H1378" s="1" t="str">
        <f aca="false">IF('Boletins Nuppa Site'!K1378&lt;&gt;0,'Boletins Nuppa Site'!K1378,"NULL")</f>
        <v>67.5</v>
      </c>
      <c r="J1378" s="1" t="str">
        <f aca="false">"INSERT INTO COTACAO (blt_id, pap_id, cot_prc_comum, cot_prc_min, cot_prc_max, cot_prc_med, cot_prc_mediana) VALUES ("&amp;B1378&amp;", "&amp;C1378&amp;", "&amp;D1378&amp;", "&amp;E1378&amp;", "&amp;F1378&amp;", "&amp;G1378&amp;", "&amp;H1378&amp;");"</f>
        <v>INSERT INTO COTACAO (blt_id, pap_id, cot_prc_comum, cot_prc_min, cot_prc_max, cot_prc_med, cot_prc_mediana) VALUES (36, 25, NULL, 60, 80, 68.75, 67.5);</v>
      </c>
    </row>
    <row r="1379" customFormat="false" ht="14.25" hidden="false" customHeight="false" outlineLevel="0" collapsed="false">
      <c r="A1379" s="1" t="n">
        <v>1378</v>
      </c>
      <c r="B1379" s="1" t="n">
        <v>36</v>
      </c>
      <c r="C1379" s="1" t="n">
        <v>26</v>
      </c>
      <c r="D1379" s="16" t="n">
        <f aca="false">IF('Boletins Nuppa Site'!G1379&lt;&gt;0,'Boletins Nuppa Site'!G1379,"NULL")</f>
        <v>55</v>
      </c>
      <c r="E1379" s="16" t="n">
        <f aca="false">IF('Boletins Nuppa Site'!H1379&lt;&gt;0,'Boletins Nuppa Site'!H1379,"NULL")</f>
        <v>30</v>
      </c>
      <c r="F1379" s="16" t="n">
        <f aca="false">IF('Boletins Nuppa Site'!I1379&lt;&gt;0,'Boletins Nuppa Site'!I1379,"NULL")</f>
        <v>60</v>
      </c>
      <c r="G1379" s="16" t="n">
        <f aca="false">IF('Boletins Nuppa Site'!J1379&lt;&gt;0,'Boletins Nuppa Site'!J1379,"NULL")</f>
        <v>50</v>
      </c>
      <c r="H1379" s="16" t="n">
        <f aca="false">IF('Boletins Nuppa Site'!K1379&lt;&gt;0,'Boletins Nuppa Site'!K1379,"NULL")</f>
        <v>55</v>
      </c>
      <c r="J1379" s="1" t="str">
        <f aca="false">"INSERT INTO COTACAO (blt_id, pap_id, cot_prc_comum, cot_prc_min, cot_prc_max, cot_prc_med, cot_prc_mediana) VALUES ("&amp;B1379&amp;", "&amp;C1379&amp;", "&amp;D1379&amp;", "&amp;E1379&amp;", "&amp;F1379&amp;", "&amp;G1379&amp;", "&amp;H1379&amp;");"</f>
        <v>INSERT INTO COTACAO (blt_id, pap_id, cot_prc_comum, cot_prc_min, cot_prc_max, cot_prc_med, cot_prc_mediana) VALUES (36, 26, 55, 30, 60, 50, 55);</v>
      </c>
    </row>
    <row r="1380" customFormat="false" ht="14.25" hidden="false" customHeight="false" outlineLevel="0" collapsed="false">
      <c r="A1380" s="1" t="n">
        <v>1379</v>
      </c>
      <c r="B1380" s="1" t="n">
        <v>36</v>
      </c>
      <c r="C1380" s="1" t="n">
        <v>27</v>
      </c>
      <c r="D1380" s="16" t="n">
        <f aca="false">IF('Boletins Nuppa Site'!G1380&lt;&gt;0,'Boletins Nuppa Site'!G1380,"NULL")</f>
        <v>60</v>
      </c>
      <c r="E1380" s="16" t="n">
        <f aca="false">IF('Boletins Nuppa Site'!H1380&lt;&gt;0,'Boletins Nuppa Site'!H1380,"NULL")</f>
        <v>60</v>
      </c>
      <c r="F1380" s="16" t="n">
        <f aca="false">IF('Boletins Nuppa Site'!I1380&lt;&gt;0,'Boletins Nuppa Site'!I1380,"NULL")</f>
        <v>85</v>
      </c>
      <c r="G1380" s="1" t="str">
        <f aca="false">IF('Boletins Nuppa Site'!J1380&lt;&gt;0,'Boletins Nuppa Site'!J1380,"NULL")</f>
        <v>67.5</v>
      </c>
      <c r="H1380" s="1" t="str">
        <f aca="false">IF('Boletins Nuppa Site'!K1380&lt;&gt;0,'Boletins Nuppa Site'!K1380,"NULL")</f>
        <v>62.5</v>
      </c>
      <c r="J1380" s="1" t="str">
        <f aca="false">"INSERT INTO COTACAO (blt_id, pap_id, cot_prc_comum, cot_prc_min, cot_prc_max, cot_prc_med, cot_prc_mediana) VALUES ("&amp;B1380&amp;", "&amp;C1380&amp;", "&amp;D1380&amp;", "&amp;E1380&amp;", "&amp;F1380&amp;", "&amp;G1380&amp;", "&amp;H1380&amp;");"</f>
        <v>INSERT INTO COTACAO (blt_id, pap_id, cot_prc_comum, cot_prc_min, cot_prc_max, cot_prc_med, cot_prc_mediana) VALUES (36, 27, 60, 60, 85, 67.5, 62.5);</v>
      </c>
    </row>
    <row r="1381" customFormat="false" ht="14.25" hidden="false" customHeight="false" outlineLevel="0" collapsed="false">
      <c r="A1381" s="1" t="n">
        <v>1380</v>
      </c>
      <c r="B1381" s="1" t="n">
        <v>36</v>
      </c>
      <c r="C1381" s="1" t="n">
        <v>28</v>
      </c>
      <c r="D1381" s="16" t="n">
        <f aca="false">IF('Boletins Nuppa Site'!G1381&lt;&gt;0,'Boletins Nuppa Site'!G1381,"NULL")</f>
        <v>120</v>
      </c>
      <c r="E1381" s="16" t="n">
        <f aca="false">IF('Boletins Nuppa Site'!H1381&lt;&gt;0,'Boletins Nuppa Site'!H1381,"NULL")</f>
        <v>120</v>
      </c>
      <c r="F1381" s="16" t="n">
        <f aca="false">IF('Boletins Nuppa Site'!I1381&lt;&gt;0,'Boletins Nuppa Site'!I1381,"NULL")</f>
        <v>120</v>
      </c>
      <c r="G1381" s="16" t="n">
        <f aca="false">IF('Boletins Nuppa Site'!J1381&lt;&gt;0,'Boletins Nuppa Site'!J1381,"NULL")</f>
        <v>120</v>
      </c>
      <c r="H1381" s="16" t="n">
        <f aca="false">IF('Boletins Nuppa Site'!K1381&lt;&gt;0,'Boletins Nuppa Site'!K1381,"NULL")</f>
        <v>120</v>
      </c>
      <c r="J1381" s="1" t="str">
        <f aca="false">"INSERT INTO COTACAO (blt_id, pap_id, cot_prc_comum, cot_prc_min, cot_prc_max, cot_prc_med, cot_prc_mediana) VALUES ("&amp;B1381&amp;", "&amp;C1381&amp;", "&amp;D1381&amp;", "&amp;E1381&amp;", "&amp;F1381&amp;", "&amp;G1381&amp;", "&amp;H1381&amp;");"</f>
        <v>INSERT INTO COTACAO (blt_id, pap_id, cot_prc_comum, cot_prc_min, cot_prc_max, cot_prc_med, cot_prc_mediana) VALUES (36, 28, 120, 120, 120, 120, 120);</v>
      </c>
    </row>
    <row r="1382" customFormat="false" ht="14.25" hidden="false" customHeight="false" outlineLevel="0" collapsed="false">
      <c r="A1382" s="1" t="n">
        <v>1381</v>
      </c>
      <c r="B1382" s="1" t="n">
        <v>36</v>
      </c>
      <c r="C1382" s="1" t="n">
        <v>29</v>
      </c>
      <c r="D1382" s="1" t="str">
        <f aca="false">IF('Boletins Nuppa Site'!G1382&lt;&gt;0,'Boletins Nuppa Site'!G1382,"NULL")</f>
        <v>NULL</v>
      </c>
      <c r="E1382" s="16" t="n">
        <f aca="false">IF('Boletins Nuppa Site'!H1382&lt;&gt;0,'Boletins Nuppa Site'!H1382,"NULL")</f>
        <v>50</v>
      </c>
      <c r="F1382" s="16" t="n">
        <f aca="false">IF('Boletins Nuppa Site'!I1382&lt;&gt;0,'Boletins Nuppa Site'!I1382,"NULL")</f>
        <v>50</v>
      </c>
      <c r="G1382" s="16" t="n">
        <f aca="false">IF('Boletins Nuppa Site'!J1382&lt;&gt;0,'Boletins Nuppa Site'!J1382,"NULL")</f>
        <v>50</v>
      </c>
      <c r="H1382" s="16" t="n">
        <f aca="false">IF('Boletins Nuppa Site'!K1382&lt;&gt;0,'Boletins Nuppa Site'!K1382,"NULL")</f>
        <v>50</v>
      </c>
      <c r="J1382" s="1" t="str">
        <f aca="false">"INSERT INTO COTACAO (blt_id, pap_id, cot_prc_comum, cot_prc_min, cot_prc_max, cot_prc_med, cot_prc_mediana) VALUES ("&amp;B1382&amp;", "&amp;C1382&amp;", "&amp;D1382&amp;", "&amp;E1382&amp;", "&amp;F1382&amp;", "&amp;G1382&amp;", "&amp;H1382&amp;");"</f>
        <v>INSERT INTO COTACAO (blt_id, pap_id, cot_prc_comum, cot_prc_min, cot_prc_max, cot_prc_med, cot_prc_mediana) VALUES (36, 29, NULL, 50, 50, 50, 50);</v>
      </c>
    </row>
    <row r="1383" customFormat="false" ht="14.25" hidden="false" customHeight="false" outlineLevel="0" collapsed="false">
      <c r="A1383" s="1" t="n">
        <v>1382</v>
      </c>
      <c r="B1383" s="1" t="n">
        <v>36</v>
      </c>
      <c r="C1383" s="1" t="n">
        <v>30</v>
      </c>
      <c r="D1383" s="16" t="n">
        <f aca="false">IF('Boletins Nuppa Site'!G1383&lt;&gt;0,'Boletins Nuppa Site'!G1383,"NULL")</f>
        <v>100</v>
      </c>
      <c r="E1383" s="16" t="n">
        <f aca="false">IF('Boletins Nuppa Site'!H1383&lt;&gt;0,'Boletins Nuppa Site'!H1383,"NULL")</f>
        <v>100</v>
      </c>
      <c r="F1383" s="16" t="n">
        <f aca="false">IF('Boletins Nuppa Site'!I1383&lt;&gt;0,'Boletins Nuppa Site'!I1383,"NULL")</f>
        <v>100</v>
      </c>
      <c r="G1383" s="16" t="n">
        <f aca="false">IF('Boletins Nuppa Site'!J1383&lt;&gt;0,'Boletins Nuppa Site'!J1383,"NULL")</f>
        <v>100</v>
      </c>
      <c r="H1383" s="16" t="n">
        <f aca="false">IF('Boletins Nuppa Site'!K1383&lt;&gt;0,'Boletins Nuppa Site'!K1383,"NULL")</f>
        <v>100</v>
      </c>
      <c r="J1383" s="1" t="str">
        <f aca="false">"INSERT INTO COTACAO (blt_id, pap_id, cot_prc_comum, cot_prc_min, cot_prc_max, cot_prc_med, cot_prc_mediana) VALUES ("&amp;B1383&amp;", "&amp;C1383&amp;", "&amp;D1383&amp;", "&amp;E1383&amp;", "&amp;F1383&amp;", "&amp;G1383&amp;", "&amp;H1383&amp;");"</f>
        <v>INSERT INTO COTACAO (blt_id, pap_id, cot_prc_comum, cot_prc_min, cot_prc_max, cot_prc_med, cot_prc_mediana) VALUES (36, 30, 100, 100, 100, 100, 100);</v>
      </c>
    </row>
    <row r="1384" customFormat="false" ht="14.25" hidden="false" customHeight="false" outlineLevel="0" collapsed="false">
      <c r="A1384" s="1" t="n">
        <v>1383</v>
      </c>
      <c r="B1384" s="1" t="n">
        <v>36</v>
      </c>
      <c r="C1384" s="1" t="n">
        <v>31</v>
      </c>
      <c r="D1384" s="16" t="n">
        <f aca="false">IF('Boletins Nuppa Site'!G1384&lt;&gt;0,'Boletins Nuppa Site'!G1384,"NULL")</f>
        <v>120</v>
      </c>
      <c r="E1384" s="16" t="n">
        <f aca="false">IF('Boletins Nuppa Site'!H1384&lt;&gt;0,'Boletins Nuppa Site'!H1384,"NULL")</f>
        <v>120</v>
      </c>
      <c r="F1384" s="16" t="n">
        <f aca="false">IF('Boletins Nuppa Site'!I1384&lt;&gt;0,'Boletins Nuppa Site'!I1384,"NULL")</f>
        <v>140</v>
      </c>
      <c r="G1384" s="1" t="str">
        <f aca="false">IF('Boletins Nuppa Site'!J1384&lt;&gt;0,'Boletins Nuppa Site'!J1384,"NULL")</f>
        <v>127.5</v>
      </c>
      <c r="H1384" s="16" t="n">
        <f aca="false">IF('Boletins Nuppa Site'!K1384&lt;&gt;0,'Boletins Nuppa Site'!K1384,"NULL")</f>
        <v>125</v>
      </c>
      <c r="J1384" s="1" t="str">
        <f aca="false">"INSERT INTO COTACAO (blt_id, pap_id, cot_prc_comum, cot_prc_min, cot_prc_max, cot_prc_med, cot_prc_mediana) VALUES ("&amp;B1384&amp;", "&amp;C1384&amp;", "&amp;D1384&amp;", "&amp;E1384&amp;", "&amp;F1384&amp;", "&amp;G1384&amp;", "&amp;H1384&amp;");"</f>
        <v>INSERT INTO COTACAO (blt_id, pap_id, cot_prc_comum, cot_prc_min, cot_prc_max, cot_prc_med, cot_prc_mediana) VALUES (36, 31, 120, 120, 140, 127.5, 125);</v>
      </c>
    </row>
    <row r="1385" customFormat="false" ht="14.25" hidden="false" customHeight="false" outlineLevel="0" collapsed="false">
      <c r="A1385" s="1" t="n">
        <v>1384</v>
      </c>
      <c r="B1385" s="1" t="n">
        <v>36</v>
      </c>
      <c r="C1385" s="1" t="n">
        <v>32</v>
      </c>
      <c r="D1385" s="1" t="str">
        <f aca="false">IF('Boletins Nuppa Site'!G1385&lt;&gt;0,'Boletins Nuppa Site'!G1385,"NULL")</f>
        <v>NULL</v>
      </c>
      <c r="E1385" s="16" t="n">
        <f aca="false">IF('Boletins Nuppa Site'!H1385&lt;&gt;0,'Boletins Nuppa Site'!H1385,"NULL")</f>
        <v>45</v>
      </c>
      <c r="F1385" s="16" t="n">
        <f aca="false">IF('Boletins Nuppa Site'!I1385&lt;&gt;0,'Boletins Nuppa Site'!I1385,"NULL")</f>
        <v>80</v>
      </c>
      <c r="G1385" s="16" t="n">
        <f aca="false">IF('Boletins Nuppa Site'!J1385&lt;&gt;0,'Boletins Nuppa Site'!J1385,"NULL")</f>
        <v>60</v>
      </c>
      <c r="H1385" s="1" t="str">
        <f aca="false">IF('Boletins Nuppa Site'!K1385&lt;&gt;0,'Boletins Nuppa Site'!K1385,"NULL")</f>
        <v>57.5</v>
      </c>
      <c r="J1385" s="1" t="str">
        <f aca="false">"INSERT INTO COTACAO (blt_id, pap_id, cot_prc_comum, cot_prc_min, cot_prc_max, cot_prc_med, cot_prc_mediana) VALUES ("&amp;B1385&amp;", "&amp;C1385&amp;", "&amp;D1385&amp;", "&amp;E1385&amp;", "&amp;F1385&amp;", "&amp;G1385&amp;", "&amp;H1385&amp;");"</f>
        <v>INSERT INTO COTACAO (blt_id, pap_id, cot_prc_comum, cot_prc_min, cot_prc_max, cot_prc_med, cot_prc_mediana) VALUES (36, 32, NULL, 45, 80, 60, 57.5);</v>
      </c>
    </row>
    <row r="1386" customFormat="false" ht="14.25" hidden="false" customHeight="false" outlineLevel="0" collapsed="false">
      <c r="A1386" s="1" t="n">
        <v>1385</v>
      </c>
      <c r="B1386" s="1" t="n">
        <v>36</v>
      </c>
      <c r="C1386" s="1" t="n">
        <v>33</v>
      </c>
      <c r="D1386" s="16" t="n">
        <f aca="false">IF('Boletins Nuppa Site'!G1386&lt;&gt;0,'Boletins Nuppa Site'!G1386,"NULL")</f>
        <v>140</v>
      </c>
      <c r="E1386" s="16" t="n">
        <f aca="false">IF('Boletins Nuppa Site'!H1386&lt;&gt;0,'Boletins Nuppa Site'!H1386,"NULL")</f>
        <v>140</v>
      </c>
      <c r="F1386" s="16" t="n">
        <f aca="false">IF('Boletins Nuppa Site'!I1386&lt;&gt;0,'Boletins Nuppa Site'!I1386,"NULL")</f>
        <v>175</v>
      </c>
      <c r="G1386" s="1" t="str">
        <f aca="false">IF('Boletins Nuppa Site'!J1386&lt;&gt;0,'Boletins Nuppa Site'!J1386,"NULL")</f>
        <v>151.25</v>
      </c>
      <c r="H1386" s="16" t="n">
        <f aca="false">IF('Boletins Nuppa Site'!K1386&lt;&gt;0,'Boletins Nuppa Site'!K1386,"NULL")</f>
        <v>145</v>
      </c>
      <c r="J1386" s="1" t="str">
        <f aca="false">"INSERT INTO COTACAO (blt_id, pap_id, cot_prc_comum, cot_prc_min, cot_prc_max, cot_prc_med, cot_prc_mediana) VALUES ("&amp;B1386&amp;", "&amp;C1386&amp;", "&amp;D1386&amp;", "&amp;E1386&amp;", "&amp;F1386&amp;", "&amp;G1386&amp;", "&amp;H1386&amp;");"</f>
        <v>INSERT INTO COTACAO (blt_id, pap_id, cot_prc_comum, cot_prc_min, cot_prc_max, cot_prc_med, cot_prc_mediana) VALUES (36, 33, 140, 140, 175, 151.25, 145);</v>
      </c>
    </row>
    <row r="1387" customFormat="false" ht="14.25" hidden="false" customHeight="false" outlineLevel="0" collapsed="false">
      <c r="A1387" s="1" t="n">
        <v>1386</v>
      </c>
      <c r="B1387" s="1" t="n">
        <v>36</v>
      </c>
      <c r="C1387" s="1" t="n">
        <v>34</v>
      </c>
      <c r="D1387" s="16" t="n">
        <f aca="false">IF('Boletins Nuppa Site'!G1387&lt;&gt;0,'Boletins Nuppa Site'!G1387,"NULL")</f>
        <v>80</v>
      </c>
      <c r="E1387" s="16" t="n">
        <f aca="false">IF('Boletins Nuppa Site'!H1387&lt;&gt;0,'Boletins Nuppa Site'!H1387,"NULL")</f>
        <v>45</v>
      </c>
      <c r="F1387" s="16" t="n">
        <f aca="false">IF('Boletins Nuppa Site'!I1387&lt;&gt;0,'Boletins Nuppa Site'!I1387,"NULL")</f>
        <v>90</v>
      </c>
      <c r="G1387" s="1" t="str">
        <f aca="false">IF('Boletins Nuppa Site'!J1387&lt;&gt;0,'Boletins Nuppa Site'!J1387,"NULL")</f>
        <v>73.75</v>
      </c>
      <c r="H1387" s="16" t="n">
        <f aca="false">IF('Boletins Nuppa Site'!K1387&lt;&gt;0,'Boletins Nuppa Site'!K1387,"NULL")</f>
        <v>80</v>
      </c>
      <c r="J1387" s="1" t="str">
        <f aca="false">"INSERT INTO COTACAO (blt_id, pap_id, cot_prc_comum, cot_prc_min, cot_prc_max, cot_prc_med, cot_prc_mediana) VALUES ("&amp;B1387&amp;", "&amp;C1387&amp;", "&amp;D1387&amp;", "&amp;E1387&amp;", "&amp;F1387&amp;", "&amp;G1387&amp;", "&amp;H1387&amp;");"</f>
        <v>INSERT INTO COTACAO (blt_id, pap_id, cot_prc_comum, cot_prc_min, cot_prc_max, cot_prc_med, cot_prc_mediana) VALUES (36, 34, 80, 45, 90, 73.75, 80);</v>
      </c>
    </row>
    <row r="1388" customFormat="false" ht="14.25" hidden="false" customHeight="false" outlineLevel="0" collapsed="false">
      <c r="A1388" s="1" t="n">
        <v>1387</v>
      </c>
      <c r="B1388" s="1" t="n">
        <v>36</v>
      </c>
      <c r="C1388" s="1" t="n">
        <v>35</v>
      </c>
      <c r="D1388" s="16" t="n">
        <f aca="false">IF('Boletins Nuppa Site'!G1388&lt;&gt;0,'Boletins Nuppa Site'!G1388,"NULL")</f>
        <v>110</v>
      </c>
      <c r="E1388" s="16" t="n">
        <f aca="false">IF('Boletins Nuppa Site'!H1388&lt;&gt;0,'Boletins Nuppa Site'!H1388,"NULL")</f>
        <v>110</v>
      </c>
      <c r="F1388" s="16" t="n">
        <f aca="false">IF('Boletins Nuppa Site'!I1388&lt;&gt;0,'Boletins Nuppa Site'!I1388,"NULL")</f>
        <v>120</v>
      </c>
      <c r="G1388" s="1" t="str">
        <f aca="false">IF('Boletins Nuppa Site'!J1388&lt;&gt;0,'Boletins Nuppa Site'!J1388,"NULL")</f>
        <v>113.33</v>
      </c>
      <c r="H1388" s="16" t="n">
        <f aca="false">IF('Boletins Nuppa Site'!K1388&lt;&gt;0,'Boletins Nuppa Site'!K1388,"NULL")</f>
        <v>110</v>
      </c>
      <c r="J1388" s="1" t="str">
        <f aca="false">"INSERT INTO COTACAO (blt_id, pap_id, cot_prc_comum, cot_prc_min, cot_prc_max, cot_prc_med, cot_prc_mediana) VALUES ("&amp;B1388&amp;", "&amp;C1388&amp;", "&amp;D1388&amp;", "&amp;E1388&amp;", "&amp;F1388&amp;", "&amp;G1388&amp;", "&amp;H1388&amp;");"</f>
        <v>INSERT INTO COTACAO (blt_id, pap_id, cot_prc_comum, cot_prc_min, cot_prc_max, cot_prc_med, cot_prc_mediana) VALUES (36, 35, 110, 110, 120, 113.33, 110);</v>
      </c>
    </row>
    <row r="1389" customFormat="false" ht="14.25" hidden="false" customHeight="false" outlineLevel="0" collapsed="false">
      <c r="A1389" s="1" t="n">
        <v>1388</v>
      </c>
      <c r="B1389" s="1" t="n">
        <v>36</v>
      </c>
      <c r="C1389" s="1" t="n">
        <v>36</v>
      </c>
      <c r="D1389" s="1" t="str">
        <f aca="false">IF('Boletins Nuppa Site'!G1389&lt;&gt;0,'Boletins Nuppa Site'!G1389,"NULL")</f>
        <v>NULL</v>
      </c>
      <c r="E1389" s="1" t="str">
        <f aca="false">IF('Boletins Nuppa Site'!H1389&lt;&gt;0,'Boletins Nuppa Site'!H1389,"NULL")</f>
        <v>NULL</v>
      </c>
      <c r="F1389" s="1" t="str">
        <f aca="false">IF('Boletins Nuppa Site'!I1389&lt;&gt;0,'Boletins Nuppa Site'!I1389,"NULL")</f>
        <v>NULL</v>
      </c>
      <c r="G1389" s="1" t="str">
        <f aca="false">IF('Boletins Nuppa Site'!J1389&lt;&gt;0,'Boletins Nuppa Site'!J1389,"NULL")</f>
        <v>NULL</v>
      </c>
      <c r="H1389" s="1" t="str">
        <f aca="false">IF('Boletins Nuppa Site'!K1389&lt;&gt;0,'Boletins Nuppa Site'!K1389,"NULL")</f>
        <v>NULL</v>
      </c>
      <c r="J1389" s="1" t="str">
        <f aca="false">"INSERT INTO COTACAO (blt_id, pap_id, cot_prc_comum, cot_prc_min, cot_prc_max, cot_prc_med, cot_prc_mediana) VALUES ("&amp;B1389&amp;", "&amp;C1389&amp;", "&amp;D1389&amp;", "&amp;E1389&amp;", "&amp;F1389&amp;", "&amp;G1389&amp;", "&amp;H1389&amp;");"</f>
        <v>INSERT INTO COTACAO (blt_id, pap_id, cot_prc_comum, cot_prc_min, cot_prc_max, cot_prc_med, cot_prc_mediana) VALUES (36, 36, NULL, NULL, NULL, NULL, NULL);</v>
      </c>
    </row>
    <row r="1390" customFormat="false" ht="14.25" hidden="false" customHeight="false" outlineLevel="0" collapsed="false">
      <c r="A1390" s="1" t="n">
        <v>1389</v>
      </c>
      <c r="B1390" s="1" t="n">
        <v>36</v>
      </c>
      <c r="C1390" s="1" t="n">
        <v>37</v>
      </c>
      <c r="D1390" s="1" t="str">
        <f aca="false">IF('Boletins Nuppa Site'!G1390&lt;&gt;0,'Boletins Nuppa Site'!G1390,"NULL")</f>
        <v>NULL</v>
      </c>
      <c r="E1390" s="1" t="str">
        <f aca="false">IF('Boletins Nuppa Site'!H1390&lt;&gt;0,'Boletins Nuppa Site'!H1390,"NULL")</f>
        <v>NULL</v>
      </c>
      <c r="F1390" s="1" t="str">
        <f aca="false">IF('Boletins Nuppa Site'!I1390&lt;&gt;0,'Boletins Nuppa Site'!I1390,"NULL")</f>
        <v>NULL</v>
      </c>
      <c r="G1390" s="1" t="str">
        <f aca="false">IF('Boletins Nuppa Site'!J1390&lt;&gt;0,'Boletins Nuppa Site'!J1390,"NULL")</f>
        <v>NULL</v>
      </c>
      <c r="H1390" s="1" t="str">
        <f aca="false">IF('Boletins Nuppa Site'!K1390&lt;&gt;0,'Boletins Nuppa Site'!K1390,"NULL")</f>
        <v>NULL</v>
      </c>
      <c r="J1390" s="1" t="str">
        <f aca="false">"INSERT INTO COTACAO (blt_id, pap_id, cot_prc_comum, cot_prc_min, cot_prc_max, cot_prc_med, cot_prc_mediana) VALUES ("&amp;B1390&amp;", "&amp;C1390&amp;", "&amp;D1390&amp;", "&amp;E1390&amp;", "&amp;F1390&amp;", "&amp;G1390&amp;", "&amp;H1390&amp;");"</f>
        <v>INSERT INTO COTACAO (blt_id, pap_id, cot_prc_comum, cot_prc_min, cot_prc_max, cot_prc_med, cot_prc_mediana) VALUES (36, 37, NULL, NULL, NULL, NULL, NULL);</v>
      </c>
    </row>
    <row r="1391" customFormat="false" ht="14.25" hidden="false" customHeight="false" outlineLevel="0" collapsed="false">
      <c r="A1391" s="1" t="n">
        <v>1390</v>
      </c>
      <c r="B1391" s="1" t="n">
        <v>36</v>
      </c>
      <c r="C1391" s="1" t="n">
        <v>38</v>
      </c>
      <c r="D1391" s="1" t="str">
        <f aca="false">IF('Boletins Nuppa Site'!G1391&lt;&gt;0,'Boletins Nuppa Site'!G1391,"NULL")</f>
        <v>NULL</v>
      </c>
      <c r="E1391" s="1" t="str">
        <f aca="false">IF('Boletins Nuppa Site'!H1391&lt;&gt;0,'Boletins Nuppa Site'!H1391,"NULL")</f>
        <v>NULL</v>
      </c>
      <c r="F1391" s="1" t="str">
        <f aca="false">IF('Boletins Nuppa Site'!I1391&lt;&gt;0,'Boletins Nuppa Site'!I1391,"NULL")</f>
        <v>NULL</v>
      </c>
      <c r="G1391" s="1" t="str">
        <f aca="false">IF('Boletins Nuppa Site'!J1391&lt;&gt;0,'Boletins Nuppa Site'!J1391,"NULL")</f>
        <v>NULL</v>
      </c>
      <c r="H1391" s="1" t="str">
        <f aca="false">IF('Boletins Nuppa Site'!K1391&lt;&gt;0,'Boletins Nuppa Site'!K1391,"NULL")</f>
        <v>NULL</v>
      </c>
      <c r="J1391" s="1" t="str">
        <f aca="false">"INSERT INTO COTACAO (blt_id, pap_id, cot_prc_comum, cot_prc_min, cot_prc_max, cot_prc_med, cot_prc_mediana) VALUES ("&amp;B1391&amp;", "&amp;C1391&amp;", "&amp;D1391&amp;", "&amp;E1391&amp;", "&amp;F1391&amp;", "&amp;G1391&amp;", "&amp;H1391&amp;");"</f>
        <v>INSERT INTO COTACAO (blt_id, pap_id, cot_prc_comum, cot_prc_min, cot_prc_max, cot_prc_med, cot_prc_mediana) VALUES (36, 38, NULL, NULL, NULL, NULL, NULL);</v>
      </c>
    </row>
    <row r="1392" customFormat="false" ht="14.25" hidden="false" customHeight="false" outlineLevel="0" collapsed="false">
      <c r="A1392" s="1" t="n">
        <v>1391</v>
      </c>
      <c r="B1392" s="1" t="n">
        <v>36</v>
      </c>
      <c r="C1392" s="1" t="n">
        <v>39</v>
      </c>
      <c r="D1392" s="1" t="str">
        <f aca="false">IF('Boletins Nuppa Site'!G1392&lt;&gt;0,'Boletins Nuppa Site'!G1392,"NULL")</f>
        <v>NULL</v>
      </c>
      <c r="E1392" s="16" t="n">
        <f aca="false">IF('Boletins Nuppa Site'!H1392&lt;&gt;0,'Boletins Nuppa Site'!H1392,"NULL")</f>
        <v>60</v>
      </c>
      <c r="F1392" s="16" t="n">
        <f aca="false">IF('Boletins Nuppa Site'!I1392&lt;&gt;0,'Boletins Nuppa Site'!I1392,"NULL")</f>
        <v>60</v>
      </c>
      <c r="G1392" s="16" t="n">
        <f aca="false">IF('Boletins Nuppa Site'!J1392&lt;&gt;0,'Boletins Nuppa Site'!J1392,"NULL")</f>
        <v>60</v>
      </c>
      <c r="H1392" s="16" t="n">
        <f aca="false">IF('Boletins Nuppa Site'!K1392&lt;&gt;0,'Boletins Nuppa Site'!K1392,"NULL")</f>
        <v>60</v>
      </c>
      <c r="J1392" s="1" t="str">
        <f aca="false">"INSERT INTO COTACAO (blt_id, pap_id, cot_prc_comum, cot_prc_min, cot_prc_max, cot_prc_med, cot_prc_mediana) VALUES ("&amp;B1392&amp;", "&amp;C1392&amp;", "&amp;D1392&amp;", "&amp;E1392&amp;", "&amp;F1392&amp;", "&amp;G1392&amp;", "&amp;H1392&amp;");"</f>
        <v>INSERT INTO COTACAO (blt_id, pap_id, cot_prc_comum, cot_prc_min, cot_prc_max, cot_prc_med, cot_prc_mediana) VALUES (36, 39, NULL, 60, 60, 60, 60);</v>
      </c>
    </row>
    <row r="1393" customFormat="false" ht="14.25" hidden="false" customHeight="false" outlineLevel="0" collapsed="false">
      <c r="A1393" s="1" t="n">
        <v>1392</v>
      </c>
      <c r="B1393" s="1" t="n">
        <v>36</v>
      </c>
      <c r="C1393" s="1" t="n">
        <v>40</v>
      </c>
      <c r="D1393" s="1" t="str">
        <f aca="false">IF('Boletins Nuppa Site'!G1393&lt;&gt;0,'Boletins Nuppa Site'!G1393,"NULL")</f>
        <v>NULL</v>
      </c>
      <c r="E1393" s="1" t="str">
        <f aca="false">IF('Boletins Nuppa Site'!H1393&lt;&gt;0,'Boletins Nuppa Site'!H1393,"NULL")</f>
        <v>NULL</v>
      </c>
      <c r="F1393" s="1" t="str">
        <f aca="false">IF('Boletins Nuppa Site'!I1393&lt;&gt;0,'Boletins Nuppa Site'!I1393,"NULL")</f>
        <v>NULL</v>
      </c>
      <c r="G1393" s="1" t="str">
        <f aca="false">IF('Boletins Nuppa Site'!J1393&lt;&gt;0,'Boletins Nuppa Site'!J1393,"NULL")</f>
        <v>NULL</v>
      </c>
      <c r="H1393" s="1" t="str">
        <f aca="false">IF('Boletins Nuppa Site'!K1393&lt;&gt;0,'Boletins Nuppa Site'!K1393,"NULL")</f>
        <v>NULL</v>
      </c>
      <c r="J1393" s="1" t="str">
        <f aca="false">"INSERT INTO COTACAO (blt_id, pap_id, cot_prc_comum, cot_prc_min, cot_prc_max, cot_prc_med, cot_prc_mediana) VALUES ("&amp;B1393&amp;", "&amp;C1393&amp;", "&amp;D1393&amp;", "&amp;E1393&amp;", "&amp;F1393&amp;", "&amp;G1393&amp;", "&amp;H1393&amp;");"</f>
        <v>INSERT INTO COTACAO (blt_id, pap_id, cot_prc_comum, cot_prc_min, cot_prc_max, cot_prc_med, cot_prc_mediana) VALUES (36, 40, NULL, NULL, NULL, NULL, NULL);</v>
      </c>
    </row>
    <row r="1394" customFormat="false" ht="14.25" hidden="false" customHeight="false" outlineLevel="0" collapsed="false">
      <c r="A1394" s="1" t="n">
        <v>1393</v>
      </c>
      <c r="B1394" s="1" t="n">
        <v>37</v>
      </c>
      <c r="C1394" s="1" t="n">
        <v>1</v>
      </c>
      <c r="D1394" s="16" t="n">
        <f aca="false">IF('Boletins Nuppa Site'!G1394&lt;&gt;0,'Boletins Nuppa Site'!G1394,"NULL")</f>
        <v>48</v>
      </c>
      <c r="E1394" s="16" t="n">
        <f aca="false">IF('Boletins Nuppa Site'!H1394&lt;&gt;0,'Boletins Nuppa Site'!H1394,"NULL")</f>
        <v>36</v>
      </c>
      <c r="F1394" s="16" t="n">
        <f aca="false">IF('Boletins Nuppa Site'!I1394&lt;&gt;0,'Boletins Nuppa Site'!I1394,"NULL")</f>
        <v>60</v>
      </c>
      <c r="G1394" s="16" t="n">
        <f aca="false">IF('Boletins Nuppa Site'!J1394&lt;&gt;0,'Boletins Nuppa Site'!J1394,"NULL")</f>
        <v>48</v>
      </c>
      <c r="H1394" s="16" t="n">
        <f aca="false">IF('Boletins Nuppa Site'!K1394&lt;&gt;0,'Boletins Nuppa Site'!K1394,"NULL")</f>
        <v>48</v>
      </c>
      <c r="J1394" s="1" t="str">
        <f aca="false">"INSERT INTO COTACAO (blt_id, pap_id, cot_prc_comum, cot_prc_min, cot_prc_max, cot_prc_med, cot_prc_mediana) VALUES ("&amp;B1394&amp;", "&amp;C1394&amp;", "&amp;D1394&amp;", "&amp;E1394&amp;", "&amp;F1394&amp;", "&amp;G1394&amp;", "&amp;H1394&amp;");"</f>
        <v>INSERT INTO COTACAO (blt_id, pap_id, cot_prc_comum, cot_prc_min, cot_prc_max, cot_prc_med, cot_prc_mediana) VALUES (37, 1, 48, 36, 60, 48, 48);</v>
      </c>
    </row>
    <row r="1395" customFormat="false" ht="14.25" hidden="false" customHeight="false" outlineLevel="0" collapsed="false">
      <c r="A1395" s="1" t="n">
        <v>1394</v>
      </c>
      <c r="B1395" s="1" t="n">
        <v>37</v>
      </c>
      <c r="C1395" s="1" t="n">
        <v>2</v>
      </c>
      <c r="D1395" s="16" t="n">
        <f aca="false">IF('Boletins Nuppa Site'!G1395&lt;&gt;0,'Boletins Nuppa Site'!G1395,"NULL")</f>
        <v>84</v>
      </c>
      <c r="E1395" s="16" t="n">
        <f aca="false">IF('Boletins Nuppa Site'!H1395&lt;&gt;0,'Boletins Nuppa Site'!H1395,"NULL")</f>
        <v>72</v>
      </c>
      <c r="F1395" s="16" t="n">
        <f aca="false">IF('Boletins Nuppa Site'!I1395&lt;&gt;0,'Boletins Nuppa Site'!I1395,"NULL")</f>
        <v>84</v>
      </c>
      <c r="G1395" s="16" t="n">
        <f aca="false">IF('Boletins Nuppa Site'!J1395&lt;&gt;0,'Boletins Nuppa Site'!J1395,"NULL")</f>
        <v>80</v>
      </c>
      <c r="H1395" s="16" t="n">
        <f aca="false">IF('Boletins Nuppa Site'!K1395&lt;&gt;0,'Boletins Nuppa Site'!K1395,"NULL")</f>
        <v>84</v>
      </c>
      <c r="J1395" s="1" t="str">
        <f aca="false">"INSERT INTO COTACAO (blt_id, pap_id, cot_prc_comum, cot_prc_min, cot_prc_max, cot_prc_med, cot_prc_mediana) VALUES ("&amp;B1395&amp;", "&amp;C1395&amp;", "&amp;D1395&amp;", "&amp;E1395&amp;", "&amp;F1395&amp;", "&amp;G1395&amp;", "&amp;H1395&amp;");"</f>
        <v>INSERT INTO COTACAO (blt_id, pap_id, cot_prc_comum, cot_prc_min, cot_prc_max, cot_prc_med, cot_prc_mediana) VALUES (37, 2, 84, 72, 84, 80, 84);</v>
      </c>
    </row>
    <row r="1396" customFormat="false" ht="14.25" hidden="false" customHeight="false" outlineLevel="0" collapsed="false">
      <c r="A1396" s="1" t="n">
        <v>1395</v>
      </c>
      <c r="B1396" s="1" t="n">
        <v>37</v>
      </c>
      <c r="C1396" s="1" t="n">
        <v>3</v>
      </c>
      <c r="D1396" s="16" t="n">
        <f aca="false">IF('Boletins Nuppa Site'!G1396&lt;&gt;0,'Boletins Nuppa Site'!G1396,"NULL")</f>
        <v>36</v>
      </c>
      <c r="E1396" s="16" t="n">
        <f aca="false">IF('Boletins Nuppa Site'!H1396&lt;&gt;0,'Boletins Nuppa Site'!H1396,"NULL")</f>
        <v>25</v>
      </c>
      <c r="F1396" s="16" t="n">
        <f aca="false">IF('Boletins Nuppa Site'!I1396&lt;&gt;0,'Boletins Nuppa Site'!I1396,"NULL")</f>
        <v>42</v>
      </c>
      <c r="G1396" s="1" t="str">
        <f aca="false">IF('Boletins Nuppa Site'!J1396&lt;&gt;0,'Boletins Nuppa Site'!J1396,"NULL")</f>
        <v>34.75</v>
      </c>
      <c r="H1396" s="16" t="n">
        <f aca="false">IF('Boletins Nuppa Site'!K1396&lt;&gt;0,'Boletins Nuppa Site'!K1396,"NULL")</f>
        <v>36</v>
      </c>
      <c r="J1396" s="1" t="str">
        <f aca="false">"INSERT INTO COTACAO (blt_id, pap_id, cot_prc_comum, cot_prc_min, cot_prc_max, cot_prc_med, cot_prc_mediana) VALUES ("&amp;B1396&amp;", "&amp;C1396&amp;", "&amp;D1396&amp;", "&amp;E1396&amp;", "&amp;F1396&amp;", "&amp;G1396&amp;", "&amp;H1396&amp;");"</f>
        <v>INSERT INTO COTACAO (blt_id, pap_id, cot_prc_comum, cot_prc_min, cot_prc_max, cot_prc_med, cot_prc_mediana) VALUES (37, 3, 36, 25, 42, 34.75, 36);</v>
      </c>
    </row>
    <row r="1397" customFormat="false" ht="14.25" hidden="false" customHeight="false" outlineLevel="0" collapsed="false">
      <c r="A1397" s="1" t="n">
        <v>1396</v>
      </c>
      <c r="B1397" s="1" t="n">
        <v>37</v>
      </c>
      <c r="C1397" s="1" t="n">
        <v>4</v>
      </c>
      <c r="D1397" s="16" t="n">
        <f aca="false">IF('Boletins Nuppa Site'!G1397&lt;&gt;0,'Boletins Nuppa Site'!G1397,"NULL")</f>
        <v>18</v>
      </c>
      <c r="E1397" s="16" t="n">
        <f aca="false">IF('Boletins Nuppa Site'!H1397&lt;&gt;0,'Boletins Nuppa Site'!H1397,"NULL")</f>
        <v>18</v>
      </c>
      <c r="F1397" s="16" t="n">
        <f aca="false">IF('Boletins Nuppa Site'!I1397&lt;&gt;0,'Boletins Nuppa Site'!I1397,"NULL")</f>
        <v>24</v>
      </c>
      <c r="G1397" s="16" t="n">
        <f aca="false">IF('Boletins Nuppa Site'!J1397&lt;&gt;0,'Boletins Nuppa Site'!J1397,"NULL")</f>
        <v>21</v>
      </c>
      <c r="H1397" s="16" t="n">
        <f aca="false">IF('Boletins Nuppa Site'!K1397&lt;&gt;0,'Boletins Nuppa Site'!K1397,"NULL")</f>
        <v>21</v>
      </c>
      <c r="J1397" s="1" t="str">
        <f aca="false">"INSERT INTO COTACAO (blt_id, pap_id, cot_prc_comum, cot_prc_min, cot_prc_max, cot_prc_med, cot_prc_mediana) VALUES ("&amp;B1397&amp;", "&amp;C1397&amp;", "&amp;D1397&amp;", "&amp;E1397&amp;", "&amp;F1397&amp;", "&amp;G1397&amp;", "&amp;H1397&amp;");"</f>
        <v>INSERT INTO COTACAO (blt_id, pap_id, cot_prc_comum, cot_prc_min, cot_prc_max, cot_prc_med, cot_prc_mediana) VALUES (37, 4, 18, 18, 24, 21, 21);</v>
      </c>
    </row>
    <row r="1398" customFormat="false" ht="14.25" hidden="false" customHeight="false" outlineLevel="0" collapsed="false">
      <c r="A1398" s="1" t="n">
        <v>1397</v>
      </c>
      <c r="B1398" s="1" t="n">
        <v>37</v>
      </c>
      <c r="C1398" s="1" t="n">
        <v>5</v>
      </c>
      <c r="D1398" s="16" t="n">
        <f aca="false">IF('Boletins Nuppa Site'!G1398&lt;&gt;0,'Boletins Nuppa Site'!G1398,"NULL")</f>
        <v>18</v>
      </c>
      <c r="E1398" s="16" t="n">
        <f aca="false">IF('Boletins Nuppa Site'!H1398&lt;&gt;0,'Boletins Nuppa Site'!H1398,"NULL")</f>
        <v>18</v>
      </c>
      <c r="F1398" s="16" t="n">
        <f aca="false">IF('Boletins Nuppa Site'!I1398&lt;&gt;0,'Boletins Nuppa Site'!I1398,"NULL")</f>
        <v>24</v>
      </c>
      <c r="G1398" s="16" t="n">
        <f aca="false">IF('Boletins Nuppa Site'!J1398&lt;&gt;0,'Boletins Nuppa Site'!J1398,"NULL")</f>
        <v>21</v>
      </c>
      <c r="H1398" s="16" t="n">
        <f aca="false">IF('Boletins Nuppa Site'!K1398&lt;&gt;0,'Boletins Nuppa Site'!K1398,"NULL")</f>
        <v>21</v>
      </c>
      <c r="J1398" s="1" t="str">
        <f aca="false">"INSERT INTO COTACAO (blt_id, pap_id, cot_prc_comum, cot_prc_min, cot_prc_max, cot_prc_med, cot_prc_mediana) VALUES ("&amp;B1398&amp;", "&amp;C1398&amp;", "&amp;D1398&amp;", "&amp;E1398&amp;", "&amp;F1398&amp;", "&amp;G1398&amp;", "&amp;H1398&amp;");"</f>
        <v>INSERT INTO COTACAO (blt_id, pap_id, cot_prc_comum, cot_prc_min, cot_prc_max, cot_prc_med, cot_prc_mediana) VALUES (37, 5, 18, 18, 24, 21, 21);</v>
      </c>
    </row>
    <row r="1399" customFormat="false" ht="14.25" hidden="false" customHeight="false" outlineLevel="0" collapsed="false">
      <c r="A1399" s="1" t="n">
        <v>1398</v>
      </c>
      <c r="B1399" s="1" t="n">
        <v>37</v>
      </c>
      <c r="C1399" s="1" t="n">
        <v>6</v>
      </c>
      <c r="D1399" s="16" t="n">
        <f aca="false">IF('Boletins Nuppa Site'!G1399&lt;&gt;0,'Boletins Nuppa Site'!G1399,"NULL")</f>
        <v>60</v>
      </c>
      <c r="E1399" s="16" t="n">
        <f aca="false">IF('Boletins Nuppa Site'!H1399&lt;&gt;0,'Boletins Nuppa Site'!H1399,"NULL")</f>
        <v>60</v>
      </c>
      <c r="F1399" s="16" t="n">
        <f aca="false">IF('Boletins Nuppa Site'!I1399&lt;&gt;0,'Boletins Nuppa Site'!I1399,"NULL")</f>
        <v>60</v>
      </c>
      <c r="G1399" s="16" t="n">
        <f aca="false">IF('Boletins Nuppa Site'!J1399&lt;&gt;0,'Boletins Nuppa Site'!J1399,"NULL")</f>
        <v>60</v>
      </c>
      <c r="H1399" s="16" t="n">
        <f aca="false">IF('Boletins Nuppa Site'!K1399&lt;&gt;0,'Boletins Nuppa Site'!K1399,"NULL")</f>
        <v>60</v>
      </c>
      <c r="J1399" s="1" t="str">
        <f aca="false">"INSERT INTO COTACAO (blt_id, pap_id, cot_prc_comum, cot_prc_min, cot_prc_max, cot_prc_med, cot_prc_mediana) VALUES ("&amp;B1399&amp;", "&amp;C1399&amp;", "&amp;D1399&amp;", "&amp;E1399&amp;", "&amp;F1399&amp;", "&amp;G1399&amp;", "&amp;H1399&amp;");"</f>
        <v>INSERT INTO COTACAO (blt_id, pap_id, cot_prc_comum, cot_prc_min, cot_prc_max, cot_prc_med, cot_prc_mediana) VALUES (37, 6, 60, 60, 60, 60, 60);</v>
      </c>
    </row>
    <row r="1400" customFormat="false" ht="14.25" hidden="false" customHeight="false" outlineLevel="0" collapsed="false">
      <c r="A1400" s="1" t="n">
        <v>1399</v>
      </c>
      <c r="B1400" s="1" t="n">
        <v>37</v>
      </c>
      <c r="C1400" s="1" t="n">
        <v>7</v>
      </c>
      <c r="D1400" s="1" t="str">
        <f aca="false">IF('Boletins Nuppa Site'!G1400&lt;&gt;0,'Boletins Nuppa Site'!G1400,"NULL")</f>
        <v>NULL</v>
      </c>
      <c r="E1400" s="16" t="n">
        <f aca="false">IF('Boletins Nuppa Site'!H1400&lt;&gt;0,'Boletins Nuppa Site'!H1400,"NULL")</f>
        <v>42</v>
      </c>
      <c r="F1400" s="16" t="n">
        <f aca="false">IF('Boletins Nuppa Site'!I1400&lt;&gt;0,'Boletins Nuppa Site'!I1400,"NULL")</f>
        <v>72</v>
      </c>
      <c r="G1400" s="16" t="n">
        <f aca="false">IF('Boletins Nuppa Site'!J1400&lt;&gt;0,'Boletins Nuppa Site'!J1400,"NULL")</f>
        <v>58</v>
      </c>
      <c r="H1400" s="16" t="n">
        <f aca="false">IF('Boletins Nuppa Site'!K1400&lt;&gt;0,'Boletins Nuppa Site'!K1400,"NULL")</f>
        <v>60</v>
      </c>
      <c r="J1400" s="1" t="str">
        <f aca="false">"INSERT INTO COTACAO (blt_id, pap_id, cot_prc_comum, cot_prc_min, cot_prc_max, cot_prc_med, cot_prc_mediana) VALUES ("&amp;B1400&amp;", "&amp;C1400&amp;", "&amp;D1400&amp;", "&amp;E1400&amp;", "&amp;F1400&amp;", "&amp;G1400&amp;", "&amp;H1400&amp;");"</f>
        <v>INSERT INTO COTACAO (blt_id, pap_id, cot_prc_comum, cot_prc_min, cot_prc_max, cot_prc_med, cot_prc_mediana) VALUES (37, 7, NULL, 42, 72, 58, 60);</v>
      </c>
    </row>
    <row r="1401" customFormat="false" ht="14.25" hidden="false" customHeight="false" outlineLevel="0" collapsed="false">
      <c r="A1401" s="1" t="n">
        <v>1400</v>
      </c>
      <c r="B1401" s="1" t="n">
        <v>37</v>
      </c>
      <c r="C1401" s="1" t="n">
        <v>8</v>
      </c>
      <c r="D1401" s="16" t="n">
        <f aca="false">IF('Boletins Nuppa Site'!G1401&lt;&gt;0,'Boletins Nuppa Site'!G1401,"NULL")</f>
        <v>72</v>
      </c>
      <c r="E1401" s="16" t="n">
        <f aca="false">IF('Boletins Nuppa Site'!H1401&lt;&gt;0,'Boletins Nuppa Site'!H1401,"NULL")</f>
        <v>60</v>
      </c>
      <c r="F1401" s="16" t="n">
        <f aca="false">IF('Boletins Nuppa Site'!I1401&lt;&gt;0,'Boletins Nuppa Site'!I1401,"NULL")</f>
        <v>72</v>
      </c>
      <c r="G1401" s="16" t="n">
        <f aca="false">IF('Boletins Nuppa Site'!J1401&lt;&gt;0,'Boletins Nuppa Site'!J1401,"NULL")</f>
        <v>69</v>
      </c>
      <c r="H1401" s="16" t="n">
        <f aca="false">IF('Boletins Nuppa Site'!K1401&lt;&gt;0,'Boletins Nuppa Site'!K1401,"NULL")</f>
        <v>72</v>
      </c>
      <c r="J1401" s="1" t="str">
        <f aca="false">"INSERT INTO COTACAO (blt_id, pap_id, cot_prc_comum, cot_prc_min, cot_prc_max, cot_prc_med, cot_prc_mediana) VALUES ("&amp;B1401&amp;", "&amp;C1401&amp;", "&amp;D1401&amp;", "&amp;E1401&amp;", "&amp;F1401&amp;", "&amp;G1401&amp;", "&amp;H1401&amp;");"</f>
        <v>INSERT INTO COTACAO (blt_id, pap_id, cot_prc_comum, cot_prc_min, cot_prc_max, cot_prc_med, cot_prc_mediana) VALUES (37, 8, 72, 60, 72, 69, 72);</v>
      </c>
    </row>
    <row r="1402" customFormat="false" ht="14.25" hidden="false" customHeight="false" outlineLevel="0" collapsed="false">
      <c r="A1402" s="1" t="n">
        <v>1401</v>
      </c>
      <c r="B1402" s="1" t="n">
        <v>37</v>
      </c>
      <c r="C1402" s="1" t="n">
        <v>9</v>
      </c>
      <c r="D1402" s="16" t="n">
        <f aca="false">IF('Boletins Nuppa Site'!G1402&lt;&gt;0,'Boletins Nuppa Site'!G1402,"NULL")</f>
        <v>18</v>
      </c>
      <c r="E1402" s="16" t="n">
        <f aca="false">IF('Boletins Nuppa Site'!H1402&lt;&gt;0,'Boletins Nuppa Site'!H1402,"NULL")</f>
        <v>18</v>
      </c>
      <c r="F1402" s="16" t="n">
        <f aca="false">IF('Boletins Nuppa Site'!I1402&lt;&gt;0,'Boletins Nuppa Site'!I1402,"NULL")</f>
        <v>24</v>
      </c>
      <c r="G1402" s="16" t="n">
        <f aca="false">IF('Boletins Nuppa Site'!J1402&lt;&gt;0,'Boletins Nuppa Site'!J1402,"NULL")</f>
        <v>21</v>
      </c>
      <c r="H1402" s="16" t="n">
        <f aca="false">IF('Boletins Nuppa Site'!K1402&lt;&gt;0,'Boletins Nuppa Site'!K1402,"NULL")</f>
        <v>21</v>
      </c>
      <c r="J1402" s="1" t="str">
        <f aca="false">"INSERT INTO COTACAO (blt_id, pap_id, cot_prc_comum, cot_prc_min, cot_prc_max, cot_prc_med, cot_prc_mediana) VALUES ("&amp;B1402&amp;", "&amp;C1402&amp;", "&amp;D1402&amp;", "&amp;E1402&amp;", "&amp;F1402&amp;", "&amp;G1402&amp;", "&amp;H1402&amp;");"</f>
        <v>INSERT INTO COTACAO (blt_id, pap_id, cot_prc_comum, cot_prc_min, cot_prc_max, cot_prc_med, cot_prc_mediana) VALUES (37, 9, 18, 18, 24, 21, 21);</v>
      </c>
    </row>
    <row r="1403" customFormat="false" ht="14.25" hidden="false" customHeight="false" outlineLevel="0" collapsed="false">
      <c r="A1403" s="1" t="n">
        <v>1402</v>
      </c>
      <c r="B1403" s="1" t="n">
        <v>37</v>
      </c>
      <c r="C1403" s="1" t="n">
        <v>10</v>
      </c>
      <c r="D1403" s="1" t="str">
        <f aca="false">IF('Boletins Nuppa Site'!G1403&lt;&gt;0,'Boletins Nuppa Site'!G1403,"NULL")</f>
        <v>NULL</v>
      </c>
      <c r="E1403" s="16" t="n">
        <f aca="false">IF('Boletins Nuppa Site'!H1403&lt;&gt;0,'Boletins Nuppa Site'!H1403,"NULL")</f>
        <v>50</v>
      </c>
      <c r="F1403" s="16" t="n">
        <f aca="false">IF('Boletins Nuppa Site'!I1403&lt;&gt;0,'Boletins Nuppa Site'!I1403,"NULL")</f>
        <v>78</v>
      </c>
      <c r="G1403" s="1" t="str">
        <f aca="false">IF('Boletins Nuppa Site'!J1403&lt;&gt;0,'Boletins Nuppa Site'!J1403,"NULL")</f>
        <v>62.67</v>
      </c>
      <c r="H1403" s="16" t="n">
        <f aca="false">IF('Boletins Nuppa Site'!K1403&lt;&gt;0,'Boletins Nuppa Site'!K1403,"NULL")</f>
        <v>60</v>
      </c>
      <c r="J1403" s="1" t="str">
        <f aca="false">"INSERT INTO COTACAO (blt_id, pap_id, cot_prc_comum, cot_prc_min, cot_prc_max, cot_prc_med, cot_prc_mediana) VALUES ("&amp;B1403&amp;", "&amp;C1403&amp;", "&amp;D1403&amp;", "&amp;E1403&amp;", "&amp;F1403&amp;", "&amp;G1403&amp;", "&amp;H1403&amp;");"</f>
        <v>INSERT INTO COTACAO (blt_id, pap_id, cot_prc_comum, cot_prc_min, cot_prc_max, cot_prc_med, cot_prc_mediana) VALUES (37, 10, NULL, 50, 78, 62.67, 60);</v>
      </c>
    </row>
    <row r="1404" customFormat="false" ht="14.25" hidden="false" customHeight="false" outlineLevel="0" collapsed="false">
      <c r="A1404" s="1" t="n">
        <v>1403</v>
      </c>
      <c r="B1404" s="1" t="n">
        <v>37</v>
      </c>
      <c r="C1404" s="1" t="n">
        <v>11</v>
      </c>
      <c r="D1404" s="16" t="n">
        <f aca="false">IF('Boletins Nuppa Site'!G1404&lt;&gt;0,'Boletins Nuppa Site'!G1404,"NULL")</f>
        <v>18</v>
      </c>
      <c r="E1404" s="16" t="n">
        <f aca="false">IF('Boletins Nuppa Site'!H1404&lt;&gt;0,'Boletins Nuppa Site'!H1404,"NULL")</f>
        <v>18</v>
      </c>
      <c r="F1404" s="16" t="n">
        <f aca="false">IF('Boletins Nuppa Site'!I1404&lt;&gt;0,'Boletins Nuppa Site'!I1404,"NULL")</f>
        <v>24</v>
      </c>
      <c r="G1404" s="16" t="n">
        <f aca="false">IF('Boletins Nuppa Site'!J1404&lt;&gt;0,'Boletins Nuppa Site'!J1404,"NULL")</f>
        <v>21</v>
      </c>
      <c r="H1404" s="16" t="n">
        <f aca="false">IF('Boletins Nuppa Site'!K1404&lt;&gt;0,'Boletins Nuppa Site'!K1404,"NULL")</f>
        <v>21</v>
      </c>
      <c r="J1404" s="1" t="str">
        <f aca="false">"INSERT INTO COTACAO (blt_id, pap_id, cot_prc_comum, cot_prc_min, cot_prc_max, cot_prc_med, cot_prc_mediana) VALUES ("&amp;B1404&amp;", "&amp;C1404&amp;", "&amp;D1404&amp;", "&amp;E1404&amp;", "&amp;F1404&amp;", "&amp;G1404&amp;", "&amp;H1404&amp;");"</f>
        <v>INSERT INTO COTACAO (blt_id, pap_id, cot_prc_comum, cot_prc_min, cot_prc_max, cot_prc_med, cot_prc_mediana) VALUES (37, 11, 18, 18, 24, 21, 21);</v>
      </c>
    </row>
    <row r="1405" customFormat="false" ht="14.25" hidden="false" customHeight="false" outlineLevel="0" collapsed="false">
      <c r="A1405" s="1" t="n">
        <v>1404</v>
      </c>
      <c r="B1405" s="1" t="n">
        <v>37</v>
      </c>
      <c r="C1405" s="1" t="n">
        <v>12</v>
      </c>
      <c r="D1405" s="16" t="n">
        <f aca="false">IF('Boletins Nuppa Site'!G1405&lt;&gt;0,'Boletins Nuppa Site'!G1405,"NULL")</f>
        <v>60</v>
      </c>
      <c r="E1405" s="16" t="n">
        <f aca="false">IF('Boletins Nuppa Site'!H1405&lt;&gt;0,'Boletins Nuppa Site'!H1405,"NULL")</f>
        <v>48</v>
      </c>
      <c r="F1405" s="16" t="n">
        <f aca="false">IF('Boletins Nuppa Site'!I1405&lt;&gt;0,'Boletins Nuppa Site'!I1405,"NULL")</f>
        <v>60</v>
      </c>
      <c r="G1405" s="16" t="n">
        <f aca="false">IF('Boletins Nuppa Site'!J1405&lt;&gt;0,'Boletins Nuppa Site'!J1405,"NULL")</f>
        <v>56</v>
      </c>
      <c r="H1405" s="16" t="n">
        <f aca="false">IF('Boletins Nuppa Site'!K1405&lt;&gt;0,'Boletins Nuppa Site'!K1405,"NULL")</f>
        <v>60</v>
      </c>
      <c r="J1405" s="1" t="str">
        <f aca="false">"INSERT INTO COTACAO (blt_id, pap_id, cot_prc_comum, cot_prc_min, cot_prc_max, cot_prc_med, cot_prc_mediana) VALUES ("&amp;B1405&amp;", "&amp;C1405&amp;", "&amp;D1405&amp;", "&amp;E1405&amp;", "&amp;F1405&amp;", "&amp;G1405&amp;", "&amp;H1405&amp;");"</f>
        <v>INSERT INTO COTACAO (blt_id, pap_id, cot_prc_comum, cot_prc_min, cot_prc_max, cot_prc_med, cot_prc_mediana) VALUES (37, 12, 60, 48, 60, 56, 60);</v>
      </c>
    </row>
    <row r="1406" customFormat="false" ht="14.25" hidden="false" customHeight="false" outlineLevel="0" collapsed="false">
      <c r="A1406" s="1" t="n">
        <v>1405</v>
      </c>
      <c r="B1406" s="1" t="n">
        <v>37</v>
      </c>
      <c r="C1406" s="1" t="n">
        <v>13</v>
      </c>
      <c r="D1406" s="16" t="n">
        <f aca="false">IF('Boletins Nuppa Site'!G1406&lt;&gt;0,'Boletins Nuppa Site'!G1406,"NULL")</f>
        <v>60</v>
      </c>
      <c r="E1406" s="16" t="n">
        <f aca="false">IF('Boletins Nuppa Site'!H1406&lt;&gt;0,'Boletins Nuppa Site'!H1406,"NULL")</f>
        <v>36</v>
      </c>
      <c r="F1406" s="16" t="n">
        <f aca="false">IF('Boletins Nuppa Site'!I1406&lt;&gt;0,'Boletins Nuppa Site'!I1406,"NULL")</f>
        <v>60</v>
      </c>
      <c r="G1406" s="16" t="n">
        <f aca="false">IF('Boletins Nuppa Site'!J1406&lt;&gt;0,'Boletins Nuppa Site'!J1406,"NULL")</f>
        <v>51</v>
      </c>
      <c r="H1406" s="16" t="n">
        <f aca="false">IF('Boletins Nuppa Site'!K1406&lt;&gt;0,'Boletins Nuppa Site'!K1406,"NULL")</f>
        <v>54</v>
      </c>
      <c r="J1406" s="1" t="str">
        <f aca="false">"INSERT INTO COTACAO (blt_id, pap_id, cot_prc_comum, cot_prc_min, cot_prc_max, cot_prc_med, cot_prc_mediana) VALUES ("&amp;B1406&amp;", "&amp;C1406&amp;", "&amp;D1406&amp;", "&amp;E1406&amp;", "&amp;F1406&amp;", "&amp;G1406&amp;", "&amp;H1406&amp;");"</f>
        <v>INSERT INTO COTACAO (blt_id, pap_id, cot_prc_comum, cot_prc_min, cot_prc_max, cot_prc_med, cot_prc_mediana) VALUES (37, 13, 60, 36, 60, 51, 54);</v>
      </c>
    </row>
    <row r="1407" customFormat="false" ht="14.25" hidden="false" customHeight="false" outlineLevel="0" collapsed="false">
      <c r="A1407" s="1" t="n">
        <v>1406</v>
      </c>
      <c r="B1407" s="1" t="n">
        <v>37</v>
      </c>
      <c r="C1407" s="1" t="n">
        <v>14</v>
      </c>
      <c r="D1407" s="1" t="str">
        <f aca="false">IF('Boletins Nuppa Site'!G1407&lt;&gt;0,'Boletins Nuppa Site'!G1407,"NULL")</f>
        <v>NULL</v>
      </c>
      <c r="E1407" s="16" t="n">
        <f aca="false">IF('Boletins Nuppa Site'!H1407&lt;&gt;0,'Boletins Nuppa Site'!H1407,"NULL")</f>
        <v>48</v>
      </c>
      <c r="F1407" s="16" t="n">
        <f aca="false">IF('Boletins Nuppa Site'!I1407&lt;&gt;0,'Boletins Nuppa Site'!I1407,"NULL")</f>
        <v>72</v>
      </c>
      <c r="G1407" s="16" t="n">
        <f aca="false">IF('Boletins Nuppa Site'!J1407&lt;&gt;0,'Boletins Nuppa Site'!J1407,"NULL")</f>
        <v>60</v>
      </c>
      <c r="H1407" s="16" t="n">
        <f aca="false">IF('Boletins Nuppa Site'!K1407&lt;&gt;0,'Boletins Nuppa Site'!K1407,"NULL")</f>
        <v>60</v>
      </c>
      <c r="J1407" s="1" t="str">
        <f aca="false">"INSERT INTO COTACAO (blt_id, pap_id, cot_prc_comum, cot_prc_min, cot_prc_max, cot_prc_med, cot_prc_mediana) VALUES ("&amp;B1407&amp;", "&amp;C1407&amp;", "&amp;D1407&amp;", "&amp;E1407&amp;", "&amp;F1407&amp;", "&amp;G1407&amp;", "&amp;H1407&amp;");"</f>
        <v>INSERT INTO COTACAO (blt_id, pap_id, cot_prc_comum, cot_prc_min, cot_prc_max, cot_prc_med, cot_prc_mediana) VALUES (37, 14, NULL, 48, 72, 60, 60);</v>
      </c>
    </row>
    <row r="1408" customFormat="false" ht="14.25" hidden="false" customHeight="false" outlineLevel="0" collapsed="false">
      <c r="A1408" s="1" t="n">
        <v>1407</v>
      </c>
      <c r="B1408" s="1" t="n">
        <v>37</v>
      </c>
      <c r="C1408" s="1" t="n">
        <v>15</v>
      </c>
      <c r="D1408" s="16" t="n">
        <f aca="false">IF('Boletins Nuppa Site'!G1408&lt;&gt;0,'Boletins Nuppa Site'!G1408,"NULL")</f>
        <v>24</v>
      </c>
      <c r="E1408" s="16" t="n">
        <f aca="false">IF('Boletins Nuppa Site'!H1408&lt;&gt;0,'Boletins Nuppa Site'!H1408,"NULL")</f>
        <v>24</v>
      </c>
      <c r="F1408" s="16" t="n">
        <f aca="false">IF('Boletins Nuppa Site'!I1408&lt;&gt;0,'Boletins Nuppa Site'!I1408,"NULL")</f>
        <v>36</v>
      </c>
      <c r="G1408" s="1" t="str">
        <f aca="false">IF('Boletins Nuppa Site'!J1408&lt;&gt;0,'Boletins Nuppa Site'!J1408,"NULL")</f>
        <v>28.5</v>
      </c>
      <c r="H1408" s="16" t="n">
        <f aca="false">IF('Boletins Nuppa Site'!K1408&lt;&gt;0,'Boletins Nuppa Site'!K1408,"NULL")</f>
        <v>27</v>
      </c>
      <c r="J1408" s="1" t="str">
        <f aca="false">"INSERT INTO COTACAO (blt_id, pap_id, cot_prc_comum, cot_prc_min, cot_prc_max, cot_prc_med, cot_prc_mediana) VALUES ("&amp;B1408&amp;", "&amp;C1408&amp;", "&amp;D1408&amp;", "&amp;E1408&amp;", "&amp;F1408&amp;", "&amp;G1408&amp;", "&amp;H1408&amp;");"</f>
        <v>INSERT INTO COTACAO (blt_id, pap_id, cot_prc_comum, cot_prc_min, cot_prc_max, cot_prc_med, cot_prc_mediana) VALUES (37, 15, 24, 24, 36, 28.5, 27);</v>
      </c>
    </row>
    <row r="1409" customFormat="false" ht="14.25" hidden="false" customHeight="false" outlineLevel="0" collapsed="false">
      <c r="A1409" s="1" t="n">
        <v>1408</v>
      </c>
      <c r="B1409" s="1" t="n">
        <v>37</v>
      </c>
      <c r="C1409" s="1" t="n">
        <v>17</v>
      </c>
      <c r="D1409" s="16" t="n">
        <f aca="false">IF('Boletins Nuppa Site'!G1409&lt;&gt;0,'Boletins Nuppa Site'!G1409,"NULL")</f>
        <v>5</v>
      </c>
      <c r="E1409" s="16" t="n">
        <f aca="false">IF('Boletins Nuppa Site'!H1409&lt;&gt;0,'Boletins Nuppa Site'!H1409,"NULL")</f>
        <v>5</v>
      </c>
      <c r="F1409" s="16" t="n">
        <f aca="false">IF('Boletins Nuppa Site'!I1409&lt;&gt;0,'Boletins Nuppa Site'!I1409,"NULL")</f>
        <v>5</v>
      </c>
      <c r="G1409" s="16" t="n">
        <f aca="false">IF('Boletins Nuppa Site'!J1409&lt;&gt;0,'Boletins Nuppa Site'!J1409,"NULL")</f>
        <v>5</v>
      </c>
      <c r="H1409" s="16" t="n">
        <f aca="false">IF('Boletins Nuppa Site'!K1409&lt;&gt;0,'Boletins Nuppa Site'!K1409,"NULL")</f>
        <v>5</v>
      </c>
      <c r="J1409" s="1" t="str">
        <f aca="false">"INSERT INTO COTACAO (blt_id, pap_id, cot_prc_comum, cot_prc_min, cot_prc_max, cot_prc_med, cot_prc_mediana) VALUES ("&amp;B1409&amp;", "&amp;C1409&amp;", "&amp;D1409&amp;", "&amp;E1409&amp;", "&amp;F1409&amp;", "&amp;G1409&amp;", "&amp;H1409&amp;");"</f>
        <v>INSERT INTO COTACAO (blt_id, pap_id, cot_prc_comum, cot_prc_min, cot_prc_max, cot_prc_med, cot_prc_mediana) VALUES (37, 17, 5, 5, 5, 5, 5);</v>
      </c>
    </row>
    <row r="1410" customFormat="false" ht="14.25" hidden="false" customHeight="false" outlineLevel="0" collapsed="false">
      <c r="A1410" s="1" t="n">
        <v>1409</v>
      </c>
      <c r="B1410" s="1" t="n">
        <v>37</v>
      </c>
      <c r="C1410" s="1" t="n">
        <v>18</v>
      </c>
      <c r="D1410" s="16" t="n">
        <f aca="false">IF('Boletins Nuppa Site'!G1410&lt;&gt;0,'Boletins Nuppa Site'!G1410,"NULL")</f>
        <v>12</v>
      </c>
      <c r="E1410" s="16" t="n">
        <f aca="false">IF('Boletins Nuppa Site'!H1410&lt;&gt;0,'Boletins Nuppa Site'!H1410,"NULL")</f>
        <v>12</v>
      </c>
      <c r="F1410" s="16" t="n">
        <f aca="false">IF('Boletins Nuppa Site'!I1410&lt;&gt;0,'Boletins Nuppa Site'!I1410,"NULL")</f>
        <v>15</v>
      </c>
      <c r="G1410" s="1" t="str">
        <f aca="false">IF('Boletins Nuppa Site'!J1410&lt;&gt;0,'Boletins Nuppa Site'!J1410,"NULL")</f>
        <v>13.5</v>
      </c>
      <c r="H1410" s="1" t="str">
        <f aca="false">IF('Boletins Nuppa Site'!K1410&lt;&gt;0,'Boletins Nuppa Site'!K1410,"NULL")</f>
        <v>13.5</v>
      </c>
      <c r="J1410" s="1" t="str">
        <f aca="false">"INSERT INTO COTACAO (blt_id, pap_id, cot_prc_comum, cot_prc_min, cot_prc_max, cot_prc_med, cot_prc_mediana) VALUES ("&amp;B1410&amp;", "&amp;C1410&amp;", "&amp;D1410&amp;", "&amp;E1410&amp;", "&amp;F1410&amp;", "&amp;G1410&amp;", "&amp;H1410&amp;");"</f>
        <v>INSERT INTO COTACAO (blt_id, pap_id, cot_prc_comum, cot_prc_min, cot_prc_max, cot_prc_med, cot_prc_mediana) VALUES (37, 18, 12, 12, 15, 13.5, 13.5);</v>
      </c>
    </row>
    <row r="1411" customFormat="false" ht="14.25" hidden="false" customHeight="false" outlineLevel="0" collapsed="false">
      <c r="A1411" s="1" t="n">
        <v>1410</v>
      </c>
      <c r="B1411" s="1" t="n">
        <v>37</v>
      </c>
      <c r="C1411" s="1" t="n">
        <v>19</v>
      </c>
      <c r="D1411" s="1" t="str">
        <f aca="false">IF('Boletins Nuppa Site'!G1411&lt;&gt;0,'Boletins Nuppa Site'!G1411,"NULL")</f>
        <v>NULL</v>
      </c>
      <c r="E1411" s="16" t="n">
        <f aca="false">IF('Boletins Nuppa Site'!H1411&lt;&gt;0,'Boletins Nuppa Site'!H1411,"NULL")</f>
        <v>35</v>
      </c>
      <c r="F1411" s="16" t="n">
        <f aca="false">IF('Boletins Nuppa Site'!I1411&lt;&gt;0,'Boletins Nuppa Site'!I1411,"NULL")</f>
        <v>20</v>
      </c>
      <c r="G1411" s="16" t="n">
        <f aca="false">IF('Boletins Nuppa Site'!J1411&lt;&gt;0,'Boletins Nuppa Site'!J1411,"NULL")</f>
        <v>35</v>
      </c>
      <c r="H1411" s="1" t="str">
        <f aca="false">IF('Boletins Nuppa Site'!K1411&lt;&gt;0,'Boletins Nuppa Site'!K1411,"NULL")</f>
        <v>28.75</v>
      </c>
      <c r="J1411" s="1" t="str">
        <f aca="false">"INSERT INTO COTACAO (blt_id, pap_id, cot_prc_comum, cot_prc_min, cot_prc_max, cot_prc_med, cot_prc_mediana) VALUES ("&amp;B1411&amp;", "&amp;C1411&amp;", "&amp;D1411&amp;", "&amp;E1411&amp;", "&amp;F1411&amp;", "&amp;G1411&amp;", "&amp;H1411&amp;");"</f>
        <v>INSERT INTO COTACAO (blt_id, pap_id, cot_prc_comum, cot_prc_min, cot_prc_max, cot_prc_med, cot_prc_mediana) VALUES (37, 19, NULL, 35, 20, 35, 28.75);</v>
      </c>
    </row>
    <row r="1412" customFormat="false" ht="14.25" hidden="false" customHeight="false" outlineLevel="0" collapsed="false">
      <c r="A1412" s="1" t="n">
        <v>1411</v>
      </c>
      <c r="B1412" s="1" t="n">
        <v>37</v>
      </c>
      <c r="C1412" s="1" t="n">
        <v>20</v>
      </c>
      <c r="D1412" s="1" t="str">
        <f aca="false">IF('Boletins Nuppa Site'!G1412&lt;&gt;0,'Boletins Nuppa Site'!G1412,"NULL")</f>
        <v>NULL</v>
      </c>
      <c r="E1412" s="16" t="n">
        <f aca="false">IF('Boletins Nuppa Site'!H1412&lt;&gt;0,'Boletins Nuppa Site'!H1412,"NULL")</f>
        <v>80</v>
      </c>
      <c r="F1412" s="16" t="n">
        <f aca="false">IF('Boletins Nuppa Site'!I1412&lt;&gt;0,'Boletins Nuppa Site'!I1412,"NULL")</f>
        <v>80</v>
      </c>
      <c r="G1412" s="16" t="n">
        <f aca="false">IF('Boletins Nuppa Site'!J1412&lt;&gt;0,'Boletins Nuppa Site'!J1412,"NULL")</f>
        <v>80</v>
      </c>
      <c r="H1412" s="16" t="n">
        <f aca="false">IF('Boletins Nuppa Site'!K1412&lt;&gt;0,'Boletins Nuppa Site'!K1412,"NULL")</f>
        <v>80</v>
      </c>
      <c r="J1412" s="1" t="str">
        <f aca="false">"INSERT INTO COTACAO (blt_id, pap_id, cot_prc_comum, cot_prc_min, cot_prc_max, cot_prc_med, cot_prc_mediana) VALUES ("&amp;B1412&amp;", "&amp;C1412&amp;", "&amp;D1412&amp;", "&amp;E1412&amp;", "&amp;F1412&amp;", "&amp;G1412&amp;", "&amp;H1412&amp;");"</f>
        <v>INSERT INTO COTACAO (blt_id, pap_id, cot_prc_comum, cot_prc_min, cot_prc_max, cot_prc_med, cot_prc_mediana) VALUES (37, 20, NULL, 80, 80, 80, 80);</v>
      </c>
    </row>
    <row r="1413" customFormat="false" ht="14.25" hidden="false" customHeight="false" outlineLevel="0" collapsed="false">
      <c r="A1413" s="1" t="n">
        <v>1412</v>
      </c>
      <c r="B1413" s="1" t="n">
        <v>37</v>
      </c>
      <c r="C1413" s="1" t="n">
        <v>21</v>
      </c>
      <c r="D1413" s="16" t="n">
        <f aca="false">IF('Boletins Nuppa Site'!G1413&lt;&gt;0,'Boletins Nuppa Site'!G1413,"NULL")</f>
        <v>40</v>
      </c>
      <c r="E1413" s="16" t="n">
        <f aca="false">IF('Boletins Nuppa Site'!H1413&lt;&gt;0,'Boletins Nuppa Site'!H1413,"NULL")</f>
        <v>30</v>
      </c>
      <c r="F1413" s="16" t="n">
        <f aca="false">IF('Boletins Nuppa Site'!I1413&lt;&gt;0,'Boletins Nuppa Site'!I1413,"NULL")</f>
        <v>40</v>
      </c>
      <c r="G1413" s="16" t="n">
        <f aca="false">IF('Boletins Nuppa Site'!J1413&lt;&gt;0,'Boletins Nuppa Site'!J1413,"NULL")</f>
        <v>35</v>
      </c>
      <c r="H1413" s="16" t="n">
        <f aca="false">IF('Boletins Nuppa Site'!K1413&lt;&gt;0,'Boletins Nuppa Site'!K1413,"NULL")</f>
        <v>35</v>
      </c>
      <c r="J1413" s="1" t="str">
        <f aca="false">"INSERT INTO COTACAO (blt_id, pap_id, cot_prc_comum, cot_prc_min, cot_prc_max, cot_prc_med, cot_prc_mediana) VALUES ("&amp;B1413&amp;", "&amp;C1413&amp;", "&amp;D1413&amp;", "&amp;E1413&amp;", "&amp;F1413&amp;", "&amp;G1413&amp;", "&amp;H1413&amp;");"</f>
        <v>INSERT INTO COTACAO (blt_id, pap_id, cot_prc_comum, cot_prc_min, cot_prc_max, cot_prc_med, cot_prc_mediana) VALUES (37, 21, 40, 30, 40, 35, 35);</v>
      </c>
    </row>
    <row r="1414" customFormat="false" ht="14.25" hidden="false" customHeight="false" outlineLevel="0" collapsed="false">
      <c r="A1414" s="1" t="n">
        <v>1413</v>
      </c>
      <c r="B1414" s="1" t="n">
        <v>37</v>
      </c>
      <c r="C1414" s="1" t="n">
        <v>22</v>
      </c>
      <c r="D1414" s="16" t="n">
        <f aca="false">IF('Boletins Nuppa Site'!G1414&lt;&gt;0,'Boletins Nuppa Site'!G1414,"NULL")</f>
        <v>45</v>
      </c>
      <c r="E1414" s="16" t="n">
        <f aca="false">IF('Boletins Nuppa Site'!H1414&lt;&gt;0,'Boletins Nuppa Site'!H1414,"NULL")</f>
        <v>45</v>
      </c>
      <c r="F1414" s="16" t="n">
        <f aca="false">IF('Boletins Nuppa Site'!I1414&lt;&gt;0,'Boletins Nuppa Site'!I1414,"NULL")</f>
        <v>70</v>
      </c>
      <c r="G1414" s="1" t="str">
        <f aca="false">IF('Boletins Nuppa Site'!J1414&lt;&gt;0,'Boletins Nuppa Site'!J1414,"NULL")</f>
        <v>56.25</v>
      </c>
      <c r="H1414" s="16" t="n">
        <f aca="false">IF('Boletins Nuppa Site'!K1414&lt;&gt;0,'Boletins Nuppa Site'!K1414,"NULL")</f>
        <v>55</v>
      </c>
      <c r="J1414" s="1" t="str">
        <f aca="false">"INSERT INTO COTACAO (blt_id, pap_id, cot_prc_comum, cot_prc_min, cot_prc_max, cot_prc_med, cot_prc_mediana) VALUES ("&amp;B1414&amp;", "&amp;C1414&amp;", "&amp;D1414&amp;", "&amp;E1414&amp;", "&amp;F1414&amp;", "&amp;G1414&amp;", "&amp;H1414&amp;");"</f>
        <v>INSERT INTO COTACAO (blt_id, pap_id, cot_prc_comum, cot_prc_min, cot_prc_max, cot_prc_med, cot_prc_mediana) VALUES (37, 22, 45, 45, 70, 56.25, 55);</v>
      </c>
    </row>
    <row r="1415" customFormat="false" ht="14.25" hidden="false" customHeight="false" outlineLevel="0" collapsed="false">
      <c r="A1415" s="1" t="n">
        <v>1414</v>
      </c>
      <c r="B1415" s="1" t="n">
        <v>37</v>
      </c>
      <c r="C1415" s="1" t="n">
        <v>23</v>
      </c>
      <c r="D1415" s="1" t="str">
        <f aca="false">IF('Boletins Nuppa Site'!G1415&lt;&gt;0,'Boletins Nuppa Site'!G1415,"NULL")</f>
        <v>NULL</v>
      </c>
      <c r="E1415" s="16" t="n">
        <f aca="false">IF('Boletins Nuppa Site'!H1415&lt;&gt;0,'Boletins Nuppa Site'!H1415,"NULL")</f>
        <v>50</v>
      </c>
      <c r="F1415" s="16" t="n">
        <f aca="false">IF('Boletins Nuppa Site'!I1415&lt;&gt;0,'Boletins Nuppa Site'!I1415,"NULL")</f>
        <v>70</v>
      </c>
      <c r="G1415" s="16" t="n">
        <f aca="false">IF('Boletins Nuppa Site'!J1415&lt;&gt;0,'Boletins Nuppa Site'!J1415,"NULL")</f>
        <v>60</v>
      </c>
      <c r="H1415" s="16" t="n">
        <f aca="false">IF('Boletins Nuppa Site'!K1415&lt;&gt;0,'Boletins Nuppa Site'!K1415,"NULL")</f>
        <v>60</v>
      </c>
      <c r="J1415" s="1" t="str">
        <f aca="false">"INSERT INTO COTACAO (blt_id, pap_id, cot_prc_comum, cot_prc_min, cot_prc_max, cot_prc_med, cot_prc_mediana) VALUES ("&amp;B1415&amp;", "&amp;C1415&amp;", "&amp;D1415&amp;", "&amp;E1415&amp;", "&amp;F1415&amp;", "&amp;G1415&amp;", "&amp;H1415&amp;");"</f>
        <v>INSERT INTO COTACAO (blt_id, pap_id, cot_prc_comum, cot_prc_min, cot_prc_max, cot_prc_med, cot_prc_mediana) VALUES (37, 23, NULL, 50, 70, 60, 60);</v>
      </c>
    </row>
    <row r="1416" customFormat="false" ht="14.25" hidden="false" customHeight="false" outlineLevel="0" collapsed="false">
      <c r="A1416" s="1" t="n">
        <v>1415</v>
      </c>
      <c r="B1416" s="1" t="n">
        <v>37</v>
      </c>
      <c r="C1416" s="1" t="n">
        <v>24</v>
      </c>
      <c r="D1416" s="1" t="str">
        <f aca="false">IF('Boletins Nuppa Site'!G1416&lt;&gt;0,'Boletins Nuppa Site'!G1416,"NULL")</f>
        <v>NULL</v>
      </c>
      <c r="E1416" s="16" t="n">
        <f aca="false">IF('Boletins Nuppa Site'!H1416&lt;&gt;0,'Boletins Nuppa Site'!H1416,"NULL")</f>
        <v>45</v>
      </c>
      <c r="F1416" s="16" t="n">
        <f aca="false">IF('Boletins Nuppa Site'!I1416&lt;&gt;0,'Boletins Nuppa Site'!I1416,"NULL")</f>
        <v>110</v>
      </c>
      <c r="G1416" s="1" t="str">
        <f aca="false">IF('Boletins Nuppa Site'!J1416&lt;&gt;0,'Boletins Nuppa Site'!J1416,"NULL")</f>
        <v>81.67</v>
      </c>
      <c r="H1416" s="16" t="n">
        <f aca="false">IF('Boletins Nuppa Site'!K1416&lt;&gt;0,'Boletins Nuppa Site'!K1416,"NULL")</f>
        <v>90</v>
      </c>
      <c r="J1416" s="1" t="str">
        <f aca="false">"INSERT INTO COTACAO (blt_id, pap_id, cot_prc_comum, cot_prc_min, cot_prc_max, cot_prc_med, cot_prc_mediana) VALUES ("&amp;B1416&amp;", "&amp;C1416&amp;", "&amp;D1416&amp;", "&amp;E1416&amp;", "&amp;F1416&amp;", "&amp;G1416&amp;", "&amp;H1416&amp;");"</f>
        <v>INSERT INTO COTACAO (blt_id, pap_id, cot_prc_comum, cot_prc_min, cot_prc_max, cot_prc_med, cot_prc_mediana) VALUES (37, 24, NULL, 45, 110, 81.67, 90);</v>
      </c>
    </row>
    <row r="1417" customFormat="false" ht="14.25" hidden="false" customHeight="false" outlineLevel="0" collapsed="false">
      <c r="A1417" s="1" t="n">
        <v>1416</v>
      </c>
      <c r="B1417" s="1" t="n">
        <v>37</v>
      </c>
      <c r="C1417" s="1" t="n">
        <v>26</v>
      </c>
      <c r="D1417" s="16" t="n">
        <f aca="false">IF('Boletins Nuppa Site'!G1417&lt;&gt;0,'Boletins Nuppa Site'!G1417,"NULL")</f>
        <v>55</v>
      </c>
      <c r="E1417" s="16" t="n">
        <f aca="false">IF('Boletins Nuppa Site'!H1417&lt;&gt;0,'Boletins Nuppa Site'!H1417,"NULL")</f>
        <v>40</v>
      </c>
      <c r="F1417" s="16" t="n">
        <f aca="false">IF('Boletins Nuppa Site'!I1417&lt;&gt;0,'Boletins Nuppa Site'!I1417,"NULL")</f>
        <v>55</v>
      </c>
      <c r="G1417" s="1" t="str">
        <f aca="false">IF('Boletins Nuppa Site'!J1417&lt;&gt;0,'Boletins Nuppa Site'!J1417,"NULL")</f>
        <v>48.75</v>
      </c>
      <c r="H1417" s="16" t="n">
        <f aca="false">IF('Boletins Nuppa Site'!K1417&lt;&gt;0,'Boletins Nuppa Site'!K1417,"NULL")</f>
        <v>50</v>
      </c>
      <c r="J1417" s="1" t="str">
        <f aca="false">"INSERT INTO COTACAO (blt_id, pap_id, cot_prc_comum, cot_prc_min, cot_prc_max, cot_prc_med, cot_prc_mediana) VALUES ("&amp;B1417&amp;", "&amp;C1417&amp;", "&amp;D1417&amp;", "&amp;E1417&amp;", "&amp;F1417&amp;", "&amp;G1417&amp;", "&amp;H1417&amp;");"</f>
        <v>INSERT INTO COTACAO (blt_id, pap_id, cot_prc_comum, cot_prc_min, cot_prc_max, cot_prc_med, cot_prc_mediana) VALUES (37, 26, 55, 40, 55, 48.75, 50);</v>
      </c>
    </row>
    <row r="1418" customFormat="false" ht="14.25" hidden="false" customHeight="false" outlineLevel="0" collapsed="false">
      <c r="A1418" s="1" t="n">
        <v>1417</v>
      </c>
      <c r="B1418" s="1" t="n">
        <v>37</v>
      </c>
      <c r="C1418" s="1" t="n">
        <v>27</v>
      </c>
      <c r="D1418" s="1" t="str">
        <f aca="false">IF('Boletins Nuppa Site'!G1418&lt;&gt;0,'Boletins Nuppa Site'!G1418,"NULL")</f>
        <v>NULL</v>
      </c>
      <c r="E1418" s="16" t="n">
        <f aca="false">IF('Boletins Nuppa Site'!H1418&lt;&gt;0,'Boletins Nuppa Site'!H1418,"NULL")</f>
        <v>55</v>
      </c>
      <c r="F1418" s="16" t="n">
        <f aca="false">IF('Boletins Nuppa Site'!I1418&lt;&gt;0,'Boletins Nuppa Site'!I1418,"NULL")</f>
        <v>85</v>
      </c>
      <c r="G1418" s="1" t="str">
        <f aca="false">IF('Boletins Nuppa Site'!J1418&lt;&gt;0,'Boletins Nuppa Site'!J1418,"NULL")</f>
        <v>68.75</v>
      </c>
      <c r="H1418" s="1" t="str">
        <f aca="false">IF('Boletins Nuppa Site'!K1418&lt;&gt;0,'Boletins Nuppa Site'!K1418,"NULL")</f>
        <v>67.5</v>
      </c>
      <c r="J1418" s="1" t="str">
        <f aca="false">"INSERT INTO COTACAO (blt_id, pap_id, cot_prc_comum, cot_prc_min, cot_prc_max, cot_prc_med, cot_prc_mediana) VALUES ("&amp;B1418&amp;", "&amp;C1418&amp;", "&amp;D1418&amp;", "&amp;E1418&amp;", "&amp;F1418&amp;", "&amp;G1418&amp;", "&amp;H1418&amp;");"</f>
        <v>INSERT INTO COTACAO (blt_id, pap_id, cot_prc_comum, cot_prc_min, cot_prc_max, cot_prc_med, cot_prc_mediana) VALUES (37, 27, NULL, 55, 85, 68.75, 67.5);</v>
      </c>
    </row>
    <row r="1419" customFormat="false" ht="14.25" hidden="false" customHeight="false" outlineLevel="0" collapsed="false">
      <c r="A1419" s="1" t="n">
        <v>1418</v>
      </c>
      <c r="B1419" s="1" t="n">
        <v>37</v>
      </c>
      <c r="C1419" s="1" t="n">
        <v>28</v>
      </c>
      <c r="D1419" s="1" t="str">
        <f aca="false">IF('Boletins Nuppa Site'!G1419&lt;&gt;0,'Boletins Nuppa Site'!G1419,"NULL")</f>
        <v>NULL</v>
      </c>
      <c r="E1419" s="16" t="n">
        <f aca="false">IF('Boletins Nuppa Site'!H1419&lt;&gt;0,'Boletins Nuppa Site'!H1419,"NULL")</f>
        <v>90</v>
      </c>
      <c r="F1419" s="16" t="n">
        <f aca="false">IF('Boletins Nuppa Site'!I1419&lt;&gt;0,'Boletins Nuppa Site'!I1419,"NULL")</f>
        <v>100</v>
      </c>
      <c r="G1419" s="16" t="n">
        <f aca="false">IF('Boletins Nuppa Site'!J1419&lt;&gt;0,'Boletins Nuppa Site'!J1419,"NULL")</f>
        <v>95</v>
      </c>
      <c r="H1419" s="16" t="n">
        <f aca="false">IF('Boletins Nuppa Site'!K1419&lt;&gt;0,'Boletins Nuppa Site'!K1419,"NULL")</f>
        <v>95</v>
      </c>
      <c r="J1419" s="1" t="str">
        <f aca="false">"INSERT INTO COTACAO (blt_id, pap_id, cot_prc_comum, cot_prc_min, cot_prc_max, cot_prc_med, cot_prc_mediana) VALUES ("&amp;B1419&amp;", "&amp;C1419&amp;", "&amp;D1419&amp;", "&amp;E1419&amp;", "&amp;F1419&amp;", "&amp;G1419&amp;", "&amp;H1419&amp;");"</f>
        <v>INSERT INTO COTACAO (blt_id, pap_id, cot_prc_comum, cot_prc_min, cot_prc_max, cot_prc_med, cot_prc_mediana) VALUES (37, 28, NULL, 90, 100, 95, 95);</v>
      </c>
    </row>
    <row r="1420" customFormat="false" ht="14.25" hidden="false" customHeight="false" outlineLevel="0" collapsed="false">
      <c r="A1420" s="1" t="n">
        <v>1419</v>
      </c>
      <c r="B1420" s="1" t="n">
        <v>37</v>
      </c>
      <c r="C1420" s="1" t="n">
        <v>29</v>
      </c>
      <c r="D1420" s="1" t="str">
        <f aca="false">IF('Boletins Nuppa Site'!G1420&lt;&gt;0,'Boletins Nuppa Site'!G1420,"NULL")</f>
        <v>NULL</v>
      </c>
      <c r="E1420" s="16" t="n">
        <f aca="false">IF('Boletins Nuppa Site'!H1420&lt;&gt;0,'Boletins Nuppa Site'!H1420,"NULL")</f>
        <v>70</v>
      </c>
      <c r="F1420" s="16" t="n">
        <f aca="false">IF('Boletins Nuppa Site'!I1420&lt;&gt;0,'Boletins Nuppa Site'!I1420,"NULL")</f>
        <v>70</v>
      </c>
      <c r="G1420" s="16" t="n">
        <f aca="false">IF('Boletins Nuppa Site'!J1420&lt;&gt;0,'Boletins Nuppa Site'!J1420,"NULL")</f>
        <v>70</v>
      </c>
      <c r="H1420" s="16" t="n">
        <f aca="false">IF('Boletins Nuppa Site'!K1420&lt;&gt;0,'Boletins Nuppa Site'!K1420,"NULL")</f>
        <v>70</v>
      </c>
      <c r="J1420" s="1" t="str">
        <f aca="false">"INSERT INTO COTACAO (blt_id, pap_id, cot_prc_comum, cot_prc_min, cot_prc_max, cot_prc_med, cot_prc_mediana) VALUES ("&amp;B1420&amp;", "&amp;C1420&amp;", "&amp;D1420&amp;", "&amp;E1420&amp;", "&amp;F1420&amp;", "&amp;G1420&amp;", "&amp;H1420&amp;");"</f>
        <v>INSERT INTO COTACAO (blt_id, pap_id, cot_prc_comum, cot_prc_min, cot_prc_max, cot_prc_med, cot_prc_mediana) VALUES (37, 29, NULL, 70, 70, 70, 70);</v>
      </c>
    </row>
    <row r="1421" customFormat="false" ht="14.25" hidden="false" customHeight="false" outlineLevel="0" collapsed="false">
      <c r="A1421" s="1" t="n">
        <v>1420</v>
      </c>
      <c r="B1421" s="1" t="n">
        <v>37</v>
      </c>
      <c r="C1421" s="1" t="n">
        <v>30</v>
      </c>
      <c r="D1421" s="1" t="str">
        <f aca="false">IF('Boletins Nuppa Site'!G1421&lt;&gt;0,'Boletins Nuppa Site'!G1421,"NULL")</f>
        <v>NULL</v>
      </c>
      <c r="E1421" s="16" t="n">
        <f aca="false">IF('Boletins Nuppa Site'!H1421&lt;&gt;0,'Boletins Nuppa Site'!H1421,"NULL")</f>
        <v>70</v>
      </c>
      <c r="F1421" s="16" t="n">
        <f aca="false">IF('Boletins Nuppa Site'!I1421&lt;&gt;0,'Boletins Nuppa Site'!I1421,"NULL")</f>
        <v>80</v>
      </c>
      <c r="G1421" s="16" t="n">
        <f aca="false">IF('Boletins Nuppa Site'!J1421&lt;&gt;0,'Boletins Nuppa Site'!J1421,"NULL")</f>
        <v>75</v>
      </c>
      <c r="H1421" s="16" t="n">
        <f aca="false">IF('Boletins Nuppa Site'!K1421&lt;&gt;0,'Boletins Nuppa Site'!K1421,"NULL")</f>
        <v>75</v>
      </c>
      <c r="J1421" s="1" t="str">
        <f aca="false">"INSERT INTO COTACAO (blt_id, pap_id, cot_prc_comum, cot_prc_min, cot_prc_max, cot_prc_med, cot_prc_mediana) VALUES ("&amp;B1421&amp;", "&amp;C1421&amp;", "&amp;D1421&amp;", "&amp;E1421&amp;", "&amp;F1421&amp;", "&amp;G1421&amp;", "&amp;H1421&amp;");"</f>
        <v>INSERT INTO COTACAO (blt_id, pap_id, cot_prc_comum, cot_prc_min, cot_prc_max, cot_prc_med, cot_prc_mediana) VALUES (37, 30, NULL, 70, 80, 75, 75);</v>
      </c>
    </row>
    <row r="1422" customFormat="false" ht="14.25" hidden="false" customHeight="false" outlineLevel="0" collapsed="false">
      <c r="A1422" s="1" t="n">
        <v>1421</v>
      </c>
      <c r="B1422" s="1" t="n">
        <v>37</v>
      </c>
      <c r="C1422" s="1" t="n">
        <v>31</v>
      </c>
      <c r="D1422" s="16" t="n">
        <f aca="false">IF('Boletins Nuppa Site'!G1422&lt;&gt;0,'Boletins Nuppa Site'!G1422,"NULL")</f>
        <v>100</v>
      </c>
      <c r="E1422" s="16" t="n">
        <f aca="false">IF('Boletins Nuppa Site'!H1422&lt;&gt;0,'Boletins Nuppa Site'!H1422,"NULL")</f>
        <v>75</v>
      </c>
      <c r="F1422" s="16" t="n">
        <f aca="false">IF('Boletins Nuppa Site'!I1422&lt;&gt;0,'Boletins Nuppa Site'!I1422,"NULL")</f>
        <v>100</v>
      </c>
      <c r="G1422" s="1" t="str">
        <f aca="false">IF('Boletins Nuppa Site'!J1422&lt;&gt;0,'Boletins Nuppa Site'!J1422,"NULL")</f>
        <v>88.75</v>
      </c>
      <c r="H1422" s="16" t="n">
        <f aca="false">IF('Boletins Nuppa Site'!K1422&lt;&gt;0,'Boletins Nuppa Site'!K1422,"NULL")</f>
        <v>90</v>
      </c>
      <c r="J1422" s="1" t="str">
        <f aca="false">"INSERT INTO COTACAO (blt_id, pap_id, cot_prc_comum, cot_prc_min, cot_prc_max, cot_prc_med, cot_prc_mediana) VALUES ("&amp;B1422&amp;", "&amp;C1422&amp;", "&amp;D1422&amp;", "&amp;E1422&amp;", "&amp;F1422&amp;", "&amp;G1422&amp;", "&amp;H1422&amp;");"</f>
        <v>INSERT INTO COTACAO (blt_id, pap_id, cot_prc_comum, cot_prc_min, cot_prc_max, cot_prc_med, cot_prc_mediana) VALUES (37, 31, 100, 75, 100, 88.75, 90);</v>
      </c>
    </row>
    <row r="1423" customFormat="false" ht="14.25" hidden="false" customHeight="false" outlineLevel="0" collapsed="false">
      <c r="A1423" s="1" t="n">
        <v>1422</v>
      </c>
      <c r="B1423" s="1" t="n">
        <v>37</v>
      </c>
      <c r="C1423" s="1" t="n">
        <v>32</v>
      </c>
      <c r="D1423" s="16" t="n">
        <f aca="false">IF('Boletins Nuppa Site'!G1423&lt;&gt;0,'Boletins Nuppa Site'!G1423,"NULL")</f>
        <v>45</v>
      </c>
      <c r="E1423" s="16" t="n">
        <f aca="false">IF('Boletins Nuppa Site'!H1423&lt;&gt;0,'Boletins Nuppa Site'!H1423,"NULL")</f>
        <v>45</v>
      </c>
      <c r="F1423" s="16" t="n">
        <f aca="false">IF('Boletins Nuppa Site'!I1423&lt;&gt;0,'Boletins Nuppa Site'!I1423,"NULL")</f>
        <v>85</v>
      </c>
      <c r="G1423" s="1" t="str">
        <f aca="false">IF('Boletins Nuppa Site'!J1423&lt;&gt;0,'Boletins Nuppa Site'!J1423,"NULL")</f>
        <v>57.5</v>
      </c>
      <c r="H1423" s="16" t="n">
        <f aca="false">IF('Boletins Nuppa Site'!K1423&lt;&gt;0,'Boletins Nuppa Site'!K1423,"NULL")</f>
        <v>50</v>
      </c>
      <c r="J1423" s="1" t="str">
        <f aca="false">"INSERT INTO COTACAO (blt_id, pap_id, cot_prc_comum, cot_prc_min, cot_prc_max, cot_prc_med, cot_prc_mediana) VALUES ("&amp;B1423&amp;", "&amp;C1423&amp;", "&amp;D1423&amp;", "&amp;E1423&amp;", "&amp;F1423&amp;", "&amp;G1423&amp;", "&amp;H1423&amp;");"</f>
        <v>INSERT INTO COTACAO (blt_id, pap_id, cot_prc_comum, cot_prc_min, cot_prc_max, cot_prc_med, cot_prc_mediana) VALUES (37, 32, 45, 45, 85, 57.5, 50);</v>
      </c>
    </row>
    <row r="1424" customFormat="false" ht="14.25" hidden="false" customHeight="false" outlineLevel="0" collapsed="false">
      <c r="A1424" s="1" t="n">
        <v>1423</v>
      </c>
      <c r="B1424" s="1" t="n">
        <v>37</v>
      </c>
      <c r="C1424" s="1" t="n">
        <v>33</v>
      </c>
      <c r="D1424" s="16" t="n">
        <f aca="false">IF('Boletins Nuppa Site'!G1424&lt;&gt;0,'Boletins Nuppa Site'!G1424,"NULL")</f>
        <v>160</v>
      </c>
      <c r="E1424" s="16" t="n">
        <f aca="false">IF('Boletins Nuppa Site'!H1424&lt;&gt;0,'Boletins Nuppa Site'!H1424,"NULL")</f>
        <v>150</v>
      </c>
      <c r="F1424" s="16" t="n">
        <f aca="false">IF('Boletins Nuppa Site'!I1424&lt;&gt;0,'Boletins Nuppa Site'!I1424,"NULL")</f>
        <v>180</v>
      </c>
      <c r="G1424" s="1" t="str">
        <f aca="false">IF('Boletins Nuppa Site'!J1424&lt;&gt;0,'Boletins Nuppa Site'!J1424,"NULL")</f>
        <v>162.5</v>
      </c>
      <c r="H1424" s="16" t="n">
        <f aca="false">IF('Boletins Nuppa Site'!K1424&lt;&gt;0,'Boletins Nuppa Site'!K1424,"NULL")</f>
        <v>160</v>
      </c>
      <c r="J1424" s="1" t="str">
        <f aca="false">"INSERT INTO COTACAO (blt_id, pap_id, cot_prc_comum, cot_prc_min, cot_prc_max, cot_prc_med, cot_prc_mediana) VALUES ("&amp;B1424&amp;", "&amp;C1424&amp;", "&amp;D1424&amp;", "&amp;E1424&amp;", "&amp;F1424&amp;", "&amp;G1424&amp;", "&amp;H1424&amp;");"</f>
        <v>INSERT INTO COTACAO (blt_id, pap_id, cot_prc_comum, cot_prc_min, cot_prc_max, cot_prc_med, cot_prc_mediana) VALUES (37, 33, 160, 150, 180, 162.5, 160);</v>
      </c>
    </row>
    <row r="1425" customFormat="false" ht="14.25" hidden="false" customHeight="false" outlineLevel="0" collapsed="false">
      <c r="A1425" s="1" t="n">
        <v>1424</v>
      </c>
      <c r="B1425" s="1" t="n">
        <v>37</v>
      </c>
      <c r="C1425" s="1" t="n">
        <v>34</v>
      </c>
      <c r="D1425" s="1" t="str">
        <f aca="false">IF('Boletins Nuppa Site'!G1425&lt;&gt;0,'Boletins Nuppa Site'!G1425,"NULL")</f>
        <v>NULL</v>
      </c>
      <c r="E1425" s="16" t="n">
        <f aca="false">IF('Boletins Nuppa Site'!H1425&lt;&gt;0,'Boletins Nuppa Site'!H1425,"NULL")</f>
        <v>50</v>
      </c>
      <c r="F1425" s="16" t="n">
        <f aca="false">IF('Boletins Nuppa Site'!I1425&lt;&gt;0,'Boletins Nuppa Site'!I1425,"NULL")</f>
        <v>80</v>
      </c>
      <c r="G1425" s="16" t="n">
        <f aca="false">IF('Boletins Nuppa Site'!J1425&lt;&gt;0,'Boletins Nuppa Site'!J1425,"NULL")</f>
        <v>65</v>
      </c>
      <c r="H1425" s="16" t="n">
        <f aca="false">IF('Boletins Nuppa Site'!K1425&lt;&gt;0,'Boletins Nuppa Site'!K1425,"NULL")</f>
        <v>65</v>
      </c>
      <c r="J1425" s="1" t="str">
        <f aca="false">"INSERT INTO COTACAO (blt_id, pap_id, cot_prc_comum, cot_prc_min, cot_prc_max, cot_prc_med, cot_prc_mediana) VALUES ("&amp;B1425&amp;", "&amp;C1425&amp;", "&amp;D1425&amp;", "&amp;E1425&amp;", "&amp;F1425&amp;", "&amp;G1425&amp;", "&amp;H1425&amp;");"</f>
        <v>INSERT INTO COTACAO (blt_id, pap_id, cot_prc_comum, cot_prc_min, cot_prc_max, cot_prc_med, cot_prc_mediana) VALUES (37, 34, NULL, 50, 80, 65, 65);</v>
      </c>
    </row>
    <row r="1426" customFormat="false" ht="14.25" hidden="false" customHeight="false" outlineLevel="0" collapsed="false">
      <c r="A1426" s="1" t="n">
        <v>1425</v>
      </c>
      <c r="B1426" s="1" t="n">
        <v>37</v>
      </c>
      <c r="C1426" s="1" t="n">
        <v>35</v>
      </c>
      <c r="D1426" s="1" t="str">
        <f aca="false">IF('Boletins Nuppa Site'!G1426&lt;&gt;0,'Boletins Nuppa Site'!G1426,"NULL")</f>
        <v>NULL</v>
      </c>
      <c r="E1426" s="1" t="str">
        <f aca="false">IF('Boletins Nuppa Site'!H1426&lt;&gt;0,'Boletins Nuppa Site'!H1426,"NULL")</f>
        <v>NULL</v>
      </c>
      <c r="F1426" s="16" t="n">
        <f aca="false">IF('Boletins Nuppa Site'!I1426&lt;&gt;0,'Boletins Nuppa Site'!I1426,"NULL")</f>
        <v>90</v>
      </c>
      <c r="G1426" s="16" t="n">
        <f aca="false">IF('Boletins Nuppa Site'!J1426&lt;&gt;0,'Boletins Nuppa Site'!J1426,"NULL")</f>
        <v>120</v>
      </c>
      <c r="H1426" s="1" t="str">
        <f aca="false">IF('Boletins Nuppa Site'!K1426&lt;&gt;0,'Boletins Nuppa Site'!K1426,"NULL")</f>
        <v>103.33</v>
      </c>
      <c r="J1426" s="1" t="str">
        <f aca="false">"INSERT INTO COTACAO (blt_id, pap_id, cot_prc_comum, cot_prc_min, cot_prc_max, cot_prc_med, cot_prc_mediana) VALUES ("&amp;B1426&amp;", "&amp;C1426&amp;", "&amp;D1426&amp;", "&amp;E1426&amp;", "&amp;F1426&amp;", "&amp;G1426&amp;", "&amp;H1426&amp;");"</f>
        <v>INSERT INTO COTACAO (blt_id, pap_id, cot_prc_comum, cot_prc_min, cot_prc_max, cot_prc_med, cot_prc_mediana) VALUES (37, 35, NULL, NULL, 90, 120, 103.33);</v>
      </c>
    </row>
    <row r="1427" customFormat="false" ht="14.25" hidden="false" customHeight="false" outlineLevel="0" collapsed="false">
      <c r="A1427" s="1" t="n">
        <v>1426</v>
      </c>
      <c r="B1427" s="1" t="n">
        <v>37</v>
      </c>
      <c r="C1427" s="1" t="n">
        <v>36</v>
      </c>
      <c r="D1427" s="1" t="str">
        <f aca="false">IF('Boletins Nuppa Site'!G1427&lt;&gt;0,'Boletins Nuppa Site'!G1427,"NULL")</f>
        <v>NULL</v>
      </c>
      <c r="E1427" s="1" t="str">
        <f aca="false">IF('Boletins Nuppa Site'!H1427&lt;&gt;0,'Boletins Nuppa Site'!H1427,"NULL")</f>
        <v>NULL</v>
      </c>
      <c r="F1427" s="1" t="str">
        <f aca="false">IF('Boletins Nuppa Site'!I1427&lt;&gt;0,'Boletins Nuppa Site'!I1427,"NULL")</f>
        <v>NULL</v>
      </c>
      <c r="G1427" s="1" t="str">
        <f aca="false">IF('Boletins Nuppa Site'!J1427&lt;&gt;0,'Boletins Nuppa Site'!J1427,"NULL")</f>
        <v>NULL</v>
      </c>
      <c r="H1427" s="1" t="str">
        <f aca="false">IF('Boletins Nuppa Site'!K1427&lt;&gt;0,'Boletins Nuppa Site'!K1427,"NULL")</f>
        <v>NULL</v>
      </c>
      <c r="J1427" s="1" t="str">
        <f aca="false">"INSERT INTO COTACAO (blt_id, pap_id, cot_prc_comum, cot_prc_min, cot_prc_max, cot_prc_med, cot_prc_mediana) VALUES ("&amp;B1427&amp;", "&amp;C1427&amp;", "&amp;D1427&amp;", "&amp;E1427&amp;", "&amp;F1427&amp;", "&amp;G1427&amp;", "&amp;H1427&amp;");"</f>
        <v>INSERT INTO COTACAO (blt_id, pap_id, cot_prc_comum, cot_prc_min, cot_prc_max, cot_prc_med, cot_prc_mediana) VALUES (37, 36, NULL, NULL, NULL, NULL, NULL);</v>
      </c>
    </row>
    <row r="1428" customFormat="false" ht="14.25" hidden="false" customHeight="false" outlineLevel="0" collapsed="false">
      <c r="A1428" s="1" t="n">
        <v>1427</v>
      </c>
      <c r="B1428" s="1" t="n">
        <v>37</v>
      </c>
      <c r="C1428" s="1" t="n">
        <v>37</v>
      </c>
      <c r="D1428" s="1" t="str">
        <f aca="false">IF('Boletins Nuppa Site'!G1428&lt;&gt;0,'Boletins Nuppa Site'!G1428,"NULL")</f>
        <v>NULL</v>
      </c>
      <c r="E1428" s="1" t="str">
        <f aca="false">IF('Boletins Nuppa Site'!H1428&lt;&gt;0,'Boletins Nuppa Site'!H1428,"NULL")</f>
        <v>NULL</v>
      </c>
      <c r="F1428" s="1" t="str">
        <f aca="false">IF('Boletins Nuppa Site'!I1428&lt;&gt;0,'Boletins Nuppa Site'!I1428,"NULL")</f>
        <v>NULL</v>
      </c>
      <c r="G1428" s="1" t="str">
        <f aca="false">IF('Boletins Nuppa Site'!J1428&lt;&gt;0,'Boletins Nuppa Site'!J1428,"NULL")</f>
        <v>NULL</v>
      </c>
      <c r="H1428" s="1" t="str">
        <f aca="false">IF('Boletins Nuppa Site'!K1428&lt;&gt;0,'Boletins Nuppa Site'!K1428,"NULL")</f>
        <v>NULL</v>
      </c>
      <c r="J1428" s="1" t="str">
        <f aca="false">"INSERT INTO COTACAO (blt_id, pap_id, cot_prc_comum, cot_prc_min, cot_prc_max, cot_prc_med, cot_prc_mediana) VALUES ("&amp;B1428&amp;", "&amp;C1428&amp;", "&amp;D1428&amp;", "&amp;E1428&amp;", "&amp;F1428&amp;", "&amp;G1428&amp;", "&amp;H1428&amp;");"</f>
        <v>INSERT INTO COTACAO (blt_id, pap_id, cot_prc_comum, cot_prc_min, cot_prc_max, cot_prc_med, cot_prc_mediana) VALUES (37, 37, NULL, NULL, NULL, NULL, NULL);</v>
      </c>
    </row>
    <row r="1429" customFormat="false" ht="14.25" hidden="false" customHeight="false" outlineLevel="0" collapsed="false">
      <c r="A1429" s="1" t="n">
        <v>1428</v>
      </c>
      <c r="B1429" s="1" t="n">
        <v>37</v>
      </c>
      <c r="C1429" s="1" t="n">
        <v>38</v>
      </c>
      <c r="D1429" s="1" t="str">
        <f aca="false">IF('Boletins Nuppa Site'!G1429&lt;&gt;0,'Boletins Nuppa Site'!G1429,"NULL")</f>
        <v>NULL</v>
      </c>
      <c r="E1429" s="1" t="str">
        <f aca="false">IF('Boletins Nuppa Site'!H1429&lt;&gt;0,'Boletins Nuppa Site'!H1429,"NULL")</f>
        <v>NULL</v>
      </c>
      <c r="F1429" s="1" t="str">
        <f aca="false">IF('Boletins Nuppa Site'!I1429&lt;&gt;0,'Boletins Nuppa Site'!I1429,"NULL")</f>
        <v>NULL</v>
      </c>
      <c r="G1429" s="1" t="str">
        <f aca="false">IF('Boletins Nuppa Site'!J1429&lt;&gt;0,'Boletins Nuppa Site'!J1429,"NULL")</f>
        <v>NULL</v>
      </c>
      <c r="H1429" s="1" t="str">
        <f aca="false">IF('Boletins Nuppa Site'!K1429&lt;&gt;0,'Boletins Nuppa Site'!K1429,"NULL")</f>
        <v>NULL</v>
      </c>
      <c r="J1429" s="1" t="str">
        <f aca="false">"INSERT INTO COTACAO (blt_id, pap_id, cot_prc_comum, cot_prc_min, cot_prc_max, cot_prc_med, cot_prc_mediana) VALUES ("&amp;B1429&amp;", "&amp;C1429&amp;", "&amp;D1429&amp;", "&amp;E1429&amp;", "&amp;F1429&amp;", "&amp;G1429&amp;", "&amp;H1429&amp;");"</f>
        <v>INSERT INTO COTACAO (blt_id, pap_id, cot_prc_comum, cot_prc_min, cot_prc_max, cot_prc_med, cot_prc_mediana) VALUES (37, 38, NULL, NULL, NULL, NULL, NULL);</v>
      </c>
    </row>
    <row r="1430" customFormat="false" ht="14.25" hidden="false" customHeight="false" outlineLevel="0" collapsed="false">
      <c r="A1430" s="1" t="n">
        <v>1429</v>
      </c>
      <c r="B1430" s="1" t="n">
        <v>37</v>
      </c>
      <c r="C1430" s="1" t="n">
        <v>39</v>
      </c>
      <c r="D1430" s="1" t="str">
        <f aca="false">IF('Boletins Nuppa Site'!G1430&lt;&gt;0,'Boletins Nuppa Site'!G1430,"NULL")</f>
        <v>NULL</v>
      </c>
      <c r="E1430" s="16" t="n">
        <f aca="false">IF('Boletins Nuppa Site'!H1430&lt;&gt;0,'Boletins Nuppa Site'!H1430,"NULL")</f>
        <v>70</v>
      </c>
      <c r="F1430" s="16" t="n">
        <f aca="false">IF('Boletins Nuppa Site'!I1430&lt;&gt;0,'Boletins Nuppa Site'!I1430,"NULL")</f>
        <v>70</v>
      </c>
      <c r="G1430" s="16" t="n">
        <f aca="false">IF('Boletins Nuppa Site'!J1430&lt;&gt;0,'Boletins Nuppa Site'!J1430,"NULL")</f>
        <v>70</v>
      </c>
      <c r="H1430" s="16" t="n">
        <f aca="false">IF('Boletins Nuppa Site'!K1430&lt;&gt;0,'Boletins Nuppa Site'!K1430,"NULL")</f>
        <v>70</v>
      </c>
      <c r="J1430" s="1" t="str">
        <f aca="false">"INSERT INTO COTACAO (blt_id, pap_id, cot_prc_comum, cot_prc_min, cot_prc_max, cot_prc_med, cot_prc_mediana) VALUES ("&amp;B1430&amp;", "&amp;C1430&amp;", "&amp;D1430&amp;", "&amp;E1430&amp;", "&amp;F1430&amp;", "&amp;G1430&amp;", "&amp;H1430&amp;");"</f>
        <v>INSERT INTO COTACAO (blt_id, pap_id, cot_prc_comum, cot_prc_min, cot_prc_max, cot_prc_med, cot_prc_mediana) VALUES (37, 39, NULL, 70, 70, 70, 70);</v>
      </c>
    </row>
  </sheetData>
  <autoFilter ref="A1:H143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1" width="9.21"/>
    <col collapsed="false" customWidth="true" hidden="false" outlineLevel="0" max="3" min="3" style="1" width="72.11"/>
  </cols>
  <sheetData>
    <row r="1" customFormat="false" ht="14.25" hidden="false" customHeight="false" outlineLevel="0" collapsed="false">
      <c r="A1" s="1" t="s">
        <v>643</v>
      </c>
      <c r="B1" s="1" t="s">
        <v>644</v>
      </c>
      <c r="C1" s="1" t="s">
        <v>645</v>
      </c>
    </row>
    <row r="2" customFormat="false" ht="14.25" hidden="false" customHeight="false" outlineLevel="0" collapsed="false">
      <c r="A2" s="1" t="n">
        <v>1</v>
      </c>
      <c r="B2" s="1" t="s">
        <v>646</v>
      </c>
      <c r="C2" s="1" t="s">
        <v>647</v>
      </c>
      <c r="D2" s="1" t="str">
        <f aca="false"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s="1" t="s">
        <v>648</v>
      </c>
    </row>
    <row r="3" customFormat="false" ht="14.25" hidden="false" customHeight="false" outlineLevel="0" collapsed="false">
      <c r="A3" s="1" t="n">
        <v>2</v>
      </c>
      <c r="B3" s="1" t="s">
        <v>649</v>
      </c>
      <c r="C3" s="1" t="s">
        <v>650</v>
      </c>
      <c r="D3" s="1" t="str">
        <f aca="false"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s="1" t="s">
        <v>651</v>
      </c>
    </row>
    <row r="4" customFormat="false" ht="14.25" hidden="false" customHeight="false" outlineLevel="0" collapsed="false">
      <c r="A4" s="1" t="n">
        <v>3</v>
      </c>
      <c r="B4" s="1" t="s">
        <v>652</v>
      </c>
      <c r="C4" s="1" t="s">
        <v>653</v>
      </c>
      <c r="D4" s="1" t="str">
        <f aca="false">"INSERT INTO GRUPO_ALIMENTAR (grp_id, grp_nome, grp_desc) VALUES ("&amp;A4&amp;", '"&amp;B4&amp;"', '"&amp;C4&amp;"');"</f>
        <v>INSERT INTO GRUPO_ALIMENTAR (grp_id, grp_nome, grp_desc) VALUES (3, 'C', 'Hortaliças legumes (leguminosas (vagens), frutos, raízes tuberosas, tuberculos, bulbos)');</v>
      </c>
      <c r="E4" s="1" t="s">
        <v>654</v>
      </c>
    </row>
    <row r="5" customFormat="false" ht="14.25" hidden="false" customHeight="false" outlineLevel="0" collapsed="false">
      <c r="A5" s="1" t="n">
        <v>4</v>
      </c>
      <c r="B5" s="1" t="s">
        <v>655</v>
      </c>
      <c r="C5" s="1" t="s">
        <v>656</v>
      </c>
      <c r="D5" s="1" t="str">
        <f aca="false">"INSERT INTO GRUPO_ALIMENTAR (grp_id, grp_nome, grp_desc) VALUES ("&amp;A5&amp;", '"&amp;B5&amp;"', '"&amp;C5&amp;"');"</f>
        <v>INSERT INTO GRUPO_ALIMENTAR (grp_id, grp_nome, grp_desc) VALUES (4, 'D', 'Frutas');</v>
      </c>
      <c r="E5" s="1" t="s">
        <v>657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658</v>
      </c>
      <c r="B1" s="1" t="s">
        <v>643</v>
      </c>
      <c r="C1" s="1" t="s">
        <v>659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s">
        <v>660</v>
      </c>
      <c r="E2" s="1" t="str">
        <f aca="false">"INSERT INTO CATEGORIA (grp_id, cat_nome) VALUES ("&amp;B2&amp;", '"&amp;C2&amp;"');"</f>
        <v>INSERT INTO CATEGORIA (grp_id, cat_nome) VALUES (1, 'Folhosas');</v>
      </c>
      <c r="F2" s="1" t="s">
        <v>661</v>
      </c>
    </row>
    <row r="3" customFormat="false" ht="14.25" hidden="false" customHeight="false" outlineLevel="0" collapsed="false">
      <c r="A3" s="1" t="n">
        <v>2</v>
      </c>
      <c r="B3" s="1" t="n">
        <v>1</v>
      </c>
      <c r="C3" s="1" t="s">
        <v>662</v>
      </c>
      <c r="E3" s="1" t="str">
        <f aca="false">"INSERT INTO CATEGORIA (grp_id, cat_nome) VALUES ("&amp;B3&amp;", '"&amp;C3&amp;"');"</f>
        <v>INSERT INTO CATEGORIA (grp_id, cat_nome) VALUES (1, 'Flores');</v>
      </c>
      <c r="F3" s="1" t="s">
        <v>663</v>
      </c>
    </row>
    <row r="4" customFormat="false" ht="14.25" hidden="false" customHeight="false" outlineLevel="0" collapsed="false">
      <c r="A4" s="1" t="n">
        <v>3</v>
      </c>
      <c r="B4" s="1" t="n">
        <v>1</v>
      </c>
      <c r="C4" s="1" t="s">
        <v>664</v>
      </c>
      <c r="E4" s="1" t="str">
        <f aca="false">"INSERT INTO CATEGORIA (grp_id, cat_nome) VALUES ("&amp;B4&amp;", '"&amp;C4&amp;"');"</f>
        <v>INSERT INTO CATEGORIA (grp_id, cat_nome) VALUES (1, 'Hastes');</v>
      </c>
      <c r="F4" s="1" t="s">
        <v>665</v>
      </c>
    </row>
    <row r="5" customFormat="false" ht="14.25" hidden="false" customHeight="false" outlineLevel="0" collapsed="false">
      <c r="A5" s="1" t="n">
        <v>4</v>
      </c>
      <c r="B5" s="1" t="n">
        <v>2</v>
      </c>
      <c r="C5" s="1" t="s">
        <v>666</v>
      </c>
      <c r="E5" s="1" t="str">
        <f aca="false">"INSERT INTO CATEGORIA (grp_id, cat_nome) VALUES ("&amp;B5&amp;", '"&amp;C5&amp;"');"</f>
        <v>INSERT INTO CATEGORIA (grp_id, cat_nome) VALUES (2, 'Temperos');</v>
      </c>
      <c r="F5" s="1" t="s">
        <v>667</v>
      </c>
    </row>
    <row r="6" customFormat="false" ht="14.25" hidden="false" customHeight="false" outlineLevel="0" collapsed="false">
      <c r="A6" s="1" t="n">
        <v>5</v>
      </c>
      <c r="B6" s="1" t="n">
        <v>3</v>
      </c>
      <c r="C6" s="1" t="s">
        <v>668</v>
      </c>
      <c r="E6" s="1" t="str">
        <f aca="false">"INSERT INTO CATEGORIA (grp_id, cat_nome) VALUES ("&amp;B6&amp;", '"&amp;C6&amp;"');"</f>
        <v>INSERT INTO CATEGORIA (grp_id, cat_nome) VALUES (3, 'Leguminosas (vagens)');</v>
      </c>
      <c r="F6" s="1" t="s">
        <v>669</v>
      </c>
    </row>
    <row r="7" customFormat="false" ht="14.25" hidden="false" customHeight="false" outlineLevel="0" collapsed="false">
      <c r="A7" s="1" t="n">
        <v>6</v>
      </c>
      <c r="B7" s="1" t="n">
        <v>3</v>
      </c>
      <c r="C7" s="1" t="s">
        <v>670</v>
      </c>
      <c r="E7" s="1" t="str">
        <f aca="false">"INSERT INTO CATEGORIA (grp_id, cat_nome) VALUES ("&amp;B7&amp;", '"&amp;C7&amp;"');"</f>
        <v>INSERT INTO CATEGORIA (grp_id, cat_nome) VALUES (3, 'Frutos');</v>
      </c>
      <c r="F7" s="1" t="s">
        <v>671</v>
      </c>
    </row>
    <row r="8" customFormat="false" ht="14.25" hidden="false" customHeight="false" outlineLevel="0" collapsed="false">
      <c r="A8" s="1" t="n">
        <v>7</v>
      </c>
      <c r="B8" s="1" t="n">
        <v>3</v>
      </c>
      <c r="C8" s="1" t="s">
        <v>672</v>
      </c>
      <c r="E8" s="1" t="str">
        <f aca="false">"INSERT INTO CATEGORIA (grp_id, cat_nome) VALUES ("&amp;B8&amp;", '"&amp;C8&amp;"');"</f>
        <v>INSERT INTO CATEGORIA (grp_id, cat_nome) VALUES (3, 'Raízes Tuberosas');</v>
      </c>
      <c r="F8" s="1" t="s">
        <v>673</v>
      </c>
    </row>
    <row r="9" customFormat="false" ht="14.25" hidden="false" customHeight="false" outlineLevel="0" collapsed="false">
      <c r="A9" s="1" t="n">
        <v>8</v>
      </c>
      <c r="B9" s="1" t="n">
        <v>3</v>
      </c>
      <c r="C9" s="1" t="s">
        <v>674</v>
      </c>
      <c r="E9" s="1" t="str">
        <f aca="false">"INSERT INTO CATEGORIA (grp_id, cat_nome) VALUES ("&amp;B9&amp;", '"&amp;C9&amp;"');"</f>
        <v>INSERT INTO CATEGORIA (grp_id, cat_nome) VALUES (3, 'Tubérculos');</v>
      </c>
      <c r="F9" s="1" t="s">
        <v>675</v>
      </c>
    </row>
    <row r="10" customFormat="false" ht="14.25" hidden="false" customHeight="false" outlineLevel="0" collapsed="false">
      <c r="A10" s="1" t="n">
        <v>9</v>
      </c>
      <c r="B10" s="1" t="n">
        <v>3</v>
      </c>
      <c r="C10" s="1" t="s">
        <v>676</v>
      </c>
      <c r="E10" s="1" t="str">
        <f aca="false">"INSERT INTO CATEGORIA (grp_id, cat_nome) VALUES ("&amp;B10&amp;", '"&amp;C10&amp;"');"</f>
        <v>INSERT INTO CATEGORIA (grp_id, cat_nome) VALUES (3, 'Bulbos');</v>
      </c>
      <c r="F10" s="1" t="s">
        <v>677</v>
      </c>
    </row>
    <row r="11" customFormat="false" ht="14.25" hidden="false" customHeight="false" outlineLevel="0" collapsed="false">
      <c r="A11" s="1" t="n">
        <v>10</v>
      </c>
      <c r="B11" s="1" t="n">
        <v>4</v>
      </c>
      <c r="C11" s="1" t="s">
        <v>656</v>
      </c>
      <c r="E11" s="1" t="str">
        <f aca="false">"INSERT INTO CATEGORIA (grp_id, cat_nome) VALUES ("&amp;B11&amp;", '"&amp;C11&amp;"');"</f>
        <v>INSERT INTO CATEGORIA (grp_id, cat_nome) VALUES (4, 'Frutas');</v>
      </c>
      <c r="F11" s="1" t="s">
        <v>678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3" min="3" style="1" width="19.88"/>
    <col collapsed="false" customWidth="true" hidden="false" outlineLevel="0" max="4" min="4" style="1" width="12.56"/>
  </cols>
  <sheetData>
    <row r="1" customFormat="false" ht="14.25" hidden="false" customHeight="false" outlineLevel="0" collapsed="false">
      <c r="A1" s="1" t="s">
        <v>679</v>
      </c>
      <c r="B1" s="1" t="s">
        <v>658</v>
      </c>
      <c r="C1" s="1" t="s">
        <v>680</v>
      </c>
      <c r="D1" s="1" t="s">
        <v>681</v>
      </c>
      <c r="E1" s="1" t="s">
        <v>682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s">
        <v>12</v>
      </c>
      <c r="E2" s="1" t="n">
        <v>1</v>
      </c>
      <c r="G2" s="1" t="str">
        <f aca="false">"INSERT INTO PRODUTO (cat_id, prd_nome, prd_var, prd_atv) VALUES ("&amp;B2&amp;", '"&amp;C2&amp;"', '"&amp;D2&amp;"', "&amp;E2&amp;");"</f>
        <v>INSERT INTO PRODUTO (cat_id, prd_nome, prd_var, prd_atv) VALUES (1, 'Acelga', '', 1);</v>
      </c>
      <c r="H2" s="1" t="s">
        <v>683</v>
      </c>
    </row>
    <row r="3" customFormat="false" ht="14.25" hidden="false" customHeight="false" outlineLevel="0" collapsed="false">
      <c r="A3" s="1" t="n">
        <v>2</v>
      </c>
      <c r="B3" s="1" t="n">
        <v>1</v>
      </c>
      <c r="C3" s="1" t="s">
        <v>14</v>
      </c>
      <c r="E3" s="1" t="n">
        <v>1</v>
      </c>
      <c r="G3" s="1" t="str">
        <f aca="false">"INSERT INTO PRODUTO (cat_id, prd_nome, prd_var, prd_atv) VALUES ("&amp;B3&amp;", '"&amp;C3&amp;"', '"&amp;D3&amp;"', "&amp;E3&amp;");"</f>
        <v>INSERT INTO PRODUTO (cat_id, prd_nome, prd_var, prd_atv) VALUES (1, 'Agrião', '', 1);</v>
      </c>
      <c r="H3" s="1" t="s">
        <v>684</v>
      </c>
    </row>
    <row r="4" customFormat="false" ht="14.25" hidden="false" customHeight="false" outlineLevel="0" collapsed="false">
      <c r="A4" s="1" t="n">
        <v>3</v>
      </c>
      <c r="B4" s="1" t="n">
        <v>1</v>
      </c>
      <c r="C4" s="1" t="s">
        <v>685</v>
      </c>
      <c r="D4" s="1" t="s">
        <v>686</v>
      </c>
      <c r="E4" s="1" t="n">
        <v>1</v>
      </c>
      <c r="G4" s="1" t="str">
        <f aca="false">"INSERT INTO PRODUTO (cat_id, prd_nome, prd_var, prd_atv) VALUES ("&amp;B4&amp;", '"&amp;C4&amp;"', '"&amp;D4&amp;"', "&amp;E4&amp;");"</f>
        <v>INSERT INTO PRODUTO (cat_id, prd_nome, prd_var, prd_atv) VALUES (1, 'Alface', 'Americana', 1);</v>
      </c>
      <c r="H4" s="1" t="s">
        <v>687</v>
      </c>
    </row>
    <row r="5" customFormat="false" ht="14.25" hidden="false" customHeight="false" outlineLevel="0" collapsed="false">
      <c r="A5" s="1" t="n">
        <v>4</v>
      </c>
      <c r="B5" s="1" t="n">
        <v>1</v>
      </c>
      <c r="C5" s="1" t="s">
        <v>685</v>
      </c>
      <c r="D5" s="1" t="s">
        <v>688</v>
      </c>
      <c r="E5" s="1" t="n">
        <v>1</v>
      </c>
      <c r="G5" s="1" t="str">
        <f aca="false">"INSERT INTO PRODUTO (cat_id, prd_nome, prd_var, prd_atv) VALUES ("&amp;B5&amp;", '"&amp;C5&amp;"', '"&amp;D5&amp;"', "&amp;E5&amp;");"</f>
        <v>INSERT INTO PRODUTO (cat_id, prd_nome, prd_var, prd_atv) VALUES (1, 'Alface', 'Crespa', 1);</v>
      </c>
      <c r="H5" s="1" t="s">
        <v>689</v>
      </c>
    </row>
    <row r="6" customFormat="false" ht="14.25" hidden="false" customHeight="false" outlineLevel="0" collapsed="false">
      <c r="A6" s="1" t="n">
        <v>5</v>
      </c>
      <c r="B6" s="1" t="n">
        <v>1</v>
      </c>
      <c r="C6" s="1" t="s">
        <v>685</v>
      </c>
      <c r="D6" s="1" t="s">
        <v>690</v>
      </c>
      <c r="E6" s="1" t="n">
        <v>1</v>
      </c>
      <c r="G6" s="1" t="str">
        <f aca="false">"INSERT INTO PRODUTO (cat_id, prd_nome, prd_var, prd_atv) VALUES ("&amp;B6&amp;", '"&amp;C6&amp;"', '"&amp;D6&amp;"', "&amp;E6&amp;");"</f>
        <v>INSERT INTO PRODUTO (cat_id, prd_nome, prd_var, prd_atv) VALUES (1, 'Alface', 'Lisa', 1);</v>
      </c>
      <c r="H6" s="1" t="s">
        <v>691</v>
      </c>
    </row>
    <row r="7" customFormat="false" ht="14.25" hidden="false" customHeight="false" outlineLevel="0" collapsed="false">
      <c r="A7" s="1" t="n">
        <v>6</v>
      </c>
      <c r="B7" s="1" t="n">
        <v>1</v>
      </c>
      <c r="C7" s="1" t="s">
        <v>18</v>
      </c>
      <c r="E7" s="1" t="n">
        <v>1</v>
      </c>
      <c r="G7" s="1" t="str">
        <f aca="false">"INSERT INTO PRODUTO (cat_id, prd_nome, prd_var, prd_atv) VALUES ("&amp;B7&amp;", '"&amp;C7&amp;"', '"&amp;D7&amp;"', "&amp;E7&amp;");"</f>
        <v>INSERT INTO PRODUTO (cat_id, prd_nome, prd_var, prd_atv) VALUES (1, 'Almeirão', '', 1);</v>
      </c>
      <c r="H7" s="1" t="s">
        <v>692</v>
      </c>
    </row>
    <row r="8" customFormat="false" ht="14.25" hidden="false" customHeight="false" outlineLevel="0" collapsed="false">
      <c r="A8" s="1" t="n">
        <v>7</v>
      </c>
      <c r="B8" s="1" t="n">
        <v>2</v>
      </c>
      <c r="C8" s="1" t="s">
        <v>693</v>
      </c>
      <c r="D8" s="1" t="s">
        <v>694</v>
      </c>
      <c r="E8" s="1" t="n">
        <v>1</v>
      </c>
      <c r="G8" s="1" t="str">
        <f aca="false">"INSERT INTO PRODUTO (cat_id, prd_nome, prd_var, prd_atv) VALUES ("&amp;B8&amp;", '"&amp;C8&amp;"', '"&amp;D8&amp;"', "&amp;E8&amp;");"</f>
        <v>INSERT INTO PRODUTO (cat_id, prd_nome, prd_var, prd_atv) VALUES (2, 'Brócolis', 'Ninja/Japonês', 1);</v>
      </c>
      <c r="H8" s="1" t="s">
        <v>695</v>
      </c>
    </row>
    <row r="9" customFormat="false" ht="14.25" hidden="false" customHeight="false" outlineLevel="0" collapsed="false">
      <c r="A9" s="1" t="n">
        <v>8</v>
      </c>
      <c r="B9" s="1" t="n">
        <v>2</v>
      </c>
      <c r="C9" s="1" t="s">
        <v>693</v>
      </c>
      <c r="D9" s="1" t="s">
        <v>696</v>
      </c>
      <c r="E9" s="1" t="n">
        <v>1</v>
      </c>
      <c r="G9" s="1" t="str">
        <f aca="false">"INSERT INTO PRODUTO (cat_id, prd_nome, prd_var, prd_atv) VALUES ("&amp;B9&amp;", '"&amp;C9&amp;"', '"&amp;D9&amp;"', "&amp;E9&amp;");"</f>
        <v>INSERT INTO PRODUTO (cat_id, prd_nome, prd_var, prd_atv) VALUES (2, 'Brócolis', 'Ramoso', 1);</v>
      </c>
      <c r="H9" s="1" t="s">
        <v>697</v>
      </c>
    </row>
    <row r="10" customFormat="false" ht="14.25" hidden="false" customHeight="false" outlineLevel="0" collapsed="false">
      <c r="A10" s="1" t="n">
        <v>9</v>
      </c>
      <c r="B10" s="1" t="n">
        <v>1</v>
      </c>
      <c r="C10" s="1" t="s">
        <v>22</v>
      </c>
      <c r="D10" s="1" t="s">
        <v>698</v>
      </c>
      <c r="E10" s="1" t="n">
        <v>1</v>
      </c>
      <c r="G10" s="1" t="str">
        <f aca="false">"INSERT INTO PRODUTO (cat_id, prd_nome, prd_var, prd_atv) VALUES ("&amp;B10&amp;", '"&amp;C10&amp;"', '"&amp;D10&amp;"', "&amp;E10&amp;");"</f>
        <v>INSERT INTO PRODUTO (cat_id, prd_nome, prd_var, prd_atv) VALUES (1, 'Couve', 'Manteiga', 1);</v>
      </c>
      <c r="H10" s="1" t="s">
        <v>699</v>
      </c>
    </row>
    <row r="11" customFormat="false" ht="14.25" hidden="false" customHeight="false" outlineLevel="0" collapsed="false">
      <c r="A11" s="1" t="n">
        <v>10</v>
      </c>
      <c r="B11" s="1" t="n">
        <v>2</v>
      </c>
      <c r="C11" s="1" t="s">
        <v>700</v>
      </c>
      <c r="E11" s="1" t="n">
        <v>1</v>
      </c>
      <c r="G11" s="1" t="str">
        <f aca="false">"INSERT INTO PRODUTO (cat_id, prd_nome, prd_var, prd_atv) VALUES ("&amp;B11&amp;", '"&amp;C11&amp;"', '"&amp;D11&amp;"', "&amp;E11&amp;");"</f>
        <v>INSERT INTO PRODUTO (cat_id, prd_nome, prd_var, prd_atv) VALUES (2, 'Couve-Flor', '', 1);</v>
      </c>
      <c r="H11" s="1" t="s">
        <v>701</v>
      </c>
    </row>
    <row r="12" customFormat="false" ht="14.25" hidden="false" customHeight="false" outlineLevel="0" collapsed="false">
      <c r="A12" s="1" t="n">
        <v>11</v>
      </c>
      <c r="B12" s="1" t="n">
        <v>1</v>
      </c>
      <c r="C12" s="1" t="s">
        <v>23</v>
      </c>
      <c r="E12" s="1" t="n">
        <v>1</v>
      </c>
      <c r="G12" s="1" t="str">
        <f aca="false">"INSERT INTO PRODUTO (cat_id, prd_nome, prd_var, prd_atv) VALUES ("&amp;B12&amp;", '"&amp;C12&amp;"', '"&amp;D12&amp;"', "&amp;E12&amp;");"</f>
        <v>INSERT INTO PRODUTO (cat_id, prd_nome, prd_var, prd_atv) VALUES (1, 'Escarola', '', 1);</v>
      </c>
      <c r="H12" s="1" t="s">
        <v>702</v>
      </c>
    </row>
    <row r="13" customFormat="false" ht="14.25" hidden="false" customHeight="false" outlineLevel="0" collapsed="false">
      <c r="A13" s="1" t="n">
        <v>12</v>
      </c>
      <c r="B13" s="1" t="n">
        <v>1</v>
      </c>
      <c r="C13" s="1" t="s">
        <v>24</v>
      </c>
      <c r="E13" s="1" t="n">
        <v>1</v>
      </c>
      <c r="G13" s="1" t="str">
        <f aca="false">"INSERT INTO PRODUTO (cat_id, prd_nome, prd_var, prd_atv) VALUES ("&amp;B13&amp;", '"&amp;C13&amp;"', '"&amp;D13&amp;"', "&amp;E13&amp;");"</f>
        <v>INSERT INTO PRODUTO (cat_id, prd_nome, prd_var, prd_atv) VALUES (1, 'Espinafre', '', 1);</v>
      </c>
      <c r="H13" s="1" t="s">
        <v>703</v>
      </c>
    </row>
    <row r="14" customFormat="false" ht="14.25" hidden="false" customHeight="false" outlineLevel="0" collapsed="false">
      <c r="A14" s="1" t="n">
        <v>13</v>
      </c>
      <c r="B14" s="1" t="n">
        <v>7</v>
      </c>
      <c r="C14" s="1" t="s">
        <v>25</v>
      </c>
      <c r="E14" s="1" t="n">
        <v>1</v>
      </c>
      <c r="G14" s="1" t="str">
        <f aca="false">"INSERT INTO PRODUTO (cat_id, prd_nome, prd_var, prd_atv) VALUES ("&amp;B14&amp;", '"&amp;C14&amp;"', '"&amp;D14&amp;"', "&amp;E14&amp;");"</f>
        <v>INSERT INTO PRODUTO (cat_id, prd_nome, prd_var, prd_atv) VALUES (7, 'Rabanete', '', 1);</v>
      </c>
      <c r="H14" s="1" t="s">
        <v>704</v>
      </c>
    </row>
    <row r="15" customFormat="false" ht="14.25" hidden="false" customHeight="false" outlineLevel="0" collapsed="false">
      <c r="A15" s="1" t="n">
        <v>14</v>
      </c>
      <c r="B15" s="1" t="n">
        <v>1</v>
      </c>
      <c r="C15" s="1" t="s">
        <v>705</v>
      </c>
      <c r="D15" s="1" t="s">
        <v>706</v>
      </c>
      <c r="E15" s="1" t="n">
        <v>1</v>
      </c>
      <c r="G15" s="1" t="str">
        <f aca="false">"INSERT INTO PRODUTO (cat_id, prd_nome, prd_var, prd_atv) VALUES ("&amp;B15&amp;", '"&amp;C15&amp;"', '"&amp;D15&amp;"', "&amp;E15&amp;");"</f>
        <v>INSERT INTO PRODUTO (cat_id, prd_nome, prd_var, prd_atv) VALUES (1, 'Repolho', 'Roxo', 1);</v>
      </c>
      <c r="H15" s="1" t="s">
        <v>707</v>
      </c>
    </row>
    <row r="16" customFormat="false" ht="14.25" hidden="false" customHeight="false" outlineLevel="0" collapsed="false">
      <c r="A16" s="1" t="n">
        <v>15</v>
      </c>
      <c r="B16" s="1" t="n">
        <v>1</v>
      </c>
      <c r="C16" s="1" t="s">
        <v>705</v>
      </c>
      <c r="D16" s="1" t="s">
        <v>708</v>
      </c>
      <c r="E16" s="1" t="n">
        <v>1</v>
      </c>
      <c r="G16" s="1" t="str">
        <f aca="false">"INSERT INTO PRODUTO (cat_id, prd_nome, prd_var, prd_atv) VALUES ("&amp;B16&amp;", '"&amp;C16&amp;"', '"&amp;D16&amp;"', "&amp;E16&amp;");"</f>
        <v>INSERT INTO PRODUTO (cat_id, prd_nome, prd_var, prd_atv) VALUES (1, 'Repolho', 'Verde', 1);</v>
      </c>
      <c r="H16" s="1" t="s">
        <v>709</v>
      </c>
    </row>
    <row r="17" customFormat="false" ht="14.25" hidden="false" customHeight="false" outlineLevel="0" collapsed="false">
      <c r="A17" s="1" t="n">
        <v>16</v>
      </c>
      <c r="B17" s="1" t="n">
        <v>1</v>
      </c>
      <c r="C17" s="1" t="s">
        <v>29</v>
      </c>
      <c r="E17" s="1" t="n">
        <v>1</v>
      </c>
      <c r="G17" s="1" t="str">
        <f aca="false">"INSERT INTO PRODUTO (cat_id, prd_nome, prd_var, prd_atv) VALUES ("&amp;B17&amp;", '"&amp;C17&amp;"', '"&amp;D17&amp;"', "&amp;E17&amp;");"</f>
        <v>INSERT INTO PRODUTO (cat_id, prd_nome, prd_var, prd_atv) VALUES (1, 'Rúcula', '', 1);</v>
      </c>
      <c r="H17" s="1" t="s">
        <v>710</v>
      </c>
    </row>
    <row r="18" customFormat="false" ht="14.25" hidden="false" customHeight="false" outlineLevel="0" collapsed="false">
      <c r="A18" s="1" t="n">
        <v>17</v>
      </c>
      <c r="B18" s="1" t="n">
        <v>4</v>
      </c>
      <c r="C18" s="1" t="s">
        <v>31</v>
      </c>
      <c r="E18" s="1" t="n">
        <v>1</v>
      </c>
      <c r="G18" s="1" t="str">
        <f aca="false">"INSERT INTO PRODUTO (cat_id, prd_nome, prd_var, prd_atv) VALUES ("&amp;B18&amp;", '"&amp;C18&amp;"', '"&amp;D18&amp;"', "&amp;E18&amp;");"</f>
        <v>INSERT INTO PRODUTO (cat_id, prd_nome, prd_var, prd_atv) VALUES (4, 'Cebolinha', '', 1);</v>
      </c>
      <c r="H18" s="1" t="s">
        <v>711</v>
      </c>
    </row>
    <row r="19" customFormat="false" ht="14.25" hidden="false" customHeight="false" outlineLevel="0" collapsed="false">
      <c r="A19" s="1" t="n">
        <v>18</v>
      </c>
      <c r="B19" s="1" t="n">
        <v>4</v>
      </c>
      <c r="C19" s="1" t="s">
        <v>34</v>
      </c>
      <c r="E19" s="1" t="n">
        <v>1</v>
      </c>
      <c r="G19" s="1" t="str">
        <f aca="false">"INSERT INTO PRODUTO (cat_id, prd_nome, prd_var, prd_atv) VALUES ("&amp;B19&amp;", '"&amp;C19&amp;"', '"&amp;D19&amp;"', "&amp;E19&amp;");"</f>
        <v>INSERT INTO PRODUTO (cat_id, prd_nome, prd_var, prd_atv) VALUES (4, 'Coentro', '', 1);</v>
      </c>
      <c r="H19" s="1" t="s">
        <v>712</v>
      </c>
    </row>
    <row r="20" customFormat="false" ht="14.25" hidden="false" customHeight="false" outlineLevel="0" collapsed="false">
      <c r="A20" s="1" t="n">
        <v>19</v>
      </c>
      <c r="B20" s="1" t="n">
        <v>4</v>
      </c>
      <c r="C20" s="1" t="s">
        <v>36</v>
      </c>
      <c r="E20" s="1" t="n">
        <v>1</v>
      </c>
      <c r="G20" s="1" t="str">
        <f aca="false">"INSERT INTO PRODUTO (cat_id, prd_nome, prd_var, prd_atv) VALUES ("&amp;B20&amp;", '"&amp;C20&amp;"', '"&amp;D20&amp;"', "&amp;E20&amp;");"</f>
        <v>INSERT INTO PRODUTO (cat_id, prd_nome, prd_var, prd_atv) VALUES (4, 'Salsinha', '', 1);</v>
      </c>
      <c r="H20" s="1" t="s">
        <v>713</v>
      </c>
    </row>
    <row r="21" customFormat="false" ht="14.25" hidden="false" customHeight="false" outlineLevel="0" collapsed="false">
      <c r="A21" s="1" t="n">
        <v>20</v>
      </c>
      <c r="B21" s="1" t="n">
        <v>6</v>
      </c>
      <c r="C21" s="1" t="s">
        <v>714</v>
      </c>
      <c r="D21" s="1" t="s">
        <v>715</v>
      </c>
      <c r="E21" s="1" t="n">
        <v>1</v>
      </c>
      <c r="G21" s="1" t="str">
        <f aca="false">"INSERT INTO PRODUTO (cat_id, prd_nome, prd_var, prd_atv) VALUES ("&amp;B21&amp;", '"&amp;C21&amp;"', '"&amp;D21&amp;"', "&amp;E21&amp;");"</f>
        <v>INSERT INTO PRODUTO (cat_id, prd_nome, prd_var, prd_atv) VALUES (6, 'Abóbora', 'Cabotiá', 1);</v>
      </c>
      <c r="H21" s="1" t="s">
        <v>716</v>
      </c>
    </row>
    <row r="22" customFormat="false" ht="14.25" hidden="false" customHeight="false" outlineLevel="0" collapsed="false">
      <c r="A22" s="1" t="n">
        <v>21</v>
      </c>
      <c r="B22" s="1" t="n">
        <v>6</v>
      </c>
      <c r="C22" s="1" t="s">
        <v>717</v>
      </c>
      <c r="D22" s="1" t="s">
        <v>718</v>
      </c>
      <c r="E22" s="1" t="n">
        <v>1</v>
      </c>
      <c r="G22" s="1" t="str">
        <f aca="false">"INSERT INTO PRODUTO (cat_id, prd_nome, prd_var, prd_atv) VALUES ("&amp;B22&amp;", '"&amp;C22&amp;"', '"&amp;D22&amp;"', "&amp;E22&amp;");"</f>
        <v>INSERT INTO PRODUTO (cat_id, prd_nome, prd_var, prd_atv) VALUES (6, 'Abobrinha', 'Italiana', 1);</v>
      </c>
      <c r="H22" s="1" t="s">
        <v>719</v>
      </c>
    </row>
    <row r="23" customFormat="false" ht="14.25" hidden="false" customHeight="false" outlineLevel="0" collapsed="false">
      <c r="A23" s="1" t="n">
        <v>22</v>
      </c>
      <c r="B23" s="1" t="n">
        <v>7</v>
      </c>
      <c r="C23" s="1" t="s">
        <v>42</v>
      </c>
      <c r="E23" s="1" t="n">
        <v>1</v>
      </c>
      <c r="G23" s="1" t="str">
        <f aca="false">"INSERT INTO PRODUTO (cat_id, prd_nome, prd_var, prd_atv) VALUES ("&amp;B23&amp;", '"&amp;C23&amp;"', '"&amp;D23&amp;"', "&amp;E23&amp;");"</f>
        <v>INSERT INTO PRODUTO (cat_id, prd_nome, prd_var, prd_atv) VALUES (7, 'Batata-doce', '', 1);</v>
      </c>
      <c r="H23" s="1" t="s">
        <v>720</v>
      </c>
    </row>
    <row r="24" customFormat="false" ht="14.25" hidden="false" customHeight="false" outlineLevel="0" collapsed="false">
      <c r="A24" s="1" t="n">
        <v>23</v>
      </c>
      <c r="B24" s="1" t="n">
        <v>6</v>
      </c>
      <c r="C24" s="1" t="s">
        <v>721</v>
      </c>
      <c r="D24" s="1" t="s">
        <v>6</v>
      </c>
      <c r="E24" s="1" t="n">
        <v>1</v>
      </c>
      <c r="G24" s="1" t="str">
        <f aca="false">"INSERT INTO PRODUTO (cat_id, prd_nome, prd_var, prd_atv) VALUES ("&amp;B24&amp;", '"&amp;C24&amp;"', '"&amp;D24&amp;"', "&amp;E24&amp;");"</f>
        <v>INSERT INTO PRODUTO (cat_id, prd_nome, prd_var, prd_atv) VALUES (6, 'Berinjela', 'Comum', 1);</v>
      </c>
      <c r="H24" s="1" t="s">
        <v>722</v>
      </c>
    </row>
    <row r="25" customFormat="false" ht="14.25" hidden="false" customHeight="false" outlineLevel="0" collapsed="false">
      <c r="A25" s="1" t="n">
        <v>24</v>
      </c>
      <c r="B25" s="1" t="n">
        <v>6</v>
      </c>
      <c r="C25" s="1" t="s">
        <v>721</v>
      </c>
      <c r="D25" s="1" t="s">
        <v>723</v>
      </c>
      <c r="E25" s="1" t="n">
        <v>1</v>
      </c>
      <c r="G25" s="1" t="str">
        <f aca="false">"INSERT INTO PRODUTO (cat_id, prd_nome, prd_var, prd_atv) VALUES ("&amp;B25&amp;", '"&amp;C25&amp;"', '"&amp;D25&amp;"', "&amp;E25&amp;");"</f>
        <v>INSERT INTO PRODUTO (cat_id, prd_nome, prd_var, prd_atv) VALUES (6, 'Berinjela', 'Japonesa', 1);</v>
      </c>
      <c r="H25" s="1" t="s">
        <v>724</v>
      </c>
    </row>
    <row r="26" customFormat="false" ht="14.25" hidden="false" customHeight="false" outlineLevel="0" collapsed="false">
      <c r="A26" s="1" t="n">
        <v>25</v>
      </c>
      <c r="B26" s="1" t="n">
        <v>7</v>
      </c>
      <c r="C26" s="1" t="s">
        <v>49</v>
      </c>
      <c r="E26" s="1" t="n">
        <v>1</v>
      </c>
      <c r="G26" s="1" t="str">
        <f aca="false">"INSERT INTO PRODUTO (cat_id, prd_nome, prd_var, prd_atv) VALUES ("&amp;B26&amp;", '"&amp;C26&amp;"', '"&amp;D26&amp;"', "&amp;E26&amp;");"</f>
        <v>INSERT INTO PRODUTO (cat_id, prd_nome, prd_var, prd_atv) VALUES (7, 'Beterraba', '', 1);</v>
      </c>
      <c r="H26" s="1" t="s">
        <v>725</v>
      </c>
    </row>
    <row r="27" customFormat="false" ht="14.25" hidden="false" customHeight="false" outlineLevel="0" collapsed="false">
      <c r="A27" s="1" t="n">
        <v>26</v>
      </c>
      <c r="B27" s="1" t="n">
        <v>7</v>
      </c>
      <c r="C27" s="1" t="s">
        <v>52</v>
      </c>
      <c r="E27" s="1" t="n">
        <v>1</v>
      </c>
      <c r="G27" s="1" t="str">
        <f aca="false">"INSERT INTO PRODUTO (cat_id, prd_nome, prd_var, prd_atv) VALUES ("&amp;B27&amp;", '"&amp;C27&amp;"', '"&amp;D27&amp;"', "&amp;E27&amp;");"</f>
        <v>INSERT INTO PRODUTO (cat_id, prd_nome, prd_var, prd_atv) VALUES (7, 'Cenoura', '', 1);</v>
      </c>
      <c r="H27" s="1" t="s">
        <v>726</v>
      </c>
    </row>
    <row r="28" customFormat="false" ht="14.25" hidden="false" customHeight="false" outlineLevel="0" collapsed="false">
      <c r="A28" s="1" t="n">
        <v>27</v>
      </c>
      <c r="B28" s="1" t="n">
        <v>6</v>
      </c>
      <c r="C28" s="1" t="s">
        <v>53</v>
      </c>
      <c r="E28" s="1" t="n">
        <v>1</v>
      </c>
      <c r="G28" s="1" t="str">
        <f aca="false">"INSERT INTO PRODUTO (cat_id, prd_nome, prd_var, prd_atv) VALUES ("&amp;B28&amp;", '"&amp;C28&amp;"', '"&amp;D28&amp;"', "&amp;E28&amp;");"</f>
        <v>INSERT INTO PRODUTO (cat_id, prd_nome, prd_var, prd_atv) VALUES (6, 'Chuchu', '', 1);</v>
      </c>
      <c r="H28" s="1" t="s">
        <v>727</v>
      </c>
    </row>
    <row r="29" customFormat="false" ht="14.25" hidden="false" customHeight="false" outlineLevel="0" collapsed="false">
      <c r="A29" s="1" t="n">
        <v>28</v>
      </c>
      <c r="B29" s="1" t="n">
        <v>6</v>
      </c>
      <c r="C29" s="1" t="s">
        <v>54</v>
      </c>
      <c r="E29" s="1" t="n">
        <v>1</v>
      </c>
      <c r="G29" s="1" t="str">
        <f aca="false">"INSERT INTO PRODUTO (cat_id, prd_nome, prd_var, prd_atv) VALUES ("&amp;B29&amp;", '"&amp;C29&amp;"', '"&amp;D29&amp;"', "&amp;E29&amp;");"</f>
        <v>INSERT INTO PRODUTO (cat_id, prd_nome, prd_var, prd_atv) VALUES (6, 'Jiló', '', 1);</v>
      </c>
      <c r="H29" s="1" t="s">
        <v>728</v>
      </c>
    </row>
    <row r="30" customFormat="false" ht="14.25" hidden="false" customHeight="false" outlineLevel="0" collapsed="false">
      <c r="A30" s="1" t="n">
        <v>29</v>
      </c>
      <c r="B30" s="1" t="n">
        <v>7</v>
      </c>
      <c r="C30" s="1" t="s">
        <v>56</v>
      </c>
      <c r="E30" s="1" t="n">
        <v>1</v>
      </c>
      <c r="G30" s="1" t="str">
        <f aca="false">"INSERT INTO PRODUTO (cat_id, prd_nome, prd_var, prd_atv) VALUES ("&amp;B30&amp;", '"&amp;C30&amp;"', '"&amp;D30&amp;"', "&amp;E30&amp;");"</f>
        <v>INSERT INTO PRODUTO (cat_id, prd_nome, prd_var, prd_atv) VALUES (7, 'Mandioca', '', 1);</v>
      </c>
      <c r="H30" s="1" t="s">
        <v>729</v>
      </c>
    </row>
    <row r="31" customFormat="false" ht="14.25" hidden="false" customHeight="false" outlineLevel="0" collapsed="false">
      <c r="A31" s="1" t="n">
        <v>30</v>
      </c>
      <c r="B31" s="1" t="n">
        <v>6</v>
      </c>
      <c r="C31" s="1" t="s">
        <v>730</v>
      </c>
      <c r="D31" s="1" t="s">
        <v>6</v>
      </c>
      <c r="E31" s="1" t="n">
        <v>1</v>
      </c>
      <c r="G31" s="1" t="str">
        <f aca="false">"INSERT INTO PRODUTO (cat_id, prd_nome, prd_var, prd_atv) VALUES ("&amp;B31&amp;", '"&amp;C31&amp;"', '"&amp;D31&amp;"', "&amp;E31&amp;");"</f>
        <v>INSERT INTO PRODUTO (cat_id, prd_nome, prd_var, prd_atv) VALUES (6, 'Pepino', 'Comum', 1);</v>
      </c>
      <c r="H31" s="1" t="s">
        <v>731</v>
      </c>
    </row>
    <row r="32" customFormat="false" ht="14.25" hidden="false" customHeight="false" outlineLevel="0" collapsed="false">
      <c r="A32" s="1" t="n">
        <v>31</v>
      </c>
      <c r="B32" s="1" t="n">
        <v>6</v>
      </c>
      <c r="C32" s="1" t="s">
        <v>730</v>
      </c>
      <c r="D32" s="1" t="s">
        <v>732</v>
      </c>
      <c r="E32" s="1" t="n">
        <v>1</v>
      </c>
      <c r="G32" s="1" t="str">
        <f aca="false">"INSERT INTO PRODUTO (cat_id, prd_nome, prd_var, prd_atv) VALUES ("&amp;B32&amp;", '"&amp;C32&amp;"', '"&amp;D32&amp;"', "&amp;E32&amp;");"</f>
        <v>INSERT INTO PRODUTO (cat_id, prd_nome, prd_var, prd_atv) VALUES (6, 'Pepino', 'Japonês', 1);</v>
      </c>
      <c r="H32" s="1" t="s">
        <v>733</v>
      </c>
    </row>
    <row r="33" customFormat="false" ht="14.25" hidden="false" customHeight="false" outlineLevel="0" collapsed="false">
      <c r="A33" s="1" t="n">
        <v>32</v>
      </c>
      <c r="B33" s="1" t="n">
        <v>6</v>
      </c>
      <c r="C33" s="1" t="s">
        <v>734</v>
      </c>
      <c r="D33" s="1" t="s">
        <v>708</v>
      </c>
      <c r="E33" s="1" t="n">
        <v>1</v>
      </c>
      <c r="G33" s="1" t="str">
        <f aca="false">"INSERT INTO PRODUTO (cat_id, prd_nome, prd_var, prd_atv) VALUES ("&amp;B33&amp;", '"&amp;C33&amp;"', '"&amp;D33&amp;"', "&amp;E33&amp;");"</f>
        <v>INSERT INTO PRODUTO (cat_id, prd_nome, prd_var, prd_atv) VALUES (6, 'Pimentão', 'Verde', 1);</v>
      </c>
      <c r="H33" s="1" t="s">
        <v>735</v>
      </c>
    </row>
    <row r="34" customFormat="false" ht="14.25" hidden="false" customHeight="false" outlineLevel="0" collapsed="false">
      <c r="A34" s="1" t="n">
        <v>33</v>
      </c>
      <c r="B34" s="1" t="n">
        <v>6</v>
      </c>
      <c r="C34" s="1" t="s">
        <v>60</v>
      </c>
      <c r="E34" s="1" t="n">
        <v>1</v>
      </c>
      <c r="G34" s="1" t="str">
        <f aca="false">"INSERT INTO PRODUTO (cat_id, prd_nome, prd_var, prd_atv) VALUES ("&amp;B34&amp;", '"&amp;C34&amp;"', '"&amp;D34&amp;"', "&amp;E34&amp;");"</f>
        <v>INSERT INTO PRODUTO (cat_id, prd_nome, prd_var, prd_atv) VALUES (6, 'Quiabo', '', 1);</v>
      </c>
      <c r="H34" s="1" t="s">
        <v>736</v>
      </c>
    </row>
    <row r="35" customFormat="false" ht="14.25" hidden="false" customHeight="false" outlineLevel="0" collapsed="false">
      <c r="A35" s="1" t="n">
        <v>34</v>
      </c>
      <c r="B35" s="1" t="n">
        <v>6</v>
      </c>
      <c r="C35" s="1" t="s">
        <v>737</v>
      </c>
      <c r="D35" s="1" t="s">
        <v>738</v>
      </c>
      <c r="E35" s="1" t="n">
        <v>1</v>
      </c>
      <c r="G35" s="1" t="str">
        <f aca="false">"INSERT INTO PRODUTO (cat_id, prd_nome, prd_var, prd_atv) VALUES ("&amp;B35&amp;", '"&amp;C35&amp;"', '"&amp;D35&amp;"', "&amp;E35&amp;");"</f>
        <v>INSERT INTO PRODUTO (cat_id, prd_nome, prd_var, prd_atv) VALUES (6, 'Tomate', 'Débora', 1);</v>
      </c>
      <c r="H35" s="1" t="s">
        <v>739</v>
      </c>
    </row>
    <row r="36" customFormat="false" ht="14.25" hidden="false" customHeight="false" outlineLevel="0" collapsed="false">
      <c r="A36" s="1" t="n">
        <v>35</v>
      </c>
      <c r="B36" s="1" t="n">
        <v>5</v>
      </c>
      <c r="C36" s="1" t="s">
        <v>740</v>
      </c>
      <c r="D36" s="1" t="s">
        <v>741</v>
      </c>
      <c r="E36" s="1" t="n">
        <v>1</v>
      </c>
      <c r="G36" s="1" t="str">
        <f aca="false">"INSERT INTO PRODUTO (cat_id, prd_nome, prd_var, prd_atv) VALUES ("&amp;B36&amp;", '"&amp;C36&amp;"', '"&amp;D36&amp;"', "&amp;E36&amp;");"</f>
        <v>INSERT INTO PRODUTO (cat_id, prd_nome, prd_var, prd_atv) VALUES (5, 'Vagem', 'Macarrão', 1);</v>
      </c>
      <c r="H36" s="1" t="s">
        <v>742</v>
      </c>
    </row>
    <row r="37" customFormat="false" ht="14.25" hidden="false" customHeight="false" outlineLevel="0" collapsed="false">
      <c r="A37" s="1" t="n">
        <v>36</v>
      </c>
      <c r="B37" s="1" t="n">
        <v>10</v>
      </c>
      <c r="C37" s="1" t="s">
        <v>743</v>
      </c>
      <c r="D37" s="1" t="s">
        <v>744</v>
      </c>
      <c r="E37" s="1" t="n">
        <v>1</v>
      </c>
      <c r="G37" s="1" t="str">
        <f aca="false">"INSERT INTO PRODUTO (cat_id, prd_nome, prd_var, prd_atv) VALUES ("&amp;B37&amp;", '"&amp;C37&amp;"', '"&amp;D37&amp;"', "&amp;E37&amp;");"</f>
        <v>INSERT INTO PRODUTO (cat_id, prd_nome, prd_var, prd_atv) VALUES (10, 'Caqui', 'Fuyu', 1);</v>
      </c>
      <c r="H37" s="1" t="s">
        <v>745</v>
      </c>
    </row>
    <row r="38" customFormat="false" ht="14.25" hidden="false" customHeight="false" outlineLevel="0" collapsed="false">
      <c r="A38" s="1" t="n">
        <v>37</v>
      </c>
      <c r="B38" s="1" t="n">
        <v>10</v>
      </c>
      <c r="C38" s="1" t="s">
        <v>743</v>
      </c>
      <c r="D38" s="1" t="s">
        <v>746</v>
      </c>
      <c r="E38" s="1" t="n">
        <v>1</v>
      </c>
      <c r="G38" s="1" t="str">
        <f aca="false">"INSERT INTO PRODUTO (cat_id, prd_nome, prd_var, prd_atv) VALUES ("&amp;B38&amp;", '"&amp;C38&amp;"', '"&amp;D38&amp;"', "&amp;E38&amp;");"</f>
        <v>INSERT INTO PRODUTO (cat_id, prd_nome, prd_var, prd_atv) VALUES (10, 'Caqui', 'Guiombo', 1);</v>
      </c>
      <c r="H38" s="1" t="s">
        <v>747</v>
      </c>
    </row>
    <row r="39" customFormat="false" ht="14.25" hidden="false" customHeight="false" outlineLevel="0" collapsed="false">
      <c r="A39" s="1" t="n">
        <v>38</v>
      </c>
      <c r="B39" s="1" t="n">
        <v>10</v>
      </c>
      <c r="C39" s="1" t="s">
        <v>743</v>
      </c>
      <c r="D39" s="1" t="s">
        <v>748</v>
      </c>
      <c r="E39" s="1" t="n">
        <v>1</v>
      </c>
      <c r="G39" s="1" t="str">
        <f aca="false">"INSERT INTO PRODUTO (cat_id, prd_nome, prd_var, prd_atv) VALUES ("&amp;B39&amp;", '"&amp;C39&amp;"', '"&amp;D39&amp;"', "&amp;E39&amp;");"</f>
        <v>INSERT INTO PRODUTO (cat_id, prd_nome, prd_var, prd_atv) VALUES (10, 'Caqui', 'Rama Forte', 1);</v>
      </c>
      <c r="H39" s="1" t="s">
        <v>749</v>
      </c>
    </row>
    <row r="40" customFormat="false" ht="14.25" hidden="false" customHeight="false" outlineLevel="0" collapsed="false">
      <c r="A40" s="1" t="n">
        <v>39</v>
      </c>
      <c r="B40" s="1" t="n">
        <v>10</v>
      </c>
      <c r="C40" s="1" t="s">
        <v>69</v>
      </c>
      <c r="E40" s="1" t="n">
        <v>1</v>
      </c>
      <c r="G40" s="1" t="str">
        <f aca="false">"INSERT INTO PRODUTO (cat_id, prd_nome, prd_var, prd_atv) VALUES ("&amp;B40&amp;", '"&amp;C40&amp;"', '"&amp;D40&amp;"', "&amp;E40&amp;");"</f>
        <v>INSERT INTO PRODUTO (cat_id, prd_nome, prd_var, prd_atv) VALUES (10, 'Goiaba', '', 1);</v>
      </c>
      <c r="H40" s="1" t="s">
        <v>750</v>
      </c>
    </row>
    <row r="41" customFormat="false" ht="14.25" hidden="false" customHeight="false" outlineLevel="0" collapsed="false">
      <c r="A41" s="1" t="n">
        <v>40</v>
      </c>
      <c r="B41" s="1" t="n">
        <v>10</v>
      </c>
      <c r="C41" s="1" t="s">
        <v>751</v>
      </c>
      <c r="D41" s="1" t="s">
        <v>752</v>
      </c>
      <c r="E41" s="1" t="n">
        <v>1</v>
      </c>
      <c r="G41" s="1" t="str">
        <f aca="false">"INSERT INTO PRODUTO (cat_id, prd_nome, prd_var, prd_atv) VALUES ("&amp;B41&amp;", '"&amp;C41&amp;"', '"&amp;D41&amp;"', "&amp;E41&amp;");"</f>
        <v>INSERT INTO PRODUTO (cat_id, prd_nome, prd_var, prd_atv) VALUES (10, 'Mexerica', 'Ponkan', 1);</v>
      </c>
      <c r="H41" s="1" t="s">
        <v>753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1" width="10.2"/>
  </cols>
  <sheetData>
    <row r="1" customFormat="false" ht="14.25" hidden="false" customHeight="false" outlineLevel="0" collapsed="false">
      <c r="A1" s="1" t="s">
        <v>754</v>
      </c>
      <c r="B1" s="1" t="s">
        <v>755</v>
      </c>
      <c r="C1" s="1" t="s">
        <v>756</v>
      </c>
    </row>
    <row r="2" customFormat="false" ht="14.25" hidden="false" customHeight="false" outlineLevel="0" collapsed="false">
      <c r="A2" s="1" t="n">
        <v>1</v>
      </c>
      <c r="B2" s="1" t="s">
        <v>757</v>
      </c>
      <c r="C2" s="1" t="s">
        <v>758</v>
      </c>
      <c r="E2" s="1" t="str">
        <f aca="false">"INSERT INTO UNIDADE_MEDIDA (umd_nome, umd_sigla) VALUES ('"&amp;B2&amp;"', '"&amp;C2&amp;"');"</f>
        <v>INSERT INTO UNIDADE_MEDIDA (umd_nome, umd_sigla) VALUES ('Quilograma', 'kg');</v>
      </c>
      <c r="F2" s="1" t="s">
        <v>759</v>
      </c>
    </row>
    <row r="3" customFormat="false" ht="14.25" hidden="false" customHeight="false" outlineLevel="0" collapsed="false">
      <c r="A3" s="1" t="n">
        <v>2</v>
      </c>
      <c r="B3" s="1" t="s">
        <v>760</v>
      </c>
      <c r="C3" s="1" t="s">
        <v>761</v>
      </c>
      <c r="E3" s="1" t="str">
        <f aca="false">"INSERT INTO UNIDADE_MEDIDA (umd_nome, umd_sigla) VALUES ('"&amp;B3&amp;"', '"&amp;C3&amp;"');"</f>
        <v>INSERT INTO UNIDADE_MEDIDA (umd_nome, umd_sigla) VALUES ('Grama', 'g');</v>
      </c>
      <c r="F3" s="1" t="s">
        <v>762</v>
      </c>
    </row>
    <row r="4" customFormat="false" ht="14.25" hidden="false" customHeight="false" outlineLevel="0" collapsed="false">
      <c r="A4" s="1" t="n">
        <v>3</v>
      </c>
      <c r="B4" s="1" t="s">
        <v>5</v>
      </c>
      <c r="C4" s="1" t="s">
        <v>763</v>
      </c>
      <c r="E4" s="1" t="str">
        <f aca="false">"INSERT INTO UNIDADE_MEDIDA (umd_nome, umd_sigla) VALUES ('"&amp;B4&amp;"', '"&amp;C4&amp;"');"</f>
        <v>INSERT INTO UNIDADE_MEDIDA (umd_nome, umd_sigla) VALUES ('Unidade', 'un');</v>
      </c>
      <c r="F4" s="1" t="s">
        <v>764</v>
      </c>
    </row>
    <row r="5" customFormat="false" ht="14.25" hidden="false" customHeight="false" outlineLevel="0" collapsed="false">
      <c r="A5" s="1" t="n">
        <v>4</v>
      </c>
      <c r="B5" s="1" t="s">
        <v>765</v>
      </c>
      <c r="C5" s="1" t="s">
        <v>766</v>
      </c>
      <c r="E5" s="1" t="str">
        <f aca="false">"INSERT INTO UNIDADE_MEDIDA (umd_nome, umd_sigla) VALUES ('"&amp;B5&amp;"', '"&amp;C5&amp;"');"</f>
        <v>INSERT INTO UNIDADE_MEDIDA (umd_nome, umd_sigla) VALUES ('Mililitro', 'ml');</v>
      </c>
      <c r="F5" s="1" t="s">
        <v>767</v>
      </c>
    </row>
    <row r="6" customFormat="false" ht="14.25" hidden="false" customHeight="false" outlineLevel="0" collapsed="false">
      <c r="A6" s="1" t="n">
        <v>5</v>
      </c>
      <c r="B6" s="1" t="s">
        <v>768</v>
      </c>
      <c r="C6" s="1" t="s">
        <v>769</v>
      </c>
      <c r="E6" s="1" t="str">
        <f aca="false">"INSERT INTO UNIDADE_MEDIDA (umd_nome, umd_sigla) VALUES ('"&amp;B6&amp;"', '"&amp;C6&amp;"');"</f>
        <v>INSERT INTO UNIDADE_MEDIDA (umd_nome, umd_sigla) VALUES ('Litro', 'L');</v>
      </c>
      <c r="F6" s="1" t="s">
        <v>770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771</v>
      </c>
      <c r="B1" s="1" t="s">
        <v>772</v>
      </c>
    </row>
    <row r="2" customFormat="false" ht="14.25" hidden="false" customHeight="false" outlineLevel="0" collapsed="false">
      <c r="A2" s="1" t="n">
        <v>1</v>
      </c>
      <c r="B2" s="1" t="s">
        <v>773</v>
      </c>
      <c r="E2" s="1" t="str">
        <f aca="false">"INSERT INTO TIPO_APRESENTACAO (tap_nome) VALUES ('"&amp;B2&amp;"');"</f>
        <v>INSERT INTO TIPO_APRESENTACAO (tap_nome) VALUES ('caixa');</v>
      </c>
    </row>
    <row r="3" customFormat="false" ht="14.25" hidden="false" customHeight="false" outlineLevel="0" collapsed="false">
      <c r="A3" s="1" t="n">
        <v>2</v>
      </c>
      <c r="B3" s="1" t="s">
        <v>774</v>
      </c>
      <c r="E3" s="1" t="str">
        <f aca="false">"INSERT INTO TIPO_APRESENTACAO (tap_nome) VALUES ('"&amp;B3&amp;"');"</f>
        <v>INSERT INTO TIPO_APRESENTACAO (tap_nome) VALUES ('maço');</v>
      </c>
    </row>
    <row r="4" customFormat="false" ht="14.25" hidden="false" customHeight="false" outlineLevel="0" collapsed="false">
      <c r="A4" s="1" t="n">
        <v>3</v>
      </c>
      <c r="B4" s="1" t="s">
        <v>775</v>
      </c>
      <c r="E4" s="1" t="str">
        <f aca="false">"INSERT INTO TIPO_APRESENTACAO (tap_nome) VALUES ('"&amp;B4&amp;"');"</f>
        <v>INSERT INTO TIPO_APRESENTACAO (tap_nome) VALUES ('dúzia');</v>
      </c>
    </row>
    <row r="5" customFormat="false" ht="14.25" hidden="false" customHeight="false" outlineLevel="0" collapsed="false">
      <c r="A5" s="1" t="n">
        <v>4</v>
      </c>
      <c r="B5" s="1" t="s">
        <v>776</v>
      </c>
      <c r="E5" s="1" t="str">
        <f aca="false">"INSERT INTO TIPO_APRESENTACAO (tap_nome) VALUES ('"&amp;B5&amp;"');"</f>
        <v>INSERT INTO TIPO_APRESENTACAO (tap_nome) VALUES ('saco');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3"/>
  <sheetViews>
    <sheetView showFormulas="false" showGridLines="true" showRowColHeaders="true" showZeros="true" rightToLeft="false" tabSelected="false" showOutlineSymbols="true" defaultGridColor="true" view="normal" topLeftCell="A4" colorId="64" zoomScale="115" zoomScaleNormal="115" zoomScalePageLayoutView="100" workbookViewId="0">
      <selection pane="topLeft" activeCell="F51" activeCellId="0" sqref="F51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4" min="4" style="1" width="10.56"/>
    <col collapsed="false" customWidth="true" hidden="false" outlineLevel="0" max="5" min="5" style="1" width="11.56"/>
  </cols>
  <sheetData>
    <row r="1" customFormat="false" ht="14.25" hidden="false" customHeight="false" outlineLevel="0" collapsed="false">
      <c r="A1" s="1" t="s">
        <v>636</v>
      </c>
      <c r="B1" s="1" t="s">
        <v>0</v>
      </c>
      <c r="C1" s="1" t="s">
        <v>1</v>
      </c>
      <c r="D1" s="1" t="s">
        <v>2</v>
      </c>
      <c r="E1" s="1" t="s">
        <v>777</v>
      </c>
    </row>
    <row r="2" customFormat="false" ht="14.25" hidden="false" customHeight="false" outlineLevel="0" collapsed="false">
      <c r="A2" s="1" t="n">
        <v>1</v>
      </c>
      <c r="B2" s="1" t="n">
        <v>37</v>
      </c>
      <c r="C2" s="1" t="n">
        <v>2023</v>
      </c>
      <c r="D2" s="3" t="n">
        <v>44931</v>
      </c>
      <c r="G2" s="1" t="str">
        <f aca="false">"INSERT INTO BOLETIM (blt_numero, blt_ano, blt_data_lev, blt_data_cad) VALUES ("&amp;B2&amp;", "&amp;C2&amp;", TO_DATE('"&amp;TEXT(D2,"DD/MM/AAAA")&amp;"', 'DD/MM/YYYY'), SYSDATE);"</f>
        <v>INSERT INTO BOLETIM (blt_numero, blt_ano, blt_data_lev, blt_data_cad) VALUES (37, 2023, TO_DATE('05/01/2023', 'DD/MM/YYYY'), SYSDATE);</v>
      </c>
    </row>
    <row r="3" customFormat="false" ht="14.25" hidden="false" customHeight="false" outlineLevel="0" collapsed="false">
      <c r="A3" s="1" t="n">
        <v>2</v>
      </c>
      <c r="B3" s="1" t="n">
        <v>38</v>
      </c>
      <c r="C3" s="1" t="n">
        <v>2023</v>
      </c>
      <c r="D3" s="3" t="n">
        <v>44938</v>
      </c>
      <c r="G3" s="1" t="str">
        <f aca="false">"INSERT INTO BOLETIM (blt_numero, blt_ano, blt_data_lev, blt_data_cad) VALUES ("&amp;B3&amp;", "&amp;C3&amp;", TO_DATE('"&amp;TEXT(D3,"DD/MM/AAAA")&amp;"', 'DD/MM/YYYY'), SYSDATE);"</f>
        <v>INSERT INTO BOLETIM (blt_numero, blt_ano, blt_data_lev, blt_data_cad) VALUES (38, 2023, TO_DATE('12/01/2023', 'DD/MM/YYYY'), SYSDATE);</v>
      </c>
    </row>
    <row r="4" customFormat="false" ht="14.25" hidden="false" customHeight="false" outlineLevel="0" collapsed="false">
      <c r="A4" s="1" t="n">
        <v>3</v>
      </c>
      <c r="B4" s="1" t="n">
        <v>39</v>
      </c>
      <c r="C4" s="1" t="n">
        <v>2023</v>
      </c>
      <c r="D4" s="3" t="n">
        <v>44945</v>
      </c>
      <c r="G4" s="1" t="str">
        <f aca="false">"INSERT INTO BOLETIM (blt_numero, blt_ano, blt_data_lev, blt_data_cad) VALUES ("&amp;B4&amp;", "&amp;C4&amp;", TO_DATE('"&amp;TEXT(D4,"DD/MM/AAAA")&amp;"', 'DD/MM/YYYY'), SYSDATE);"</f>
        <v>INSERT INTO BOLETIM (blt_numero, blt_ano, blt_data_lev, blt_data_cad) VALUES (39, 2023, TO_DATE('19/01/2023', 'DD/MM/YYYY'), SYSDATE);</v>
      </c>
    </row>
    <row r="5" customFormat="false" ht="14.25" hidden="false" customHeight="false" outlineLevel="0" collapsed="false">
      <c r="A5" s="1" t="n">
        <v>4</v>
      </c>
      <c r="B5" s="1" t="n">
        <v>40</v>
      </c>
      <c r="C5" s="1" t="n">
        <v>2023</v>
      </c>
      <c r="D5" s="3" t="n">
        <v>44952</v>
      </c>
      <c r="G5" s="1" t="str">
        <f aca="false">"INSERT INTO BOLETIM (blt_numero, blt_ano, blt_data_lev, blt_data_cad) VALUES ("&amp;B5&amp;", "&amp;C5&amp;", TO_DATE('"&amp;TEXT(D5,"DD/MM/AAAA")&amp;"', 'DD/MM/YYYY'), SYSDATE);"</f>
        <v>INSERT INTO BOLETIM (blt_numero, blt_ano, blt_data_lev, blt_data_cad) VALUES (40, 2023, TO_DATE('26/01/2023', 'DD/MM/YYYY'), SYSDATE);</v>
      </c>
    </row>
    <row r="6" customFormat="false" ht="14.25" hidden="false" customHeight="false" outlineLevel="0" collapsed="false">
      <c r="A6" s="1" t="n">
        <v>5</v>
      </c>
      <c r="B6" s="1" t="n">
        <v>41</v>
      </c>
      <c r="C6" s="1" t="n">
        <v>2023</v>
      </c>
      <c r="D6" s="3" t="n">
        <v>44959</v>
      </c>
      <c r="G6" s="1" t="str">
        <f aca="false">"INSERT INTO BOLETIM (blt_numero, blt_ano, blt_data_lev, blt_data_cad) VALUES ("&amp;B6&amp;", "&amp;C6&amp;", TO_DATE('"&amp;TEXT(D6,"DD/MM/AAAA")&amp;"', 'DD/MM/YYYY'), SYSDATE);"</f>
        <v>INSERT INTO BOLETIM (blt_numero, blt_ano, blt_data_lev, blt_data_cad) VALUES (41, 2023, TO_DATE('02/02/2023', 'DD/MM/YYYY'), SYSDATE);</v>
      </c>
    </row>
    <row r="7" customFormat="false" ht="14.25" hidden="false" customHeight="false" outlineLevel="0" collapsed="false">
      <c r="A7" s="1" t="n">
        <v>6</v>
      </c>
      <c r="B7" s="1" t="n">
        <v>42</v>
      </c>
      <c r="C7" s="1" t="n">
        <v>2023</v>
      </c>
      <c r="D7" s="3" t="n">
        <v>44966</v>
      </c>
      <c r="G7" s="1" t="str">
        <f aca="false">"INSERT INTO BOLETIM (blt_numero, blt_ano, blt_data_lev, blt_data_cad) VALUES ("&amp;B7&amp;", "&amp;C7&amp;", TO_DATE('"&amp;TEXT(D7,"DD/MM/AAAA")&amp;"', 'DD/MM/YYYY'), SYSDATE);"</f>
        <v>INSERT INTO BOLETIM (blt_numero, blt_ano, blt_data_lev, blt_data_cad) VALUES (42, 2023, TO_DATE('09/02/2023', 'DD/MM/YYYY'), SYSDATE);</v>
      </c>
    </row>
    <row r="8" customFormat="false" ht="14.25" hidden="false" customHeight="false" outlineLevel="0" collapsed="false">
      <c r="A8" s="1" t="n">
        <v>7</v>
      </c>
      <c r="B8" s="1" t="n">
        <v>43</v>
      </c>
      <c r="C8" s="1" t="n">
        <v>2023</v>
      </c>
      <c r="D8" s="3" t="n">
        <v>44973</v>
      </c>
      <c r="G8" s="1" t="str">
        <f aca="false">"INSERT INTO BOLETIM (blt_numero, blt_ano, blt_data_lev, blt_data_cad) VALUES ("&amp;B8&amp;", "&amp;C8&amp;", TO_DATE('"&amp;TEXT(D8,"DD/MM/AAAA")&amp;"', 'DD/MM/YYYY'), SYSDATE);"</f>
        <v>INSERT INTO BOLETIM (blt_numero, blt_ano, blt_data_lev, blt_data_cad) VALUES (43, 2023, TO_DATE('16/02/2023', 'DD/MM/YYYY'), SYSDATE);</v>
      </c>
    </row>
    <row r="9" customFormat="false" ht="14.25" hidden="false" customHeight="false" outlineLevel="0" collapsed="false">
      <c r="A9" s="1" t="n">
        <v>8</v>
      </c>
      <c r="B9" s="1" t="n">
        <v>44</v>
      </c>
      <c r="C9" s="1" t="n">
        <v>2024</v>
      </c>
      <c r="D9" s="3" t="n">
        <v>45357</v>
      </c>
      <c r="G9" s="1" t="str">
        <f aca="false">"INSERT INTO BOLETIM (blt_numero, blt_ano, blt_data_lev, blt_data_cad) VALUES ("&amp;B9&amp;", "&amp;C9&amp;", TO_DATE('"&amp;TEXT(D9,"DD/MM/AAAA")&amp;"', 'DD/MM/YYYY'), SYSDATE);"</f>
        <v>INSERT INTO BOLETIM (blt_numero, blt_ano, blt_data_lev, blt_data_cad) VALUES (44, 2024, TO_DATE('06/03/2024', 'DD/MM/YYYY'), SYSDATE);</v>
      </c>
    </row>
    <row r="10" customFormat="false" ht="14.25" hidden="false" customHeight="false" outlineLevel="0" collapsed="false">
      <c r="A10" s="1" t="n">
        <v>9</v>
      </c>
      <c r="B10" s="1" t="n">
        <v>45</v>
      </c>
      <c r="C10" s="1" t="n">
        <v>2024</v>
      </c>
      <c r="D10" s="3" t="n">
        <v>45364</v>
      </c>
      <c r="G10" s="1" t="str">
        <f aca="false">"INSERT INTO BOLETIM (blt_numero, blt_ano, blt_data_lev, blt_data_cad) VALUES ("&amp;B10&amp;", "&amp;C10&amp;", TO_DATE('"&amp;TEXT(D10,"DD/MM/AAAA")&amp;"', 'DD/MM/YYYY'), SYSDATE);"</f>
        <v>INSERT INTO BOLETIM (blt_numero, blt_ano, blt_data_lev, blt_data_cad) VALUES (45, 2024, TO_DATE('13/03/2024', 'DD/MM/YYYY'), SYSDATE);</v>
      </c>
    </row>
    <row r="11" customFormat="false" ht="14.25" hidden="false" customHeight="false" outlineLevel="0" collapsed="false">
      <c r="A11" s="1" t="n">
        <v>10</v>
      </c>
      <c r="B11" s="1" t="n">
        <v>46</v>
      </c>
      <c r="C11" s="1" t="n">
        <v>2024</v>
      </c>
      <c r="D11" s="3" t="n">
        <v>45371</v>
      </c>
      <c r="G11" s="1" t="str">
        <f aca="false">"INSERT INTO BOLETIM (blt_numero, blt_ano, blt_data_lev, blt_data_cad) VALUES ("&amp;B11&amp;", "&amp;C11&amp;", TO_DATE('"&amp;TEXT(D11,"DD/MM/AAAA")&amp;"', 'DD/MM/YYYY'), SYSDATE);"</f>
        <v>INSERT INTO BOLETIM (blt_numero, blt_ano, blt_data_lev, blt_data_cad) VALUES (46, 2024, TO_DATE('20/03/2024', 'DD/MM/YYYY'), SYSDATE);</v>
      </c>
    </row>
    <row r="12" customFormat="false" ht="14.25" hidden="false" customHeight="false" outlineLevel="0" collapsed="false">
      <c r="A12" s="1" t="n">
        <v>11</v>
      </c>
      <c r="B12" s="1" t="n">
        <v>47</v>
      </c>
      <c r="C12" s="1" t="n">
        <v>2024</v>
      </c>
      <c r="D12" s="3" t="n">
        <v>45385</v>
      </c>
      <c r="G12" s="1" t="str">
        <f aca="false">"INSERT INTO BOLETIM (blt_numero, blt_ano, blt_data_lev, blt_data_cad) VALUES ("&amp;B12&amp;", "&amp;C12&amp;", TO_DATE('"&amp;TEXT(D12,"DD/MM/AAAA")&amp;"', 'DD/MM/YYYY'), SYSDATE);"</f>
        <v>INSERT INTO BOLETIM (blt_numero, blt_ano, blt_data_lev, blt_data_cad) VALUES (47, 2024, TO_DATE('03/04/2024', 'DD/MM/YYYY'), SYSDATE);</v>
      </c>
    </row>
    <row r="13" customFormat="false" ht="14.25" hidden="false" customHeight="false" outlineLevel="0" collapsed="false">
      <c r="A13" s="1" t="n">
        <v>12</v>
      </c>
      <c r="B13" s="1" t="n">
        <v>48</v>
      </c>
      <c r="C13" s="1" t="n">
        <v>2024</v>
      </c>
      <c r="D13" s="3" t="n">
        <v>45392</v>
      </c>
      <c r="G13" s="1" t="str">
        <f aca="false">"INSERT INTO BOLETIM (blt_numero, blt_ano, blt_data_lev, blt_data_cad) VALUES ("&amp;B13&amp;", "&amp;C13&amp;", TO_DATE('"&amp;TEXT(D13,"DD/MM/AAAA")&amp;"', 'DD/MM/YYYY'), SYSDATE);"</f>
        <v>INSERT INTO BOLETIM (blt_numero, blt_ano, blt_data_lev, blt_data_cad) VALUES (48, 2024, TO_DATE('10/04/2024', 'DD/MM/YYYY'), SYSDATE);</v>
      </c>
    </row>
    <row r="14" customFormat="false" ht="14.25" hidden="false" customHeight="false" outlineLevel="0" collapsed="false">
      <c r="A14" s="1" t="n">
        <v>13</v>
      </c>
      <c r="B14" s="1" t="n">
        <v>49</v>
      </c>
      <c r="C14" s="1" t="n">
        <v>2024</v>
      </c>
      <c r="D14" s="3" t="n">
        <v>45399</v>
      </c>
      <c r="G14" s="1" t="str">
        <f aca="false">"INSERT INTO BOLETIM (blt_numero, blt_ano, blt_data_lev, blt_data_cad) VALUES ("&amp;B14&amp;", "&amp;C14&amp;", TO_DATE('"&amp;TEXT(D14,"DD/MM/AAAA")&amp;"', 'DD/MM/YYYY'), SYSDATE);"</f>
        <v>INSERT INTO BOLETIM (blt_numero, blt_ano, blt_data_lev, blt_data_cad) VALUES (49, 2024, TO_DATE('17/04/2024', 'DD/MM/YYYY'), SYSDATE);</v>
      </c>
    </row>
    <row r="15" customFormat="false" ht="14.25" hidden="false" customHeight="false" outlineLevel="0" collapsed="false">
      <c r="A15" s="1" t="n">
        <v>14</v>
      </c>
      <c r="B15" s="1" t="n">
        <v>50</v>
      </c>
      <c r="C15" s="1" t="n">
        <v>2024</v>
      </c>
      <c r="D15" s="3" t="n">
        <v>45406</v>
      </c>
      <c r="G15" s="1" t="str">
        <f aca="false">"INSERT INTO BOLETIM (blt_numero, blt_ano, blt_data_lev, blt_data_cad) VALUES ("&amp;B15&amp;", "&amp;C15&amp;", TO_DATE('"&amp;TEXT(D15,"DD/MM/AAAA")&amp;"', 'DD/MM/YYYY'), SYSDATE);"</f>
        <v>INSERT INTO BOLETIM (blt_numero, blt_ano, blt_data_lev, blt_data_cad) VALUES (50, 2024, TO_DATE('24/04/2024', 'DD/MM/YYYY'), SYSDATE);</v>
      </c>
    </row>
    <row r="16" customFormat="false" ht="14.25" hidden="false" customHeight="false" outlineLevel="0" collapsed="false">
      <c r="A16" s="1" t="n">
        <v>15</v>
      </c>
      <c r="B16" s="1" t="n">
        <v>51</v>
      </c>
      <c r="C16" s="1" t="n">
        <v>2024</v>
      </c>
      <c r="D16" s="3" t="n">
        <v>45420</v>
      </c>
      <c r="G16" s="1" t="str">
        <f aca="false">"INSERT INTO BOLETIM (blt_numero, blt_ano, blt_data_lev, blt_data_cad) VALUES ("&amp;B16&amp;", "&amp;C16&amp;", TO_DATE('"&amp;TEXT(D16,"DD/MM/AAAA")&amp;"', 'DD/MM/YYYY'), SYSDATE);"</f>
        <v>INSERT INTO BOLETIM (blt_numero, blt_ano, blt_data_lev, blt_data_cad) VALUES (51, 2024, TO_DATE('08/05/2024', 'DD/MM/YYYY'), SYSDATE);</v>
      </c>
    </row>
    <row r="17" customFormat="false" ht="14.25" hidden="false" customHeight="false" outlineLevel="0" collapsed="false">
      <c r="A17" s="1" t="n">
        <v>16</v>
      </c>
      <c r="B17" s="1" t="n">
        <v>52</v>
      </c>
      <c r="C17" s="1" t="n">
        <v>2024</v>
      </c>
      <c r="D17" s="3" t="n">
        <v>45427</v>
      </c>
      <c r="G17" s="1" t="str">
        <f aca="false">"INSERT INTO BOLETIM (blt_numero, blt_ano, blt_data_lev, blt_data_cad) VALUES ("&amp;B17&amp;", "&amp;C17&amp;", TO_DATE('"&amp;TEXT(D17,"DD/MM/AAAA")&amp;"', 'DD/MM/YYYY'), SYSDATE);"</f>
        <v>INSERT INTO BOLETIM (blt_numero, blt_ano, blt_data_lev, blt_data_cad) VALUES (52, 2024, TO_DATE('15/05/2024', 'DD/MM/YYYY'), SYSDATE);</v>
      </c>
    </row>
    <row r="18" customFormat="false" ht="14.25" hidden="false" customHeight="false" outlineLevel="0" collapsed="false">
      <c r="A18" s="1" t="n">
        <v>17</v>
      </c>
      <c r="B18" s="1" t="n">
        <v>53</v>
      </c>
      <c r="C18" s="1" t="n">
        <v>2024</v>
      </c>
      <c r="D18" s="3" t="n">
        <v>45434</v>
      </c>
      <c r="G18" s="1" t="str">
        <f aca="false">"INSERT INTO BOLETIM (blt_numero, blt_ano, blt_data_lev, blt_data_cad) VALUES ("&amp;B18&amp;", "&amp;C18&amp;", TO_DATE('"&amp;TEXT(D18,"DD/MM/AAAA")&amp;"', 'DD/MM/YYYY'), SYSDATE);"</f>
        <v>INSERT INTO BOLETIM (blt_numero, blt_ano, blt_data_lev, blt_data_cad) VALUES (53, 2024, TO_DATE('22/05/2024', 'DD/MM/YYYY'), SYSDATE);</v>
      </c>
    </row>
    <row r="19" customFormat="false" ht="14.25" hidden="false" customHeight="false" outlineLevel="0" collapsed="false">
      <c r="A19" s="1" t="n">
        <v>18</v>
      </c>
      <c r="B19" s="1" t="n">
        <v>54</v>
      </c>
      <c r="C19" s="1" t="n">
        <v>2024</v>
      </c>
      <c r="D19" s="3" t="n">
        <v>45441</v>
      </c>
      <c r="G19" s="1" t="str">
        <f aca="false">"INSERT INTO BOLETIM (blt_numero, blt_ano, blt_data_lev, blt_data_cad) VALUES ("&amp;B19&amp;", "&amp;C19&amp;", TO_DATE('"&amp;TEXT(D19,"DD/MM/AAAA")&amp;"', 'DD/MM/YYYY'), SYSDATE);"</f>
        <v>INSERT INTO BOLETIM (blt_numero, blt_ano, blt_data_lev, blt_data_cad) VALUES (54, 2024, TO_DATE('29/05/2024', 'DD/MM/YYYY'), SYSDATE);</v>
      </c>
    </row>
    <row r="20" customFormat="false" ht="14.25" hidden="false" customHeight="false" outlineLevel="0" collapsed="false">
      <c r="A20" s="1" t="n">
        <v>19</v>
      </c>
      <c r="B20" s="1" t="n">
        <v>55</v>
      </c>
      <c r="C20" s="1" t="n">
        <v>2024</v>
      </c>
      <c r="D20" s="3" t="n">
        <v>45448</v>
      </c>
      <c r="G20" s="1" t="str">
        <f aca="false">"INSERT INTO BOLETIM (blt_numero, blt_ano, blt_data_lev, blt_data_cad) VALUES ("&amp;B20&amp;", "&amp;C20&amp;", TO_DATE('"&amp;TEXT(D20,"DD/MM/AAAA")&amp;"', 'DD/MM/YYYY'), SYSDATE);"</f>
        <v>INSERT INTO BOLETIM (blt_numero, blt_ano, blt_data_lev, blt_data_cad) VALUES (55, 2024, TO_DATE('05/06/2024', 'DD/MM/YYYY'), SYSDATE);</v>
      </c>
    </row>
    <row r="21" customFormat="false" ht="14.25" hidden="false" customHeight="false" outlineLevel="0" collapsed="false">
      <c r="A21" s="1" t="n">
        <v>20</v>
      </c>
      <c r="B21" s="1" t="n">
        <v>56</v>
      </c>
      <c r="C21" s="1" t="n">
        <v>2024</v>
      </c>
      <c r="D21" s="3" t="n">
        <v>45455</v>
      </c>
      <c r="G21" s="1" t="str">
        <f aca="false">"INSERT INTO BOLETIM (blt_numero, blt_ano, blt_data_lev, blt_data_cad) VALUES ("&amp;B21&amp;", "&amp;C21&amp;", TO_DATE('"&amp;TEXT(D21,"DD/MM/AAAA")&amp;"', 'DD/MM/YYYY'), SYSDATE);"</f>
        <v>INSERT INTO BOLETIM (blt_numero, blt_ano, blt_data_lev, blt_data_cad) VALUES (56, 2024, TO_DATE('12/06/2024', 'DD/MM/YYYY'), SYSDATE);</v>
      </c>
    </row>
    <row r="22" customFormat="false" ht="14.25" hidden="false" customHeight="false" outlineLevel="0" collapsed="false">
      <c r="A22" s="1" t="n">
        <v>21</v>
      </c>
      <c r="B22" s="1" t="n">
        <v>57</v>
      </c>
      <c r="C22" s="1" t="n">
        <v>2024</v>
      </c>
      <c r="D22" s="3" t="n">
        <v>45462</v>
      </c>
      <c r="G22" s="1" t="str">
        <f aca="false">"INSERT INTO BOLETIM (blt_numero, blt_ano, blt_data_lev, blt_data_cad) VALUES ("&amp;B22&amp;", "&amp;C22&amp;", TO_DATE('"&amp;TEXT(D22,"DD/MM/AAAA")&amp;"', 'DD/MM/YYYY'), SYSDATE);"</f>
        <v>INSERT INTO BOLETIM (blt_numero, blt_ano, blt_data_lev, blt_data_cad) VALUES (57, 2024, TO_DATE('19/06/2024', 'DD/MM/YYYY'), SYSDATE);</v>
      </c>
    </row>
    <row r="23" customFormat="false" ht="14.25" hidden="false" customHeight="false" outlineLevel="0" collapsed="false">
      <c r="A23" s="1" t="n">
        <v>22</v>
      </c>
      <c r="B23" s="1" t="n">
        <v>58</v>
      </c>
      <c r="C23" s="1" t="n">
        <v>2024</v>
      </c>
      <c r="D23" s="3" t="n">
        <v>45469</v>
      </c>
      <c r="G23" s="1" t="str">
        <f aca="false">"INSERT INTO BOLETIM (blt_numero, blt_ano, blt_data_lev, blt_data_cad) VALUES ("&amp;B23&amp;", "&amp;C23&amp;", TO_DATE('"&amp;TEXT(D23,"DD/MM/AAAA")&amp;"', 'DD/MM/YYYY'), SYSDATE);"</f>
        <v>INSERT INTO BOLETIM (blt_numero, blt_ano, blt_data_lev, blt_data_cad) VALUES (58, 2024, TO_DATE('26/06/2024', 'DD/MM/YYYY'), SYSDATE);</v>
      </c>
    </row>
    <row r="24" customFormat="false" ht="14.25" hidden="false" customHeight="false" outlineLevel="0" collapsed="false">
      <c r="A24" s="1" t="n">
        <v>23</v>
      </c>
      <c r="B24" s="1" t="n">
        <v>59</v>
      </c>
      <c r="C24" s="1" t="n">
        <v>2024</v>
      </c>
      <c r="D24" s="3" t="n">
        <v>45476</v>
      </c>
      <c r="G24" s="1" t="str">
        <f aca="false">"INSERT INTO BOLETIM (blt_numero, blt_ano, blt_data_lev, blt_data_cad) VALUES ("&amp;B24&amp;", "&amp;C24&amp;", TO_DATE('"&amp;TEXT(D24,"DD/MM/AAAA")&amp;"', 'DD/MM/YYYY'), SYSDATE);"</f>
        <v>INSERT INTO BOLETIM (blt_numero, blt_ano, blt_data_lev, blt_data_cad) VALUES (59, 2024, TO_DATE('03/07/2024', 'DD/MM/YYYY'), SYSDATE);</v>
      </c>
    </row>
    <row r="25" customFormat="false" ht="14.25" hidden="false" customHeight="false" outlineLevel="0" collapsed="false">
      <c r="A25" s="1" t="n">
        <v>24</v>
      </c>
      <c r="B25" s="1" t="n">
        <v>60</v>
      </c>
      <c r="C25" s="1" t="n">
        <v>2024</v>
      </c>
      <c r="D25" s="3" t="n">
        <v>45483</v>
      </c>
      <c r="G25" s="1" t="str">
        <f aca="false">"INSERT INTO BOLETIM (blt_numero, blt_ano, blt_data_lev, blt_data_cad) VALUES ("&amp;B25&amp;", "&amp;C25&amp;", TO_DATE('"&amp;TEXT(D25,"DD/MM/AAAA")&amp;"', 'DD/MM/YYYY'), SYSDATE);"</f>
        <v>INSERT INTO BOLETIM (blt_numero, blt_ano, blt_data_lev, blt_data_cad) VALUES (60, 2024, TO_DATE('10/07/2024', 'DD/MM/YYYY'), SYSDATE);</v>
      </c>
    </row>
    <row r="26" customFormat="false" ht="14.25" hidden="false" customHeight="false" outlineLevel="0" collapsed="false">
      <c r="A26" s="1" t="n">
        <v>25</v>
      </c>
      <c r="B26" s="1" t="n">
        <v>61</v>
      </c>
      <c r="C26" s="1" t="n">
        <v>2024</v>
      </c>
      <c r="D26" s="3" t="n">
        <v>45490</v>
      </c>
      <c r="G26" s="1" t="str">
        <f aca="false">"INSERT INTO BOLETIM (blt_numero, blt_ano, blt_data_lev, blt_data_cad) VALUES ("&amp;B26&amp;", "&amp;C26&amp;", TO_DATE('"&amp;TEXT(D26,"DD/MM/AAAA")&amp;"', 'DD/MM/YYYY'), SYSDATE);"</f>
        <v>INSERT INTO BOLETIM (blt_numero, blt_ano, blt_data_lev, blt_data_cad) VALUES (61, 2024, TO_DATE('17/07/2024', 'DD/MM/YYYY'), SYSDATE);</v>
      </c>
    </row>
    <row r="27" customFormat="false" ht="14.25" hidden="false" customHeight="false" outlineLevel="0" collapsed="false">
      <c r="A27" s="1" t="n">
        <v>26</v>
      </c>
      <c r="B27" s="1" t="n">
        <v>62</v>
      </c>
      <c r="C27" s="1" t="n">
        <v>2024</v>
      </c>
      <c r="D27" s="3" t="n">
        <v>45497</v>
      </c>
      <c r="G27" s="1" t="str">
        <f aca="false">"INSERT INTO BOLETIM (blt_numero, blt_ano, blt_data_lev, blt_data_cad) VALUES ("&amp;B27&amp;", "&amp;C27&amp;", TO_DATE('"&amp;TEXT(D27,"DD/MM/AAAA")&amp;"', 'DD/MM/YYYY'), SYSDATE);"</f>
        <v>INSERT INTO BOLETIM (blt_numero, blt_ano, blt_data_lev, blt_data_cad) VALUES (62, 2024, TO_DATE('24/07/2024', 'DD/MM/YYYY'), SYSDATE);</v>
      </c>
    </row>
    <row r="28" customFormat="false" ht="14.25" hidden="false" customHeight="false" outlineLevel="0" collapsed="false">
      <c r="A28" s="1" t="n">
        <v>27</v>
      </c>
      <c r="B28" s="1" t="n">
        <v>63</v>
      </c>
      <c r="C28" s="1" t="n">
        <v>2024</v>
      </c>
      <c r="D28" s="3" t="n">
        <v>45505</v>
      </c>
      <c r="G28" s="1" t="str">
        <f aca="false">"INSERT INTO BOLETIM (blt_numero, blt_ano, blt_data_lev, blt_data_cad) VALUES ("&amp;B28&amp;", "&amp;C28&amp;", TO_DATE('"&amp;TEXT(D28,"DD/MM/AAAA")&amp;"', 'DD/MM/YYYY'), SYSDATE);"</f>
        <v>INSERT INTO BOLETIM (blt_numero, blt_ano, blt_data_lev, blt_data_cad) VALUES (63, 2024, TO_DATE('01/08/2024', 'DD/MM/YYYY'), SYSDATE);</v>
      </c>
    </row>
    <row r="29" customFormat="false" ht="14.25" hidden="false" customHeight="false" outlineLevel="0" collapsed="false">
      <c r="A29" s="1" t="n">
        <v>28</v>
      </c>
      <c r="B29" s="1" t="n">
        <v>64</v>
      </c>
      <c r="C29" s="1" t="n">
        <v>2024</v>
      </c>
      <c r="D29" s="3" t="n">
        <v>45513</v>
      </c>
      <c r="G29" s="1" t="str">
        <f aca="false">"INSERT INTO BOLETIM (blt_numero, blt_ano, blt_data_lev, blt_data_cad) VALUES ("&amp;B29&amp;", "&amp;C29&amp;", TO_DATE('"&amp;TEXT(D29,"DD/MM/AAAA")&amp;"', 'DD/MM/YYYY'), SYSDATE);"</f>
        <v>INSERT INTO BOLETIM (blt_numero, blt_ano, blt_data_lev, blt_data_cad) VALUES (64, 2024, TO_DATE('09/08/2024', 'DD/MM/YYYY'), SYSDATE);</v>
      </c>
    </row>
    <row r="30" customFormat="false" ht="14.25" hidden="false" customHeight="false" outlineLevel="0" collapsed="false">
      <c r="A30" s="1" t="n">
        <v>29</v>
      </c>
      <c r="B30" s="1" t="n">
        <v>65</v>
      </c>
      <c r="C30" s="1" t="n">
        <v>2024</v>
      </c>
      <c r="D30" s="3" t="n">
        <v>45520</v>
      </c>
      <c r="G30" s="1" t="str">
        <f aca="false">"INSERT INTO BOLETIM (blt_numero, blt_ano, blt_data_lev, blt_data_cad) VALUES ("&amp;B30&amp;", "&amp;C30&amp;", TO_DATE('"&amp;TEXT(D30,"DD/MM/AAAA")&amp;"', 'DD/MM/YYYY'), SYSDATE);"</f>
        <v>INSERT INTO BOLETIM (blt_numero, blt_ano, blt_data_lev, blt_data_cad) VALUES (65, 2024, TO_DATE('16/08/2024', 'DD/MM/YYYY'), SYSDATE);</v>
      </c>
    </row>
    <row r="31" customFormat="false" ht="14.25" hidden="false" customHeight="false" outlineLevel="0" collapsed="false">
      <c r="A31" s="1" t="n">
        <v>30</v>
      </c>
      <c r="B31" s="1" t="n">
        <v>66</v>
      </c>
      <c r="C31" s="1" t="n">
        <v>2024</v>
      </c>
      <c r="D31" s="3" t="n">
        <v>45527</v>
      </c>
      <c r="G31" s="1" t="str">
        <f aca="false">"INSERT INTO BOLETIM (blt_numero, blt_ano, blt_data_lev, blt_data_cad) VALUES ("&amp;B31&amp;", "&amp;C31&amp;", TO_DATE('"&amp;TEXT(D31,"DD/MM/AAAA")&amp;"', 'DD/MM/YYYY'), SYSDATE);"</f>
        <v>INSERT INTO BOLETIM (blt_numero, blt_ano, blt_data_lev, blt_data_cad) VALUES (66, 2024, TO_DATE('23/08/2024', 'DD/MM/YYYY'), SYSDATE);</v>
      </c>
    </row>
    <row r="32" customFormat="false" ht="14.25" hidden="false" customHeight="false" outlineLevel="0" collapsed="false">
      <c r="A32" s="1" t="n">
        <v>31</v>
      </c>
      <c r="B32" s="1" t="n">
        <v>67</v>
      </c>
      <c r="C32" s="1" t="n">
        <v>2024</v>
      </c>
      <c r="D32" s="3" t="n">
        <v>45534</v>
      </c>
      <c r="G32" s="1" t="str">
        <f aca="false">"INSERT INTO BOLETIM (blt_numero, blt_ano, blt_data_lev, blt_data_cad) VALUES ("&amp;B32&amp;", "&amp;C32&amp;", TO_DATE('"&amp;TEXT(D32,"DD/MM/AAAA")&amp;"', 'DD/MM/YYYY'), SYSDATE);"</f>
        <v>INSERT INTO BOLETIM (blt_numero, blt_ano, blt_data_lev, blt_data_cad) VALUES (67, 2024, TO_DATE('30/08/2024', 'DD/MM/YYYY'), SYSDATE);</v>
      </c>
    </row>
    <row r="33" customFormat="false" ht="14.25" hidden="false" customHeight="false" outlineLevel="0" collapsed="false">
      <c r="A33" s="1" t="n">
        <v>32</v>
      </c>
      <c r="B33" s="1" t="n">
        <v>68</v>
      </c>
      <c r="C33" s="1" t="n">
        <v>2024</v>
      </c>
      <c r="D33" s="3" t="n">
        <v>45541</v>
      </c>
      <c r="G33" s="1" t="str">
        <f aca="false">"INSERT INTO BOLETIM (blt_numero, blt_ano, blt_data_lev, blt_data_cad) VALUES ("&amp;B33&amp;", "&amp;C33&amp;", TO_DATE('"&amp;TEXT(D33,"DD/MM/AAAA")&amp;"', 'DD/MM/YYYY'), SYSDATE);"</f>
        <v>INSERT INTO BOLETIM (blt_numero, blt_ano, blt_data_lev, blt_data_cad) VALUES (68, 2024, TO_DATE('06/09/2024', 'DD/MM/YYYY'), SYSDATE);</v>
      </c>
    </row>
    <row r="34" customFormat="false" ht="14.25" hidden="false" customHeight="false" outlineLevel="0" collapsed="false">
      <c r="A34" s="1" t="n">
        <v>33</v>
      </c>
      <c r="B34" s="1" t="n">
        <v>69</v>
      </c>
      <c r="C34" s="1" t="n">
        <v>2024</v>
      </c>
      <c r="D34" s="3" t="n">
        <v>45548</v>
      </c>
      <c r="G34" s="1" t="str">
        <f aca="false">"INSERT INTO BOLETIM (blt_numero, blt_ano, blt_data_lev, blt_data_cad) VALUES ("&amp;B34&amp;", "&amp;C34&amp;", TO_DATE('"&amp;TEXT(D34,"DD/MM/AAAA")&amp;"', 'DD/MM/YYYY'), SYSDATE);"</f>
        <v>INSERT INTO BOLETIM (blt_numero, blt_ano, blt_data_lev, blt_data_cad) VALUES (69, 2024, TO_DATE('13/09/2024', 'DD/MM/YYYY'), SYSDATE);</v>
      </c>
    </row>
    <row r="35" customFormat="false" ht="14.25" hidden="false" customHeight="false" outlineLevel="0" collapsed="false">
      <c r="A35" s="1" t="n">
        <v>34</v>
      </c>
      <c r="B35" s="1" t="n">
        <v>70</v>
      </c>
      <c r="C35" s="1" t="n">
        <v>2024</v>
      </c>
      <c r="D35" s="3" t="n">
        <v>45555</v>
      </c>
      <c r="G35" s="1" t="str">
        <f aca="false">"INSERT INTO BOLETIM (blt_numero, blt_ano, blt_data_lev, blt_data_cad) VALUES ("&amp;B35&amp;", "&amp;C35&amp;", TO_DATE('"&amp;TEXT(D35,"DD/MM/AAAA")&amp;"', 'DD/MM/YYYY'), SYSDATE);"</f>
        <v>INSERT INTO BOLETIM (blt_numero, blt_ano, blt_data_lev, blt_data_cad) VALUES (70, 2024, TO_DATE('20/09/2024', 'DD/MM/YYYY'), SYSDATE);</v>
      </c>
    </row>
    <row r="36" customFormat="false" ht="14.25" hidden="false" customHeight="false" outlineLevel="0" collapsed="false">
      <c r="A36" s="1" t="n">
        <v>35</v>
      </c>
      <c r="B36" s="1" t="n">
        <v>71</v>
      </c>
      <c r="C36" s="1" t="n">
        <v>2024</v>
      </c>
      <c r="D36" s="3" t="n">
        <v>45562</v>
      </c>
      <c r="G36" s="1" t="str">
        <f aca="false">"INSERT INTO BOLETIM (blt_numero, blt_ano, blt_data_lev, blt_data_cad) VALUES ("&amp;B36&amp;", "&amp;C36&amp;", TO_DATE('"&amp;TEXT(D36,"DD/MM/AAAA")&amp;"', 'DD/MM/YYYY'), SYSDATE);"</f>
        <v>INSERT INTO BOLETIM (blt_numero, blt_ano, blt_data_lev, blt_data_cad) VALUES (71, 2024, TO_DATE('27/09/2024', 'DD/MM/YYYY'), SYSDATE);</v>
      </c>
    </row>
    <row r="37" customFormat="false" ht="14.25" hidden="false" customHeight="false" outlineLevel="0" collapsed="false">
      <c r="A37" s="1" t="n">
        <v>36</v>
      </c>
      <c r="B37" s="1" t="n">
        <v>72</v>
      </c>
      <c r="C37" s="1" t="n">
        <v>2024</v>
      </c>
      <c r="D37" s="3" t="n">
        <v>45569</v>
      </c>
      <c r="G37" s="1" t="str">
        <f aca="false">"INSERT INTO BOLETIM (blt_numero, blt_ano, blt_data_lev, blt_data_cad) VALUES ("&amp;B37&amp;", "&amp;C37&amp;", TO_DATE('"&amp;TEXT(D37,"DD/MM/AAAA")&amp;"', 'DD/MM/YYYY'), SYSDATE);"</f>
        <v>INSERT INTO BOLETIM (blt_numero, blt_ano, blt_data_lev, blt_data_cad) VALUES (72, 2024, TO_DATE('04/10/2024', 'DD/MM/YYYY'), SYSDATE);</v>
      </c>
    </row>
    <row r="38" customFormat="false" ht="14.25" hidden="false" customHeight="false" outlineLevel="0" collapsed="false">
      <c r="A38" s="1" t="n">
        <v>37</v>
      </c>
      <c r="B38" s="1" t="n">
        <v>73</v>
      </c>
      <c r="C38" s="1" t="n">
        <v>2024</v>
      </c>
      <c r="D38" s="3" t="n">
        <v>45576</v>
      </c>
      <c r="G38" s="1" t="str">
        <f aca="false">"INSERT INTO BOLETIM (blt_numero, blt_ano, blt_data_lev, blt_data_cad) VALUES ("&amp;B38&amp;", "&amp;C38&amp;", TO_DATE('"&amp;TEXT(D38,"DD/MM/AAAA")&amp;"', 'DD/MM/YYYY'), SYSDATE);"</f>
        <v>INSERT INTO BOLETIM (blt_numero, blt_ano, blt_data_lev, blt_data_cad) VALUES (73, 2024, TO_DATE('11/10/2024', 'DD/MM/YYYY'), SYSDATE);</v>
      </c>
    </row>
    <row r="39" customFormat="false" ht="14.25" hidden="false" customHeight="false" outlineLevel="0" collapsed="false">
      <c r="A39" s="1" t="n">
        <v>38</v>
      </c>
      <c r="B39" s="1" t="n">
        <v>74</v>
      </c>
      <c r="C39" s="1" t="n">
        <v>2024</v>
      </c>
      <c r="D39" s="3" t="n">
        <v>45583</v>
      </c>
      <c r="G39" s="1" t="str">
        <f aca="false">"INSERT INTO BOLETIM (blt_numero, blt_ano, blt_data_lev, blt_data_cad) VALUES ("&amp;B39&amp;", "&amp;C39&amp;", TO_DATE('"&amp;TEXT(D39,"DD/MM/AAAA")&amp;"', 'DD/MM/YYYY'), SYSDATE);"</f>
        <v>INSERT INTO BOLETIM (blt_numero, blt_ano, blt_data_lev, blt_data_cad) VALUES (74, 2024, TO_DATE('18/10/2024', 'DD/MM/YYYY'), SYSDATE);</v>
      </c>
    </row>
    <row r="40" customFormat="false" ht="14.25" hidden="false" customHeight="false" outlineLevel="0" collapsed="false">
      <c r="A40" s="1" t="n">
        <v>39</v>
      </c>
      <c r="B40" s="1" t="n">
        <v>75</v>
      </c>
      <c r="C40" s="1" t="n">
        <v>2024</v>
      </c>
      <c r="D40" s="3" t="n">
        <v>45590</v>
      </c>
      <c r="G40" s="1" t="str">
        <f aca="false">"INSERT INTO BOLETIM (blt_numero, blt_ano, blt_data_lev, blt_data_cad) VALUES ("&amp;B40&amp;", "&amp;C40&amp;", TO_DATE('"&amp;TEXT(D40,"DD/MM/AAAA")&amp;"', 'DD/MM/YYYY'), SYSDATE);"</f>
        <v>INSERT INTO BOLETIM (blt_numero, blt_ano, blt_data_lev, blt_data_cad) VALUES (75, 2024, TO_DATE('25/10/2024', 'DD/MM/YYYY'), SYSDATE);</v>
      </c>
    </row>
    <row r="41" customFormat="false" ht="14.25" hidden="false" customHeight="false" outlineLevel="0" collapsed="false">
      <c r="A41" s="1" t="n">
        <v>40</v>
      </c>
      <c r="B41" s="1" t="n">
        <v>76</v>
      </c>
      <c r="C41" s="1" t="n">
        <v>2024</v>
      </c>
      <c r="D41" s="3" t="n">
        <v>45597</v>
      </c>
      <c r="G41" s="1" t="str">
        <f aca="false">"INSERT INTO BOLETIM (blt_numero, blt_ano, blt_data_lev, blt_data_cad) VALUES ("&amp;B41&amp;", "&amp;C41&amp;", TO_DATE('"&amp;TEXT(D41,"DD/MM/AAAA")&amp;"', 'DD/MM/YYYY'), SYSDATE);"</f>
        <v>INSERT INTO BOLETIM (blt_numero, blt_ano, blt_data_lev, blt_data_cad) VALUES (76, 2024, TO_DATE('01/11/2024', 'DD/MM/YYYY'), SYSDATE);</v>
      </c>
    </row>
    <row r="42" customFormat="false" ht="14.25" hidden="false" customHeight="false" outlineLevel="0" collapsed="false">
      <c r="A42" s="1" t="n">
        <v>41</v>
      </c>
      <c r="B42" s="1" t="n">
        <v>77</v>
      </c>
      <c r="C42" s="1" t="n">
        <v>2024</v>
      </c>
      <c r="D42" s="3" t="n">
        <v>45604</v>
      </c>
      <c r="G42" s="1" t="str">
        <f aca="false">"INSERT INTO BOLETIM (blt_numero, blt_ano, blt_data_lev, blt_data_cad) VALUES ("&amp;B42&amp;", "&amp;C42&amp;", TO_DATE('"&amp;TEXT(D42,"DD/MM/AAAA")&amp;"', 'DD/MM/YYYY'), SYSDATE);"</f>
        <v>INSERT INTO BOLETIM (blt_numero, blt_ano, blt_data_lev, blt_data_cad) VALUES (77, 2024, TO_DATE('08/11/2024', 'DD/MM/YYYY'), SYSDATE);</v>
      </c>
    </row>
    <row r="43" customFormat="false" ht="14.25" hidden="false" customHeight="false" outlineLevel="0" collapsed="false">
      <c r="A43" s="1" t="n">
        <v>42</v>
      </c>
      <c r="B43" s="1" t="n">
        <v>78</v>
      </c>
      <c r="C43" s="1" t="n">
        <v>2024</v>
      </c>
      <c r="D43" s="3" t="n">
        <v>45611</v>
      </c>
      <c r="G43" s="1" t="str">
        <f aca="false">"INSERT INTO BOLETIM (blt_numero, blt_ano, blt_data_lev, blt_data_cad) VALUES ("&amp;B43&amp;", "&amp;C43&amp;", TO_DATE('"&amp;TEXT(D43,"DD/MM/AAAA")&amp;"', 'DD/MM/YYYY'), SYSDATE);"</f>
        <v>INSERT INTO BOLETIM (blt_numero, blt_ano, blt_data_lev, blt_data_cad) VALUES (78, 2024, TO_DATE('15/11/2024', 'DD/MM/YYYY'), SYSDATE);</v>
      </c>
    </row>
    <row r="44" customFormat="false" ht="14.25" hidden="false" customHeight="false" outlineLevel="0" collapsed="false">
      <c r="A44" s="1" t="n">
        <v>43</v>
      </c>
      <c r="B44" s="1" t="n">
        <v>79</v>
      </c>
      <c r="C44" s="1" t="n">
        <v>2024</v>
      </c>
      <c r="D44" s="3" t="n">
        <v>45618</v>
      </c>
      <c r="G44" s="1" t="str">
        <f aca="false">"INSERT INTO BOLETIM (blt_numero, blt_ano, blt_data_lev, blt_data_cad) VALUES ("&amp;B44&amp;", "&amp;C44&amp;", TO_DATE('"&amp;TEXT(D44,"DD/MM/AAAA")&amp;"', 'DD/MM/YYYY'), SYSDATE);"</f>
        <v>INSERT INTO BOLETIM (blt_numero, blt_ano, blt_data_lev, blt_data_cad) VALUES (79, 2024, TO_DATE('22/11/2024', 'DD/MM/YYYY'), SYSDATE);</v>
      </c>
    </row>
    <row r="45" customFormat="false" ht="14.25" hidden="false" customHeight="false" outlineLevel="0" collapsed="false">
      <c r="A45" s="1" t="n">
        <v>44</v>
      </c>
      <c r="B45" s="1" t="n">
        <v>80</v>
      </c>
      <c r="C45" s="1" t="n">
        <v>2024</v>
      </c>
      <c r="D45" s="3" t="n">
        <v>45625</v>
      </c>
      <c r="G45" s="1" t="str">
        <f aca="false">"INSERT INTO BOLETIM (blt_numero, blt_ano, blt_data_lev, blt_data_cad) VALUES ("&amp;B45&amp;", "&amp;C45&amp;", TO_DATE('"&amp;TEXT(D45,"DD/MM/AAAA")&amp;"', 'DD/MM/YYYY'), SYSDATE);"</f>
        <v>INSERT INTO BOLETIM (blt_numero, blt_ano, blt_data_lev, blt_data_cad) VALUES (80, 2024, TO_DATE('29/11/2024', 'DD/MM/YYYY'), SYSDATE);</v>
      </c>
    </row>
    <row r="46" customFormat="false" ht="14.25" hidden="false" customHeight="false" outlineLevel="0" collapsed="false">
      <c r="A46" s="1" t="n">
        <v>45</v>
      </c>
      <c r="B46" s="1" t="n">
        <v>81</v>
      </c>
      <c r="C46" s="1" t="n">
        <v>2024</v>
      </c>
      <c r="D46" s="17" t="n">
        <v>45632</v>
      </c>
    </row>
    <row r="47" customFormat="false" ht="14.25" hidden="false" customHeight="false" outlineLevel="0" collapsed="false">
      <c r="A47" s="1" t="n">
        <v>46</v>
      </c>
      <c r="B47" s="1" t="n">
        <v>82</v>
      </c>
      <c r="C47" s="1" t="n">
        <v>2024</v>
      </c>
      <c r="D47" s="17" t="n">
        <v>45639</v>
      </c>
    </row>
    <row r="48" customFormat="false" ht="14.25" hidden="false" customHeight="false" outlineLevel="0" collapsed="false">
      <c r="A48" s="1" t="n">
        <v>47</v>
      </c>
      <c r="B48" s="1" t="n">
        <v>83</v>
      </c>
      <c r="C48" s="1" t="n">
        <v>2024</v>
      </c>
      <c r="D48" s="17" t="n">
        <v>45646</v>
      </c>
    </row>
    <row r="49" customFormat="false" ht="14.25" hidden="false" customHeight="false" outlineLevel="0" collapsed="false">
      <c r="A49" s="1" t="n">
        <v>48</v>
      </c>
      <c r="B49" s="1" t="n">
        <v>84</v>
      </c>
      <c r="C49" s="1" t="n">
        <v>2024</v>
      </c>
      <c r="D49" s="17" t="n">
        <v>45653</v>
      </c>
    </row>
    <row r="50" customFormat="false" ht="14.25" hidden="false" customHeight="false" outlineLevel="0" collapsed="false">
      <c r="A50" s="1" t="n">
        <v>49</v>
      </c>
      <c r="B50" s="1" t="n">
        <v>85</v>
      </c>
      <c r="C50" s="1" t="n">
        <v>2025</v>
      </c>
      <c r="D50" s="17" t="n">
        <v>45660</v>
      </c>
    </row>
    <row r="51" customFormat="false" ht="14.25" hidden="false" customHeight="false" outlineLevel="0" collapsed="false">
      <c r="A51" s="1" t="n">
        <v>50</v>
      </c>
      <c r="B51" s="1" t="n">
        <v>86</v>
      </c>
      <c r="C51" s="1" t="n">
        <v>2025</v>
      </c>
      <c r="D51" s="17" t="n">
        <v>45667</v>
      </c>
    </row>
    <row r="52" customFormat="false" ht="14.25" hidden="false" customHeight="false" outlineLevel="0" collapsed="false">
      <c r="A52" s="1" t="n">
        <v>51</v>
      </c>
      <c r="B52" s="1" t="n">
        <v>87</v>
      </c>
      <c r="C52" s="1" t="n">
        <v>2025</v>
      </c>
      <c r="D52" s="17" t="n">
        <v>45674</v>
      </c>
    </row>
    <row r="53" customFormat="false" ht="14.25" hidden="false" customHeight="false" outlineLevel="0" collapsed="false">
      <c r="A53" s="1" t="n">
        <v>52</v>
      </c>
      <c r="B53" s="1" t="n">
        <v>88</v>
      </c>
      <c r="C53" s="1" t="n">
        <v>2025</v>
      </c>
      <c r="D53" s="17" t="n">
        <v>45681</v>
      </c>
    </row>
    <row r="54" customFormat="false" ht="14.25" hidden="false" customHeight="false" outlineLevel="0" collapsed="false">
      <c r="A54" s="1" t="n">
        <v>53</v>
      </c>
      <c r="B54" s="1" t="n">
        <v>89</v>
      </c>
      <c r="C54" s="1" t="n">
        <v>2025</v>
      </c>
      <c r="D54" s="17" t="n">
        <v>45688</v>
      </c>
    </row>
    <row r="55" customFormat="false" ht="14.25" hidden="false" customHeight="false" outlineLevel="0" collapsed="false">
      <c r="A55" s="1" t="n">
        <v>54</v>
      </c>
      <c r="B55" s="1" t="n">
        <v>90</v>
      </c>
      <c r="C55" s="1" t="n">
        <v>2025</v>
      </c>
      <c r="D55" s="17" t="n">
        <v>45695</v>
      </c>
    </row>
    <row r="56" customFormat="false" ht="14.25" hidden="false" customHeight="false" outlineLevel="0" collapsed="false">
      <c r="A56" s="1" t="n">
        <v>55</v>
      </c>
      <c r="B56" s="1" t="n">
        <v>91</v>
      </c>
      <c r="C56" s="1" t="n">
        <v>2025</v>
      </c>
      <c r="D56" s="17" t="n">
        <v>45702</v>
      </c>
    </row>
    <row r="57" customFormat="false" ht="14.25" hidden="false" customHeight="false" outlineLevel="0" collapsed="false">
      <c r="A57" s="1" t="n">
        <v>56</v>
      </c>
      <c r="B57" s="1" t="n">
        <v>92</v>
      </c>
      <c r="C57" s="1" t="n">
        <v>2025</v>
      </c>
      <c r="D57" s="17" t="n">
        <v>45709</v>
      </c>
    </row>
    <row r="58" customFormat="false" ht="14.25" hidden="false" customHeight="false" outlineLevel="0" collapsed="false">
      <c r="A58" s="1" t="n">
        <v>57</v>
      </c>
      <c r="B58" s="1" t="n">
        <v>93</v>
      </c>
      <c r="C58" s="1" t="n">
        <v>2025</v>
      </c>
      <c r="D58" s="17" t="n">
        <v>45716</v>
      </c>
    </row>
    <row r="59" customFormat="false" ht="14.25" hidden="false" customHeight="false" outlineLevel="0" collapsed="false">
      <c r="A59" s="1" t="n">
        <v>58</v>
      </c>
      <c r="B59" s="1" t="n">
        <v>94</v>
      </c>
      <c r="C59" s="1" t="n">
        <v>2025</v>
      </c>
      <c r="D59" s="17" t="n">
        <v>45723</v>
      </c>
    </row>
    <row r="60" customFormat="false" ht="14.25" hidden="false" customHeight="false" outlineLevel="0" collapsed="false">
      <c r="A60" s="1" t="n">
        <v>59</v>
      </c>
      <c r="B60" s="1" t="n">
        <v>95</v>
      </c>
      <c r="C60" s="1" t="n">
        <v>2025</v>
      </c>
      <c r="D60" s="17" t="n">
        <v>45730</v>
      </c>
    </row>
    <row r="61" customFormat="false" ht="14.25" hidden="false" customHeight="false" outlineLevel="0" collapsed="false">
      <c r="A61" s="1" t="n">
        <v>60</v>
      </c>
      <c r="B61" s="1" t="n">
        <v>96</v>
      </c>
      <c r="C61" s="1" t="n">
        <v>2025</v>
      </c>
      <c r="D61" s="17" t="n">
        <v>45737</v>
      </c>
    </row>
    <row r="62" customFormat="false" ht="14.25" hidden="false" customHeight="false" outlineLevel="0" collapsed="false">
      <c r="A62" s="1" t="n">
        <v>61</v>
      </c>
      <c r="B62" s="1" t="n">
        <v>97</v>
      </c>
      <c r="C62" s="1" t="n">
        <v>2025</v>
      </c>
      <c r="D62" s="17" t="n">
        <v>45744</v>
      </c>
    </row>
    <row r="63" customFormat="false" ht="14.25" hidden="false" customHeight="false" outlineLevel="0" collapsed="false">
      <c r="A63" s="1" t="n">
        <v>62</v>
      </c>
      <c r="B63" s="1" t="n">
        <v>98</v>
      </c>
      <c r="C63" s="1" t="n">
        <v>2025</v>
      </c>
      <c r="D63" s="17" t="n">
        <v>45751</v>
      </c>
    </row>
    <row r="64" customFormat="false" ht="14.25" hidden="false" customHeight="false" outlineLevel="0" collapsed="false">
      <c r="A64" s="1" t="n">
        <v>63</v>
      </c>
      <c r="B64" s="1" t="n">
        <v>99</v>
      </c>
      <c r="C64" s="1" t="n">
        <v>2025</v>
      </c>
      <c r="D64" s="17" t="n">
        <v>45758</v>
      </c>
    </row>
    <row r="65" customFormat="false" ht="14.25" hidden="false" customHeight="false" outlineLevel="0" collapsed="false">
      <c r="A65" s="1" t="n">
        <v>64</v>
      </c>
      <c r="B65" s="1" t="n">
        <v>100</v>
      </c>
      <c r="C65" s="1" t="n">
        <v>2025</v>
      </c>
      <c r="D65" s="17" t="n">
        <v>45765</v>
      </c>
    </row>
    <row r="66" customFormat="false" ht="14.25" hidden="false" customHeight="false" outlineLevel="0" collapsed="false">
      <c r="A66" s="1" t="n">
        <v>65</v>
      </c>
      <c r="B66" s="1" t="n">
        <v>101</v>
      </c>
      <c r="C66" s="1" t="n">
        <v>2025</v>
      </c>
      <c r="D66" s="17" t="n">
        <v>45772</v>
      </c>
    </row>
    <row r="67" customFormat="false" ht="14.25" hidden="false" customHeight="false" outlineLevel="0" collapsed="false">
      <c r="A67" s="1" t="n">
        <v>66</v>
      </c>
      <c r="B67" s="1" t="n">
        <v>102</v>
      </c>
      <c r="C67" s="1" t="n">
        <v>2025</v>
      </c>
      <c r="D67" s="17" t="n">
        <v>45779</v>
      </c>
    </row>
    <row r="68" customFormat="false" ht="14.25" hidden="false" customHeight="false" outlineLevel="0" collapsed="false">
      <c r="A68" s="1" t="n">
        <v>67</v>
      </c>
      <c r="B68" s="1" t="n">
        <v>103</v>
      </c>
      <c r="C68" s="1" t="n">
        <v>2025</v>
      </c>
      <c r="D68" s="17" t="n">
        <v>45786</v>
      </c>
    </row>
    <row r="69" customFormat="false" ht="14.25" hidden="false" customHeight="false" outlineLevel="0" collapsed="false">
      <c r="A69" s="1" t="n">
        <v>68</v>
      </c>
      <c r="B69" s="1" t="n">
        <v>104</v>
      </c>
      <c r="C69" s="1" t="n">
        <v>2025</v>
      </c>
      <c r="D69" s="17" t="n">
        <v>45793</v>
      </c>
    </row>
    <row r="70" customFormat="false" ht="14.25" hidden="false" customHeight="false" outlineLevel="0" collapsed="false">
      <c r="A70" s="1" t="n">
        <v>69</v>
      </c>
      <c r="B70" s="1" t="n">
        <v>105</v>
      </c>
      <c r="C70" s="1" t="n">
        <v>2025</v>
      </c>
      <c r="D70" s="17" t="n">
        <v>45800</v>
      </c>
    </row>
    <row r="71" customFormat="false" ht="14.25" hidden="false" customHeight="false" outlineLevel="0" collapsed="false">
      <c r="A71" s="1" t="n">
        <v>70</v>
      </c>
      <c r="B71" s="1" t="n">
        <v>106</v>
      </c>
      <c r="C71" s="1" t="n">
        <v>2025</v>
      </c>
      <c r="D71" s="17" t="n">
        <v>45807</v>
      </c>
    </row>
    <row r="72" customFormat="false" ht="14.25" hidden="false" customHeight="false" outlineLevel="0" collapsed="false">
      <c r="A72" s="1" t="n">
        <v>71</v>
      </c>
      <c r="B72" s="1" t="n">
        <v>107</v>
      </c>
      <c r="C72" s="1" t="n">
        <v>2025</v>
      </c>
      <c r="D72" s="17" t="n">
        <v>45814</v>
      </c>
    </row>
    <row r="73" customFormat="false" ht="14.25" hidden="false" customHeight="false" outlineLevel="0" collapsed="false">
      <c r="A73" s="1" t="n">
        <v>72</v>
      </c>
      <c r="B73" s="1" t="n">
        <v>108</v>
      </c>
      <c r="C73" s="1" t="n">
        <v>2025</v>
      </c>
      <c r="D73" s="17" t="n">
        <v>45821</v>
      </c>
    </row>
    <row r="74" customFormat="false" ht="14.25" hidden="false" customHeight="false" outlineLevel="0" collapsed="false">
      <c r="A74" s="1" t="n">
        <v>73</v>
      </c>
      <c r="B74" s="1" t="n">
        <v>109</v>
      </c>
      <c r="C74" s="1" t="n">
        <v>2025</v>
      </c>
      <c r="D74" s="17" t="n">
        <v>45828</v>
      </c>
    </row>
    <row r="75" customFormat="false" ht="14.25" hidden="false" customHeight="false" outlineLevel="0" collapsed="false">
      <c r="A75" s="1" t="n">
        <v>74</v>
      </c>
      <c r="B75" s="1" t="n">
        <v>110</v>
      </c>
      <c r="C75" s="1" t="n">
        <v>2025</v>
      </c>
      <c r="D75" s="17" t="n">
        <v>45835</v>
      </c>
    </row>
    <row r="76" customFormat="false" ht="14.25" hidden="false" customHeight="false" outlineLevel="0" collapsed="false">
      <c r="A76" s="1" t="n">
        <v>75</v>
      </c>
      <c r="B76" s="1" t="n">
        <v>111</v>
      </c>
      <c r="C76" s="1" t="n">
        <v>2025</v>
      </c>
      <c r="D76" s="17" t="n">
        <v>45842</v>
      </c>
    </row>
    <row r="77" customFormat="false" ht="14.25" hidden="false" customHeight="false" outlineLevel="0" collapsed="false">
      <c r="A77" s="1" t="n">
        <v>76</v>
      </c>
      <c r="B77" s="1" t="n">
        <v>112</v>
      </c>
      <c r="C77" s="1" t="n">
        <v>2025</v>
      </c>
      <c r="D77" s="17" t="n">
        <v>45849</v>
      </c>
    </row>
    <row r="78" customFormat="false" ht="14.25" hidden="false" customHeight="false" outlineLevel="0" collapsed="false">
      <c r="A78" s="1" t="n">
        <v>77</v>
      </c>
      <c r="B78" s="1" t="n">
        <v>113</v>
      </c>
      <c r="C78" s="1" t="n">
        <v>2025</v>
      </c>
      <c r="D78" s="17" t="n">
        <v>45856</v>
      </c>
    </row>
    <row r="79" customFormat="false" ht="14.25" hidden="false" customHeight="false" outlineLevel="0" collapsed="false">
      <c r="A79" s="1" t="n">
        <v>78</v>
      </c>
      <c r="B79" s="1" t="n">
        <v>114</v>
      </c>
      <c r="C79" s="1" t="n">
        <v>2025</v>
      </c>
      <c r="D79" s="17" t="n">
        <v>45863</v>
      </c>
    </row>
    <row r="80" customFormat="false" ht="14.25" hidden="false" customHeight="false" outlineLevel="0" collapsed="false">
      <c r="A80" s="1" t="n">
        <v>79</v>
      </c>
      <c r="B80" s="1" t="n">
        <v>115</v>
      </c>
      <c r="C80" s="1" t="n">
        <v>2025</v>
      </c>
      <c r="D80" s="17" t="n">
        <v>45870</v>
      </c>
    </row>
    <row r="81" customFormat="false" ht="14.25" hidden="false" customHeight="false" outlineLevel="0" collapsed="false">
      <c r="A81" s="1" t="n">
        <v>80</v>
      </c>
      <c r="B81" s="1" t="n">
        <v>116</v>
      </c>
      <c r="C81" s="1" t="n">
        <v>2025</v>
      </c>
      <c r="D81" s="17" t="n">
        <v>45877</v>
      </c>
    </row>
    <row r="82" customFormat="false" ht="14.25" hidden="false" customHeight="false" outlineLevel="0" collapsed="false">
      <c r="A82" s="1" t="n">
        <v>81</v>
      </c>
      <c r="B82" s="1" t="n">
        <v>117</v>
      </c>
      <c r="C82" s="1" t="n">
        <v>2025</v>
      </c>
      <c r="D82" s="17" t="n">
        <v>45884</v>
      </c>
    </row>
    <row r="83" customFormat="false" ht="14.25" hidden="false" customHeight="false" outlineLevel="0" collapsed="false">
      <c r="A83" s="1" t="n">
        <v>82</v>
      </c>
      <c r="B83" s="1" t="n">
        <v>118</v>
      </c>
      <c r="C83" s="1" t="n">
        <v>2025</v>
      </c>
      <c r="D83" s="17" t="n">
        <v>45891</v>
      </c>
    </row>
    <row r="84" customFormat="false" ht="14.25" hidden="false" customHeight="false" outlineLevel="0" collapsed="false">
      <c r="A84" s="1" t="n">
        <v>83</v>
      </c>
      <c r="B84" s="1" t="n">
        <v>119</v>
      </c>
      <c r="C84" s="1" t="n">
        <v>2025</v>
      </c>
      <c r="D84" s="17" t="n">
        <v>45898</v>
      </c>
    </row>
    <row r="85" customFormat="false" ht="14.25" hidden="false" customHeight="false" outlineLevel="0" collapsed="false">
      <c r="A85" s="1" t="n">
        <v>84</v>
      </c>
      <c r="B85" s="1" t="n">
        <v>120</v>
      </c>
      <c r="C85" s="1" t="n">
        <v>2025</v>
      </c>
      <c r="D85" s="17" t="n">
        <v>45905</v>
      </c>
    </row>
    <row r="86" customFormat="false" ht="14.25" hidden="false" customHeight="false" outlineLevel="0" collapsed="false">
      <c r="A86" s="1" t="n">
        <v>85</v>
      </c>
      <c r="B86" s="1" t="n">
        <v>121</v>
      </c>
      <c r="C86" s="1" t="n">
        <v>2025</v>
      </c>
      <c r="D86" s="17" t="n">
        <v>45912</v>
      </c>
    </row>
    <row r="87" customFormat="false" ht="14.25" hidden="false" customHeight="false" outlineLevel="0" collapsed="false">
      <c r="A87" s="1" t="n">
        <v>86</v>
      </c>
      <c r="B87" s="1" t="n">
        <v>122</v>
      </c>
      <c r="C87" s="1" t="n">
        <v>2025</v>
      </c>
      <c r="D87" s="17" t="n">
        <v>45919</v>
      </c>
    </row>
    <row r="88" customFormat="false" ht="14.25" hidden="false" customHeight="false" outlineLevel="0" collapsed="false">
      <c r="A88" s="1" t="n">
        <v>87</v>
      </c>
      <c r="B88" s="1" t="n">
        <v>123</v>
      </c>
      <c r="C88" s="1" t="n">
        <v>2025</v>
      </c>
      <c r="D88" s="17" t="n">
        <v>45926</v>
      </c>
    </row>
    <row r="89" customFormat="false" ht="14.25" hidden="false" customHeight="false" outlineLevel="0" collapsed="false">
      <c r="A89" s="1" t="n">
        <v>88</v>
      </c>
      <c r="B89" s="1" t="n">
        <v>124</v>
      </c>
      <c r="C89" s="1" t="n">
        <v>2025</v>
      </c>
      <c r="D89" s="17" t="n">
        <v>45933</v>
      </c>
    </row>
    <row r="90" customFormat="false" ht="14.25" hidden="false" customHeight="false" outlineLevel="0" collapsed="false">
      <c r="A90" s="1" t="n">
        <v>89</v>
      </c>
      <c r="B90" s="1" t="n">
        <v>125</v>
      </c>
      <c r="C90" s="1" t="n">
        <v>2025</v>
      </c>
      <c r="D90" s="17" t="n">
        <v>45940</v>
      </c>
    </row>
    <row r="91" customFormat="false" ht="14.25" hidden="false" customHeight="false" outlineLevel="0" collapsed="false">
      <c r="A91" s="1" t="n">
        <v>90</v>
      </c>
      <c r="B91" s="1" t="n">
        <v>126</v>
      </c>
      <c r="C91" s="1" t="n">
        <v>2025</v>
      </c>
      <c r="D91" s="17" t="n">
        <v>45947</v>
      </c>
    </row>
    <row r="92" customFormat="false" ht="14.25" hidden="false" customHeight="false" outlineLevel="0" collapsed="false">
      <c r="A92" s="1" t="n">
        <v>91</v>
      </c>
      <c r="B92" s="1" t="n">
        <v>127</v>
      </c>
      <c r="C92" s="1" t="n">
        <v>2025</v>
      </c>
      <c r="D92" s="17" t="n">
        <v>45954</v>
      </c>
    </row>
    <row r="93" customFormat="false" ht="14.25" hidden="false" customHeight="false" outlineLevel="0" collapsed="false">
      <c r="A93" s="1" t="n">
        <v>92</v>
      </c>
      <c r="B93" s="1" t="n">
        <v>128</v>
      </c>
      <c r="C93" s="1" t="n">
        <v>2025</v>
      </c>
      <c r="D93" s="17" t="n">
        <v>45961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N6" activeCellId="0" sqref="N6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637</v>
      </c>
      <c r="B1" s="1" t="s">
        <v>679</v>
      </c>
      <c r="C1" s="1" t="s">
        <v>771</v>
      </c>
      <c r="D1" s="1" t="s">
        <v>778</v>
      </c>
      <c r="E1" s="1" t="s">
        <v>754</v>
      </c>
      <c r="F1" s="1" t="s">
        <v>779</v>
      </c>
    </row>
    <row r="2" customFormat="false" ht="14.25" hidden="false" customHeight="false" outlineLevel="0" collapsed="false">
      <c r="A2" s="1" t="n">
        <v>1</v>
      </c>
      <c r="B2" s="1" t="n">
        <v>1</v>
      </c>
      <c r="C2" s="1" t="n">
        <v>3</v>
      </c>
      <c r="D2" s="1" t="n">
        <v>1</v>
      </c>
      <c r="F2" s="18" t="n">
        <v>1</v>
      </c>
      <c r="H2" s="1" t="str">
        <f aca="false">"INSERT INTO PRODUTO_APRESENTACAO (prd_id, tap_id, pap_qtd, umd_id, pap_atv) VALUES ("&amp;B2&amp;", "&amp;C2&amp;", "&amp;D2&amp;", "&amp;E2&amp;", "&amp;F2&amp;");"</f>
        <v>INSERT INTO PRODUTO_APRESENTACAO (prd_id, tap_id, pap_qtd, umd_id, pap_atv) VALUES (1, 3, 1, , 1);</v>
      </c>
    </row>
    <row r="3" customFormat="false" ht="14.25" hidden="false" customHeight="false" outlineLevel="0" collapsed="false">
      <c r="A3" s="1" t="n">
        <v>2</v>
      </c>
      <c r="B3" s="1" t="n">
        <v>2</v>
      </c>
      <c r="C3" s="1" t="n">
        <v>3</v>
      </c>
      <c r="D3" s="1" t="n">
        <v>1</v>
      </c>
      <c r="F3" s="1" t="n">
        <v>1</v>
      </c>
      <c r="H3" s="1" t="str">
        <f aca="false">"INSERT INTO PRODUTO_APRESENTACAO (prd_id, tap_id, pap_qtd, umd_id, pap_atv) VALUES ("&amp;B3&amp;", "&amp;C3&amp;", "&amp;D3&amp;", "&amp;E3&amp;", "&amp;F3&amp;");"</f>
        <v>INSERT INTO PRODUTO_APRESENTACAO (prd_id, tap_id, pap_qtd, umd_id, pap_atv) VALUES (2, 3, 1, , 1);</v>
      </c>
    </row>
    <row r="4" customFormat="false" ht="14.25" hidden="false" customHeight="false" outlineLevel="0" collapsed="false">
      <c r="A4" s="1" t="n">
        <v>3</v>
      </c>
      <c r="B4" s="1" t="n">
        <v>3</v>
      </c>
      <c r="C4" s="1" t="n">
        <v>3</v>
      </c>
      <c r="D4" s="1" t="n">
        <v>1</v>
      </c>
      <c r="F4" s="1" t="n">
        <v>1</v>
      </c>
      <c r="H4" s="1" t="str">
        <f aca="false">"INSERT INTO PRODUTO_APRESENTACAO (prd_id, tap_id, pap_qtd, umd_id, pap_atv) VALUES ("&amp;B4&amp;", "&amp;C4&amp;", "&amp;D4&amp;", "&amp;E4&amp;", "&amp;F4&amp;");"</f>
        <v>INSERT INTO PRODUTO_APRESENTACAO (prd_id, tap_id, pap_qtd, umd_id, pap_atv) VALUES (3, 3, 1, , 1);</v>
      </c>
    </row>
    <row r="5" customFormat="false" ht="14.25" hidden="false" customHeight="false" outlineLevel="0" collapsed="false">
      <c r="A5" s="1" t="n">
        <v>4</v>
      </c>
      <c r="B5" s="1" t="n">
        <v>4</v>
      </c>
      <c r="C5" s="1" t="n">
        <v>3</v>
      </c>
      <c r="D5" s="1" t="n">
        <v>1</v>
      </c>
      <c r="F5" s="1" t="n">
        <v>1</v>
      </c>
      <c r="H5" s="1" t="str">
        <f aca="false">"INSERT INTO PRODUTO_APRESENTACAO (prd_id, tap_id, pap_qtd, umd_id, pap_atv) VALUES ("&amp;B5&amp;", "&amp;C5&amp;", "&amp;D5&amp;", "&amp;E5&amp;", "&amp;F5&amp;");"</f>
        <v>INSERT INTO PRODUTO_APRESENTACAO (prd_id, tap_id, pap_qtd, umd_id, pap_atv) VALUES (4, 3, 1, , 1);</v>
      </c>
    </row>
    <row r="6" customFormat="false" ht="14.25" hidden="false" customHeight="false" outlineLevel="0" collapsed="false">
      <c r="A6" s="1" t="n">
        <v>5</v>
      </c>
      <c r="B6" s="1" t="n">
        <v>5</v>
      </c>
      <c r="C6" s="1" t="n">
        <v>3</v>
      </c>
      <c r="D6" s="1" t="n">
        <v>1</v>
      </c>
      <c r="F6" s="1" t="n">
        <v>1</v>
      </c>
      <c r="H6" s="1" t="str">
        <f aca="false">"INSERT INTO PRODUTO_APRESENTACAO (prd_id, tap_id, pap_qtd, umd_id, pap_atv) VALUES ("&amp;B6&amp;", "&amp;C6&amp;", "&amp;D6&amp;", "&amp;E6&amp;", "&amp;F6&amp;");"</f>
        <v>INSERT INTO PRODUTO_APRESENTACAO (prd_id, tap_id, pap_qtd, umd_id, pap_atv) VALUES (5, 3, 1, , 1);</v>
      </c>
    </row>
    <row r="7" customFormat="false" ht="14.25" hidden="false" customHeight="false" outlineLevel="0" collapsed="false">
      <c r="A7" s="1" t="n">
        <v>6</v>
      </c>
      <c r="B7" s="1" t="n">
        <v>6</v>
      </c>
      <c r="C7" s="1" t="n">
        <v>3</v>
      </c>
      <c r="D7" s="1" t="n">
        <v>1</v>
      </c>
      <c r="F7" s="1" t="n">
        <v>1</v>
      </c>
      <c r="H7" s="1" t="str">
        <f aca="false">"INSERT INTO PRODUTO_APRESENTACAO (prd_id, tap_id, pap_qtd, umd_id, pap_atv) VALUES ("&amp;B7&amp;", "&amp;C7&amp;", "&amp;D7&amp;", "&amp;E7&amp;", "&amp;F7&amp;");"</f>
        <v>INSERT INTO PRODUTO_APRESENTACAO (prd_id, tap_id, pap_qtd, umd_id, pap_atv) VALUES (6, 3, 1, , 1);</v>
      </c>
    </row>
    <row r="8" customFormat="false" ht="14.25" hidden="false" customHeight="false" outlineLevel="0" collapsed="false">
      <c r="A8" s="1" t="n">
        <v>7</v>
      </c>
      <c r="B8" s="1" t="n">
        <v>7</v>
      </c>
      <c r="C8" s="1" t="n">
        <v>3</v>
      </c>
      <c r="D8" s="1" t="n">
        <v>1</v>
      </c>
      <c r="F8" s="1" t="n">
        <v>1</v>
      </c>
      <c r="H8" s="1" t="str">
        <f aca="false">"INSERT INTO PRODUTO_APRESENTACAO (prd_id, tap_id, pap_qtd, umd_id, pap_atv) VALUES ("&amp;B8&amp;", "&amp;C8&amp;", "&amp;D8&amp;", "&amp;E8&amp;", "&amp;F8&amp;");"</f>
        <v>INSERT INTO PRODUTO_APRESENTACAO (prd_id, tap_id, pap_qtd, umd_id, pap_atv) VALUES (7, 3, 1, , 1);</v>
      </c>
    </row>
    <row r="9" customFormat="false" ht="14.25" hidden="false" customHeight="false" outlineLevel="0" collapsed="false">
      <c r="A9" s="1" t="n">
        <v>8</v>
      </c>
      <c r="B9" s="1" t="n">
        <v>8</v>
      </c>
      <c r="C9" s="1" t="n">
        <v>3</v>
      </c>
      <c r="D9" s="1" t="n">
        <v>1</v>
      </c>
      <c r="F9" s="1" t="n">
        <v>1</v>
      </c>
      <c r="H9" s="1" t="str">
        <f aca="false">"INSERT INTO PRODUTO_APRESENTACAO (prd_id, tap_id, pap_qtd, umd_id, pap_atv) VALUES ("&amp;B9&amp;", "&amp;C9&amp;", "&amp;D9&amp;", "&amp;E9&amp;", "&amp;F9&amp;");"</f>
        <v>INSERT INTO PRODUTO_APRESENTACAO (prd_id, tap_id, pap_qtd, umd_id, pap_atv) VALUES (8, 3, 1, , 1);</v>
      </c>
    </row>
    <row r="10" customFormat="false" ht="14.25" hidden="false" customHeight="false" outlineLevel="0" collapsed="false">
      <c r="A10" s="1" t="n">
        <v>9</v>
      </c>
      <c r="B10" s="1" t="n">
        <v>9</v>
      </c>
      <c r="C10" s="1" t="n">
        <v>3</v>
      </c>
      <c r="D10" s="1" t="n">
        <v>1</v>
      </c>
      <c r="F10" s="1" t="n">
        <v>1</v>
      </c>
      <c r="H10" s="1" t="str">
        <f aca="false">"INSERT INTO PRODUTO_APRESENTACAO (prd_id, tap_id, pap_qtd, umd_id, pap_atv) VALUES ("&amp;B10&amp;", "&amp;C10&amp;", "&amp;D10&amp;", "&amp;E10&amp;", "&amp;F10&amp;");"</f>
        <v>INSERT INTO PRODUTO_APRESENTACAO (prd_id, tap_id, pap_qtd, umd_id, pap_atv) VALUES (9, 3, 1, , 1);</v>
      </c>
    </row>
    <row r="11" customFormat="false" ht="14.25" hidden="false" customHeight="false" outlineLevel="0" collapsed="false">
      <c r="A11" s="1" t="n">
        <v>10</v>
      </c>
      <c r="B11" s="1" t="n">
        <v>10</v>
      </c>
      <c r="C11" s="1" t="n">
        <v>3</v>
      </c>
      <c r="D11" s="1" t="n">
        <v>1</v>
      </c>
      <c r="F11" s="1" t="n">
        <v>1</v>
      </c>
      <c r="H11" s="1" t="str">
        <f aca="false">"INSERT INTO PRODUTO_APRESENTACAO (prd_id, tap_id, pap_qtd, umd_id, pap_atv) VALUES ("&amp;B11&amp;", "&amp;C11&amp;", "&amp;D11&amp;", "&amp;E11&amp;", "&amp;F11&amp;");"</f>
        <v>INSERT INTO PRODUTO_APRESENTACAO (prd_id, tap_id, pap_qtd, umd_id, pap_atv) VALUES (10, 3, 1, , 1);</v>
      </c>
    </row>
    <row r="12" customFormat="false" ht="14.25" hidden="false" customHeight="false" outlineLevel="0" collapsed="false">
      <c r="A12" s="1" t="n">
        <v>11</v>
      </c>
      <c r="B12" s="1" t="n">
        <v>11</v>
      </c>
      <c r="C12" s="1" t="n">
        <v>3</v>
      </c>
      <c r="D12" s="1" t="n">
        <v>1</v>
      </c>
      <c r="F12" s="1" t="n">
        <v>1</v>
      </c>
      <c r="H12" s="1" t="str">
        <f aca="false">"INSERT INTO PRODUTO_APRESENTACAO (prd_id, tap_id, pap_qtd, umd_id, pap_atv) VALUES ("&amp;B12&amp;", "&amp;C12&amp;", "&amp;D12&amp;", "&amp;E12&amp;", "&amp;F12&amp;");"</f>
        <v>INSERT INTO PRODUTO_APRESENTACAO (prd_id, tap_id, pap_qtd, umd_id, pap_atv) VALUES (11, 3, 1, , 1);</v>
      </c>
    </row>
    <row r="13" customFormat="false" ht="14.25" hidden="false" customHeight="false" outlineLevel="0" collapsed="false">
      <c r="A13" s="1" t="n">
        <v>12</v>
      </c>
      <c r="B13" s="1" t="n">
        <v>12</v>
      </c>
      <c r="C13" s="1" t="n">
        <v>3</v>
      </c>
      <c r="D13" s="1" t="n">
        <v>1</v>
      </c>
      <c r="F13" s="1" t="n">
        <v>1</v>
      </c>
      <c r="H13" s="1" t="str">
        <f aca="false">"INSERT INTO PRODUTO_APRESENTACAO (prd_id, tap_id, pap_qtd, umd_id, pap_atv) VALUES ("&amp;B13&amp;", "&amp;C13&amp;", "&amp;D13&amp;", "&amp;E13&amp;", "&amp;F13&amp;");"</f>
        <v>INSERT INTO PRODUTO_APRESENTACAO (prd_id, tap_id, pap_qtd, umd_id, pap_atv) VALUES (12, 3, 1, , 1);</v>
      </c>
    </row>
    <row r="14" customFormat="false" ht="14.25" hidden="false" customHeight="false" outlineLevel="0" collapsed="false">
      <c r="A14" s="1" t="n">
        <v>13</v>
      </c>
      <c r="B14" s="1" t="n">
        <v>13</v>
      </c>
      <c r="C14" s="1" t="n">
        <v>2</v>
      </c>
      <c r="D14" s="1" t="n">
        <v>12</v>
      </c>
      <c r="F14" s="1" t="n">
        <v>1</v>
      </c>
      <c r="H14" s="1" t="str">
        <f aca="false">"INSERT INTO PRODUTO_APRESENTACAO (prd_id, tap_id, pap_qtd, umd_id, pap_atv) VALUES ("&amp;B14&amp;", "&amp;C14&amp;", "&amp;D14&amp;", "&amp;E14&amp;", "&amp;F14&amp;");"</f>
        <v>INSERT INTO PRODUTO_APRESENTACAO (prd_id, tap_id, pap_qtd, umd_id, pap_atv) VALUES (13, 2, 12, , 1);</v>
      </c>
    </row>
    <row r="15" customFormat="false" ht="14.25" hidden="false" customHeight="false" outlineLevel="0" collapsed="false">
      <c r="A15" s="1" t="n">
        <v>14</v>
      </c>
      <c r="B15" s="1" t="n">
        <v>14</v>
      </c>
      <c r="C15" s="1" t="n">
        <v>3</v>
      </c>
      <c r="D15" s="1" t="n">
        <v>1</v>
      </c>
      <c r="F15" s="1" t="n">
        <v>1</v>
      </c>
      <c r="H15" s="1" t="str">
        <f aca="false">"INSERT INTO PRODUTO_APRESENTACAO (prd_id, tap_id, pap_qtd, umd_id, pap_atv) VALUES ("&amp;B15&amp;", "&amp;C15&amp;", "&amp;D15&amp;", "&amp;E15&amp;", "&amp;F15&amp;");"</f>
        <v>INSERT INTO PRODUTO_APRESENTACAO (prd_id, tap_id, pap_qtd, umd_id, pap_atv) VALUES (14, 3, 1, , 1);</v>
      </c>
    </row>
    <row r="16" customFormat="false" ht="14.25" hidden="false" customHeight="false" outlineLevel="0" collapsed="false">
      <c r="A16" s="1" t="n">
        <v>15</v>
      </c>
      <c r="B16" s="1" t="n">
        <v>15</v>
      </c>
      <c r="C16" s="1" t="n">
        <v>3</v>
      </c>
      <c r="D16" s="1" t="n">
        <v>1</v>
      </c>
      <c r="F16" s="1" t="n">
        <v>1</v>
      </c>
      <c r="H16" s="1" t="str">
        <f aca="false">"INSERT INTO PRODUTO_APRESENTACAO (prd_id, tap_id, pap_qtd, umd_id, pap_atv) VALUES ("&amp;B16&amp;", "&amp;C16&amp;", "&amp;D16&amp;", "&amp;E16&amp;", "&amp;F16&amp;");"</f>
        <v>INSERT INTO PRODUTO_APRESENTACAO (prd_id, tap_id, pap_qtd, umd_id, pap_atv) VALUES (15, 3, 1, , 1);</v>
      </c>
    </row>
    <row r="17" customFormat="false" ht="14.25" hidden="false" customHeight="false" outlineLevel="0" collapsed="false">
      <c r="A17" s="1" t="n">
        <v>16</v>
      </c>
      <c r="B17" s="1" t="n">
        <v>16</v>
      </c>
      <c r="C17" s="1" t="n">
        <v>3</v>
      </c>
      <c r="D17" s="1" t="n">
        <v>1</v>
      </c>
      <c r="F17" s="1" t="n">
        <v>1</v>
      </c>
      <c r="H17" s="1" t="str">
        <f aca="false">"INSERT INTO PRODUTO_APRESENTACAO (prd_id, tap_id, pap_qtd, umd_id, pap_atv) VALUES ("&amp;B17&amp;", "&amp;C17&amp;", "&amp;D17&amp;", "&amp;E17&amp;", "&amp;F17&amp;");"</f>
        <v>INSERT INTO PRODUTO_APRESENTACAO (prd_id, tap_id, pap_qtd, umd_id, pap_atv) VALUES (16, 3, 1, , 1);</v>
      </c>
    </row>
    <row r="18" customFormat="false" ht="14.25" hidden="false" customHeight="false" outlineLevel="0" collapsed="false">
      <c r="A18" s="1" t="n">
        <v>17</v>
      </c>
      <c r="B18" s="1" t="n">
        <v>17</v>
      </c>
      <c r="C18" s="1" t="n">
        <v>2</v>
      </c>
      <c r="D18" s="1" t="n">
        <v>0.5</v>
      </c>
      <c r="E18" s="1" t="n">
        <v>1</v>
      </c>
      <c r="F18" s="1" t="n">
        <v>1</v>
      </c>
      <c r="H18" s="1" t="str">
        <f aca="false">"INSERT INTO PRODUTO_APRESENTACAO (prd_id, tap_id, pap_qtd, umd_id, pap_atv) VALUES ("&amp;B18&amp;", "&amp;C18&amp;", "&amp;D18&amp;", "&amp;E18&amp;", "&amp;F18&amp;");"</f>
        <v>INSERT INTO PRODUTO_APRESENTACAO (prd_id, tap_id, pap_qtd, umd_id, pap_atv) VALUES (17, 2, 0,5, 1, 1);</v>
      </c>
    </row>
    <row r="19" customFormat="false" ht="14.25" hidden="false" customHeight="false" outlineLevel="0" collapsed="false">
      <c r="A19" s="1" t="n">
        <v>18</v>
      </c>
      <c r="B19" s="1" t="n">
        <v>18</v>
      </c>
      <c r="C19" s="1" t="n">
        <v>2</v>
      </c>
      <c r="D19" s="1" t="n">
        <v>2</v>
      </c>
      <c r="E19" s="1" t="n">
        <v>1</v>
      </c>
      <c r="F19" s="1" t="n">
        <v>1</v>
      </c>
      <c r="H19" s="1" t="str">
        <f aca="false">"INSERT INTO PRODUTO_APRESENTACAO (prd_id, tap_id, pap_qtd, umd_id, pap_atv) VALUES ("&amp;B19&amp;", "&amp;C19&amp;", "&amp;D19&amp;", "&amp;E19&amp;", "&amp;F19&amp;");"</f>
        <v>INSERT INTO PRODUTO_APRESENTACAO (prd_id, tap_id, pap_qtd, umd_id, pap_atv) VALUES (18, 2, 2, 1, 1);</v>
      </c>
    </row>
    <row r="20" customFormat="false" ht="14.25" hidden="false" customHeight="false" outlineLevel="0" collapsed="false">
      <c r="A20" s="1" t="n">
        <v>19</v>
      </c>
      <c r="B20" s="1" t="n">
        <v>19</v>
      </c>
      <c r="C20" s="1" t="n">
        <v>2</v>
      </c>
      <c r="D20" s="1" t="n">
        <v>2</v>
      </c>
      <c r="E20" s="1" t="n">
        <v>1</v>
      </c>
      <c r="F20" s="1" t="n">
        <v>1</v>
      </c>
      <c r="H20" s="1" t="str">
        <f aca="false">"INSERT INTO PRODUTO_APRESENTACAO (prd_id, tap_id, pap_qtd, umd_id, pap_atv) VALUES ("&amp;B20&amp;", "&amp;C20&amp;", "&amp;D20&amp;", "&amp;E20&amp;", "&amp;F20&amp;");"</f>
        <v>INSERT INTO PRODUTO_APRESENTACAO (prd_id, tap_id, pap_qtd, umd_id, pap_atv) VALUES (19, 2, 2, 1, 1);</v>
      </c>
    </row>
    <row r="21" customFormat="false" ht="14.25" hidden="false" customHeight="false" outlineLevel="0" collapsed="false">
      <c r="A21" s="1" t="n">
        <v>20</v>
      </c>
      <c r="B21" s="1" t="n">
        <v>20</v>
      </c>
      <c r="C21" s="1" t="n">
        <v>1</v>
      </c>
      <c r="D21" s="1" t="n">
        <v>30</v>
      </c>
      <c r="E21" s="1" t="n">
        <v>1</v>
      </c>
      <c r="F21" s="1" t="n">
        <v>1</v>
      </c>
      <c r="H21" s="1" t="str">
        <f aca="false">"INSERT INTO PRODUTO_APRESENTACAO (prd_id, tap_id, pap_qtd, umd_id, pap_atv) VALUES ("&amp;B21&amp;", "&amp;C21&amp;", "&amp;D21&amp;", "&amp;E21&amp;", "&amp;F21&amp;");"</f>
        <v>INSERT INTO PRODUTO_APRESENTACAO (prd_id, tap_id, pap_qtd, umd_id, pap_atv) VALUES (20, 1, 30, 1, 1);</v>
      </c>
    </row>
    <row r="22" customFormat="false" ht="14.25" hidden="false" customHeight="false" outlineLevel="0" collapsed="false">
      <c r="A22" s="1" t="n">
        <v>21</v>
      </c>
      <c r="B22" s="1" t="n">
        <v>21</v>
      </c>
      <c r="C22" s="1" t="n">
        <v>1</v>
      </c>
      <c r="D22" s="1" t="n">
        <v>17</v>
      </c>
      <c r="E22" s="1" t="n">
        <v>1</v>
      </c>
      <c r="F22" s="1" t="n">
        <v>1</v>
      </c>
      <c r="H22" s="1" t="str">
        <f aca="false">"INSERT INTO PRODUTO_APRESENTACAO (prd_id, tap_id, pap_qtd, umd_id, pap_atv) VALUES ("&amp;B22&amp;", "&amp;C22&amp;", "&amp;D22&amp;", "&amp;E22&amp;", "&amp;F22&amp;");"</f>
        <v>INSERT INTO PRODUTO_APRESENTACAO (prd_id, tap_id, pap_qtd, umd_id, pap_atv) VALUES (21, 1, 17, 1, 1);</v>
      </c>
    </row>
    <row r="23" customFormat="false" ht="14.25" hidden="false" customHeight="false" outlineLevel="0" collapsed="false">
      <c r="A23" s="1" t="n">
        <v>22</v>
      </c>
      <c r="B23" s="1" t="n">
        <v>22</v>
      </c>
      <c r="C23" s="1" t="n">
        <v>1</v>
      </c>
      <c r="D23" s="1" t="n">
        <v>18</v>
      </c>
      <c r="E23" s="1" t="n">
        <v>1</v>
      </c>
      <c r="F23" s="1" t="n">
        <v>1</v>
      </c>
      <c r="H23" s="1" t="str">
        <f aca="false">"INSERT INTO PRODUTO_APRESENTACAO (prd_id, tap_id, pap_qtd, umd_id, pap_atv) VALUES ("&amp;B23&amp;", "&amp;C23&amp;", "&amp;D23&amp;", "&amp;E23&amp;", "&amp;F23&amp;");"</f>
        <v>INSERT INTO PRODUTO_APRESENTACAO (prd_id, tap_id, pap_qtd, umd_id, pap_atv) VALUES (22, 1, 18, 1, 1);</v>
      </c>
    </row>
    <row r="24" customFormat="false" ht="14.25" hidden="false" customHeight="false" outlineLevel="0" collapsed="false">
      <c r="A24" s="1" t="n">
        <v>23</v>
      </c>
      <c r="B24" s="1" t="n">
        <v>23</v>
      </c>
      <c r="C24" s="1" t="n">
        <v>1</v>
      </c>
      <c r="D24" s="1" t="n">
        <v>10</v>
      </c>
      <c r="E24" s="1" t="n">
        <v>1</v>
      </c>
      <c r="F24" s="1" t="n">
        <v>1</v>
      </c>
      <c r="H24" s="1" t="str">
        <f aca="false">"INSERT INTO PRODUTO_APRESENTACAO (prd_id, tap_id, pap_qtd, umd_id, pap_atv) VALUES ("&amp;B24&amp;", "&amp;C24&amp;", "&amp;D24&amp;", "&amp;E24&amp;", "&amp;F24&amp;");"</f>
        <v>INSERT INTO PRODUTO_APRESENTACAO (prd_id, tap_id, pap_qtd, umd_id, pap_atv) VALUES (23, 1, 10, 1, 1);</v>
      </c>
    </row>
    <row r="25" customFormat="false" ht="14.25" hidden="false" customHeight="false" outlineLevel="0" collapsed="false">
      <c r="A25" s="1" t="n">
        <v>24</v>
      </c>
      <c r="B25" s="1" t="n">
        <v>24</v>
      </c>
      <c r="C25" s="1" t="n">
        <v>1</v>
      </c>
      <c r="D25" s="1" t="n">
        <v>10</v>
      </c>
      <c r="E25" s="1" t="n">
        <v>1</v>
      </c>
      <c r="F25" s="1" t="n">
        <v>1</v>
      </c>
      <c r="H25" s="1" t="str">
        <f aca="false">"INSERT INTO PRODUTO_APRESENTACAO (prd_id, tap_id, pap_qtd, umd_id, pap_atv) VALUES ("&amp;B25&amp;", "&amp;C25&amp;", "&amp;D25&amp;", "&amp;E25&amp;", "&amp;F25&amp;");"</f>
        <v>INSERT INTO PRODUTO_APRESENTACAO (prd_id, tap_id, pap_qtd, umd_id, pap_atv) VALUES (24, 1, 10, 1, 1);</v>
      </c>
    </row>
    <row r="26" customFormat="false" ht="14.25" hidden="false" customHeight="false" outlineLevel="0" collapsed="false">
      <c r="A26" s="1" t="n">
        <v>25</v>
      </c>
      <c r="B26" s="1" t="n">
        <v>25</v>
      </c>
      <c r="C26" s="1" t="n">
        <v>1</v>
      </c>
      <c r="D26" s="1" t="n">
        <v>20</v>
      </c>
      <c r="E26" s="1" t="n">
        <v>1</v>
      </c>
      <c r="F26" s="1" t="n">
        <v>1</v>
      </c>
      <c r="H26" s="1" t="str">
        <f aca="false">"INSERT INTO PRODUTO_APRESENTACAO (prd_id, tap_id, pap_qtd, umd_id, pap_atv) VALUES ("&amp;B26&amp;", "&amp;C26&amp;", "&amp;D26&amp;", "&amp;E26&amp;", "&amp;F26&amp;");"</f>
        <v>INSERT INTO PRODUTO_APRESENTACAO (prd_id, tap_id, pap_qtd, umd_id, pap_atv) VALUES (25, 1, 20, 1, 1);</v>
      </c>
    </row>
    <row r="27" customFormat="false" ht="14.25" hidden="false" customHeight="false" outlineLevel="0" collapsed="false">
      <c r="A27" s="1" t="n">
        <v>26</v>
      </c>
      <c r="B27" s="1" t="n">
        <v>26</v>
      </c>
      <c r="C27" s="1" t="n">
        <v>1</v>
      </c>
      <c r="D27" s="1" t="n">
        <v>18</v>
      </c>
      <c r="E27" s="1" t="n">
        <v>1</v>
      </c>
      <c r="F27" s="1" t="n">
        <v>1</v>
      </c>
      <c r="H27" s="1" t="str">
        <f aca="false">"INSERT INTO PRODUTO_APRESENTACAO (prd_id, tap_id, pap_qtd, umd_id, pap_atv) VALUES ("&amp;B27&amp;", "&amp;C27&amp;", "&amp;D27&amp;", "&amp;E27&amp;", "&amp;F27&amp;");"</f>
        <v>INSERT INTO PRODUTO_APRESENTACAO (prd_id, tap_id, pap_qtd, umd_id, pap_atv) VALUES (26, 1, 18, 1, 1);</v>
      </c>
    </row>
    <row r="28" customFormat="false" ht="14.25" hidden="false" customHeight="false" outlineLevel="0" collapsed="false">
      <c r="A28" s="1" t="n">
        <v>27</v>
      </c>
      <c r="B28" s="1" t="n">
        <v>27</v>
      </c>
      <c r="C28" s="1" t="n">
        <v>1</v>
      </c>
      <c r="D28" s="1" t="n">
        <v>18</v>
      </c>
      <c r="E28" s="1" t="n">
        <v>1</v>
      </c>
      <c r="F28" s="1" t="n">
        <v>1</v>
      </c>
      <c r="H28" s="1" t="str">
        <f aca="false">"INSERT INTO PRODUTO_APRESENTACAO (prd_id, tap_id, pap_qtd, umd_id, pap_atv) VALUES ("&amp;B28&amp;", "&amp;C28&amp;", "&amp;D28&amp;", "&amp;E28&amp;", "&amp;F28&amp;");"</f>
        <v>INSERT INTO PRODUTO_APRESENTACAO (prd_id, tap_id, pap_qtd, umd_id, pap_atv) VALUES (27, 1, 18, 1, 1);</v>
      </c>
    </row>
    <row r="29" customFormat="false" ht="14.25" hidden="false" customHeight="false" outlineLevel="0" collapsed="false">
      <c r="A29" s="1" t="n">
        <v>28</v>
      </c>
      <c r="B29" s="1" t="n">
        <v>28</v>
      </c>
      <c r="C29" s="1" t="n">
        <v>1</v>
      </c>
      <c r="D29" s="1" t="n">
        <v>17</v>
      </c>
      <c r="E29" s="1" t="n">
        <v>1</v>
      </c>
      <c r="F29" s="1" t="n">
        <v>1</v>
      </c>
      <c r="H29" s="1" t="str">
        <f aca="false">"INSERT INTO PRODUTO_APRESENTACAO (prd_id, tap_id, pap_qtd, umd_id, pap_atv) VALUES ("&amp;B29&amp;", "&amp;C29&amp;", "&amp;D29&amp;", "&amp;E29&amp;", "&amp;F29&amp;");"</f>
        <v>INSERT INTO PRODUTO_APRESENTACAO (prd_id, tap_id, pap_qtd, umd_id, pap_atv) VALUES (28, 1, 17, 1, 1);</v>
      </c>
    </row>
    <row r="30" customFormat="false" ht="14.25" hidden="false" customHeight="false" outlineLevel="0" collapsed="false">
      <c r="A30" s="1" t="n">
        <v>29</v>
      </c>
      <c r="B30" s="1" t="n">
        <v>29</v>
      </c>
      <c r="C30" s="1" t="n">
        <v>1</v>
      </c>
      <c r="D30" s="1" t="n">
        <v>18</v>
      </c>
      <c r="E30" s="1" t="n">
        <v>1</v>
      </c>
      <c r="F30" s="1" t="n">
        <v>1</v>
      </c>
      <c r="H30" s="1" t="str">
        <f aca="false">"INSERT INTO PRODUTO_APRESENTACAO (prd_id, tap_id, pap_qtd, umd_id, pap_atv) VALUES ("&amp;B30&amp;", "&amp;C30&amp;", "&amp;D30&amp;", "&amp;E30&amp;", "&amp;F30&amp;");"</f>
        <v>INSERT INTO PRODUTO_APRESENTACAO (prd_id, tap_id, pap_qtd, umd_id, pap_atv) VALUES (29, 1, 18, 1, 1);</v>
      </c>
    </row>
    <row r="31" customFormat="false" ht="14.25" hidden="false" customHeight="false" outlineLevel="0" collapsed="false">
      <c r="A31" s="1" t="n">
        <v>30</v>
      </c>
      <c r="B31" s="1" t="n">
        <v>30</v>
      </c>
      <c r="C31" s="1" t="n">
        <v>1</v>
      </c>
      <c r="D31" s="1" t="n">
        <v>17</v>
      </c>
      <c r="E31" s="1" t="n">
        <v>1</v>
      </c>
      <c r="F31" s="1" t="n">
        <v>1</v>
      </c>
      <c r="H31" s="1" t="str">
        <f aca="false">"INSERT INTO PRODUTO_APRESENTACAO (prd_id, tap_id, pap_qtd, umd_id, pap_atv) VALUES ("&amp;B31&amp;", "&amp;C31&amp;", "&amp;D31&amp;", "&amp;E31&amp;", "&amp;F31&amp;");"</f>
        <v>INSERT INTO PRODUTO_APRESENTACAO (prd_id, tap_id, pap_qtd, umd_id, pap_atv) VALUES (30, 1, 17, 1, 1);</v>
      </c>
    </row>
    <row r="32" customFormat="false" ht="14.25" hidden="false" customHeight="false" outlineLevel="0" collapsed="false">
      <c r="A32" s="1" t="n">
        <v>31</v>
      </c>
      <c r="B32" s="1" t="n">
        <v>31</v>
      </c>
      <c r="C32" s="1" t="n">
        <v>1</v>
      </c>
      <c r="D32" s="1" t="n">
        <v>17</v>
      </c>
      <c r="E32" s="1" t="n">
        <v>1</v>
      </c>
      <c r="F32" s="1" t="n">
        <v>1</v>
      </c>
      <c r="H32" s="1" t="str">
        <f aca="false">"INSERT INTO PRODUTO_APRESENTACAO (prd_id, tap_id, pap_qtd, umd_id, pap_atv) VALUES ("&amp;B32&amp;", "&amp;C32&amp;", "&amp;D32&amp;", "&amp;E32&amp;", "&amp;F32&amp;");"</f>
        <v>INSERT INTO PRODUTO_APRESENTACAO (prd_id, tap_id, pap_qtd, umd_id, pap_atv) VALUES (31, 1, 17, 1, 1);</v>
      </c>
    </row>
    <row r="33" customFormat="false" ht="14.25" hidden="false" customHeight="false" outlineLevel="0" collapsed="false">
      <c r="A33" s="1" t="n">
        <v>32</v>
      </c>
      <c r="B33" s="1" t="n">
        <v>32</v>
      </c>
      <c r="C33" s="1" t="n">
        <v>1</v>
      </c>
      <c r="D33" s="1" t="n">
        <v>10</v>
      </c>
      <c r="E33" s="1" t="n">
        <v>1</v>
      </c>
      <c r="F33" s="1" t="n">
        <v>1</v>
      </c>
      <c r="H33" s="1" t="str">
        <f aca="false">"INSERT INTO PRODUTO_APRESENTACAO (prd_id, tap_id, pap_qtd, umd_id, pap_atv) VALUES ("&amp;B33&amp;", "&amp;C33&amp;", "&amp;D33&amp;", "&amp;E33&amp;", "&amp;F33&amp;");"</f>
        <v>INSERT INTO PRODUTO_APRESENTACAO (prd_id, tap_id, pap_qtd, umd_id, pap_atv) VALUES (32, 1, 10, 1, 1);</v>
      </c>
    </row>
    <row r="34" customFormat="false" ht="14.25" hidden="false" customHeight="false" outlineLevel="0" collapsed="false">
      <c r="A34" s="1" t="n">
        <v>33</v>
      </c>
      <c r="B34" s="1" t="n">
        <v>33</v>
      </c>
      <c r="C34" s="1" t="n">
        <v>1</v>
      </c>
      <c r="D34" s="1" t="n">
        <v>12</v>
      </c>
      <c r="E34" s="1" t="n">
        <v>1</v>
      </c>
      <c r="F34" s="1" t="n">
        <v>1</v>
      </c>
      <c r="H34" s="1" t="str">
        <f aca="false">"INSERT INTO PRODUTO_APRESENTACAO (prd_id, tap_id, pap_qtd, umd_id, pap_atv) VALUES ("&amp;B34&amp;", "&amp;C34&amp;", "&amp;D34&amp;", "&amp;E34&amp;", "&amp;F34&amp;");"</f>
        <v>INSERT INTO PRODUTO_APRESENTACAO (prd_id, tap_id, pap_qtd, umd_id, pap_atv) VALUES (33, 1, 12, 1, 1);</v>
      </c>
    </row>
    <row r="35" customFormat="false" ht="14.25" hidden="false" customHeight="false" outlineLevel="0" collapsed="false">
      <c r="A35" s="1" t="n">
        <v>34</v>
      </c>
      <c r="B35" s="1" t="n">
        <v>34</v>
      </c>
      <c r="C35" s="1" t="n">
        <v>1</v>
      </c>
      <c r="D35" s="1" t="n">
        <v>17</v>
      </c>
      <c r="E35" s="1" t="n">
        <v>1</v>
      </c>
      <c r="F35" s="1" t="n">
        <v>1</v>
      </c>
      <c r="H35" s="1" t="str">
        <f aca="false">"INSERT INTO PRODUTO_APRESENTACAO (prd_id, tap_id, pap_qtd, umd_id, pap_atv) VALUES ("&amp;B35&amp;", "&amp;C35&amp;", "&amp;D35&amp;", "&amp;E35&amp;", "&amp;F35&amp;");"</f>
        <v>INSERT INTO PRODUTO_APRESENTACAO (prd_id, tap_id, pap_qtd, umd_id, pap_atv) VALUES (34, 1, 17, 1, 1);</v>
      </c>
    </row>
    <row r="36" customFormat="false" ht="14.25" hidden="false" customHeight="false" outlineLevel="0" collapsed="false">
      <c r="A36" s="1" t="n">
        <v>35</v>
      </c>
      <c r="B36" s="1" t="n">
        <v>35</v>
      </c>
      <c r="C36" s="1" t="n">
        <v>1</v>
      </c>
      <c r="D36" s="1" t="n">
        <v>17</v>
      </c>
      <c r="E36" s="1" t="n">
        <v>1</v>
      </c>
      <c r="F36" s="1" t="n">
        <v>1</v>
      </c>
      <c r="H36" s="1" t="str">
        <f aca="false">"INSERT INTO PRODUTO_APRESENTACAO (prd_id, tap_id, pap_qtd, umd_id, pap_atv) VALUES ("&amp;B36&amp;", "&amp;C36&amp;", "&amp;D36&amp;", "&amp;E36&amp;", "&amp;F36&amp;");"</f>
        <v>INSERT INTO PRODUTO_APRESENTACAO (prd_id, tap_id, pap_qtd, umd_id, pap_atv) VALUES (35, 1, 17, 1, 1);</v>
      </c>
    </row>
    <row r="37" customFormat="false" ht="14.25" hidden="false" customHeight="false" outlineLevel="0" collapsed="false">
      <c r="A37" s="1" t="n">
        <v>36</v>
      </c>
      <c r="B37" s="1" t="n">
        <v>36</v>
      </c>
      <c r="C37" s="1" t="n">
        <v>1</v>
      </c>
      <c r="D37" s="1" t="n">
        <v>17</v>
      </c>
      <c r="E37" s="1" t="n">
        <v>1</v>
      </c>
      <c r="F37" s="1" t="n">
        <v>1</v>
      </c>
      <c r="H37" s="1" t="str">
        <f aca="false">"INSERT INTO PRODUTO_APRESENTACAO (prd_id, tap_id, pap_qtd, umd_id, pap_atv) VALUES ("&amp;B37&amp;", "&amp;C37&amp;", "&amp;D37&amp;", "&amp;E37&amp;", "&amp;F37&amp;");"</f>
        <v>INSERT INTO PRODUTO_APRESENTACAO (prd_id, tap_id, pap_qtd, umd_id, pap_atv) VALUES (36, 1, 17, 1, 1);</v>
      </c>
    </row>
    <row r="38" customFormat="false" ht="14.25" hidden="false" customHeight="false" outlineLevel="0" collapsed="false">
      <c r="A38" s="1" t="n">
        <v>37</v>
      </c>
      <c r="B38" s="1" t="n">
        <v>37</v>
      </c>
      <c r="C38" s="1" t="n">
        <v>1</v>
      </c>
      <c r="D38" s="1" t="n">
        <v>17</v>
      </c>
      <c r="E38" s="1" t="n">
        <v>1</v>
      </c>
      <c r="F38" s="1" t="n">
        <v>1</v>
      </c>
      <c r="H38" s="1" t="str">
        <f aca="false">"INSERT INTO PRODUTO_APRESENTACAO (prd_id, tap_id, pap_qtd, umd_id, pap_atv) VALUES ("&amp;B38&amp;", "&amp;C38&amp;", "&amp;D38&amp;", "&amp;E38&amp;", "&amp;F38&amp;");"</f>
        <v>INSERT INTO PRODUTO_APRESENTACAO (prd_id, tap_id, pap_qtd, umd_id, pap_atv) VALUES (37, 1, 17, 1, 1);</v>
      </c>
    </row>
    <row r="39" customFormat="false" ht="14.25" hidden="false" customHeight="false" outlineLevel="0" collapsed="false">
      <c r="A39" s="1" t="n">
        <v>38</v>
      </c>
      <c r="B39" s="1" t="n">
        <v>38</v>
      </c>
      <c r="C39" s="1" t="n">
        <v>1</v>
      </c>
      <c r="D39" s="1" t="n">
        <v>17</v>
      </c>
      <c r="E39" s="1" t="n">
        <v>1</v>
      </c>
      <c r="F39" s="1" t="n">
        <v>1</v>
      </c>
      <c r="H39" s="1" t="str">
        <f aca="false">"INSERT INTO PRODUTO_APRESENTACAO (prd_id, tap_id, pap_qtd, umd_id, pap_atv) VALUES ("&amp;B39&amp;", "&amp;C39&amp;", "&amp;D39&amp;", "&amp;E39&amp;", "&amp;F39&amp;");"</f>
        <v>INSERT INTO PRODUTO_APRESENTACAO (prd_id, tap_id, pap_qtd, umd_id, pap_atv) VALUES (38, 1, 17, 1, 1);</v>
      </c>
    </row>
    <row r="40" customFormat="false" ht="14.25" hidden="false" customHeight="false" outlineLevel="0" collapsed="false">
      <c r="A40" s="1" t="n">
        <v>39</v>
      </c>
      <c r="B40" s="1" t="n">
        <v>39</v>
      </c>
      <c r="C40" s="1" t="n">
        <v>1</v>
      </c>
      <c r="D40" s="1" t="n">
        <v>10</v>
      </c>
      <c r="E40" s="1" t="n">
        <v>1</v>
      </c>
      <c r="F40" s="1" t="n">
        <v>1</v>
      </c>
      <c r="H40" s="1" t="str">
        <f aca="false">"INSERT INTO PRODUTO_APRESENTACAO (prd_id, tap_id, pap_qtd, umd_id, pap_atv) VALUES ("&amp;B40&amp;", "&amp;C40&amp;", "&amp;D40&amp;", "&amp;E40&amp;", "&amp;F40&amp;");"</f>
        <v>INSERT INTO PRODUTO_APRESENTACAO (prd_id, tap_id, pap_qtd, umd_id, pap_atv) VALUES (39, 1, 10, 1, 1);</v>
      </c>
    </row>
    <row r="41" customFormat="false" ht="14.25" hidden="false" customHeight="false" outlineLevel="0" collapsed="false">
      <c r="A41" s="1" t="n">
        <v>40</v>
      </c>
      <c r="B41" s="1" t="n">
        <v>40</v>
      </c>
      <c r="C41" s="1" t="n">
        <v>1</v>
      </c>
      <c r="D41" s="1" t="n">
        <v>22</v>
      </c>
      <c r="E41" s="1" t="n">
        <v>1</v>
      </c>
      <c r="F41" s="1" t="n">
        <v>1</v>
      </c>
      <c r="H41" s="1" t="str">
        <f aca="false">"INSERT INTO PRODUTO_APRESENTACAO (prd_id, tap_id, pap_qtd, umd_id, pap_atv) VALUES ("&amp;B41&amp;", "&amp;C41&amp;", "&amp;D41&amp;", "&amp;E41&amp;", "&amp;F41&amp;");"</f>
        <v>INSERT INTO PRODUTO_APRESENTACAO (prd_id, tap_id, pap_qtd, umd_id, pap_atv) VALUES (40, 1, 22, 1, 1);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2026-09-01T15:47:40Z</dcterms:created>
  <dc:creator>Shampz</dc:creator>
  <dc:description/>
  <dc:language>pt-BR</dc:language>
  <cp:lastModifiedBy/>
  <dcterms:modified xsi:type="dcterms:W3CDTF">2026-09-24T18:58:53Z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